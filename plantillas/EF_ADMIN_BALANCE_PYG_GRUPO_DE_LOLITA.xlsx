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basis-server\ARCHIVOS BASES\CONTABILIDADES\2.EMPRESAS LUZ AIDA HERNANDEZ\066 GRUPO DE LOLITA SAS\06. ESTADOS FINANCIEROS\AÑO 2026\06. JUNIO\"/>
    </mc:Choice>
  </mc:AlternateContent>
  <xr:revisionPtr revIDLastSave="0" documentId="13_ncr:1_{ACE802BE-562C-4B94-9237-A77069BD771A}" xr6:coauthVersionLast="47" xr6:coauthVersionMax="47" xr10:uidLastSave="{00000000-0000-0000-0000-000000000000}"/>
  <bookViews>
    <workbookView xWindow="-120" yWindow="-120" windowWidth="29040" windowHeight="15840" tabRatio="812" xr2:uid="{00000000-000D-0000-FFFF-FFFF00000000}"/>
  </bookViews>
  <sheets>
    <sheet name="DATOS" sheetId="4" r:id="rId1"/>
    <sheet name="RESULTADOS GRUPO" sheetId="71" state="hidden" r:id="rId2"/>
    <sheet name="2.E.R.I.MES" sheetId="7" state="hidden" r:id="rId3"/>
    <sheet name="1. OBSERVACIONES" sheetId="72" r:id="rId4"/>
    <sheet name="2.E.R.I. MES-ACUMULADO" sheetId="9" r:id="rId5"/>
    <sheet name="3.2 IMPORENTA" sheetId="17" r:id="rId6"/>
    <sheet name="4.ESF=BALANCE" sheetId="6" r:id="rId7"/>
    <sheet name="5.INDICADORES" sheetId="15" r:id="rId8"/>
    <sheet name="6.BP2026" sheetId="67" r:id="rId9"/>
    <sheet name="7.BP2025" sheetId="63" r:id="rId10"/>
    <sheet name="prediales" sheetId="73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xlnm._FilterDatabase" localSheetId="3" hidden="1">'1. OBSERVACIONES'!$B$161:$F$212</definedName>
    <definedName name="_xlnm._FilterDatabase" localSheetId="4" hidden="1">'2.E.R.I. MES-ACUMULADO'!$A$22:$B$134</definedName>
    <definedName name="_xlnm._FilterDatabase" localSheetId="8" hidden="1">'6.BP2026'!$A$3:$J$2002</definedName>
    <definedName name="_xlnm._FilterDatabase" localSheetId="9" hidden="1">'7.BP2025'!$A$3:$J$1225</definedName>
    <definedName name="_xlnm._FilterDatabase" localSheetId="0" hidden="1">DATOS!$A$85:$I$209</definedName>
    <definedName name="_PT1">'[1]datos decreto y Resol'!#REF!</definedName>
    <definedName name="aaaaaaaaaaa">#REF!</definedName>
    <definedName name="AccessDatabase" hidden="1">"C:\Mis documentos\ACTIVOS.MDB"</definedName>
    <definedName name="ACTIVOS3333">#REF!</definedName>
    <definedName name="Adquisición" localSheetId="5">[2]Listas!$B$9:$B$14</definedName>
    <definedName name="Adquisición">[3]Listas!$B$9:$B$14</definedName>
    <definedName name="_xlnm.Print_Area" localSheetId="3">'1. OBSERVACIONES'!$A$1:$F$249</definedName>
    <definedName name="_xlnm.Print_Area" localSheetId="4">'2.E.R.I. MES-ACUMULADO'!$A$1:$CK$168</definedName>
    <definedName name="_xlnm.Print_Area" localSheetId="2">'2.E.R.I.MES'!$B$1:$J$96</definedName>
    <definedName name="_xlnm.Print_Area" localSheetId="6">'4.ESF=BALANCE'!$A$1:$T$83</definedName>
    <definedName name="_xlnm.Print_Area" localSheetId="7">'5.INDICADORES'!$A$1:$C$43</definedName>
    <definedName name="_xlnm.Print_Area" localSheetId="8">'6.BP2026'!#REF!</definedName>
    <definedName name="_xlnm.Print_Area" localSheetId="9">'7.BP2025'!#REF!</definedName>
    <definedName name="_xlnm.Print_Area" localSheetId="1">'RESULTADOS GRUPO'!$A$1:$F$13</definedName>
    <definedName name="_xlnm.Print_Area">#REF!</definedName>
    <definedName name="AS2DocOpenMode" hidden="1">"AS2DocumentEdit"</definedName>
    <definedName name="Avaluo" localSheetId="5">[4]Listas!$B$19:$B$20</definedName>
    <definedName name="Avaluo">[5]Listas!$B$19:$B$20</definedName>
    <definedName name="AVALÚO" localSheetId="5">[6]Listas!$B$19:$B$20</definedName>
    <definedName name="AVALÚO">[7]Listas!$B$19:$B$20</definedName>
    <definedName name="BALASAS2">#REF!</definedName>
    <definedName name="BALASAS3">#REF!</definedName>
    <definedName name="ClasificaciónNIIF">[8]Listas!$B$13:$B$17</definedName>
    <definedName name="_xlnm.Criteria" localSheetId="5">[2]Listas!$B$27:$B$28</definedName>
    <definedName name="_xlnm.Criteria">[3]Listas!$B$27:$B$28</definedName>
    <definedName name="cuota3..">'[1]datos decreto y Resol'!#REF!</definedName>
    <definedName name="D">#REF!</definedName>
    <definedName name="DCA">#REF!</definedName>
    <definedName name="DCAC" localSheetId="3">#REF!</definedName>
    <definedName name="DCAC" localSheetId="4">#REF!</definedName>
    <definedName name="DCAC" localSheetId="5">#REF!</definedName>
    <definedName name="DCAC" localSheetId="6">#REF!</definedName>
    <definedName name="DCAC">#REF!</definedName>
    <definedName name="DCAD">#REF!</definedName>
    <definedName name="DCGD" localSheetId="5">#REF!</definedName>
    <definedName name="DCGD">[9]Listas!#REF!</definedName>
    <definedName name="DD" localSheetId="3">#REF!</definedName>
    <definedName name="DD" localSheetId="4">#REF!</definedName>
    <definedName name="DD" localSheetId="5">#REF!</definedName>
    <definedName name="DD" localSheetId="6">#REF!</definedName>
    <definedName name="DD">#REF!</definedName>
    <definedName name="DDD" localSheetId="3">#REF!</definedName>
    <definedName name="DDD" localSheetId="4">#REF!</definedName>
    <definedName name="DDD" localSheetId="5">#REF!</definedName>
    <definedName name="DDD" localSheetId="6">#REF!</definedName>
    <definedName name="DDD">#REF!</definedName>
    <definedName name="DDDA" localSheetId="3">#REF!</definedName>
    <definedName name="DDDA" localSheetId="4">#REF!</definedName>
    <definedName name="DDDA" localSheetId="5">#REF!</definedName>
    <definedName name="DDDA" localSheetId="6">#REF!</definedName>
    <definedName name="DDDA">#REF!</definedName>
    <definedName name="DDDD" localSheetId="3">#REF!</definedName>
    <definedName name="DDDD" localSheetId="4">#REF!</definedName>
    <definedName name="DDDD" localSheetId="5">#REF!</definedName>
    <definedName name="DDDD" localSheetId="6">#REF!</definedName>
    <definedName name="DDDD">#REF!</definedName>
    <definedName name="DDDD1">#REF!</definedName>
    <definedName name="Declaraciones" localSheetId="3">#REF!</definedName>
    <definedName name="Declaraciones" localSheetId="4">#REF!</definedName>
    <definedName name="Declaraciones" localSheetId="5">#REF!</definedName>
    <definedName name="Declaraciones" localSheetId="6">#REF!</definedName>
    <definedName name="Declaraciones">#REF!</definedName>
    <definedName name="ded" localSheetId="3">#REF!</definedName>
    <definedName name="ded" localSheetId="4">#REF!</definedName>
    <definedName name="ded" localSheetId="5">#REF!</definedName>
    <definedName name="ded" localSheetId="6">#REF!</definedName>
    <definedName name="ded">#REF!</definedName>
    <definedName name="Diarios" localSheetId="3">#REF!</definedName>
    <definedName name="Diarios" localSheetId="4">#REF!</definedName>
    <definedName name="Diarios" localSheetId="5">#REF!</definedName>
    <definedName name="Diarios" localSheetId="6">#REF!</definedName>
    <definedName name="Diarios">#REF!</definedName>
    <definedName name="e">#REF!</definedName>
    <definedName name="ecyt" localSheetId="3">#REF!</definedName>
    <definedName name="ecyt" localSheetId="5">#REF!</definedName>
    <definedName name="ecyt">#REF!</definedName>
    <definedName name="EE" localSheetId="3">#REF!</definedName>
    <definedName name="EE" localSheetId="4">#REF!</definedName>
    <definedName name="EE" localSheetId="5">#REF!</definedName>
    <definedName name="EE" localSheetId="6">#REF!</definedName>
    <definedName name="EE">#REF!</definedName>
    <definedName name="EEE" localSheetId="3">#REF!</definedName>
    <definedName name="EEE" localSheetId="4">#REF!</definedName>
    <definedName name="EEE" localSheetId="5">#REF!</definedName>
    <definedName name="EEE" localSheetId="6">#REF!</definedName>
    <definedName name="EEE">#REF!</definedName>
    <definedName name="EF">#REF!</definedName>
    <definedName name="ERS">#REF!</definedName>
    <definedName name="Excel_BuiltIn__FilterDatabase_2" localSheetId="3">#REF!</definedName>
    <definedName name="Excel_BuiltIn__FilterDatabase_2" localSheetId="4">#REF!</definedName>
    <definedName name="Excel_BuiltIn__FilterDatabase_2" localSheetId="5">#REF!</definedName>
    <definedName name="Excel_BuiltIn__FilterDatabase_2" localSheetId="6">#REF!</definedName>
    <definedName name="Excel_BuiltIn__FilterDatabase_2">#REF!</definedName>
    <definedName name="HDSADUA" localSheetId="3">#REF!</definedName>
    <definedName name="HDSADUA" localSheetId="4">#REF!</definedName>
    <definedName name="HDSADUA" localSheetId="5">#REF!</definedName>
    <definedName name="HDSADUA" localSheetId="6">#REF!</definedName>
    <definedName name="HDSADUA">#REF!</definedName>
    <definedName name="HI" localSheetId="3">#REF!</definedName>
    <definedName name="HI" localSheetId="4">#REF!</definedName>
    <definedName name="HI" localSheetId="5">#REF!</definedName>
    <definedName name="HI" localSheetId="6">#REF!</definedName>
    <definedName name="HI">#REF!</definedName>
    <definedName name="HOJA" localSheetId="3">#REF!</definedName>
    <definedName name="HOJA" localSheetId="4">#REF!</definedName>
    <definedName name="HOJA" localSheetId="5">#REF!</definedName>
    <definedName name="HOJA" localSheetId="6">#REF!</definedName>
    <definedName name="HOJA">#REF!</definedName>
    <definedName name="HOLA">#REF!</definedName>
    <definedName name="I">#REF!</definedName>
    <definedName name="IMPTO" localSheetId="5">#REF!</definedName>
    <definedName name="IMPTO">#REF!</definedName>
    <definedName name="IMPUESTODIFERIDO" localSheetId="5">#REF!</definedName>
    <definedName name="IMPUESTODIFERIDO">#REF!</definedName>
    <definedName name="INTERESES" localSheetId="5">OFFSET([10]Hoja1!$E$16,0,0,COUNT([10]Hoja1!$E$16:$E$376),1)</definedName>
    <definedName name="INTERESES">OFFSET([11]Hoja1!$E$16,0,0,COUNT([11]Hoja1!$E$16:$E$376),1)</definedName>
    <definedName name="INVERSIONES" localSheetId="3">#REF!</definedName>
    <definedName name="INVERSIONES" localSheetId="4">#REF!</definedName>
    <definedName name="INVERSIONES" localSheetId="5">#REF!</definedName>
    <definedName name="INVERSIONES" localSheetId="6">#REF!</definedName>
    <definedName name="INVERSIONES">#REF!</definedName>
    <definedName name="IVA">'[1]datos decreto y Resol'!$E$7:$Q$16</definedName>
    <definedName name="JFJ" localSheetId="3">#REF!</definedName>
    <definedName name="JFJ" localSheetId="4">#REF!</definedName>
    <definedName name="JFJ" localSheetId="5">#REF!</definedName>
    <definedName name="JFJ" localSheetId="6">#REF!</definedName>
    <definedName name="JFJ">#REF!</definedName>
    <definedName name="JJJ" localSheetId="3">#REF!</definedName>
    <definedName name="JJJ" localSheetId="4">#REF!</definedName>
    <definedName name="JJJ" localSheetId="5">#REF!</definedName>
    <definedName name="JJJ" localSheetId="6">#REF!</definedName>
    <definedName name="JJJ">#REF!</definedName>
    <definedName name="Lista1" localSheetId="6">[12]Datos!$D$6:$D$7</definedName>
    <definedName name="Lista1">[12]Datos!$D$6:$D$7</definedName>
    <definedName name="Listado" localSheetId="6">[12]Datos!$C$6:$C$10</definedName>
    <definedName name="Listado">[12]Datos!$C$6:$C$10</definedName>
    <definedName name="LUZO">#REF!</definedName>
    <definedName name="m">#REF!</definedName>
    <definedName name="MG">'[1]datos decreto y Resol'!#REF!</definedName>
    <definedName name="MONI">'[1]datos decreto y Resol'!#REF!</definedName>
    <definedName name="NEGOCIACIONES">'[1]datos decreto y Resol'!#REF!</definedName>
    <definedName name="NIIF1" localSheetId="3">[13]Listas!#REF!</definedName>
    <definedName name="NIIF1" localSheetId="4">[3]Listas!#REF!</definedName>
    <definedName name="NIIF1" localSheetId="5">#REF!</definedName>
    <definedName name="NIIF1">[3]Listas!#REF!</definedName>
    <definedName name="o">#REF!</definedName>
    <definedName name="OBSE">#REF!</definedName>
    <definedName name="observacione">#REF!</definedName>
    <definedName name="OK" localSheetId="5">#REF!</definedName>
    <definedName name="OK">#REF!</definedName>
    <definedName name="OP">#REF!</definedName>
    <definedName name="OPCIONES" localSheetId="5">[6]Listas!$B$9:$B$11</definedName>
    <definedName name="OPCIONES">[7]Listas!$B$9:$B$11</definedName>
    <definedName name="OTROS">'[1]datos decreto y Resol'!#REF!</definedName>
    <definedName name="PAGOS" localSheetId="5">OFFSET([10]Hoja1!$J$15,0,0,COUNT([10]Hoja1!$J$15:$J$376),1)</definedName>
    <definedName name="PAGOS">OFFSET([11]Hoja1!$J$15,0,0,COUNT([11]Hoja1!$J$15:$J$376),1)</definedName>
    <definedName name="PCLOCALFULL" localSheetId="5">'[14]Balance detallado'!$K$7:$K$1486</definedName>
    <definedName name="PCLOCALFULL" localSheetId="6">'[15]Balance detallado'!$K$7:$K$1486</definedName>
    <definedName name="PCLOCALFULL">'[15]Balance detallado'!$K$7:$K$1486</definedName>
    <definedName name="PCNIIF" localSheetId="5">'[14]PC NIIF DEP'!$B$2:$B$1058</definedName>
    <definedName name="PCNIIF" localSheetId="6">'[15]PC NIIF DEP'!$B$2:$B$1058</definedName>
    <definedName name="PCNIIF">'[15]PC NIIF DEP'!$B$2:$B$1058</definedName>
    <definedName name="PCNIIFFULL" localSheetId="5">'[14]PC NIIF DEP'!$J$2:$J$1340</definedName>
    <definedName name="PCNIIFFULL" localSheetId="6">'[15]PC NIIF DEP'!$J$2:$J$1340</definedName>
    <definedName name="PCNIIFFULL">'[15]PC NIIF DEP'!$J$2:$J$1340</definedName>
    <definedName name="PEF">'[1]datos decreto y Resol'!#REF!</definedName>
    <definedName name="PIDA">#REF!</definedName>
    <definedName name="PT">'[1]datos decreto y Resol'!#REF!</definedName>
    <definedName name="QQ" localSheetId="3">#REF!</definedName>
    <definedName name="QQ" localSheetId="4">#REF!</definedName>
    <definedName name="QQ" localSheetId="5">#REF!</definedName>
    <definedName name="QQ" localSheetId="6">#REF!</definedName>
    <definedName name="QQ">#REF!</definedName>
    <definedName name="Reclasificación" localSheetId="5">[6]Listas!$B$15:$B$15</definedName>
    <definedName name="Reclasificación">[7]Listas!$B$15:$B$15</definedName>
    <definedName name="ReclasificaciónNIIF" localSheetId="5">[6]Listas!$B$15:$B$16</definedName>
    <definedName name="ReclasificaciónNIIF">[7]Listas!$B$15:$B$16</definedName>
    <definedName name="RRRR">#REF!</definedName>
    <definedName name="rrrrrrrrrrrrrrrrr">#REF!</definedName>
    <definedName name="RT">'[1]datos decreto y Resol'!$E$25:$Q$34</definedName>
    <definedName name="sggs" localSheetId="3">#REF!</definedName>
    <definedName name="sggs" localSheetId="4">#REF!</definedName>
    <definedName name="sggs" localSheetId="5">#REF!</definedName>
    <definedName name="sggs" localSheetId="6">#REF!</definedName>
    <definedName name="sggs">#REF!</definedName>
    <definedName name="SJFIUEDY" localSheetId="3">#REF!</definedName>
    <definedName name="SJFIUEDY" localSheetId="5">#REF!</definedName>
    <definedName name="SJFIUEDY">#REF!</definedName>
    <definedName name="SS">'[1]datos decreto y Resol'!#REF!</definedName>
    <definedName name="SSS" localSheetId="3">#REF!</definedName>
    <definedName name="SSS" localSheetId="4">#REF!</definedName>
    <definedName name="SSS" localSheetId="5">#REF!</definedName>
    <definedName name="SSS" localSheetId="6">#REF!</definedName>
    <definedName name="SSS">#REF!</definedName>
    <definedName name="TAB" localSheetId="3">#REF!</definedName>
    <definedName name="TAB" localSheetId="4">#REF!</definedName>
    <definedName name="TAB" localSheetId="5">#REF!</definedName>
    <definedName name="TAB" localSheetId="6">#REF!</definedName>
    <definedName name="TAB">#REF!</definedName>
    <definedName name="TABLA" localSheetId="3">#REF!</definedName>
    <definedName name="TABLA" localSheetId="4">#REF!</definedName>
    <definedName name="TABLA" localSheetId="5">#REF!</definedName>
    <definedName name="TABLA" localSheetId="6">#REF!</definedName>
    <definedName name="TABLA">#REF!</definedName>
    <definedName name="TABLAOPER18" localSheetId="3">#REF!</definedName>
    <definedName name="TABLAOPER18" localSheetId="4">#REF!</definedName>
    <definedName name="TABLAOPER18" localSheetId="5">#REF!</definedName>
    <definedName name="TABLAOPER18" localSheetId="6">#REF!</definedName>
    <definedName name="TABLAOPER18">#REF!</definedName>
    <definedName name="TABLAOPER24" localSheetId="3">#REF!</definedName>
    <definedName name="TABLAOPER24" localSheetId="4">#REF!</definedName>
    <definedName name="TABLAOPER24" localSheetId="5">#REF!</definedName>
    <definedName name="TABLAOPER24" localSheetId="6">#REF!</definedName>
    <definedName name="TABLAOPER24">#REF!</definedName>
    <definedName name="TABLAOPER36" localSheetId="3">#REF!</definedName>
    <definedName name="TABLAOPER36" localSheetId="4">#REF!</definedName>
    <definedName name="TABLAOPER36" localSheetId="5">#REF!</definedName>
    <definedName name="TABLAOPER36" localSheetId="6">#REF!</definedName>
    <definedName name="TABLAOPER36">#REF!</definedName>
    <definedName name="TABLAOPER48" localSheetId="3">#REF!</definedName>
    <definedName name="TABLAOPER48" localSheetId="4">#REF!</definedName>
    <definedName name="TABLAOPER48" localSheetId="5">#REF!</definedName>
    <definedName name="TABLAOPER48" localSheetId="6">#REF!</definedName>
    <definedName name="TABLAOPER48">#REF!</definedName>
    <definedName name="TABLAOPER60" localSheetId="3">#REF!</definedName>
    <definedName name="TABLAOPER60" localSheetId="4">#REF!</definedName>
    <definedName name="TABLAOPER60" localSheetId="5">#REF!</definedName>
    <definedName name="TABLAOPER60" localSheetId="6">#REF!</definedName>
    <definedName name="TABLAOPER60">#REF!</definedName>
    <definedName name="TABLE" localSheetId="3">#REF!</definedName>
    <definedName name="TABLE" localSheetId="4">#REF!</definedName>
    <definedName name="TABLE" localSheetId="5">#REF!</definedName>
    <definedName name="TABLE" localSheetId="6">#REF!</definedName>
    <definedName name="TABLE">#REF!</definedName>
    <definedName name="TABLOPER" localSheetId="3">#REF!</definedName>
    <definedName name="TABLOPER" localSheetId="4">#REF!</definedName>
    <definedName name="TABLOPER" localSheetId="5">#REF!</definedName>
    <definedName name="TABLOPER" localSheetId="6">#REF!</definedName>
    <definedName name="TABLOPER">#REF!</definedName>
    <definedName name="tipo" localSheetId="5">#REF!</definedName>
    <definedName name="tipo">#REF!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>#REF!</definedName>
    <definedName name="Z_B6DC502A_BFFB_4FBB_BBF2_1962512F02D0_.wvu.Cols" localSheetId="4" hidden="1">'2.E.R.I. MES-ACUMULADO'!#REF!</definedName>
    <definedName name="Z_B6DC502A_BFFB_4FBB_BBF2_1962512F02D0_.wvu.Cols" localSheetId="2" hidden="1">'2.E.R.I.MES'!#REF!</definedName>
    <definedName name="Z_B6DC502A_BFFB_4FBB_BBF2_1962512F02D0_.wvu.PrintArea" localSheetId="4" hidden="1">'2.E.R.I. MES-ACUMULADO'!$B$1:$CL$8</definedName>
    <definedName name="Z_B6DC502A_BFFB_4FBB_BBF2_1962512F02D0_.wvu.PrintArea" localSheetId="2" hidden="1">'2.E.R.I.MES'!$B$1:$J$96</definedName>
    <definedName name="Z_B6DC502A_BFFB_4FBB_BBF2_1962512F02D0_.wvu.PrintArea" localSheetId="6" hidden="1">'4.ESF=BALANCE'!$A$1:$T$75</definedName>
    <definedName name="Z_B6DC502A_BFFB_4FBB_BBF2_1962512F02D0_.wvu.Rows" localSheetId="2" hidden="1">'2.E.R.I.MES'!#REF!,'2.E.R.I.MES'!$27:$32,'2.E.R.I.MES'!$34:$47,'2.E.R.I.MES'!$48:$62,'2.E.R.I.MES'!$64:$67,'2.E.R.I.MES'!$71:$73,'2.E.R.I.MES'!$75:$81,'2.E.R.I.MES'!$85:$87,'2.E.R.I.MES'!#REF!</definedName>
    <definedName name="Z_EA1A954B_E3BC_4BCB_9C9D_ACAC3EBC5AD2_.wvu.Cols" localSheetId="4" hidden="1">'2.E.R.I. MES-ACUMULADO'!#REF!</definedName>
    <definedName name="Z_EA1A954B_E3BC_4BCB_9C9D_ACAC3EBC5AD2_.wvu.Cols" localSheetId="2" hidden="1">'2.E.R.I.MES'!#REF!</definedName>
    <definedName name="Z_EA1A954B_E3BC_4BCB_9C9D_ACAC3EBC5AD2_.wvu.PrintArea" localSheetId="4" hidden="1">'2.E.R.I. MES-ACUMULADO'!$B$1:$CL$8</definedName>
    <definedName name="Z_EA1A954B_E3BC_4BCB_9C9D_ACAC3EBC5AD2_.wvu.PrintArea" localSheetId="2" hidden="1">'2.E.R.I.MES'!$B$1:$J$96</definedName>
    <definedName name="Z_EA1A954B_E3BC_4BCB_9C9D_ACAC3EBC5AD2_.wvu.PrintArea" localSheetId="6" hidden="1">'4.ESF=BALANCE'!$A$1:$T$75</definedName>
    <definedName name="Z_EA1A954B_E3BC_4BCB_9C9D_ACAC3EBC5AD2_.wvu.Rows" localSheetId="2" hidden="1">'2.E.R.I.MES'!#REF!,'2.E.R.I.MES'!$27:$32,'2.E.R.I.MES'!$34:$47,'2.E.R.I.MES'!$48:$62,'2.E.R.I.MES'!$64:$67,'2.E.R.I.MES'!$71:$73,'2.E.R.I.MES'!$75:$81,'2.E.R.I.MES'!$85:$87,'2.E.R.I.MES'!#REF!</definedName>
  </definedNames>
  <calcPr calcId="191029"/>
  <customWorkbookViews>
    <customWorkbookView name="PC04 - Vista personalizada" guid="{EA1A954B-E3BC-4BCB-9C9D-ACAC3EBC5AD2}" mergeInterval="0" personalView="1" maximized="1" windowWidth="1596" windowHeight="674" tabRatio="894" activeSheetId="8"/>
    <customWorkbookView name="Usuario - Vista personalizada" guid="{B6DC502A-BFFB-4FBB-BBF2-1962512F02D0}" mergeInterval="0" personalView="1" maximized="1" xWindow="-8" yWindow="-8" windowWidth="1382" windowHeight="754" tabRatio="894" activeSheetId="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19" i="72" l="1"/>
  <c r="F207" i="72"/>
  <c r="F208" i="72"/>
  <c r="F209" i="72"/>
  <c r="F210" i="72"/>
  <c r="G35" i="17"/>
  <c r="G26" i="17"/>
  <c r="G14" i="17"/>
  <c r="C108" i="72"/>
  <c r="C81" i="72"/>
  <c r="C247" i="72"/>
  <c r="E56" i="72"/>
  <c r="F56" i="72" s="1"/>
  <c r="F57" i="72"/>
  <c r="F58" i="72"/>
  <c r="F59" i="72"/>
  <c r="F60" i="72"/>
  <c r="F61" i="72"/>
  <c r="F62" i="72"/>
  <c r="F63" i="72"/>
  <c r="F64" i="72"/>
  <c r="Q71" i="6"/>
  <c r="G206" i="4"/>
  <c r="G140" i="4"/>
  <c r="F140" i="4"/>
  <c r="CP60" i="9"/>
  <c r="CP39" i="9" s="1"/>
  <c r="G189" i="4"/>
  <c r="CS17" i="9"/>
  <c r="K2712" i="63"/>
  <c r="K2713" i="63"/>
  <c r="K2714" i="63"/>
  <c r="K2715" i="63"/>
  <c r="K2716" i="63"/>
  <c r="K2717" i="63"/>
  <c r="K2718" i="63"/>
  <c r="K2719" i="63"/>
  <c r="K2720" i="63"/>
  <c r="K2721" i="63"/>
  <c r="K2722" i="63"/>
  <c r="K2723" i="63"/>
  <c r="K2724" i="63"/>
  <c r="K2725" i="63"/>
  <c r="K2726" i="63"/>
  <c r="K2727" i="63"/>
  <c r="K2728" i="63"/>
  <c r="K2729" i="63"/>
  <c r="K2730" i="63"/>
  <c r="K2731" i="63"/>
  <c r="K2732" i="63"/>
  <c r="K2733" i="63"/>
  <c r="K2734" i="63"/>
  <c r="K2735" i="63"/>
  <c r="K2736" i="63"/>
  <c r="K2737" i="63"/>
  <c r="K2738" i="63"/>
  <c r="K2739" i="63"/>
  <c r="K2740" i="63"/>
  <c r="K2741" i="63"/>
  <c r="K2742" i="63"/>
  <c r="K2743" i="63"/>
  <c r="K2744" i="63"/>
  <c r="K2745" i="63"/>
  <c r="K2746" i="63"/>
  <c r="K2747" i="63"/>
  <c r="K2748" i="63"/>
  <c r="K2749" i="63"/>
  <c r="K2750" i="63"/>
  <c r="K2751" i="63"/>
  <c r="K2752" i="63"/>
  <c r="K2753" i="63"/>
  <c r="K2754" i="63"/>
  <c r="K2755" i="63"/>
  <c r="K2756" i="63"/>
  <c r="K2757" i="63"/>
  <c r="K2758" i="63"/>
  <c r="K2759" i="63"/>
  <c r="K2760" i="63"/>
  <c r="K2761" i="63"/>
  <c r="K2762" i="63"/>
  <c r="K2763" i="63"/>
  <c r="K2764" i="63"/>
  <c r="K2765" i="63"/>
  <c r="K2766" i="63"/>
  <c r="K2767" i="63"/>
  <c r="K2768" i="63"/>
  <c r="K2769" i="63"/>
  <c r="K2770" i="63"/>
  <c r="K2771" i="63"/>
  <c r="K2772" i="63"/>
  <c r="K2773" i="63"/>
  <c r="K2774" i="63"/>
  <c r="K2775" i="63"/>
  <c r="K2776" i="63"/>
  <c r="K2777" i="63"/>
  <c r="K2778" i="63"/>
  <c r="K2779" i="63"/>
  <c r="K2780" i="63"/>
  <c r="K2781" i="63"/>
  <c r="K2782" i="63"/>
  <c r="K2783" i="63"/>
  <c r="K2784" i="63"/>
  <c r="K2785" i="63"/>
  <c r="K2786" i="63"/>
  <c r="K2787" i="63"/>
  <c r="K2788" i="63"/>
  <c r="K2789" i="63"/>
  <c r="K2790" i="63"/>
  <c r="K2791" i="63"/>
  <c r="K2792" i="63"/>
  <c r="K2793" i="63"/>
  <c r="K2794" i="63"/>
  <c r="K2795" i="63"/>
  <c r="K2796" i="63"/>
  <c r="K2797" i="63"/>
  <c r="K2798" i="63"/>
  <c r="K2799" i="63"/>
  <c r="CK151" i="9"/>
  <c r="CK150" i="9"/>
  <c r="CJ162" i="9"/>
  <c r="CK162" i="9" s="1"/>
  <c r="CJ150" i="9"/>
  <c r="CJ117" i="9"/>
  <c r="D189" i="4"/>
  <c r="C189" i="4"/>
  <c r="D158" i="4"/>
  <c r="C158" i="4"/>
  <c r="K2772" i="67"/>
  <c r="K2773" i="67"/>
  <c r="K2774" i="67"/>
  <c r="K2775" i="67"/>
  <c r="K2776" i="67"/>
  <c r="K2777" i="67"/>
  <c r="K2778" i="67"/>
  <c r="K2779" i="67"/>
  <c r="K2780" i="67"/>
  <c r="K2781" i="67"/>
  <c r="K2782" i="67"/>
  <c r="K2783" i="67"/>
  <c r="K2784" i="67"/>
  <c r="K2785" i="67"/>
  <c r="K2786" i="67"/>
  <c r="K2787" i="67"/>
  <c r="K2788" i="67"/>
  <c r="K2789" i="67"/>
  <c r="K2790" i="67"/>
  <c r="K2791" i="67"/>
  <c r="K2792" i="67"/>
  <c r="K2793" i="67"/>
  <c r="K2794" i="67"/>
  <c r="K2795" i="67"/>
  <c r="K2796" i="67"/>
  <c r="K2797" i="67"/>
  <c r="K2798" i="67"/>
  <c r="K2799" i="67"/>
  <c r="K2800" i="67"/>
  <c r="K2801" i="67"/>
  <c r="K2802" i="67"/>
  <c r="K2803" i="67"/>
  <c r="K2804" i="67"/>
  <c r="K2805" i="67"/>
  <c r="K2806" i="67"/>
  <c r="K2807" i="67"/>
  <c r="K2808" i="67"/>
  <c r="K2809" i="67"/>
  <c r="K2810" i="67"/>
  <c r="K2811" i="67"/>
  <c r="K2812" i="67"/>
  <c r="K2813" i="67"/>
  <c r="K2814" i="67"/>
  <c r="K2815" i="67"/>
  <c r="K2816" i="67"/>
  <c r="K2817" i="67"/>
  <c r="K2818" i="67"/>
  <c r="K2819" i="67"/>
  <c r="K2820" i="67"/>
  <c r="K2821" i="67"/>
  <c r="K2822" i="67"/>
  <c r="K2823" i="67"/>
  <c r="K2824" i="67"/>
  <c r="K2825" i="67"/>
  <c r="K2826" i="67"/>
  <c r="K2827" i="67"/>
  <c r="K2828" i="67"/>
  <c r="K2829" i="67"/>
  <c r="K2830" i="67"/>
  <c r="K2831" i="67"/>
  <c r="K2832" i="67"/>
  <c r="K2833" i="67"/>
  <c r="K2834" i="67"/>
  <c r="K2835" i="67"/>
  <c r="K2836" i="67"/>
  <c r="K2837" i="67"/>
  <c r="K2838" i="67"/>
  <c r="K2839" i="67"/>
  <c r="K2840" i="67"/>
  <c r="K2841" i="67"/>
  <c r="K2842" i="67"/>
  <c r="K2843" i="67"/>
  <c r="K2844" i="67"/>
  <c r="K2845" i="67"/>
  <c r="K2846" i="67"/>
  <c r="K2847" i="67"/>
  <c r="K2848" i="67"/>
  <c r="K2849" i="67"/>
  <c r="K2850" i="67"/>
  <c r="K2851" i="67"/>
  <c r="K2852" i="67"/>
  <c r="K2853" i="67"/>
  <c r="K2854" i="67"/>
  <c r="K2855" i="67"/>
  <c r="K2856" i="67"/>
  <c r="K2857" i="67"/>
  <c r="K2858" i="67"/>
  <c r="K2859" i="67"/>
  <c r="K2860" i="67"/>
  <c r="K2861" i="67"/>
  <c r="K2862" i="67"/>
  <c r="K2863" i="67"/>
  <c r="K2864" i="67"/>
  <c r="K2865" i="67"/>
  <c r="K2866" i="67"/>
  <c r="K2867" i="67"/>
  <c r="K2868" i="67"/>
  <c r="K2869" i="67"/>
  <c r="K2870" i="67"/>
  <c r="K2871" i="67"/>
  <c r="K2872" i="67"/>
  <c r="K2873" i="67"/>
  <c r="K2874" i="67"/>
  <c r="K2875" i="67"/>
  <c r="K2876" i="67"/>
  <c r="K2877" i="67"/>
  <c r="K2878" i="67"/>
  <c r="K2879" i="67"/>
  <c r="K2880" i="67"/>
  <c r="K2881" i="67"/>
  <c r="K2882" i="67"/>
  <c r="K2883" i="67"/>
  <c r="K2884" i="67"/>
  <c r="K2885" i="67"/>
  <c r="K2886" i="67"/>
  <c r="K2887" i="67"/>
  <c r="K2888" i="67"/>
  <c r="K2889" i="67"/>
  <c r="K2890" i="67"/>
  <c r="K2891" i="67"/>
  <c r="K2892" i="67"/>
  <c r="K2893" i="67"/>
  <c r="K2894" i="67"/>
  <c r="K2895" i="67"/>
  <c r="K2896" i="67"/>
  <c r="K2897" i="67"/>
  <c r="K2898" i="67"/>
  <c r="K2899" i="67"/>
  <c r="K2900" i="67"/>
  <c r="K2901" i="67"/>
  <c r="K2902" i="67"/>
  <c r="K2903" i="67"/>
  <c r="K2904" i="67"/>
  <c r="K2905" i="67"/>
  <c r="K2906" i="67"/>
  <c r="K2907" i="67"/>
  <c r="K2908" i="67"/>
  <c r="K2909" i="67"/>
  <c r="K2910" i="67"/>
  <c r="K2911" i="67"/>
  <c r="K2912" i="67"/>
  <c r="K2913" i="67"/>
  <c r="K2914" i="67"/>
  <c r="K2915" i="67"/>
  <c r="K2916" i="67"/>
  <c r="K2917" i="67"/>
  <c r="K2918" i="67"/>
  <c r="K2919" i="67"/>
  <c r="K2920" i="67"/>
  <c r="K2921" i="67"/>
  <c r="K2922" i="67"/>
  <c r="K2923" i="67"/>
  <c r="K2924" i="67"/>
  <c r="K2925" i="67"/>
  <c r="K2926" i="67"/>
  <c r="K2927" i="67"/>
  <c r="K2928" i="67"/>
  <c r="K2929" i="67"/>
  <c r="K2930" i="67"/>
  <c r="K2931" i="67"/>
  <c r="K2932" i="67"/>
  <c r="K2933" i="67"/>
  <c r="K2934" i="67"/>
  <c r="K2935" i="67"/>
  <c r="K2936" i="67"/>
  <c r="K2937" i="67"/>
  <c r="K2938" i="67"/>
  <c r="K2939" i="67"/>
  <c r="K2940" i="67"/>
  <c r="K2941" i="67"/>
  <c r="K2942" i="67"/>
  <c r="K2943" i="67"/>
  <c r="K2944" i="67"/>
  <c r="K2945" i="67"/>
  <c r="K2946" i="67"/>
  <c r="K2947" i="67"/>
  <c r="K2948" i="67"/>
  <c r="K2949" i="67"/>
  <c r="K2950" i="67"/>
  <c r="K2951" i="67"/>
  <c r="K2952" i="67"/>
  <c r="K2953" i="67"/>
  <c r="K2954" i="67"/>
  <c r="K2955" i="67"/>
  <c r="K2956" i="67"/>
  <c r="K2957" i="67"/>
  <c r="K2958" i="67"/>
  <c r="K2959" i="67"/>
  <c r="K2960" i="67"/>
  <c r="K2961" i="67"/>
  <c r="K2962" i="67"/>
  <c r="K2963" i="67"/>
  <c r="K2964" i="67"/>
  <c r="K2965" i="67"/>
  <c r="K2966" i="67"/>
  <c r="K2967" i="67"/>
  <c r="K2968" i="67"/>
  <c r="K2969" i="67"/>
  <c r="K2970" i="67"/>
  <c r="K2971" i="67"/>
  <c r="K2972" i="67"/>
  <c r="K2973" i="67"/>
  <c r="K2974" i="67"/>
  <c r="K2975" i="67"/>
  <c r="K2976" i="67"/>
  <c r="K2977" i="67"/>
  <c r="K2978" i="67"/>
  <c r="K2979" i="67"/>
  <c r="K2980" i="67"/>
  <c r="K2981" i="67"/>
  <c r="K2982" i="67"/>
  <c r="K2983" i="67"/>
  <c r="K2984" i="67"/>
  <c r="K2985" i="67"/>
  <c r="K2986" i="67"/>
  <c r="K2987" i="67"/>
  <c r="K2988" i="67"/>
  <c r="K2989" i="67"/>
  <c r="K2990" i="67"/>
  <c r="K2991" i="67"/>
  <c r="K2992" i="67"/>
  <c r="K2993" i="67"/>
  <c r="K2994" i="67"/>
  <c r="K2995" i="67"/>
  <c r="K2996" i="67"/>
  <c r="K2997" i="67"/>
  <c r="K2998" i="67"/>
  <c r="K2999" i="67"/>
  <c r="K3000" i="67"/>
  <c r="K3001" i="67"/>
  <c r="K3002" i="67"/>
  <c r="J2772" i="67"/>
  <c r="J2773" i="67"/>
  <c r="J2774" i="67"/>
  <c r="J2775" i="67"/>
  <c r="J2776" i="67"/>
  <c r="J2777" i="67"/>
  <c r="J2778" i="67"/>
  <c r="J2779" i="67"/>
  <c r="J2780" i="67"/>
  <c r="J2781" i="67"/>
  <c r="J2782" i="67"/>
  <c r="J2783" i="67"/>
  <c r="J2784" i="67"/>
  <c r="J2785" i="67"/>
  <c r="J2786" i="67"/>
  <c r="J2787" i="67"/>
  <c r="J2788" i="67"/>
  <c r="J2789" i="67"/>
  <c r="J2790" i="67"/>
  <c r="J2791" i="67"/>
  <c r="J2792" i="67"/>
  <c r="J2793" i="67"/>
  <c r="J2794" i="67"/>
  <c r="J2795" i="67"/>
  <c r="J2796" i="67"/>
  <c r="J2797" i="67"/>
  <c r="J2798" i="67"/>
  <c r="J2799" i="67"/>
  <c r="J2800" i="67"/>
  <c r="J2801" i="67"/>
  <c r="J2802" i="67"/>
  <c r="J2803" i="67"/>
  <c r="J2804" i="67"/>
  <c r="J2805" i="67"/>
  <c r="J2806" i="67"/>
  <c r="J2807" i="67"/>
  <c r="J2808" i="67"/>
  <c r="J2809" i="67"/>
  <c r="J2810" i="67"/>
  <c r="J2811" i="67"/>
  <c r="J2812" i="67"/>
  <c r="J2813" i="67"/>
  <c r="J2814" i="67"/>
  <c r="J2815" i="67"/>
  <c r="J2816" i="67"/>
  <c r="J2817" i="67"/>
  <c r="J2818" i="67"/>
  <c r="J2819" i="67"/>
  <c r="J2820" i="67"/>
  <c r="J2821" i="67"/>
  <c r="J2822" i="67"/>
  <c r="J2823" i="67"/>
  <c r="J2824" i="67"/>
  <c r="J2825" i="67"/>
  <c r="J2826" i="67"/>
  <c r="J2827" i="67"/>
  <c r="J2828" i="67"/>
  <c r="J2829" i="67"/>
  <c r="J2830" i="67"/>
  <c r="J2831" i="67"/>
  <c r="J2832" i="67"/>
  <c r="J2833" i="67"/>
  <c r="J2834" i="67"/>
  <c r="J2835" i="67"/>
  <c r="J2836" i="67"/>
  <c r="J2837" i="67"/>
  <c r="J2838" i="67"/>
  <c r="J2839" i="67"/>
  <c r="J2840" i="67"/>
  <c r="J2841" i="67"/>
  <c r="J2842" i="67"/>
  <c r="J2843" i="67"/>
  <c r="J2844" i="67"/>
  <c r="J2845" i="67"/>
  <c r="J2846" i="67"/>
  <c r="J2847" i="67"/>
  <c r="J2848" i="67"/>
  <c r="J2849" i="67"/>
  <c r="J2850" i="67"/>
  <c r="J2851" i="67"/>
  <c r="J2852" i="67"/>
  <c r="J2853" i="67"/>
  <c r="J2854" i="67"/>
  <c r="J2855" i="67"/>
  <c r="J2856" i="67"/>
  <c r="J2857" i="67"/>
  <c r="J2858" i="67"/>
  <c r="J2859" i="67"/>
  <c r="J2860" i="67"/>
  <c r="J2861" i="67"/>
  <c r="J2862" i="67"/>
  <c r="J2863" i="67"/>
  <c r="J2864" i="67"/>
  <c r="J2865" i="67"/>
  <c r="J2866" i="67"/>
  <c r="J2867" i="67"/>
  <c r="J2868" i="67"/>
  <c r="J2869" i="67"/>
  <c r="J2870" i="67"/>
  <c r="J2871" i="67"/>
  <c r="J2872" i="67"/>
  <c r="J2873" i="67"/>
  <c r="J2874" i="67"/>
  <c r="J2875" i="67"/>
  <c r="J2876" i="67"/>
  <c r="J2877" i="67"/>
  <c r="J2878" i="67"/>
  <c r="J2879" i="67"/>
  <c r="J2880" i="67"/>
  <c r="J2881" i="67"/>
  <c r="J2882" i="67"/>
  <c r="J2883" i="67"/>
  <c r="J2884" i="67"/>
  <c r="J2885" i="67"/>
  <c r="J2886" i="67"/>
  <c r="J2887" i="67"/>
  <c r="J2888" i="67"/>
  <c r="J2889" i="67"/>
  <c r="J2890" i="67"/>
  <c r="J2891" i="67"/>
  <c r="J2892" i="67"/>
  <c r="J2893" i="67"/>
  <c r="J2894" i="67"/>
  <c r="J2895" i="67"/>
  <c r="J2896" i="67"/>
  <c r="J2897" i="67"/>
  <c r="J2898" i="67"/>
  <c r="J2899" i="67"/>
  <c r="J2900" i="67"/>
  <c r="J2901" i="67"/>
  <c r="J2902" i="67"/>
  <c r="J2903" i="67"/>
  <c r="J2904" i="67"/>
  <c r="J2905" i="67"/>
  <c r="J2906" i="67"/>
  <c r="J2907" i="67"/>
  <c r="J2908" i="67"/>
  <c r="J2909" i="67"/>
  <c r="J2910" i="67"/>
  <c r="J2911" i="67"/>
  <c r="J2912" i="67"/>
  <c r="J2913" i="67"/>
  <c r="J2914" i="67"/>
  <c r="J2915" i="67"/>
  <c r="J2916" i="67"/>
  <c r="J2917" i="67"/>
  <c r="J2918" i="67"/>
  <c r="J2919" i="67"/>
  <c r="J2920" i="67"/>
  <c r="J2921" i="67"/>
  <c r="J2922" i="67"/>
  <c r="J2923" i="67"/>
  <c r="J2924" i="67"/>
  <c r="J2925" i="67"/>
  <c r="J2926" i="67"/>
  <c r="J2927" i="67"/>
  <c r="J2928" i="67"/>
  <c r="J2929" i="67"/>
  <c r="J2930" i="67"/>
  <c r="J2931" i="67"/>
  <c r="J2932" i="67"/>
  <c r="J2933" i="67"/>
  <c r="J2934" i="67"/>
  <c r="J2935" i="67"/>
  <c r="J2936" i="67"/>
  <c r="J2937" i="67"/>
  <c r="J2938" i="67"/>
  <c r="J2939" i="67"/>
  <c r="J2940" i="67"/>
  <c r="J2941" i="67"/>
  <c r="J2942" i="67"/>
  <c r="J2943" i="67"/>
  <c r="J2944" i="67"/>
  <c r="J2945" i="67"/>
  <c r="J2946" i="67"/>
  <c r="J2947" i="67"/>
  <c r="J2948" i="67"/>
  <c r="J2949" i="67"/>
  <c r="J2950" i="67"/>
  <c r="J2951" i="67"/>
  <c r="J2952" i="67"/>
  <c r="J2953" i="67"/>
  <c r="J2954" i="67"/>
  <c r="J2955" i="67"/>
  <c r="J2956" i="67"/>
  <c r="J2957" i="67"/>
  <c r="J2958" i="67"/>
  <c r="J2959" i="67"/>
  <c r="J2960" i="67"/>
  <c r="J2961" i="67"/>
  <c r="J2962" i="67"/>
  <c r="J2963" i="67"/>
  <c r="J2964" i="67"/>
  <c r="J2965" i="67"/>
  <c r="J2966" i="67"/>
  <c r="J2967" i="67"/>
  <c r="J2968" i="67"/>
  <c r="J2969" i="67"/>
  <c r="J2970" i="67"/>
  <c r="J2971" i="67"/>
  <c r="J2972" i="67"/>
  <c r="J2973" i="67"/>
  <c r="J2974" i="67"/>
  <c r="J2975" i="67"/>
  <c r="J2976" i="67"/>
  <c r="J2977" i="67"/>
  <c r="J2978" i="67"/>
  <c r="J2979" i="67"/>
  <c r="J2980" i="67"/>
  <c r="J2981" i="67"/>
  <c r="J2982" i="67"/>
  <c r="J2983" i="67"/>
  <c r="J2984" i="67"/>
  <c r="J2985" i="67"/>
  <c r="J2986" i="67"/>
  <c r="J2987" i="67"/>
  <c r="J2988" i="67"/>
  <c r="J2989" i="67"/>
  <c r="J2990" i="67"/>
  <c r="J2991" i="67"/>
  <c r="J2992" i="67"/>
  <c r="J2993" i="67"/>
  <c r="J2994" i="67"/>
  <c r="J2995" i="67"/>
  <c r="J2996" i="67"/>
  <c r="J2997" i="67"/>
  <c r="J2998" i="67"/>
  <c r="J2999" i="67"/>
  <c r="J3000" i="67"/>
  <c r="J3001" i="67"/>
  <c r="J3002" i="67"/>
  <c r="BX13" i="9"/>
  <c r="BY13" i="9"/>
  <c r="BZ13" i="9"/>
  <c r="CA13" i="9"/>
  <c r="CB13" i="9"/>
  <c r="CC13" i="9"/>
  <c r="CD13" i="9"/>
  <c r="CE13" i="9"/>
  <c r="CF13" i="9"/>
  <c r="BU166" i="9"/>
  <c r="BU165" i="9"/>
  <c r="BU164" i="9"/>
  <c r="BT163" i="9"/>
  <c r="BS163" i="9"/>
  <c r="BR163" i="9"/>
  <c r="BQ163" i="9"/>
  <c r="BP163" i="9"/>
  <c r="BO163" i="9"/>
  <c r="BN163" i="9"/>
  <c r="BM163" i="9"/>
  <c r="BL163" i="9"/>
  <c r="BU156" i="9"/>
  <c r="BU155" i="9"/>
  <c r="BT154" i="9"/>
  <c r="BS154" i="9"/>
  <c r="BR154" i="9"/>
  <c r="BQ154" i="9"/>
  <c r="BP154" i="9"/>
  <c r="BO154" i="9"/>
  <c r="BN154" i="9"/>
  <c r="BM154" i="9"/>
  <c r="BL154" i="9"/>
  <c r="BU149" i="9"/>
  <c r="BU148" i="9"/>
  <c r="BU147" i="9"/>
  <c r="BL146" i="9"/>
  <c r="BU146" i="9" s="1"/>
  <c r="BU145" i="9"/>
  <c r="BU144" i="9"/>
  <c r="BU143" i="9"/>
  <c r="BU142" i="9"/>
  <c r="BT141" i="9"/>
  <c r="BS141" i="9"/>
  <c r="BR141" i="9"/>
  <c r="BQ141" i="9"/>
  <c r="BP141" i="9"/>
  <c r="BO141" i="9"/>
  <c r="BN141" i="9"/>
  <c r="BM141" i="9"/>
  <c r="BU140" i="9"/>
  <c r="BU139" i="9"/>
  <c r="BU138" i="9"/>
  <c r="BU137" i="9"/>
  <c r="BT136" i="9"/>
  <c r="BS136" i="9"/>
  <c r="BR136" i="9"/>
  <c r="BQ136" i="9"/>
  <c r="BP136" i="9"/>
  <c r="BO136" i="9"/>
  <c r="BN136" i="9"/>
  <c r="BM136" i="9"/>
  <c r="BL136" i="9"/>
  <c r="BU132" i="9"/>
  <c r="BU131" i="9"/>
  <c r="BU130" i="9"/>
  <c r="BU129" i="9"/>
  <c r="BU128" i="9"/>
  <c r="BU127" i="9"/>
  <c r="BU126" i="9"/>
  <c r="BU125" i="9"/>
  <c r="BU124" i="9"/>
  <c r="BT123" i="9"/>
  <c r="BS123" i="9"/>
  <c r="BR123" i="9"/>
  <c r="BQ123" i="9"/>
  <c r="BP123" i="9"/>
  <c r="BO123" i="9"/>
  <c r="BN123" i="9"/>
  <c r="BM123" i="9"/>
  <c r="BL123" i="9"/>
  <c r="BU122" i="9"/>
  <c r="BU121" i="9"/>
  <c r="BU120" i="9"/>
  <c r="BU119" i="9"/>
  <c r="BT118" i="9"/>
  <c r="BS118" i="9"/>
  <c r="BR118" i="9"/>
  <c r="BQ118" i="9"/>
  <c r="BP118" i="9"/>
  <c r="BO118" i="9"/>
  <c r="BN118" i="9"/>
  <c r="BM118" i="9"/>
  <c r="BL118" i="9"/>
  <c r="BU116" i="9"/>
  <c r="BU115" i="9"/>
  <c r="BU114" i="9"/>
  <c r="BU113" i="9"/>
  <c r="BV113" i="9" s="1"/>
  <c r="BU112" i="9"/>
  <c r="BU111" i="9"/>
  <c r="BU110" i="9"/>
  <c r="BU109" i="9"/>
  <c r="BU108" i="9"/>
  <c r="BU107" i="9"/>
  <c r="BU106" i="9"/>
  <c r="BU105" i="9"/>
  <c r="BU104" i="9"/>
  <c r="BU103" i="9"/>
  <c r="BU102" i="9"/>
  <c r="BU101" i="9"/>
  <c r="BU100" i="9"/>
  <c r="BU99" i="9"/>
  <c r="BU98" i="9"/>
  <c r="BU97" i="9"/>
  <c r="BU96" i="9"/>
  <c r="BU95" i="9"/>
  <c r="BU94" i="9" s="1"/>
  <c r="BV94" i="9" s="1"/>
  <c r="BT94" i="9"/>
  <c r="BS94" i="9"/>
  <c r="BR94" i="9"/>
  <c r="BQ94" i="9"/>
  <c r="BP94" i="9"/>
  <c r="BO94" i="9"/>
  <c r="BN94" i="9"/>
  <c r="BM94" i="9"/>
  <c r="BL94" i="9"/>
  <c r="BU93" i="9"/>
  <c r="BU92" i="9"/>
  <c r="BU163" i="9" s="1"/>
  <c r="BU91" i="9"/>
  <c r="BU90" i="9"/>
  <c r="BU89" i="9"/>
  <c r="BU88" i="9"/>
  <c r="BU87" i="9"/>
  <c r="BU86" i="9"/>
  <c r="BU85" i="9"/>
  <c r="BU84" i="9"/>
  <c r="BU83" i="9"/>
  <c r="BU82" i="9"/>
  <c r="BU81" i="9"/>
  <c r="BU80" i="9"/>
  <c r="BU79" i="9"/>
  <c r="BU78" i="9"/>
  <c r="BU77" i="9"/>
  <c r="BU76" i="9"/>
  <c r="BU75" i="9"/>
  <c r="BU74" i="9"/>
  <c r="BU73" i="9"/>
  <c r="BU72" i="9"/>
  <c r="BU71" i="9"/>
  <c r="BU70" i="9"/>
  <c r="BU69" i="9"/>
  <c r="BU68" i="9"/>
  <c r="BU67" i="9" s="1"/>
  <c r="BV67" i="9" s="1"/>
  <c r="BT67" i="9"/>
  <c r="BS67" i="9"/>
  <c r="BR67" i="9"/>
  <c r="BQ67" i="9"/>
  <c r="BP67" i="9"/>
  <c r="BO67" i="9"/>
  <c r="BN67" i="9"/>
  <c r="BM67" i="9"/>
  <c r="BL67" i="9"/>
  <c r="BU66" i="9"/>
  <c r="BU65" i="9"/>
  <c r="BU64" i="9"/>
  <c r="BU63" i="9"/>
  <c r="BU62" i="9"/>
  <c r="BU61" i="9"/>
  <c r="BU60" i="9"/>
  <c r="BU59" i="9"/>
  <c r="BU58" i="9"/>
  <c r="BU57" i="9"/>
  <c r="BU56" i="9"/>
  <c r="BU55" i="9"/>
  <c r="BU54" i="9"/>
  <c r="BU53" i="9"/>
  <c r="BU52" i="9"/>
  <c r="BU51" i="9"/>
  <c r="BU50" i="9"/>
  <c r="BU49" i="9"/>
  <c r="BU48" i="9"/>
  <c r="BU47" i="9"/>
  <c r="BU46" i="9"/>
  <c r="BU45" i="9"/>
  <c r="BU44" i="9"/>
  <c r="BU43" i="9"/>
  <c r="BU42" i="9"/>
  <c r="BU41" i="9"/>
  <c r="BU40" i="9"/>
  <c r="BT39" i="9"/>
  <c r="BS39" i="9"/>
  <c r="BR39" i="9"/>
  <c r="BQ39" i="9"/>
  <c r="BP39" i="9"/>
  <c r="BO39" i="9"/>
  <c r="BN39" i="9"/>
  <c r="BM39" i="9"/>
  <c r="BL39" i="9"/>
  <c r="BU38" i="9"/>
  <c r="BU37" i="9"/>
  <c r="BU36" i="9"/>
  <c r="BU35" i="9"/>
  <c r="BU34" i="9"/>
  <c r="BT33" i="9"/>
  <c r="BS33" i="9"/>
  <c r="BR33" i="9"/>
  <c r="BR32" i="9" s="1"/>
  <c r="BQ33" i="9"/>
  <c r="BQ32" i="9" s="1"/>
  <c r="BP33" i="9"/>
  <c r="BO33" i="9"/>
  <c r="BN33" i="9"/>
  <c r="BM33" i="9"/>
  <c r="BL33" i="9"/>
  <c r="BL32" i="9" s="1"/>
  <c r="BS32" i="9"/>
  <c r="BM32" i="9"/>
  <c r="BU31" i="9"/>
  <c r="BU30" i="9"/>
  <c r="BU29" i="9"/>
  <c r="BU28" i="9"/>
  <c r="BU27" i="9"/>
  <c r="BU26" i="9"/>
  <c r="BU25" i="9"/>
  <c r="BU24" i="9"/>
  <c r="BU23" i="9"/>
  <c r="BU22" i="9"/>
  <c r="BT22" i="9"/>
  <c r="BS22" i="9"/>
  <c r="BR22" i="9"/>
  <c r="BQ22" i="9"/>
  <c r="BP22" i="9"/>
  <c r="BO22" i="9"/>
  <c r="BN22" i="9"/>
  <c r="BM22" i="9"/>
  <c r="BL22" i="9"/>
  <c r="BN20" i="9"/>
  <c r="BU18" i="9"/>
  <c r="BU17" i="9"/>
  <c r="BU16" i="9"/>
  <c r="BT15" i="9"/>
  <c r="BS15" i="9"/>
  <c r="BR15" i="9"/>
  <c r="BQ15" i="9"/>
  <c r="BP15" i="9"/>
  <c r="BO15" i="9"/>
  <c r="BN15" i="9"/>
  <c r="BM15" i="9"/>
  <c r="BL15" i="9"/>
  <c r="BT13" i="9"/>
  <c r="BT20" i="9" s="1"/>
  <c r="BS13" i="9"/>
  <c r="BR13" i="9"/>
  <c r="BQ13" i="9"/>
  <c r="BQ20" i="9" s="1"/>
  <c r="BQ134" i="9" s="1"/>
  <c r="BQ152" i="9" s="1"/>
  <c r="BQ158" i="9" s="1"/>
  <c r="BQ160" i="9" s="1"/>
  <c r="BQ168" i="9" s="1"/>
  <c r="BP13" i="9"/>
  <c r="BP20" i="9" s="1"/>
  <c r="BO13" i="9"/>
  <c r="BO20" i="9" s="1"/>
  <c r="BN13" i="9"/>
  <c r="BM13" i="9"/>
  <c r="BL13" i="9"/>
  <c r="BU12" i="9"/>
  <c r="BU11" i="9"/>
  <c r="BU10" i="9"/>
  <c r="BU13" i="9" s="1"/>
  <c r="G10" i="17" s="1"/>
  <c r="BU9" i="9"/>
  <c r="K2542" i="63"/>
  <c r="K2543" i="63"/>
  <c r="K2544" i="63"/>
  <c r="K2545" i="63"/>
  <c r="K2546" i="63"/>
  <c r="K2547" i="63"/>
  <c r="K2548" i="63"/>
  <c r="K2549" i="63"/>
  <c r="K2550" i="63"/>
  <c r="K2551" i="63"/>
  <c r="K2552" i="63"/>
  <c r="K2553" i="63"/>
  <c r="K2554" i="63"/>
  <c r="K2555" i="63"/>
  <c r="K2556" i="63"/>
  <c r="K2557" i="63"/>
  <c r="K2558" i="63"/>
  <c r="K2559" i="63"/>
  <c r="K2560" i="63"/>
  <c r="K2561" i="63"/>
  <c r="K2562" i="63"/>
  <c r="K2563" i="63"/>
  <c r="K2564" i="63"/>
  <c r="K2565" i="63"/>
  <c r="K2566" i="63"/>
  <c r="K2567" i="63"/>
  <c r="K2568" i="63"/>
  <c r="K2569" i="63"/>
  <c r="K2570" i="63"/>
  <c r="K2571" i="63"/>
  <c r="K2572" i="63"/>
  <c r="K2573" i="63"/>
  <c r="K2574" i="63"/>
  <c r="K2575" i="63"/>
  <c r="K2576" i="63"/>
  <c r="K2577" i="63"/>
  <c r="K2578" i="63"/>
  <c r="K2579" i="63"/>
  <c r="K2580" i="63"/>
  <c r="K2581" i="63"/>
  <c r="K2582" i="63"/>
  <c r="K2583" i="63"/>
  <c r="K2584" i="63"/>
  <c r="K2585" i="63"/>
  <c r="K2586" i="63"/>
  <c r="K2587" i="63"/>
  <c r="K2588" i="63"/>
  <c r="K2589" i="63"/>
  <c r="K2590" i="63"/>
  <c r="K2591" i="63"/>
  <c r="K2592" i="63"/>
  <c r="K2593" i="63"/>
  <c r="K2594" i="63"/>
  <c r="K2595" i="63"/>
  <c r="K2596" i="63"/>
  <c r="K2597" i="63"/>
  <c r="K2598" i="63"/>
  <c r="K2599" i="63"/>
  <c r="K2600" i="63"/>
  <c r="K2601" i="63"/>
  <c r="K2602" i="63"/>
  <c r="K2603" i="63"/>
  <c r="K2604" i="63"/>
  <c r="K2605" i="63"/>
  <c r="K2606" i="63"/>
  <c r="K2607" i="63"/>
  <c r="K2608" i="63"/>
  <c r="K2609" i="63"/>
  <c r="K2610" i="63"/>
  <c r="K2611" i="63"/>
  <c r="K2612" i="63"/>
  <c r="K2613" i="63"/>
  <c r="K2614" i="63"/>
  <c r="K2615" i="63"/>
  <c r="K2616" i="63"/>
  <c r="K2617" i="63"/>
  <c r="K2618" i="63"/>
  <c r="K2619" i="63"/>
  <c r="K2620" i="63"/>
  <c r="K2621" i="63"/>
  <c r="K2622" i="63"/>
  <c r="K2623" i="63"/>
  <c r="K2624" i="63"/>
  <c r="K2625" i="63"/>
  <c r="K2626" i="63"/>
  <c r="K2627" i="63"/>
  <c r="K2628" i="63"/>
  <c r="K2629" i="63"/>
  <c r="K2630" i="63"/>
  <c r="K2631" i="63"/>
  <c r="K2632" i="63"/>
  <c r="K2633" i="63"/>
  <c r="K2634" i="63"/>
  <c r="K2635" i="63"/>
  <c r="K2636" i="63"/>
  <c r="K2637" i="63"/>
  <c r="K2638" i="63"/>
  <c r="K2639" i="63"/>
  <c r="K2640" i="63"/>
  <c r="K2641" i="63"/>
  <c r="K2642" i="63"/>
  <c r="K2643" i="63"/>
  <c r="K2644" i="63"/>
  <c r="K2645" i="63"/>
  <c r="K2646" i="63"/>
  <c r="K2647" i="63"/>
  <c r="K2648" i="63"/>
  <c r="K2649" i="63"/>
  <c r="K2650" i="63"/>
  <c r="K2651" i="63"/>
  <c r="K2652" i="63"/>
  <c r="K2653" i="63"/>
  <c r="K2654" i="63"/>
  <c r="K2655" i="63"/>
  <c r="K2656" i="63"/>
  <c r="K2657" i="63"/>
  <c r="K2658" i="63"/>
  <c r="K2659" i="63"/>
  <c r="K2660" i="63"/>
  <c r="K2661" i="63"/>
  <c r="K2662" i="63"/>
  <c r="K2663" i="63"/>
  <c r="K2664" i="63"/>
  <c r="K2665" i="63"/>
  <c r="K2666" i="63"/>
  <c r="K2667" i="63"/>
  <c r="K2668" i="63"/>
  <c r="K2669" i="63"/>
  <c r="K2670" i="63"/>
  <c r="K2671" i="63"/>
  <c r="K2672" i="63"/>
  <c r="K2673" i="63"/>
  <c r="K2674" i="63"/>
  <c r="K2675" i="63"/>
  <c r="K2676" i="63"/>
  <c r="K2677" i="63"/>
  <c r="K2678" i="63"/>
  <c r="K2679" i="63"/>
  <c r="K2680" i="63"/>
  <c r="K2681" i="63"/>
  <c r="K2682" i="63"/>
  <c r="K2683" i="63"/>
  <c r="K2684" i="63"/>
  <c r="K2685" i="63"/>
  <c r="K2686" i="63"/>
  <c r="K2687" i="63"/>
  <c r="K2688" i="63"/>
  <c r="K2689" i="63"/>
  <c r="K2690" i="63"/>
  <c r="K2691" i="63"/>
  <c r="K2692" i="63"/>
  <c r="K2693" i="63"/>
  <c r="K2694" i="63"/>
  <c r="K2695" i="63"/>
  <c r="K2696" i="63"/>
  <c r="K2697" i="63"/>
  <c r="K2698" i="63"/>
  <c r="K2699" i="63"/>
  <c r="K2700" i="63"/>
  <c r="K2701" i="63"/>
  <c r="K2702" i="63"/>
  <c r="K2703" i="63"/>
  <c r="K2704" i="63"/>
  <c r="K2705" i="63"/>
  <c r="K2706" i="63"/>
  <c r="K2707" i="63"/>
  <c r="K2708" i="63"/>
  <c r="K2709" i="63"/>
  <c r="K2710" i="63"/>
  <c r="K2711" i="63"/>
  <c r="J2650" i="67"/>
  <c r="J2651" i="67"/>
  <c r="J2652" i="67"/>
  <c r="J2653" i="67"/>
  <c r="J2654" i="67"/>
  <c r="J2655" i="67"/>
  <c r="J2656" i="67"/>
  <c r="J2657" i="67"/>
  <c r="J2658" i="67"/>
  <c r="J2659" i="67"/>
  <c r="J2660" i="67"/>
  <c r="J2661" i="67"/>
  <c r="J2662" i="67"/>
  <c r="J2663" i="67"/>
  <c r="J2664" i="67"/>
  <c r="J2665" i="67"/>
  <c r="J2666" i="67"/>
  <c r="J2667" i="67"/>
  <c r="J2668" i="67"/>
  <c r="J2669" i="67"/>
  <c r="J2670" i="67"/>
  <c r="J2671" i="67"/>
  <c r="J2672" i="67"/>
  <c r="J2673" i="67"/>
  <c r="J2674" i="67"/>
  <c r="J2675" i="67"/>
  <c r="J2676" i="67"/>
  <c r="J2677" i="67"/>
  <c r="J2678" i="67"/>
  <c r="J2679" i="67"/>
  <c r="J2680" i="67"/>
  <c r="J2681" i="67"/>
  <c r="J2682" i="67"/>
  <c r="J2683" i="67"/>
  <c r="J2684" i="67"/>
  <c r="J2685" i="67"/>
  <c r="J2686" i="67"/>
  <c r="J2687" i="67"/>
  <c r="J2688" i="67"/>
  <c r="J2689" i="67"/>
  <c r="J2690" i="67"/>
  <c r="J2691" i="67"/>
  <c r="J2692" i="67"/>
  <c r="J2693" i="67"/>
  <c r="J2694" i="67"/>
  <c r="J2695" i="67"/>
  <c r="J2696" i="67"/>
  <c r="J2697" i="67"/>
  <c r="J2698" i="67"/>
  <c r="J2699" i="67"/>
  <c r="J2700" i="67"/>
  <c r="J2701" i="67"/>
  <c r="J2702" i="67"/>
  <c r="J2703" i="67"/>
  <c r="J2704" i="67"/>
  <c r="J2705" i="67"/>
  <c r="J2706" i="67"/>
  <c r="J2707" i="67"/>
  <c r="J2708" i="67"/>
  <c r="J2709" i="67"/>
  <c r="J2710" i="67"/>
  <c r="J2711" i="67"/>
  <c r="J2712" i="67"/>
  <c r="J2713" i="67"/>
  <c r="J2714" i="67"/>
  <c r="J2715" i="67"/>
  <c r="J2716" i="67"/>
  <c r="J2717" i="67"/>
  <c r="J2718" i="67"/>
  <c r="J2719" i="67"/>
  <c r="J2720" i="67"/>
  <c r="J2721" i="67"/>
  <c r="J2722" i="67"/>
  <c r="J2723" i="67"/>
  <c r="J2724" i="67"/>
  <c r="J2725" i="67"/>
  <c r="J2726" i="67"/>
  <c r="J2727" i="67"/>
  <c r="J2728" i="67"/>
  <c r="J2729" i="67"/>
  <c r="J2730" i="67"/>
  <c r="J2731" i="67"/>
  <c r="J2732" i="67"/>
  <c r="J2733" i="67"/>
  <c r="J2734" i="67"/>
  <c r="J2735" i="67"/>
  <c r="J2736" i="67"/>
  <c r="J2737" i="67"/>
  <c r="J2738" i="67"/>
  <c r="J2739" i="67"/>
  <c r="J2740" i="67"/>
  <c r="J2741" i="67"/>
  <c r="J2742" i="67"/>
  <c r="J2743" i="67"/>
  <c r="J2744" i="67"/>
  <c r="J2745" i="67"/>
  <c r="J2746" i="67"/>
  <c r="J2747" i="67"/>
  <c r="J2748" i="67"/>
  <c r="J2749" i="67"/>
  <c r="J2750" i="67"/>
  <c r="J2751" i="67"/>
  <c r="J2752" i="67"/>
  <c r="J2753" i="67"/>
  <c r="J2754" i="67"/>
  <c r="J2755" i="67"/>
  <c r="J2756" i="67"/>
  <c r="J2757" i="67"/>
  <c r="J2758" i="67"/>
  <c r="J2759" i="67"/>
  <c r="J2760" i="67"/>
  <c r="J2761" i="67"/>
  <c r="J2762" i="67"/>
  <c r="J2763" i="67"/>
  <c r="J2764" i="67"/>
  <c r="J2765" i="67"/>
  <c r="J2766" i="67"/>
  <c r="J2767" i="67"/>
  <c r="J2768" i="67"/>
  <c r="J2769" i="67"/>
  <c r="J2770" i="67"/>
  <c r="J2771" i="67"/>
  <c r="K2650" i="67"/>
  <c r="K2651" i="67"/>
  <c r="K2652" i="67"/>
  <c r="K2653" i="67"/>
  <c r="K2654" i="67"/>
  <c r="K2655" i="67"/>
  <c r="K2656" i="67"/>
  <c r="K2657" i="67"/>
  <c r="K2658" i="67"/>
  <c r="K2659" i="67"/>
  <c r="K2660" i="67"/>
  <c r="K2661" i="67"/>
  <c r="K2662" i="67"/>
  <c r="K2663" i="67"/>
  <c r="K2664" i="67"/>
  <c r="K2665" i="67"/>
  <c r="K2666" i="67"/>
  <c r="K2667" i="67"/>
  <c r="K2668" i="67"/>
  <c r="K2669" i="67"/>
  <c r="K2670" i="67"/>
  <c r="K2671" i="67"/>
  <c r="K2672" i="67"/>
  <c r="K2673" i="67"/>
  <c r="K2674" i="67"/>
  <c r="K2675" i="67"/>
  <c r="K2676" i="67"/>
  <c r="K2677" i="67"/>
  <c r="K2678" i="67"/>
  <c r="K2679" i="67"/>
  <c r="K2680" i="67"/>
  <c r="K2681" i="67"/>
  <c r="K2682" i="67"/>
  <c r="K2683" i="67"/>
  <c r="K2684" i="67"/>
  <c r="K2685" i="67"/>
  <c r="K2686" i="67"/>
  <c r="K2687" i="67"/>
  <c r="K2688" i="67"/>
  <c r="K2689" i="67"/>
  <c r="K2690" i="67"/>
  <c r="K2691" i="67"/>
  <c r="K2692" i="67"/>
  <c r="K2693" i="67"/>
  <c r="K2694" i="67"/>
  <c r="K2695" i="67"/>
  <c r="K2696" i="67"/>
  <c r="K2697" i="67"/>
  <c r="K2698" i="67"/>
  <c r="K2699" i="67"/>
  <c r="K2700" i="67"/>
  <c r="K2701" i="67"/>
  <c r="K2702" i="67"/>
  <c r="K2703" i="67"/>
  <c r="K2704" i="67"/>
  <c r="K2705" i="67"/>
  <c r="K2706" i="67"/>
  <c r="K2707" i="67"/>
  <c r="K2708" i="67"/>
  <c r="K2709" i="67"/>
  <c r="K2710" i="67"/>
  <c r="K2711" i="67"/>
  <c r="K2712" i="67"/>
  <c r="K2713" i="67"/>
  <c r="K2714" i="67"/>
  <c r="K2715" i="67"/>
  <c r="K2716" i="67"/>
  <c r="K2717" i="67"/>
  <c r="K2718" i="67"/>
  <c r="K2719" i="67"/>
  <c r="K2720" i="67"/>
  <c r="K2721" i="67"/>
  <c r="K2722" i="67"/>
  <c r="K2723" i="67"/>
  <c r="K2724" i="67"/>
  <c r="K2725" i="67"/>
  <c r="K2726" i="67"/>
  <c r="K2727" i="67"/>
  <c r="K2728" i="67"/>
  <c r="K2729" i="67"/>
  <c r="K2730" i="67"/>
  <c r="K2731" i="67"/>
  <c r="K2732" i="67"/>
  <c r="K2733" i="67"/>
  <c r="K2734" i="67"/>
  <c r="K2735" i="67"/>
  <c r="K2736" i="67"/>
  <c r="K2737" i="67"/>
  <c r="K2738" i="67"/>
  <c r="K2739" i="67"/>
  <c r="K2740" i="67"/>
  <c r="K2741" i="67"/>
  <c r="K2742" i="67"/>
  <c r="K2743" i="67"/>
  <c r="K2744" i="67"/>
  <c r="K2745" i="67"/>
  <c r="K2746" i="67"/>
  <c r="K2747" i="67"/>
  <c r="K2748" i="67"/>
  <c r="K2749" i="67"/>
  <c r="K2750" i="67"/>
  <c r="K2751" i="67"/>
  <c r="K2752" i="67"/>
  <c r="K2753" i="67"/>
  <c r="K2754" i="67"/>
  <c r="K2755" i="67"/>
  <c r="K2756" i="67"/>
  <c r="K2757" i="67"/>
  <c r="K2758" i="67"/>
  <c r="K2759" i="67"/>
  <c r="K2760" i="67"/>
  <c r="K2761" i="67"/>
  <c r="K2762" i="67"/>
  <c r="K2763" i="67"/>
  <c r="K2764" i="67"/>
  <c r="K2765" i="67"/>
  <c r="K2766" i="67"/>
  <c r="K2767" i="67"/>
  <c r="K2768" i="67"/>
  <c r="K2769" i="67"/>
  <c r="K2770" i="67"/>
  <c r="K2771" i="67"/>
  <c r="I35" i="17"/>
  <c r="I33" i="17"/>
  <c r="I34" i="17"/>
  <c r="I36" i="17"/>
  <c r="I37" i="17"/>
  <c r="I21" i="17"/>
  <c r="F26" i="17"/>
  <c r="H26" i="17"/>
  <c r="I15" i="17"/>
  <c r="I16" i="17"/>
  <c r="I17" i="17"/>
  <c r="I18" i="17"/>
  <c r="I19" i="17"/>
  <c r="I20" i="17"/>
  <c r="I14" i="17"/>
  <c r="CG166" i="9"/>
  <c r="CJ166" i="9" s="1"/>
  <c r="CK166" i="9" s="1"/>
  <c r="CG165" i="9"/>
  <c r="CJ165" i="9" s="1"/>
  <c r="CK165" i="9" s="1"/>
  <c r="CG164" i="9"/>
  <c r="CJ164" i="9" s="1"/>
  <c r="CK164" i="9" s="1"/>
  <c r="BH166" i="9"/>
  <c r="BC166" i="9"/>
  <c r="BB166" i="9"/>
  <c r="BA166" i="9"/>
  <c r="AZ166" i="9"/>
  <c r="BI165" i="9"/>
  <c r="BI164" i="9"/>
  <c r="BH163" i="9"/>
  <c r="BG163" i="9"/>
  <c r="BF163" i="9"/>
  <c r="BE163" i="9"/>
  <c r="BD163" i="9"/>
  <c r="BC163" i="9"/>
  <c r="BB163" i="9"/>
  <c r="BA163" i="9"/>
  <c r="AZ163" i="9"/>
  <c r="BI156" i="9"/>
  <c r="BI155" i="9"/>
  <c r="BH154" i="9"/>
  <c r="BG154" i="9"/>
  <c r="BF154" i="9"/>
  <c r="BE154" i="9"/>
  <c r="BD154" i="9"/>
  <c r="BC154" i="9"/>
  <c r="BB154" i="9"/>
  <c r="BA154" i="9"/>
  <c r="AZ154" i="9"/>
  <c r="BH149" i="9"/>
  <c r="BI149" i="9" s="1"/>
  <c r="BI148" i="9"/>
  <c r="BI147" i="9"/>
  <c r="BI146" i="9"/>
  <c r="BI145" i="9"/>
  <c r="BI144" i="9"/>
  <c r="BI143" i="9"/>
  <c r="BI142" i="9"/>
  <c r="BG141" i="9"/>
  <c r="BF141" i="9"/>
  <c r="BE141" i="9"/>
  <c r="BD141" i="9"/>
  <c r="BC141" i="9"/>
  <c r="BB141" i="9"/>
  <c r="BA141" i="9"/>
  <c r="AZ141" i="9"/>
  <c r="BI140" i="9"/>
  <c r="BI139" i="9"/>
  <c r="BI138" i="9"/>
  <c r="BI137" i="9"/>
  <c r="BH136" i="9"/>
  <c r="BG136" i="9"/>
  <c r="BF136" i="9"/>
  <c r="BE136" i="9"/>
  <c r="BD136" i="9"/>
  <c r="BC136" i="9"/>
  <c r="BB136" i="9"/>
  <c r="BA136" i="9"/>
  <c r="AZ136" i="9"/>
  <c r="BI132" i="9"/>
  <c r="BI131" i="9"/>
  <c r="BI130" i="9"/>
  <c r="BI129" i="9"/>
  <c r="BI128" i="9"/>
  <c r="BI127" i="9"/>
  <c r="BI126" i="9"/>
  <c r="BI125" i="9"/>
  <c r="BI124" i="9"/>
  <c r="BH123" i="9"/>
  <c r="BG123" i="9"/>
  <c r="BF123" i="9"/>
  <c r="BE123" i="9"/>
  <c r="BD123" i="9"/>
  <c r="BC123" i="9"/>
  <c r="BB123" i="9"/>
  <c r="BA123" i="9"/>
  <c r="AZ123" i="9"/>
  <c r="BI122" i="9"/>
  <c r="BI121" i="9"/>
  <c r="BI120" i="9"/>
  <c r="BI119" i="9"/>
  <c r="BH118" i="9"/>
  <c r="BG118" i="9"/>
  <c r="BF118" i="9"/>
  <c r="BE118" i="9"/>
  <c r="BD118" i="9"/>
  <c r="BC118" i="9"/>
  <c r="BB118" i="9"/>
  <c r="BA118" i="9"/>
  <c r="AZ118" i="9"/>
  <c r="BI116" i="9"/>
  <c r="BI115" i="9"/>
  <c r="BI114" i="9"/>
  <c r="BI113" i="9"/>
  <c r="BI112" i="9"/>
  <c r="BI111" i="9"/>
  <c r="BI110" i="9"/>
  <c r="BI109" i="9"/>
  <c r="BI108" i="9"/>
  <c r="BI107" i="9"/>
  <c r="BI106" i="9"/>
  <c r="BI105" i="9"/>
  <c r="BI104" i="9"/>
  <c r="BI103" i="9"/>
  <c r="BI102" i="9"/>
  <c r="BI101" i="9"/>
  <c r="BI100" i="9"/>
  <c r="BI99" i="9"/>
  <c r="BI98" i="9"/>
  <c r="BI97" i="9"/>
  <c r="BI96" i="9"/>
  <c r="BI95" i="9"/>
  <c r="BH94" i="9"/>
  <c r="BG94" i="9"/>
  <c r="BF94" i="9"/>
  <c r="BE94" i="9"/>
  <c r="BD94" i="9"/>
  <c r="BC94" i="9"/>
  <c r="BB94" i="9"/>
  <c r="BA94" i="9"/>
  <c r="AZ94" i="9"/>
  <c r="BI93" i="9"/>
  <c r="BI92" i="9"/>
  <c r="BI163" i="9" s="1"/>
  <c r="BI91" i="9"/>
  <c r="BI90" i="9"/>
  <c r="BI89" i="9"/>
  <c r="BI88" i="9"/>
  <c r="BI87" i="9"/>
  <c r="BI86" i="9"/>
  <c r="BI85" i="9"/>
  <c r="BI84" i="9"/>
  <c r="BI83" i="9"/>
  <c r="BI82" i="9"/>
  <c r="BI81" i="9"/>
  <c r="BI80" i="9"/>
  <c r="BI79" i="9"/>
  <c r="BI78" i="9"/>
  <c r="BI77" i="9"/>
  <c r="BI76" i="9"/>
  <c r="BI75" i="9"/>
  <c r="BI74" i="9"/>
  <c r="BI73" i="9"/>
  <c r="BI72" i="9"/>
  <c r="BI71" i="9"/>
  <c r="BI70" i="9"/>
  <c r="BI69" i="9"/>
  <c r="BI68" i="9"/>
  <c r="BH67" i="9"/>
  <c r="BG67" i="9"/>
  <c r="BF67" i="9"/>
  <c r="BE67" i="9"/>
  <c r="BD67" i="9"/>
  <c r="BC67" i="9"/>
  <c r="BB67" i="9"/>
  <c r="BA67" i="9"/>
  <c r="AZ67" i="9"/>
  <c r="BI66" i="9"/>
  <c r="BI65" i="9"/>
  <c r="BI64" i="9"/>
  <c r="BI63" i="9"/>
  <c r="BI62" i="9"/>
  <c r="BI61" i="9"/>
  <c r="BI60" i="9"/>
  <c r="BI59" i="9"/>
  <c r="BI58" i="9"/>
  <c r="BI57" i="9"/>
  <c r="BI56" i="9"/>
  <c r="BI55" i="9"/>
  <c r="BI54" i="9"/>
  <c r="BI53" i="9"/>
  <c r="BI52" i="9"/>
  <c r="BI51" i="9"/>
  <c r="BI50" i="9"/>
  <c r="BI49" i="9"/>
  <c r="BI48" i="9"/>
  <c r="BI47" i="9"/>
  <c r="BI46" i="9"/>
  <c r="BI45" i="9"/>
  <c r="BI44" i="9"/>
  <c r="BI43" i="9"/>
  <c r="BI42" i="9"/>
  <c r="BI41" i="9"/>
  <c r="BI40" i="9"/>
  <c r="BH39" i="9"/>
  <c r="BG39" i="9"/>
  <c r="BF39" i="9"/>
  <c r="BE39" i="9"/>
  <c r="BD39" i="9"/>
  <c r="BC39" i="9"/>
  <c r="BB39" i="9"/>
  <c r="BA39" i="9"/>
  <c r="AZ39" i="9"/>
  <c r="BI38" i="9"/>
  <c r="BI37" i="9"/>
  <c r="BI36" i="9"/>
  <c r="BI35" i="9"/>
  <c r="BI34" i="9"/>
  <c r="BH33" i="9"/>
  <c r="BG33" i="9"/>
  <c r="BF33" i="9"/>
  <c r="BE33" i="9"/>
  <c r="BD33" i="9"/>
  <c r="BC33" i="9"/>
  <c r="BC32" i="9" s="1"/>
  <c r="BB33" i="9"/>
  <c r="BA33" i="9"/>
  <c r="AZ33" i="9"/>
  <c r="BI31" i="9"/>
  <c r="BI30" i="9"/>
  <c r="BI29" i="9"/>
  <c r="BI28" i="9"/>
  <c r="BI27" i="9"/>
  <c r="BI26" i="9"/>
  <c r="BI25" i="9"/>
  <c r="BI24" i="9"/>
  <c r="BI23" i="9"/>
  <c r="BH22" i="9"/>
  <c r="BG22" i="9"/>
  <c r="BF22" i="9"/>
  <c r="BE22" i="9"/>
  <c r="BD22" i="9"/>
  <c r="BC22" i="9"/>
  <c r="BB22" i="9"/>
  <c r="BA22" i="9"/>
  <c r="AZ22" i="9"/>
  <c r="BI18" i="9"/>
  <c r="BI17" i="9"/>
  <c r="BI16" i="9"/>
  <c r="BH15" i="9"/>
  <c r="BG15" i="9"/>
  <c r="BF15" i="9"/>
  <c r="BE15" i="9"/>
  <c r="BD15" i="9"/>
  <c r="BC15" i="9"/>
  <c r="BB15" i="9"/>
  <c r="BA15" i="9"/>
  <c r="AZ15" i="9"/>
  <c r="BH13" i="9"/>
  <c r="BG13" i="9"/>
  <c r="BF13" i="9"/>
  <c r="BF20" i="9" s="1"/>
  <c r="BE13" i="9"/>
  <c r="BD13" i="9"/>
  <c r="BC13" i="9"/>
  <c r="BB13" i="9"/>
  <c r="BA13" i="9"/>
  <c r="AZ13" i="9"/>
  <c r="AZ20" i="9" s="1"/>
  <c r="BI12" i="9"/>
  <c r="BI11" i="9"/>
  <c r="BI10" i="9"/>
  <c r="BI9" i="9"/>
  <c r="C123" i="72"/>
  <c r="C122" i="72"/>
  <c r="C121" i="72"/>
  <c r="C120" i="72"/>
  <c r="C119" i="72"/>
  <c r="C118" i="72"/>
  <c r="C117" i="72"/>
  <c r="C116" i="72"/>
  <c r="C124" i="72"/>
  <c r="C26" i="17"/>
  <c r="D26" i="17"/>
  <c r="E26" i="17"/>
  <c r="BV11" i="9" l="1"/>
  <c r="BP134" i="9"/>
  <c r="BP152" i="9" s="1"/>
  <c r="BP158" i="9" s="1"/>
  <c r="BP160" i="9" s="1"/>
  <c r="BP168" i="9" s="1"/>
  <c r="BV140" i="9"/>
  <c r="BV22" i="9"/>
  <c r="BV28" i="9"/>
  <c r="BV37" i="9"/>
  <c r="BU123" i="9"/>
  <c r="BV123" i="9" s="1"/>
  <c r="BT134" i="9"/>
  <c r="BT152" i="9" s="1"/>
  <c r="BT158" i="9" s="1"/>
  <c r="BT160" i="9" s="1"/>
  <c r="BT168" i="9" s="1"/>
  <c r="BU39" i="9"/>
  <c r="BV39" i="9" s="1"/>
  <c r="BV46" i="9"/>
  <c r="BV52" i="9"/>
  <c r="BV58" i="9"/>
  <c r="BV64" i="9"/>
  <c r="BO32" i="9"/>
  <c r="BO134" i="9" s="1"/>
  <c r="BO152" i="9" s="1"/>
  <c r="BO158" i="9" s="1"/>
  <c r="BO160" i="9" s="1"/>
  <c r="BO168" i="9" s="1"/>
  <c r="BV73" i="9"/>
  <c r="BV79" i="9"/>
  <c r="BV85" i="9"/>
  <c r="BV91" i="9"/>
  <c r="BV100" i="9"/>
  <c r="BV112" i="9"/>
  <c r="BV126" i="9"/>
  <c r="BV132" i="9"/>
  <c r="BV139" i="9"/>
  <c r="BM20" i="9"/>
  <c r="BM134" i="9" s="1"/>
  <c r="BM152" i="9" s="1"/>
  <c r="BM158" i="9" s="1"/>
  <c r="BM160" i="9" s="1"/>
  <c r="BM168" i="9" s="1"/>
  <c r="BS20" i="9"/>
  <c r="BS134" i="9" s="1"/>
  <c r="BS152" i="9" s="1"/>
  <c r="BS158" i="9" s="1"/>
  <c r="BS160" i="9" s="1"/>
  <c r="BS168" i="9" s="1"/>
  <c r="BV42" i="9"/>
  <c r="BV48" i="9"/>
  <c r="BV54" i="9"/>
  <c r="BV60" i="9"/>
  <c r="BV66" i="9"/>
  <c r="BV96" i="9"/>
  <c r="BV102" i="9"/>
  <c r="BV128" i="9"/>
  <c r="BV146" i="9"/>
  <c r="BL20" i="9"/>
  <c r="BL134" i="9" s="1"/>
  <c r="BR20" i="9"/>
  <c r="BR134" i="9" s="1"/>
  <c r="BR152" i="9" s="1"/>
  <c r="BR158" i="9" s="1"/>
  <c r="BR160" i="9" s="1"/>
  <c r="BR168" i="9" s="1"/>
  <c r="BN32" i="9"/>
  <c r="BN134" i="9" s="1"/>
  <c r="BN152" i="9" s="1"/>
  <c r="BN158" i="9" s="1"/>
  <c r="BN160" i="9" s="1"/>
  <c r="BN168" i="9" s="1"/>
  <c r="BT32" i="9"/>
  <c r="BV43" i="9"/>
  <c r="BV49" i="9"/>
  <c r="BV55" i="9"/>
  <c r="BV61" i="9"/>
  <c r="BV70" i="9"/>
  <c r="BV76" i="9"/>
  <c r="BV82" i="9"/>
  <c r="BV88" i="9"/>
  <c r="BV97" i="9"/>
  <c r="BV109" i="9"/>
  <c r="BV115" i="9"/>
  <c r="BP32" i="9"/>
  <c r="BV120" i="9"/>
  <c r="BV129" i="9"/>
  <c r="BV147" i="9"/>
  <c r="BV155" i="9"/>
  <c r="BV164" i="9"/>
  <c r="BV25" i="9"/>
  <c r="BV31" i="9"/>
  <c r="BV34" i="9"/>
  <c r="BV110" i="9"/>
  <c r="BV116" i="9"/>
  <c r="BU136" i="9"/>
  <c r="BV136" i="9" s="1"/>
  <c r="BU141" i="9"/>
  <c r="BV141" i="9" s="1"/>
  <c r="BV165" i="9"/>
  <c r="BV10" i="9"/>
  <c r="BV17" i="9"/>
  <c r="BV45" i="9"/>
  <c r="BV51" i="9"/>
  <c r="BV57" i="9"/>
  <c r="BV63" i="9"/>
  <c r="BV99" i="9"/>
  <c r="BV105" i="9"/>
  <c r="BU118" i="9"/>
  <c r="BV118" i="9" s="1"/>
  <c r="BV125" i="9"/>
  <c r="BV131" i="9"/>
  <c r="BV143" i="9"/>
  <c r="BU15" i="9"/>
  <c r="BV15" i="9" s="1"/>
  <c r="BV23" i="9"/>
  <c r="BV29" i="9"/>
  <c r="BV35" i="9"/>
  <c r="BV68" i="9"/>
  <c r="BV71" i="9"/>
  <c r="BV74" i="9"/>
  <c r="BV77" i="9"/>
  <c r="BV80" i="9"/>
  <c r="BV83" i="9"/>
  <c r="BV86" i="9"/>
  <c r="BV89" i="9"/>
  <c r="BV92" i="9"/>
  <c r="BV103" i="9"/>
  <c r="BV106" i="9"/>
  <c r="BV121" i="9"/>
  <c r="BV144" i="9"/>
  <c r="BV156" i="9"/>
  <c r="BV13" i="9"/>
  <c r="BU33" i="9"/>
  <c r="BV40" i="9"/>
  <c r="BV137" i="9"/>
  <c r="BU154" i="9"/>
  <c r="BV154" i="9" s="1"/>
  <c r="BV9" i="9"/>
  <c r="BV12" i="9"/>
  <c r="BV16" i="9"/>
  <c r="BV24" i="9"/>
  <c r="BV27" i="9"/>
  <c r="BV30" i="9"/>
  <c r="BV36" i="9"/>
  <c r="BV69" i="9"/>
  <c r="BV72" i="9"/>
  <c r="BV75" i="9"/>
  <c r="BV78" i="9"/>
  <c r="BV81" i="9"/>
  <c r="BV84" i="9"/>
  <c r="BV87" i="9"/>
  <c r="BV90" i="9"/>
  <c r="BV93" i="9"/>
  <c r="BV104" i="9"/>
  <c r="BV107" i="9"/>
  <c r="BV119" i="9"/>
  <c r="BV122" i="9"/>
  <c r="BL141" i="9"/>
  <c r="BL152" i="9" s="1"/>
  <c r="BL158" i="9" s="1"/>
  <c r="BL160" i="9" s="1"/>
  <c r="BL168" i="9" s="1"/>
  <c r="BV142" i="9"/>
  <c r="BV145" i="9"/>
  <c r="BV41" i="9"/>
  <c r="BV44" i="9"/>
  <c r="BV47" i="9"/>
  <c r="BV50" i="9"/>
  <c r="BV53" i="9"/>
  <c r="BV56" i="9"/>
  <c r="BV59" i="9"/>
  <c r="BV62" i="9"/>
  <c r="BV65" i="9"/>
  <c r="BV95" i="9"/>
  <c r="BV98" i="9"/>
  <c r="BV111" i="9"/>
  <c r="BV114" i="9"/>
  <c r="BV124" i="9"/>
  <c r="BV127" i="9"/>
  <c r="BV130" i="9"/>
  <c r="BV138" i="9"/>
  <c r="BV148" i="9"/>
  <c r="BV163" i="9"/>
  <c r="BV166" i="9"/>
  <c r="BV18" i="9"/>
  <c r="BV26" i="9"/>
  <c r="BV38" i="9"/>
  <c r="BG20" i="9"/>
  <c r="BA20" i="9"/>
  <c r="BI33" i="9"/>
  <c r="BE20" i="9"/>
  <c r="BC20" i="9"/>
  <c r="BC134" i="9" s="1"/>
  <c r="BC152" i="9" s="1"/>
  <c r="BC158" i="9" s="1"/>
  <c r="BC160" i="9" s="1"/>
  <c r="BC168" i="9" s="1"/>
  <c r="BB32" i="9"/>
  <c r="BH32" i="9"/>
  <c r="BI39" i="9"/>
  <c r="BI67" i="9"/>
  <c r="BA32" i="9"/>
  <c r="BA134" i="9" s="1"/>
  <c r="BA152" i="9" s="1"/>
  <c r="BA158" i="9" s="1"/>
  <c r="BA160" i="9" s="1"/>
  <c r="BA168" i="9" s="1"/>
  <c r="BG32" i="9"/>
  <c r="BB20" i="9"/>
  <c r="BH20" i="9"/>
  <c r="BI154" i="9"/>
  <c r="BI136" i="9"/>
  <c r="AZ32" i="9"/>
  <c r="AZ134" i="9" s="1"/>
  <c r="AZ152" i="9" s="1"/>
  <c r="AZ158" i="9" s="1"/>
  <c r="AZ160" i="9" s="1"/>
  <c r="AZ168" i="9" s="1"/>
  <c r="BF32" i="9"/>
  <c r="BF134" i="9" s="1"/>
  <c r="BF152" i="9" s="1"/>
  <c r="BF158" i="9" s="1"/>
  <c r="BF160" i="9" s="1"/>
  <c r="BF168" i="9" s="1"/>
  <c r="BI118" i="9"/>
  <c r="BD32" i="9"/>
  <c r="BD20" i="9"/>
  <c r="BE32" i="9"/>
  <c r="BJ79" i="9"/>
  <c r="BI22" i="9"/>
  <c r="BI15" i="9"/>
  <c r="BI141" i="9"/>
  <c r="BI13" i="9"/>
  <c r="BI94" i="9"/>
  <c r="BI123" i="9"/>
  <c r="BH141" i="9"/>
  <c r="CS129" i="9"/>
  <c r="CP17" i="9"/>
  <c r="CP18" i="9"/>
  <c r="CP16" i="9"/>
  <c r="K2308" i="63"/>
  <c r="K2309" i="63"/>
  <c r="K2310" i="63"/>
  <c r="K2311" i="63"/>
  <c r="K2312" i="63"/>
  <c r="K2313" i="63"/>
  <c r="K2314" i="63"/>
  <c r="K2315" i="63"/>
  <c r="K2316" i="63"/>
  <c r="K2317" i="63"/>
  <c r="K2318" i="63"/>
  <c r="K2319" i="63"/>
  <c r="K2320" i="63"/>
  <c r="K2321" i="63"/>
  <c r="K2322" i="63"/>
  <c r="K2323" i="63"/>
  <c r="K2324" i="63"/>
  <c r="K2325" i="63"/>
  <c r="K2326" i="63"/>
  <c r="K2327" i="63"/>
  <c r="K2328" i="63"/>
  <c r="K2329" i="63"/>
  <c r="K2330" i="63"/>
  <c r="K2331" i="63"/>
  <c r="K2332" i="63"/>
  <c r="K2333" i="63"/>
  <c r="K2334" i="63"/>
  <c r="K2335" i="63"/>
  <c r="K2336" i="63"/>
  <c r="K2337" i="63"/>
  <c r="K2338" i="63"/>
  <c r="K2339" i="63"/>
  <c r="K2340" i="63"/>
  <c r="K2341" i="63"/>
  <c r="K2342" i="63"/>
  <c r="K2343" i="63"/>
  <c r="K2344" i="63"/>
  <c r="K2345" i="63"/>
  <c r="K2346" i="63"/>
  <c r="K2347" i="63"/>
  <c r="K2348" i="63"/>
  <c r="K2349" i="63"/>
  <c r="K2350" i="63"/>
  <c r="K2351" i="63"/>
  <c r="K2352" i="63"/>
  <c r="K2353" i="63"/>
  <c r="K2354" i="63"/>
  <c r="K2355" i="63"/>
  <c r="K2356" i="63"/>
  <c r="K2357" i="63"/>
  <c r="K2358" i="63"/>
  <c r="K2359" i="63"/>
  <c r="K2360" i="63"/>
  <c r="K2361" i="63"/>
  <c r="K2362" i="63"/>
  <c r="K2363" i="63"/>
  <c r="K2364" i="63"/>
  <c r="K2365" i="63"/>
  <c r="K2366" i="63"/>
  <c r="K2367" i="63"/>
  <c r="K2368" i="63"/>
  <c r="K2369" i="63"/>
  <c r="K2370" i="63"/>
  <c r="K2371" i="63"/>
  <c r="K2372" i="63"/>
  <c r="K2373" i="63"/>
  <c r="K2374" i="63"/>
  <c r="K2375" i="63"/>
  <c r="K2376" i="63"/>
  <c r="K2377" i="63"/>
  <c r="K2378" i="63"/>
  <c r="K2379" i="63"/>
  <c r="K2380" i="63"/>
  <c r="K2381" i="63"/>
  <c r="K2382" i="63"/>
  <c r="K2383" i="63"/>
  <c r="K2384" i="63"/>
  <c r="K2385" i="63"/>
  <c r="K2386" i="63"/>
  <c r="K2387" i="63"/>
  <c r="K2388" i="63"/>
  <c r="K2389" i="63"/>
  <c r="K2390" i="63"/>
  <c r="K2391" i="63"/>
  <c r="K2392" i="63"/>
  <c r="K2393" i="63"/>
  <c r="K2394" i="63"/>
  <c r="K2395" i="63"/>
  <c r="K2396" i="63"/>
  <c r="K2397" i="63"/>
  <c r="K2398" i="63"/>
  <c r="K2399" i="63"/>
  <c r="K2400" i="63"/>
  <c r="K2401" i="63"/>
  <c r="K2402" i="63"/>
  <c r="K2403" i="63"/>
  <c r="K2404" i="63"/>
  <c r="K2405" i="63"/>
  <c r="K2406" i="63"/>
  <c r="K2407" i="63"/>
  <c r="K2408" i="63"/>
  <c r="K2409" i="63"/>
  <c r="K2410" i="63"/>
  <c r="K2411" i="63"/>
  <c r="K2412" i="63"/>
  <c r="K2413" i="63"/>
  <c r="K2414" i="63"/>
  <c r="K2415" i="63"/>
  <c r="K2416" i="63"/>
  <c r="K2417" i="63"/>
  <c r="K2418" i="63"/>
  <c r="K2419" i="63"/>
  <c r="K2420" i="63"/>
  <c r="K2421" i="63"/>
  <c r="K2422" i="63"/>
  <c r="K2423" i="63"/>
  <c r="K2424" i="63"/>
  <c r="K2425" i="63"/>
  <c r="K2426" i="63"/>
  <c r="K2427" i="63"/>
  <c r="K2428" i="63"/>
  <c r="K2429" i="63"/>
  <c r="K2430" i="63"/>
  <c r="K2431" i="63"/>
  <c r="K2432" i="63"/>
  <c r="K2433" i="63"/>
  <c r="K2434" i="63"/>
  <c r="K2435" i="63"/>
  <c r="K2436" i="63"/>
  <c r="K2437" i="63"/>
  <c r="K2438" i="63"/>
  <c r="K2439" i="63"/>
  <c r="K2440" i="63"/>
  <c r="K2441" i="63"/>
  <c r="K2442" i="63"/>
  <c r="K2443" i="63"/>
  <c r="K2444" i="63"/>
  <c r="K2445" i="63"/>
  <c r="K2446" i="63"/>
  <c r="K2447" i="63"/>
  <c r="K2448" i="63"/>
  <c r="K2449" i="63"/>
  <c r="K2450" i="63"/>
  <c r="K2451" i="63"/>
  <c r="K2452" i="63"/>
  <c r="K2453" i="63"/>
  <c r="K2454" i="63"/>
  <c r="K2455" i="63"/>
  <c r="K2456" i="63"/>
  <c r="K2457" i="63"/>
  <c r="K2458" i="63"/>
  <c r="K2459" i="63"/>
  <c r="K2460" i="63"/>
  <c r="K2461" i="63"/>
  <c r="K2462" i="63"/>
  <c r="K2463" i="63"/>
  <c r="K2464" i="63"/>
  <c r="K2465" i="63"/>
  <c r="K2466" i="63"/>
  <c r="K2467" i="63"/>
  <c r="K2468" i="63"/>
  <c r="K2469" i="63"/>
  <c r="K2470" i="63"/>
  <c r="K2471" i="63"/>
  <c r="K2472" i="63"/>
  <c r="K2473" i="63"/>
  <c r="K2474" i="63"/>
  <c r="K2475" i="63"/>
  <c r="K2476" i="63"/>
  <c r="K2477" i="63"/>
  <c r="K2478" i="63"/>
  <c r="K2479" i="63"/>
  <c r="K2480" i="63"/>
  <c r="K2481" i="63"/>
  <c r="K2482" i="63"/>
  <c r="K2483" i="63"/>
  <c r="K2484" i="63"/>
  <c r="K2485" i="63"/>
  <c r="K2486" i="63"/>
  <c r="K2487" i="63"/>
  <c r="K2488" i="63"/>
  <c r="K2489" i="63"/>
  <c r="K2490" i="63"/>
  <c r="K2491" i="63"/>
  <c r="K2492" i="63"/>
  <c r="K2493" i="63"/>
  <c r="K2494" i="63"/>
  <c r="K2495" i="63"/>
  <c r="K2496" i="63"/>
  <c r="K2497" i="63"/>
  <c r="K2498" i="63"/>
  <c r="K2499" i="63"/>
  <c r="K2500" i="63"/>
  <c r="K2501" i="63"/>
  <c r="K2502" i="63"/>
  <c r="K2503" i="63"/>
  <c r="K2504" i="63"/>
  <c r="K2505" i="63"/>
  <c r="K2506" i="63"/>
  <c r="K2507" i="63"/>
  <c r="K2508" i="63"/>
  <c r="K2509" i="63"/>
  <c r="K2510" i="63"/>
  <c r="K2511" i="63"/>
  <c r="K2512" i="63"/>
  <c r="K2513" i="63"/>
  <c r="K2514" i="63"/>
  <c r="K2515" i="63"/>
  <c r="K2516" i="63"/>
  <c r="K2517" i="63"/>
  <c r="K2518" i="63"/>
  <c r="K2519" i="63"/>
  <c r="K2520" i="63"/>
  <c r="K2521" i="63"/>
  <c r="K2522" i="63"/>
  <c r="K2523" i="63"/>
  <c r="K2524" i="63"/>
  <c r="K2525" i="63"/>
  <c r="K2526" i="63"/>
  <c r="K2527" i="63"/>
  <c r="K2528" i="63"/>
  <c r="K2529" i="63"/>
  <c r="K2530" i="63"/>
  <c r="K2531" i="63"/>
  <c r="K2532" i="63"/>
  <c r="K2533" i="63"/>
  <c r="K2534" i="63"/>
  <c r="K2535" i="63"/>
  <c r="K2536" i="63"/>
  <c r="K2537" i="63"/>
  <c r="K2538" i="63"/>
  <c r="K2539" i="63"/>
  <c r="K2540" i="63"/>
  <c r="K2541" i="63"/>
  <c r="G208" i="4"/>
  <c r="F208" i="4"/>
  <c r="D208" i="4"/>
  <c r="CM127" i="9" s="1"/>
  <c r="C208" i="4"/>
  <c r="D99" i="4"/>
  <c r="C88" i="4"/>
  <c r="D88" i="4"/>
  <c r="J2474" i="67"/>
  <c r="J2475" i="67"/>
  <c r="J2476" i="67"/>
  <c r="J2477" i="67"/>
  <c r="J2478" i="67"/>
  <c r="J2479" i="67"/>
  <c r="J2480" i="67"/>
  <c r="J2481" i="67"/>
  <c r="J2482" i="67"/>
  <c r="J2483" i="67"/>
  <c r="J2484" i="67"/>
  <c r="J2485" i="67"/>
  <c r="J2486" i="67"/>
  <c r="J2487" i="67"/>
  <c r="J2488" i="67"/>
  <c r="J2489" i="67"/>
  <c r="J2490" i="67"/>
  <c r="J2491" i="67"/>
  <c r="J2492" i="67"/>
  <c r="J2493" i="67"/>
  <c r="J2494" i="67"/>
  <c r="J2495" i="67"/>
  <c r="J2496" i="67"/>
  <c r="J2497" i="67"/>
  <c r="J2498" i="67"/>
  <c r="J2499" i="67"/>
  <c r="J2500" i="67"/>
  <c r="J2501" i="67"/>
  <c r="J2502" i="67"/>
  <c r="J2503" i="67"/>
  <c r="J2504" i="67"/>
  <c r="J2505" i="67"/>
  <c r="J2506" i="67"/>
  <c r="J2507" i="67"/>
  <c r="J2508" i="67"/>
  <c r="J2509" i="67"/>
  <c r="J2510" i="67"/>
  <c r="J2511" i="67"/>
  <c r="J2512" i="67"/>
  <c r="J2513" i="67"/>
  <c r="J2514" i="67"/>
  <c r="J2515" i="67"/>
  <c r="J2516" i="67"/>
  <c r="J2517" i="67"/>
  <c r="J2518" i="67"/>
  <c r="J2519" i="67"/>
  <c r="J2520" i="67"/>
  <c r="J2521" i="67"/>
  <c r="J2522" i="67"/>
  <c r="J2523" i="67"/>
  <c r="J2524" i="67"/>
  <c r="J2525" i="67"/>
  <c r="J2526" i="67"/>
  <c r="J2527" i="67"/>
  <c r="J2528" i="67"/>
  <c r="J2529" i="67"/>
  <c r="J2530" i="67"/>
  <c r="J2531" i="67"/>
  <c r="J2532" i="67"/>
  <c r="J2533" i="67"/>
  <c r="J2534" i="67"/>
  <c r="J2535" i="67"/>
  <c r="J2536" i="67"/>
  <c r="J2537" i="67"/>
  <c r="J2538" i="67"/>
  <c r="J2539" i="67"/>
  <c r="J2540" i="67"/>
  <c r="J2541" i="67"/>
  <c r="J2542" i="67"/>
  <c r="J2543" i="67"/>
  <c r="J2544" i="67"/>
  <c r="J2545" i="67"/>
  <c r="J2546" i="67"/>
  <c r="J2547" i="67"/>
  <c r="J2548" i="67"/>
  <c r="J2549" i="67"/>
  <c r="J2550" i="67"/>
  <c r="J2551" i="67"/>
  <c r="J2552" i="67"/>
  <c r="J2553" i="67"/>
  <c r="J2554" i="67"/>
  <c r="J2555" i="67"/>
  <c r="J2556" i="67"/>
  <c r="J2557" i="67"/>
  <c r="J2558" i="67"/>
  <c r="J2559" i="67"/>
  <c r="J2560" i="67"/>
  <c r="J2561" i="67"/>
  <c r="J2562" i="67"/>
  <c r="J2563" i="67"/>
  <c r="J2564" i="67"/>
  <c r="J2565" i="67"/>
  <c r="J2566" i="67"/>
  <c r="J2567" i="67"/>
  <c r="J2568" i="67"/>
  <c r="J2569" i="67"/>
  <c r="J2570" i="67"/>
  <c r="J2571" i="67"/>
  <c r="J2572" i="67"/>
  <c r="J2573" i="67"/>
  <c r="J2574" i="67"/>
  <c r="J2575" i="67"/>
  <c r="J2576" i="67"/>
  <c r="J2577" i="67"/>
  <c r="J2578" i="67"/>
  <c r="J2579" i="67"/>
  <c r="J2580" i="67"/>
  <c r="J2581" i="67"/>
  <c r="J2582" i="67"/>
  <c r="J2583" i="67"/>
  <c r="J2584" i="67"/>
  <c r="J2585" i="67"/>
  <c r="J2586" i="67"/>
  <c r="J2587" i="67"/>
  <c r="J2588" i="67"/>
  <c r="J2589" i="67"/>
  <c r="J2590" i="67"/>
  <c r="J2591" i="67"/>
  <c r="J2592" i="67"/>
  <c r="J2593" i="67"/>
  <c r="J2594" i="67"/>
  <c r="J2595" i="67"/>
  <c r="J2596" i="67"/>
  <c r="J2597" i="67"/>
  <c r="J2598" i="67"/>
  <c r="J2599" i="67"/>
  <c r="J2600" i="67"/>
  <c r="J2601" i="67"/>
  <c r="J2602" i="67"/>
  <c r="J2603" i="67"/>
  <c r="J2604" i="67"/>
  <c r="J2605" i="67"/>
  <c r="J2606" i="67"/>
  <c r="J2607" i="67"/>
  <c r="J2608" i="67"/>
  <c r="J2609" i="67"/>
  <c r="J2610" i="67"/>
  <c r="J2611" i="67"/>
  <c r="J2612" i="67"/>
  <c r="J2613" i="67"/>
  <c r="J2614" i="67"/>
  <c r="J2615" i="67"/>
  <c r="J2616" i="67"/>
  <c r="J2617" i="67"/>
  <c r="J2618" i="67"/>
  <c r="J2619" i="67"/>
  <c r="J2620" i="67"/>
  <c r="J2621" i="67"/>
  <c r="J2622" i="67"/>
  <c r="J2623" i="67"/>
  <c r="J2624" i="67"/>
  <c r="J2625" i="67"/>
  <c r="J2626" i="67"/>
  <c r="J2627" i="67"/>
  <c r="J2628" i="67"/>
  <c r="J2629" i="67"/>
  <c r="J2630" i="67"/>
  <c r="J2631" i="67"/>
  <c r="J2632" i="67"/>
  <c r="J2633" i="67"/>
  <c r="J2634" i="67"/>
  <c r="J2635" i="67"/>
  <c r="J2636" i="67"/>
  <c r="J2637" i="67"/>
  <c r="J2638" i="67"/>
  <c r="J2639" i="67"/>
  <c r="J2640" i="67"/>
  <c r="J2641" i="67"/>
  <c r="J2642" i="67"/>
  <c r="J2643" i="67"/>
  <c r="J2644" i="67"/>
  <c r="J2645" i="67"/>
  <c r="J2646" i="67"/>
  <c r="J2647" i="67"/>
  <c r="J2648" i="67"/>
  <c r="J2649" i="67"/>
  <c r="K2474" i="67"/>
  <c r="K2475" i="67"/>
  <c r="K2476" i="67"/>
  <c r="K2477" i="67"/>
  <c r="K2478" i="67"/>
  <c r="K2479" i="67"/>
  <c r="K2480" i="67"/>
  <c r="K2481" i="67"/>
  <c r="K2482" i="67"/>
  <c r="K2483" i="67"/>
  <c r="K2484" i="67"/>
  <c r="K2485" i="67"/>
  <c r="K2486" i="67"/>
  <c r="K2487" i="67"/>
  <c r="K2488" i="67"/>
  <c r="K2489" i="67"/>
  <c r="K2490" i="67"/>
  <c r="K2491" i="67"/>
  <c r="K2492" i="67"/>
  <c r="K2493" i="67"/>
  <c r="K2494" i="67"/>
  <c r="K2495" i="67"/>
  <c r="K2496" i="67"/>
  <c r="K2497" i="67"/>
  <c r="K2498" i="67"/>
  <c r="K2499" i="67"/>
  <c r="K2500" i="67"/>
  <c r="K2501" i="67"/>
  <c r="K2502" i="67"/>
  <c r="K2503" i="67"/>
  <c r="K2504" i="67"/>
  <c r="K2505" i="67"/>
  <c r="K2506" i="67"/>
  <c r="K2507" i="67"/>
  <c r="K2508" i="67"/>
  <c r="K2509" i="67"/>
  <c r="K2510" i="67"/>
  <c r="K2511" i="67"/>
  <c r="K2512" i="67"/>
  <c r="K2513" i="67"/>
  <c r="K2514" i="67"/>
  <c r="K2515" i="67"/>
  <c r="K2516" i="67"/>
  <c r="K2517" i="67"/>
  <c r="K2518" i="67"/>
  <c r="K2519" i="67"/>
  <c r="K2520" i="67"/>
  <c r="K2521" i="67"/>
  <c r="K2522" i="67"/>
  <c r="K2523" i="67"/>
  <c r="K2524" i="67"/>
  <c r="K2525" i="67"/>
  <c r="K2526" i="67"/>
  <c r="K2527" i="67"/>
  <c r="K2528" i="67"/>
  <c r="K2529" i="67"/>
  <c r="K2530" i="67"/>
  <c r="K2531" i="67"/>
  <c r="K2532" i="67"/>
  <c r="K2533" i="67"/>
  <c r="K2534" i="67"/>
  <c r="K2535" i="67"/>
  <c r="K2536" i="67"/>
  <c r="K2537" i="67"/>
  <c r="K2538" i="67"/>
  <c r="K2539" i="67"/>
  <c r="K2540" i="67"/>
  <c r="K2541" i="67"/>
  <c r="K2542" i="67"/>
  <c r="K2543" i="67"/>
  <c r="K2544" i="67"/>
  <c r="K2545" i="67"/>
  <c r="K2546" i="67"/>
  <c r="K2547" i="67"/>
  <c r="K2548" i="67"/>
  <c r="K2549" i="67"/>
  <c r="K2550" i="67"/>
  <c r="K2551" i="67"/>
  <c r="K2552" i="67"/>
  <c r="K2553" i="67"/>
  <c r="K2554" i="67"/>
  <c r="K2555" i="67"/>
  <c r="K2556" i="67"/>
  <c r="K2557" i="67"/>
  <c r="K2558" i="67"/>
  <c r="K2559" i="67"/>
  <c r="K2560" i="67"/>
  <c r="K2561" i="67"/>
  <c r="K2562" i="67"/>
  <c r="K2563" i="67"/>
  <c r="K2564" i="67"/>
  <c r="K2565" i="67"/>
  <c r="K2566" i="67"/>
  <c r="K2567" i="67"/>
  <c r="K2568" i="67"/>
  <c r="K2569" i="67"/>
  <c r="K2570" i="67"/>
  <c r="K2571" i="67"/>
  <c r="K2572" i="67"/>
  <c r="K2573" i="67"/>
  <c r="K2574" i="67"/>
  <c r="K2575" i="67"/>
  <c r="K2576" i="67"/>
  <c r="K2577" i="67"/>
  <c r="K2578" i="67"/>
  <c r="K2579" i="67"/>
  <c r="K2580" i="67"/>
  <c r="K2581" i="67"/>
  <c r="K2582" i="67"/>
  <c r="K2583" i="67"/>
  <c r="K2584" i="67"/>
  <c r="K2585" i="67"/>
  <c r="K2586" i="67"/>
  <c r="K2587" i="67"/>
  <c r="K2588" i="67"/>
  <c r="K2589" i="67"/>
  <c r="K2590" i="67"/>
  <c r="K2591" i="67"/>
  <c r="K2592" i="67"/>
  <c r="K2593" i="67"/>
  <c r="K2594" i="67"/>
  <c r="K2595" i="67"/>
  <c r="K2596" i="67"/>
  <c r="K2597" i="67"/>
  <c r="K2598" i="67"/>
  <c r="K2599" i="67"/>
  <c r="K2600" i="67"/>
  <c r="K2601" i="67"/>
  <c r="K2602" i="67"/>
  <c r="K2603" i="67"/>
  <c r="K2604" i="67"/>
  <c r="K2605" i="67"/>
  <c r="K2606" i="67"/>
  <c r="K2607" i="67"/>
  <c r="K2608" i="67"/>
  <c r="K2609" i="67"/>
  <c r="K2610" i="67"/>
  <c r="K2611" i="67"/>
  <c r="K2612" i="67"/>
  <c r="K2613" i="67"/>
  <c r="K2614" i="67"/>
  <c r="K2615" i="67"/>
  <c r="K2616" i="67"/>
  <c r="K2617" i="67"/>
  <c r="K2618" i="67"/>
  <c r="K2619" i="67"/>
  <c r="K2620" i="67"/>
  <c r="K2621" i="67"/>
  <c r="K2622" i="67"/>
  <c r="K2623" i="67"/>
  <c r="K2624" i="67"/>
  <c r="K2625" i="67"/>
  <c r="K2626" i="67"/>
  <c r="K2627" i="67"/>
  <c r="K2628" i="67"/>
  <c r="K2629" i="67"/>
  <c r="K2630" i="67"/>
  <c r="K2631" i="67"/>
  <c r="K2632" i="67"/>
  <c r="K2633" i="67"/>
  <c r="K2634" i="67"/>
  <c r="K2635" i="67"/>
  <c r="K2636" i="67"/>
  <c r="K2637" i="67"/>
  <c r="K2638" i="67"/>
  <c r="K2639" i="67"/>
  <c r="K2640" i="67"/>
  <c r="K2641" i="67"/>
  <c r="K2642" i="67"/>
  <c r="K2643" i="67"/>
  <c r="K2644" i="67"/>
  <c r="K2645" i="67"/>
  <c r="K2646" i="67"/>
  <c r="K2647" i="67"/>
  <c r="K2648" i="67"/>
  <c r="K2649" i="67"/>
  <c r="CF163" i="9"/>
  <c r="CE163" i="9"/>
  <c r="CD163" i="9"/>
  <c r="CC163" i="9"/>
  <c r="CB163" i="9"/>
  <c r="CA163" i="9"/>
  <c r="BZ163" i="9"/>
  <c r="BY163" i="9"/>
  <c r="BX163" i="9"/>
  <c r="AV166" i="9"/>
  <c r="AQ166" i="9"/>
  <c r="AP166" i="9"/>
  <c r="AO166" i="9"/>
  <c r="AN166" i="9"/>
  <c r="AW165" i="9"/>
  <c r="AW164" i="9"/>
  <c r="AV163" i="9"/>
  <c r="AU163" i="9"/>
  <c r="AT163" i="9"/>
  <c r="AS163" i="9"/>
  <c r="AR163" i="9"/>
  <c r="AQ163" i="9"/>
  <c r="AP163" i="9"/>
  <c r="AO163" i="9"/>
  <c r="AN163" i="9"/>
  <c r="AW156" i="9"/>
  <c r="AW155" i="9"/>
  <c r="AV154" i="9"/>
  <c r="AU154" i="9"/>
  <c r="AT154" i="9"/>
  <c r="AS154" i="9"/>
  <c r="AR154" i="9"/>
  <c r="AQ154" i="9"/>
  <c r="AP154" i="9"/>
  <c r="AO154" i="9"/>
  <c r="AN154" i="9"/>
  <c r="AW149" i="9"/>
  <c r="AW148" i="9"/>
  <c r="AW147" i="9"/>
  <c r="AW146" i="9"/>
  <c r="AW145" i="9"/>
  <c r="AW144" i="9"/>
  <c r="AW143" i="9"/>
  <c r="AW142" i="9"/>
  <c r="AV141" i="9"/>
  <c r="AU141" i="9"/>
  <c r="AT141" i="9"/>
  <c r="AS141" i="9"/>
  <c r="AR141" i="9"/>
  <c r="AQ141" i="9"/>
  <c r="AP141" i="9"/>
  <c r="AO141" i="9"/>
  <c r="AN141" i="9"/>
  <c r="AW140" i="9"/>
  <c r="AW139" i="9"/>
  <c r="AW138" i="9"/>
  <c r="AW137" i="9"/>
  <c r="AV136" i="9"/>
  <c r="AU136" i="9"/>
  <c r="AT136" i="9"/>
  <c r="AS136" i="9"/>
  <c r="AR136" i="9"/>
  <c r="AQ136" i="9"/>
  <c r="AP136" i="9"/>
  <c r="AO136" i="9"/>
  <c r="AN136" i="9"/>
  <c r="AW132" i="9"/>
  <c r="AW131" i="9"/>
  <c r="AW130" i="9"/>
  <c r="AW129" i="9"/>
  <c r="AW128" i="9"/>
  <c r="AW127" i="9"/>
  <c r="AW126" i="9"/>
  <c r="AW125" i="9"/>
  <c r="AW124" i="9"/>
  <c r="AV123" i="9"/>
  <c r="AU123" i="9"/>
  <c r="AT123" i="9"/>
  <c r="AS123" i="9"/>
  <c r="AR123" i="9"/>
  <c r="AQ123" i="9"/>
  <c r="AP123" i="9"/>
  <c r="AO123" i="9"/>
  <c r="AN123" i="9"/>
  <c r="AW122" i="9"/>
  <c r="AW121" i="9"/>
  <c r="AW120" i="9"/>
  <c r="AW119" i="9"/>
  <c r="AV118" i="9"/>
  <c r="AU118" i="9"/>
  <c r="AT118" i="9"/>
  <c r="AS118" i="9"/>
  <c r="AR118" i="9"/>
  <c r="AQ118" i="9"/>
  <c r="AP118" i="9"/>
  <c r="AO118" i="9"/>
  <c r="AN118" i="9"/>
  <c r="AW116" i="9"/>
  <c r="AW115" i="9"/>
  <c r="AW114" i="9"/>
  <c r="AW113" i="9"/>
  <c r="AW112" i="9"/>
  <c r="AW111" i="9"/>
  <c r="AW110" i="9"/>
  <c r="AW109" i="9"/>
  <c r="AW108" i="9"/>
  <c r="AW107" i="9"/>
  <c r="AW106" i="9"/>
  <c r="AW105" i="9"/>
  <c r="AW104" i="9"/>
  <c r="AW103" i="9"/>
  <c r="AW102" i="9"/>
  <c r="AW101" i="9"/>
  <c r="AW100" i="9"/>
  <c r="AW99" i="9"/>
  <c r="AW98" i="9"/>
  <c r="AW97" i="9"/>
  <c r="AW96" i="9"/>
  <c r="AW95" i="9"/>
  <c r="AV94" i="9"/>
  <c r="AU94" i="9"/>
  <c r="AT94" i="9"/>
  <c r="AS94" i="9"/>
  <c r="AR94" i="9"/>
  <c r="AQ94" i="9"/>
  <c r="AP94" i="9"/>
  <c r="AO94" i="9"/>
  <c r="AN94" i="9"/>
  <c r="AW93" i="9"/>
  <c r="AW92" i="9"/>
  <c r="AW163" i="9" s="1"/>
  <c r="AW91" i="9"/>
  <c r="AW90" i="9"/>
  <c r="AW89" i="9"/>
  <c r="AW88" i="9"/>
  <c r="AW87" i="9"/>
  <c r="AW86" i="9"/>
  <c r="AW85" i="9"/>
  <c r="AW84" i="9"/>
  <c r="AW83" i="9"/>
  <c r="AW82" i="9"/>
  <c r="AW81" i="9"/>
  <c r="AW80" i="9"/>
  <c r="AW79" i="9"/>
  <c r="AW78" i="9"/>
  <c r="AW77" i="9"/>
  <c r="AW76" i="9"/>
  <c r="AW75" i="9"/>
  <c r="AW74" i="9"/>
  <c r="AW73" i="9"/>
  <c r="AW72" i="9"/>
  <c r="AW71" i="9"/>
  <c r="AW70" i="9"/>
  <c r="AW69" i="9"/>
  <c r="AW68" i="9"/>
  <c r="AV67" i="9"/>
  <c r="AU67" i="9"/>
  <c r="AT67" i="9"/>
  <c r="AS67" i="9"/>
  <c r="AR67" i="9"/>
  <c r="AQ67" i="9"/>
  <c r="AP67" i="9"/>
  <c r="AO67" i="9"/>
  <c r="AN67" i="9"/>
  <c r="AW66" i="9"/>
  <c r="AW65" i="9"/>
  <c r="AW64" i="9"/>
  <c r="AW63" i="9"/>
  <c r="AW62" i="9"/>
  <c r="AW61" i="9"/>
  <c r="AW60" i="9"/>
  <c r="AW59" i="9"/>
  <c r="AW58" i="9"/>
  <c r="AW57" i="9"/>
  <c r="AW56" i="9"/>
  <c r="AW55" i="9"/>
  <c r="AW54" i="9"/>
  <c r="AW53" i="9"/>
  <c r="AW52" i="9"/>
  <c r="AW51" i="9"/>
  <c r="AW50" i="9"/>
  <c r="AW49" i="9"/>
  <c r="AW48" i="9"/>
  <c r="AW47" i="9"/>
  <c r="AW46" i="9"/>
  <c r="AW45" i="9"/>
  <c r="AW44" i="9"/>
  <c r="AW43" i="9"/>
  <c r="AW42" i="9"/>
  <c r="AW41" i="9"/>
  <c r="AW40" i="9"/>
  <c r="AV39" i="9"/>
  <c r="AU39" i="9"/>
  <c r="AT39" i="9"/>
  <c r="AS39" i="9"/>
  <c r="AR39" i="9"/>
  <c r="AQ39" i="9"/>
  <c r="AP39" i="9"/>
  <c r="AO39" i="9"/>
  <c r="AN39" i="9"/>
  <c r="AW38" i="9"/>
  <c r="AW37" i="9"/>
  <c r="AW36" i="9"/>
  <c r="AW35" i="9"/>
  <c r="AW34" i="9"/>
  <c r="AV33" i="9"/>
  <c r="AU33" i="9"/>
  <c r="AT33" i="9"/>
  <c r="AS33" i="9"/>
  <c r="AR33" i="9"/>
  <c r="AQ33" i="9"/>
  <c r="AP33" i="9"/>
  <c r="AO33" i="9"/>
  <c r="AN33" i="9"/>
  <c r="AW31" i="9"/>
  <c r="AW30" i="9"/>
  <c r="AW29" i="9"/>
  <c r="AW28" i="9"/>
  <c r="AW27" i="9"/>
  <c r="AW26" i="9"/>
  <c r="AW25" i="9"/>
  <c r="AW24" i="9"/>
  <c r="AW23" i="9"/>
  <c r="AV22" i="9"/>
  <c r="AU22" i="9"/>
  <c r="AT22" i="9"/>
  <c r="AS22" i="9"/>
  <c r="AR22" i="9"/>
  <c r="AQ22" i="9"/>
  <c r="AP22" i="9"/>
  <c r="AO22" i="9"/>
  <c r="AN22" i="9"/>
  <c r="AW18" i="9"/>
  <c r="AW17" i="9"/>
  <c r="AW16" i="9"/>
  <c r="AV15" i="9"/>
  <c r="AU15" i="9"/>
  <c r="AT15" i="9"/>
  <c r="AS15" i="9"/>
  <c r="AR15" i="9"/>
  <c r="AQ15" i="9"/>
  <c r="AP15" i="9"/>
  <c r="AO15" i="9"/>
  <c r="AN15" i="9"/>
  <c r="AV13" i="9"/>
  <c r="AU13" i="9"/>
  <c r="AT13" i="9"/>
  <c r="AS13" i="9"/>
  <c r="AR13" i="9"/>
  <c r="AQ13" i="9"/>
  <c r="AP13" i="9"/>
  <c r="AO13" i="9"/>
  <c r="AN13" i="9"/>
  <c r="AW12" i="9"/>
  <c r="AW11" i="9"/>
  <c r="AW10" i="9"/>
  <c r="AW9" i="9"/>
  <c r="BJ11" i="9" l="1"/>
  <c r="F10" i="17"/>
  <c r="BG134" i="9"/>
  <c r="BG152" i="9" s="1"/>
  <c r="BG158" i="9" s="1"/>
  <c r="BG160" i="9" s="1"/>
  <c r="BV33" i="9"/>
  <c r="BU32" i="9"/>
  <c r="BV32" i="9" s="1"/>
  <c r="BE134" i="9"/>
  <c r="BE152" i="9" s="1"/>
  <c r="BE158" i="9" s="1"/>
  <c r="BE160" i="9" s="1"/>
  <c r="BE168" i="9" s="1"/>
  <c r="BU20" i="9"/>
  <c r="BB134" i="9"/>
  <c r="BB152" i="9" s="1"/>
  <c r="BB158" i="9" s="1"/>
  <c r="BB160" i="9" s="1"/>
  <c r="BB168" i="9" s="1"/>
  <c r="BH134" i="9"/>
  <c r="BH152" i="9" s="1"/>
  <c r="BH158" i="9" s="1"/>
  <c r="BH160" i="9" s="1"/>
  <c r="BH168" i="9" s="1"/>
  <c r="BD134" i="9"/>
  <c r="BD152" i="9" s="1"/>
  <c r="BD158" i="9" s="1"/>
  <c r="BD160" i="9" s="1"/>
  <c r="BD168" i="9" s="1"/>
  <c r="BJ156" i="9"/>
  <c r="BJ142" i="9"/>
  <c r="BJ69" i="9"/>
  <c r="BJ22" i="9"/>
  <c r="BJ16" i="9"/>
  <c r="BJ10" i="9"/>
  <c r="BJ98" i="9"/>
  <c r="BJ130" i="9"/>
  <c r="BJ163" i="9"/>
  <c r="BJ35" i="9"/>
  <c r="BJ94" i="9"/>
  <c r="BJ127" i="9"/>
  <c r="BJ111" i="9"/>
  <c r="BJ88" i="9"/>
  <c r="BJ87" i="9"/>
  <c r="BJ102" i="9"/>
  <c r="BJ106" i="9"/>
  <c r="BJ105" i="9"/>
  <c r="BJ30" i="9"/>
  <c r="BJ81" i="9"/>
  <c r="BJ92" i="9"/>
  <c r="BJ62" i="9"/>
  <c r="BJ33" i="9"/>
  <c r="BJ24" i="9"/>
  <c r="BJ53" i="9"/>
  <c r="BJ28" i="9"/>
  <c r="BJ41" i="9"/>
  <c r="BJ15" i="9"/>
  <c r="BJ56" i="9"/>
  <c r="BJ31" i="9"/>
  <c r="BJ47" i="9"/>
  <c r="BJ12" i="9"/>
  <c r="BJ123" i="9"/>
  <c r="BI32" i="9"/>
  <c r="BJ32" i="9" s="1"/>
  <c r="BJ90" i="9"/>
  <c r="BJ50" i="9"/>
  <c r="BJ89" i="9"/>
  <c r="BJ25" i="9"/>
  <c r="BJ143" i="9"/>
  <c r="BJ82" i="9"/>
  <c r="BG166" i="9"/>
  <c r="BI166" i="9" s="1"/>
  <c r="BJ166" i="9" s="1"/>
  <c r="BJ124" i="9"/>
  <c r="BJ75" i="9"/>
  <c r="BJ39" i="9"/>
  <c r="BJ154" i="9"/>
  <c r="BJ80" i="9"/>
  <c r="BJ146" i="9"/>
  <c r="BJ27" i="9"/>
  <c r="BJ86" i="9"/>
  <c r="BJ84" i="9"/>
  <c r="BJ44" i="9"/>
  <c r="BJ144" i="9"/>
  <c r="BJ83" i="9"/>
  <c r="BJ136" i="9"/>
  <c r="BJ76" i="9"/>
  <c r="BJ17" i="9"/>
  <c r="BJ120" i="9"/>
  <c r="BJ67" i="9"/>
  <c r="BJ37" i="9"/>
  <c r="BJ147" i="9"/>
  <c r="BJ74" i="9"/>
  <c r="BJ107" i="9"/>
  <c r="BI20" i="9"/>
  <c r="BJ13" i="9"/>
  <c r="BJ165" i="9"/>
  <c r="BJ140" i="9"/>
  <c r="BJ137" i="9"/>
  <c r="BJ132" i="9"/>
  <c r="BJ129" i="9"/>
  <c r="BJ126" i="9"/>
  <c r="BJ116" i="9"/>
  <c r="BJ113" i="9"/>
  <c r="BJ110" i="9"/>
  <c r="BJ100" i="9"/>
  <c r="BJ97" i="9"/>
  <c r="BJ64" i="9"/>
  <c r="BJ61" i="9"/>
  <c r="BJ58" i="9"/>
  <c r="BJ55" i="9"/>
  <c r="BJ52" i="9"/>
  <c r="BJ49" i="9"/>
  <c r="BJ46" i="9"/>
  <c r="BJ43" i="9"/>
  <c r="BJ40" i="9"/>
  <c r="BJ164" i="9"/>
  <c r="BJ139" i="9"/>
  <c r="BJ131" i="9"/>
  <c r="BJ128" i="9"/>
  <c r="BJ125" i="9"/>
  <c r="BJ115" i="9"/>
  <c r="BJ112" i="9"/>
  <c r="BJ109" i="9"/>
  <c r="BJ99" i="9"/>
  <c r="BJ96" i="9"/>
  <c r="BJ66" i="9"/>
  <c r="BJ63" i="9"/>
  <c r="BJ60" i="9"/>
  <c r="BJ57" i="9"/>
  <c r="BJ54" i="9"/>
  <c r="BJ51" i="9"/>
  <c r="BJ48" i="9"/>
  <c r="BJ45" i="9"/>
  <c r="BJ42" i="9"/>
  <c r="BJ78" i="9"/>
  <c r="BJ34" i="9"/>
  <c r="BJ122" i="9"/>
  <c r="BJ77" i="9"/>
  <c r="BJ18" i="9"/>
  <c r="BJ121" i="9"/>
  <c r="BJ70" i="9"/>
  <c r="BJ155" i="9"/>
  <c r="BJ103" i="9"/>
  <c r="BJ65" i="9"/>
  <c r="BJ29" i="9"/>
  <c r="BJ119" i="9"/>
  <c r="BJ68" i="9"/>
  <c r="BJ95" i="9"/>
  <c r="BJ85" i="9"/>
  <c r="BJ138" i="9"/>
  <c r="BJ141" i="9"/>
  <c r="BJ145" i="9"/>
  <c r="BJ72" i="9"/>
  <c r="BJ26" i="9"/>
  <c r="BJ118" i="9"/>
  <c r="BJ71" i="9"/>
  <c r="BJ9" i="9"/>
  <c r="BJ104" i="9"/>
  <c r="BJ38" i="9"/>
  <c r="BJ148" i="9"/>
  <c r="BJ93" i="9"/>
  <c r="BJ59" i="9"/>
  <c r="BJ23" i="9"/>
  <c r="BJ114" i="9"/>
  <c r="BJ36" i="9"/>
  <c r="BJ91" i="9"/>
  <c r="BJ73" i="9"/>
  <c r="AT32" i="9"/>
  <c r="AS32" i="9"/>
  <c r="AR20" i="9"/>
  <c r="AN20" i="9"/>
  <c r="AW15" i="9"/>
  <c r="AW13" i="9"/>
  <c r="E10" i="17" s="1"/>
  <c r="AO20" i="9"/>
  <c r="AN32" i="9"/>
  <c r="AW154" i="9"/>
  <c r="AT20" i="9"/>
  <c r="AU32" i="9"/>
  <c r="AQ20" i="9"/>
  <c r="AW141" i="9"/>
  <c r="AS20" i="9"/>
  <c r="AS134" i="9" s="1"/>
  <c r="AS152" i="9" s="1"/>
  <c r="AS158" i="9" s="1"/>
  <c r="AS160" i="9" s="1"/>
  <c r="AS168" i="9" s="1"/>
  <c r="AR32" i="9"/>
  <c r="AW33" i="9"/>
  <c r="AW123" i="9"/>
  <c r="AU20" i="9"/>
  <c r="AO32" i="9"/>
  <c r="AW118" i="9"/>
  <c r="AP20" i="9"/>
  <c r="AV20" i="9"/>
  <c r="AV32" i="9"/>
  <c r="AQ32" i="9"/>
  <c r="AW67" i="9"/>
  <c r="AW94" i="9"/>
  <c r="AP32" i="9"/>
  <c r="AW22" i="9"/>
  <c r="AW39" i="9"/>
  <c r="AW136" i="9"/>
  <c r="K2176" i="63"/>
  <c r="K2177" i="63"/>
  <c r="K2178" i="63"/>
  <c r="K2179" i="63"/>
  <c r="K2180" i="63"/>
  <c r="K2181" i="63"/>
  <c r="K2182" i="63"/>
  <c r="K2183" i="63"/>
  <c r="K2184" i="63"/>
  <c r="K2185" i="63"/>
  <c r="K2186" i="63"/>
  <c r="K2187" i="63"/>
  <c r="K2188" i="63"/>
  <c r="K2189" i="63"/>
  <c r="K2190" i="63"/>
  <c r="K2191" i="63"/>
  <c r="K2192" i="63"/>
  <c r="K2193" i="63"/>
  <c r="K2194" i="63"/>
  <c r="K2195" i="63"/>
  <c r="K2196" i="63"/>
  <c r="K2197" i="63"/>
  <c r="K2198" i="63"/>
  <c r="K2199" i="63"/>
  <c r="K2200" i="63"/>
  <c r="K2201" i="63"/>
  <c r="K2202" i="63"/>
  <c r="K2203" i="63"/>
  <c r="K2204" i="63"/>
  <c r="K2205" i="63"/>
  <c r="K2206" i="63"/>
  <c r="K2207" i="63"/>
  <c r="K2208" i="63"/>
  <c r="K2209" i="63"/>
  <c r="K2210" i="63"/>
  <c r="K2211" i="63"/>
  <c r="K2212" i="63"/>
  <c r="K2213" i="63"/>
  <c r="K2214" i="63"/>
  <c r="K2215" i="63"/>
  <c r="K2216" i="63"/>
  <c r="K2217" i="63"/>
  <c r="K2218" i="63"/>
  <c r="K2219" i="63"/>
  <c r="K2220" i="63"/>
  <c r="K2221" i="63"/>
  <c r="K2222" i="63"/>
  <c r="K2223" i="63"/>
  <c r="K2224" i="63"/>
  <c r="K2225" i="63"/>
  <c r="K2226" i="63"/>
  <c r="K2227" i="63"/>
  <c r="K2228" i="63"/>
  <c r="K2229" i="63"/>
  <c r="K2230" i="63"/>
  <c r="K2231" i="63"/>
  <c r="K2232" i="63"/>
  <c r="K2233" i="63"/>
  <c r="K2234" i="63"/>
  <c r="K2235" i="63"/>
  <c r="K2236" i="63"/>
  <c r="K2237" i="63"/>
  <c r="K2238" i="63"/>
  <c r="K2239" i="63"/>
  <c r="K2240" i="63"/>
  <c r="K2241" i="63"/>
  <c r="K2242" i="63"/>
  <c r="K2243" i="63"/>
  <c r="K2244" i="63"/>
  <c r="K2245" i="63"/>
  <c r="K2246" i="63"/>
  <c r="K2247" i="63"/>
  <c r="K2248" i="63"/>
  <c r="K2249" i="63"/>
  <c r="K2250" i="63"/>
  <c r="K2251" i="63"/>
  <c r="K2252" i="63"/>
  <c r="K2253" i="63"/>
  <c r="K2254" i="63"/>
  <c r="K2255" i="63"/>
  <c r="K2256" i="63"/>
  <c r="K2257" i="63"/>
  <c r="K2258" i="63"/>
  <c r="K2259" i="63"/>
  <c r="K2260" i="63"/>
  <c r="K2261" i="63"/>
  <c r="K2262" i="63"/>
  <c r="K2263" i="63"/>
  <c r="K2264" i="63"/>
  <c r="K2265" i="63"/>
  <c r="K2266" i="63"/>
  <c r="K2267" i="63"/>
  <c r="K2268" i="63"/>
  <c r="K2269" i="63"/>
  <c r="K2270" i="63"/>
  <c r="K2271" i="63"/>
  <c r="K2272" i="63"/>
  <c r="K2273" i="63"/>
  <c r="K2274" i="63"/>
  <c r="K2275" i="63"/>
  <c r="K2276" i="63"/>
  <c r="K2277" i="63"/>
  <c r="K2278" i="63"/>
  <c r="K2279" i="63"/>
  <c r="K2280" i="63"/>
  <c r="K2281" i="63"/>
  <c r="K2282" i="63"/>
  <c r="K2283" i="63"/>
  <c r="K2284" i="63"/>
  <c r="K2285" i="63"/>
  <c r="K2286" i="63"/>
  <c r="K2287" i="63"/>
  <c r="K2288" i="63"/>
  <c r="K2289" i="63"/>
  <c r="K2290" i="63"/>
  <c r="K2291" i="63"/>
  <c r="K2292" i="63"/>
  <c r="K2293" i="63"/>
  <c r="K2294" i="63"/>
  <c r="K2295" i="63"/>
  <c r="K2296" i="63"/>
  <c r="K2297" i="63"/>
  <c r="K2298" i="63"/>
  <c r="K2299" i="63"/>
  <c r="K2300" i="63"/>
  <c r="K2301" i="63"/>
  <c r="K2302" i="63"/>
  <c r="K2303" i="63"/>
  <c r="K2304" i="63"/>
  <c r="K2305" i="63"/>
  <c r="K2306" i="63"/>
  <c r="K2307" i="63"/>
  <c r="J2275" i="67"/>
  <c r="J2276" i="67"/>
  <c r="J2277" i="67"/>
  <c r="J2278" i="67"/>
  <c r="J2279" i="67"/>
  <c r="J2280" i="67"/>
  <c r="J2281" i="67"/>
  <c r="J2282" i="67"/>
  <c r="J2283" i="67"/>
  <c r="J2284" i="67"/>
  <c r="J2285" i="67"/>
  <c r="J2286" i="67"/>
  <c r="J2287" i="67"/>
  <c r="J2288" i="67"/>
  <c r="J2289" i="67"/>
  <c r="J2290" i="67"/>
  <c r="J2291" i="67"/>
  <c r="J2292" i="67"/>
  <c r="J2293" i="67"/>
  <c r="J2294" i="67"/>
  <c r="J2295" i="67"/>
  <c r="J2296" i="67"/>
  <c r="J2297" i="67"/>
  <c r="J2298" i="67"/>
  <c r="J2299" i="67"/>
  <c r="J2300" i="67"/>
  <c r="J2301" i="67"/>
  <c r="J2302" i="67"/>
  <c r="J2303" i="67"/>
  <c r="J2304" i="67"/>
  <c r="J2305" i="67"/>
  <c r="J2306" i="67"/>
  <c r="J2307" i="67"/>
  <c r="J2308" i="67"/>
  <c r="J2309" i="67"/>
  <c r="J2310" i="67"/>
  <c r="J2311" i="67"/>
  <c r="J2312" i="67"/>
  <c r="J2313" i="67"/>
  <c r="J2314" i="67"/>
  <c r="J2315" i="67"/>
  <c r="J2316" i="67"/>
  <c r="J2317" i="67"/>
  <c r="J2318" i="67"/>
  <c r="J2319" i="67"/>
  <c r="J2320" i="67"/>
  <c r="J2321" i="67"/>
  <c r="J2322" i="67"/>
  <c r="J2323" i="67"/>
  <c r="J2324" i="67"/>
  <c r="J2325" i="67"/>
  <c r="J2326" i="67"/>
  <c r="J2327" i="67"/>
  <c r="J2328" i="67"/>
  <c r="J2329" i="67"/>
  <c r="J2330" i="67"/>
  <c r="J2331" i="67"/>
  <c r="J2332" i="67"/>
  <c r="J2333" i="67"/>
  <c r="J2334" i="67"/>
  <c r="J2335" i="67"/>
  <c r="J2336" i="67"/>
  <c r="J2337" i="67"/>
  <c r="J2338" i="67"/>
  <c r="J2339" i="67"/>
  <c r="J2340" i="67"/>
  <c r="J2341" i="67"/>
  <c r="J2342" i="67"/>
  <c r="J2343" i="67"/>
  <c r="J2344" i="67"/>
  <c r="J2345" i="67"/>
  <c r="J2346" i="67"/>
  <c r="J2347" i="67"/>
  <c r="J2348" i="67"/>
  <c r="J2349" i="67"/>
  <c r="J2350" i="67"/>
  <c r="J2351" i="67"/>
  <c r="J2352" i="67"/>
  <c r="J2353" i="67"/>
  <c r="J2354" i="67"/>
  <c r="J2355" i="67"/>
  <c r="J2356" i="67"/>
  <c r="J2357" i="67"/>
  <c r="J2358" i="67"/>
  <c r="J2359" i="67"/>
  <c r="J2360" i="67"/>
  <c r="J2361" i="67"/>
  <c r="J2362" i="67"/>
  <c r="J2363" i="67"/>
  <c r="J2364" i="67"/>
  <c r="J2365" i="67"/>
  <c r="J2366" i="67"/>
  <c r="J2367" i="67"/>
  <c r="J2368" i="67"/>
  <c r="J2369" i="67"/>
  <c r="J2370" i="67"/>
  <c r="J2371" i="67"/>
  <c r="J2372" i="67"/>
  <c r="J2373" i="67"/>
  <c r="J2374" i="67"/>
  <c r="J2375" i="67"/>
  <c r="J2376" i="67"/>
  <c r="J2377" i="67"/>
  <c r="J2378" i="67"/>
  <c r="J2379" i="67"/>
  <c r="J2380" i="67"/>
  <c r="J2381" i="67"/>
  <c r="J2382" i="67"/>
  <c r="J2383" i="67"/>
  <c r="J2384" i="67"/>
  <c r="J2385" i="67"/>
  <c r="J2386" i="67"/>
  <c r="J2387" i="67"/>
  <c r="J2388" i="67"/>
  <c r="J2389" i="67"/>
  <c r="J2390" i="67"/>
  <c r="J2391" i="67"/>
  <c r="J2392" i="67"/>
  <c r="J2393" i="67"/>
  <c r="J2394" i="67"/>
  <c r="J2395" i="67"/>
  <c r="J2396" i="67"/>
  <c r="J2397" i="67"/>
  <c r="J2398" i="67"/>
  <c r="J2399" i="67"/>
  <c r="J2400" i="67"/>
  <c r="J2401" i="67"/>
  <c r="J2402" i="67"/>
  <c r="J2403" i="67"/>
  <c r="J2404" i="67"/>
  <c r="J2405" i="67"/>
  <c r="J2406" i="67"/>
  <c r="J2407" i="67"/>
  <c r="J2408" i="67"/>
  <c r="J2409" i="67"/>
  <c r="J2410" i="67"/>
  <c r="J2411" i="67"/>
  <c r="J2412" i="67"/>
  <c r="J2413" i="67"/>
  <c r="J2414" i="67"/>
  <c r="J2415" i="67"/>
  <c r="J2416" i="67"/>
  <c r="J2417" i="67"/>
  <c r="J2418" i="67"/>
  <c r="J2419" i="67"/>
  <c r="J2420" i="67"/>
  <c r="J2421" i="67"/>
  <c r="J2422" i="67"/>
  <c r="J2423" i="67"/>
  <c r="J2424" i="67"/>
  <c r="J2425" i="67"/>
  <c r="J2426" i="67"/>
  <c r="J2427" i="67"/>
  <c r="J2428" i="67"/>
  <c r="J2429" i="67"/>
  <c r="J2430" i="67"/>
  <c r="J2431" i="67"/>
  <c r="J2432" i="67"/>
  <c r="J2433" i="67"/>
  <c r="J2434" i="67"/>
  <c r="J2435" i="67"/>
  <c r="J2436" i="67"/>
  <c r="J2437" i="67"/>
  <c r="J2438" i="67"/>
  <c r="J2439" i="67"/>
  <c r="J2440" i="67"/>
  <c r="J2441" i="67"/>
  <c r="J2442" i="67"/>
  <c r="J2443" i="67"/>
  <c r="J2444" i="67"/>
  <c r="J2445" i="67"/>
  <c r="J2446" i="67"/>
  <c r="J2447" i="67"/>
  <c r="J2448" i="67"/>
  <c r="J2449" i="67"/>
  <c r="J2450" i="67"/>
  <c r="J2451" i="67"/>
  <c r="J2452" i="67"/>
  <c r="J2453" i="67"/>
  <c r="J2454" i="67"/>
  <c r="J2455" i="67"/>
  <c r="J2456" i="67"/>
  <c r="J2457" i="67"/>
  <c r="J2458" i="67"/>
  <c r="J2459" i="67"/>
  <c r="J2460" i="67"/>
  <c r="J2461" i="67"/>
  <c r="J2462" i="67"/>
  <c r="J2463" i="67"/>
  <c r="J2464" i="67"/>
  <c r="J2465" i="67"/>
  <c r="J2466" i="67"/>
  <c r="J2467" i="67"/>
  <c r="J2468" i="67"/>
  <c r="J2469" i="67"/>
  <c r="J2470" i="67"/>
  <c r="J2471" i="67"/>
  <c r="J2472" i="67"/>
  <c r="J2473" i="67"/>
  <c r="K2275" i="67"/>
  <c r="K2276" i="67"/>
  <c r="K2277" i="67"/>
  <c r="K2278" i="67"/>
  <c r="K2279" i="67"/>
  <c r="K2280" i="67"/>
  <c r="K2281" i="67"/>
  <c r="K2282" i="67"/>
  <c r="K2283" i="67"/>
  <c r="K2284" i="67"/>
  <c r="K2285" i="67"/>
  <c r="K2286" i="67"/>
  <c r="K2287" i="67"/>
  <c r="K2288" i="67"/>
  <c r="K2289" i="67"/>
  <c r="K2290" i="67"/>
  <c r="K2291" i="67"/>
  <c r="K2292" i="67"/>
  <c r="K2293" i="67"/>
  <c r="K2294" i="67"/>
  <c r="K2295" i="67"/>
  <c r="K2296" i="67"/>
  <c r="K2297" i="67"/>
  <c r="K2298" i="67"/>
  <c r="K2299" i="67"/>
  <c r="K2300" i="67"/>
  <c r="K2301" i="67"/>
  <c r="K2302" i="67"/>
  <c r="K2303" i="67"/>
  <c r="K2304" i="67"/>
  <c r="K2305" i="67"/>
  <c r="K2306" i="67"/>
  <c r="K2307" i="67"/>
  <c r="K2308" i="67"/>
  <c r="K2309" i="67"/>
  <c r="K2310" i="67"/>
  <c r="K2311" i="67"/>
  <c r="K2312" i="67"/>
  <c r="K2313" i="67"/>
  <c r="K2314" i="67"/>
  <c r="K2315" i="67"/>
  <c r="K2316" i="67"/>
  <c r="K2317" i="67"/>
  <c r="K2318" i="67"/>
  <c r="K2319" i="67"/>
  <c r="K2320" i="67"/>
  <c r="K2321" i="67"/>
  <c r="K2322" i="67"/>
  <c r="K2323" i="67"/>
  <c r="K2324" i="67"/>
  <c r="K2325" i="67"/>
  <c r="K2326" i="67"/>
  <c r="K2327" i="67"/>
  <c r="K2328" i="67"/>
  <c r="K2329" i="67"/>
  <c r="K2330" i="67"/>
  <c r="K2331" i="67"/>
  <c r="K2332" i="67"/>
  <c r="K2333" i="67"/>
  <c r="K2334" i="67"/>
  <c r="K2335" i="67"/>
  <c r="K2336" i="67"/>
  <c r="K2337" i="67"/>
  <c r="K2338" i="67"/>
  <c r="K2339" i="67"/>
  <c r="K2340" i="67"/>
  <c r="K2341" i="67"/>
  <c r="K2342" i="67"/>
  <c r="K2343" i="67"/>
  <c r="K2344" i="67"/>
  <c r="K2345" i="67"/>
  <c r="K2346" i="67"/>
  <c r="K2347" i="67"/>
  <c r="K2348" i="67"/>
  <c r="K2349" i="67"/>
  <c r="K2350" i="67"/>
  <c r="K2351" i="67"/>
  <c r="K2352" i="67"/>
  <c r="K2353" i="67"/>
  <c r="K2354" i="67"/>
  <c r="K2355" i="67"/>
  <c r="K2356" i="67"/>
  <c r="K2357" i="67"/>
  <c r="K2358" i="67"/>
  <c r="K2359" i="67"/>
  <c r="K2360" i="67"/>
  <c r="K2361" i="67"/>
  <c r="K2362" i="67"/>
  <c r="K2363" i="67"/>
  <c r="K2364" i="67"/>
  <c r="K2365" i="67"/>
  <c r="K2366" i="67"/>
  <c r="K2367" i="67"/>
  <c r="K2368" i="67"/>
  <c r="K2369" i="67"/>
  <c r="K2370" i="67"/>
  <c r="K2371" i="67"/>
  <c r="K2372" i="67"/>
  <c r="K2373" i="67"/>
  <c r="K2374" i="67"/>
  <c r="K2375" i="67"/>
  <c r="K2376" i="67"/>
  <c r="K2377" i="67"/>
  <c r="K2378" i="67"/>
  <c r="K2379" i="67"/>
  <c r="K2380" i="67"/>
  <c r="K2381" i="67"/>
  <c r="K2382" i="67"/>
  <c r="K2383" i="67"/>
  <c r="K2384" i="67"/>
  <c r="K2385" i="67"/>
  <c r="K2386" i="67"/>
  <c r="K2387" i="67"/>
  <c r="K2388" i="67"/>
  <c r="K2389" i="67"/>
  <c r="K2390" i="67"/>
  <c r="K2391" i="67"/>
  <c r="K2392" i="67"/>
  <c r="K2393" i="67"/>
  <c r="K2394" i="67"/>
  <c r="K2395" i="67"/>
  <c r="K2396" i="67"/>
  <c r="K2397" i="67"/>
  <c r="K2398" i="67"/>
  <c r="K2399" i="67"/>
  <c r="K2400" i="67"/>
  <c r="K2401" i="67"/>
  <c r="K2402" i="67"/>
  <c r="K2403" i="67"/>
  <c r="K2404" i="67"/>
  <c r="K2405" i="67"/>
  <c r="K2406" i="67"/>
  <c r="K2407" i="67"/>
  <c r="K2408" i="67"/>
  <c r="K2409" i="67"/>
  <c r="K2410" i="67"/>
  <c r="K2411" i="67"/>
  <c r="K2412" i="67"/>
  <c r="K2413" i="67"/>
  <c r="K2414" i="67"/>
  <c r="K2415" i="67"/>
  <c r="K2416" i="67"/>
  <c r="K2417" i="67"/>
  <c r="K2418" i="67"/>
  <c r="K2419" i="67"/>
  <c r="K2420" i="67"/>
  <c r="K2421" i="67"/>
  <c r="K2422" i="67"/>
  <c r="K2423" i="67"/>
  <c r="K2424" i="67"/>
  <c r="K2425" i="67"/>
  <c r="K2426" i="67"/>
  <c r="K2427" i="67"/>
  <c r="K2428" i="67"/>
  <c r="K2429" i="67"/>
  <c r="K2430" i="67"/>
  <c r="K2431" i="67"/>
  <c r="K2432" i="67"/>
  <c r="K2433" i="67"/>
  <c r="K2434" i="67"/>
  <c r="K2435" i="67"/>
  <c r="K2436" i="67"/>
  <c r="K2437" i="67"/>
  <c r="K2438" i="67"/>
  <c r="K2439" i="67"/>
  <c r="K2440" i="67"/>
  <c r="K2441" i="67"/>
  <c r="K2442" i="67"/>
  <c r="K2443" i="67"/>
  <c r="K2444" i="67"/>
  <c r="K2445" i="67"/>
  <c r="K2446" i="67"/>
  <c r="K2447" i="67"/>
  <c r="K2448" i="67"/>
  <c r="K2449" i="67"/>
  <c r="K2450" i="67"/>
  <c r="K2451" i="67"/>
  <c r="K2452" i="67"/>
  <c r="K2453" i="67"/>
  <c r="K2454" i="67"/>
  <c r="K2455" i="67"/>
  <c r="K2456" i="67"/>
  <c r="K2457" i="67"/>
  <c r="K2458" i="67"/>
  <c r="K2459" i="67"/>
  <c r="K2460" i="67"/>
  <c r="K2461" i="67"/>
  <c r="K2462" i="67"/>
  <c r="K2463" i="67"/>
  <c r="K2464" i="67"/>
  <c r="K2465" i="67"/>
  <c r="K2466" i="67"/>
  <c r="K2467" i="67"/>
  <c r="K2468" i="67"/>
  <c r="K2469" i="67"/>
  <c r="K2470" i="67"/>
  <c r="K2471" i="67"/>
  <c r="K2472" i="67"/>
  <c r="K2473" i="67"/>
  <c r="CG156" i="9"/>
  <c r="CJ156" i="9" s="1"/>
  <c r="CK156" i="9" s="1"/>
  <c r="CG155" i="9"/>
  <c r="CJ155" i="9" s="1"/>
  <c r="CK155" i="9" s="1"/>
  <c r="CF154" i="9"/>
  <c r="CE154" i="9"/>
  <c r="CD154" i="9"/>
  <c r="CC154" i="9"/>
  <c r="CB154" i="9"/>
  <c r="CA154" i="9"/>
  <c r="BZ154" i="9"/>
  <c r="BY154" i="9"/>
  <c r="BX154" i="9"/>
  <c r="CG149" i="9"/>
  <c r="CJ149" i="9" s="1"/>
  <c r="CK149" i="9" s="1"/>
  <c r="CG148" i="9"/>
  <c r="CJ148" i="9" s="1"/>
  <c r="CK148" i="9" s="1"/>
  <c r="CG147" i="9"/>
  <c r="CJ147" i="9" s="1"/>
  <c r="CK147" i="9" s="1"/>
  <c r="CG146" i="9"/>
  <c r="CJ146" i="9" s="1"/>
  <c r="CK146" i="9" s="1"/>
  <c r="CG145" i="9"/>
  <c r="CJ145" i="9" s="1"/>
  <c r="CK145" i="9" s="1"/>
  <c r="CG144" i="9"/>
  <c r="CJ144" i="9" s="1"/>
  <c r="CK144" i="9" s="1"/>
  <c r="CG143" i="9"/>
  <c r="CJ143" i="9" s="1"/>
  <c r="CK143" i="9" s="1"/>
  <c r="CG142" i="9"/>
  <c r="CJ142" i="9" s="1"/>
  <c r="CK142" i="9" s="1"/>
  <c r="CF141" i="9"/>
  <c r="CE141" i="9"/>
  <c r="CD141" i="9"/>
  <c r="CC141" i="9"/>
  <c r="CB141" i="9"/>
  <c r="CA141" i="9"/>
  <c r="BZ141" i="9"/>
  <c r="BY141" i="9"/>
  <c r="BX141" i="9"/>
  <c r="CG140" i="9"/>
  <c r="CJ140" i="9" s="1"/>
  <c r="CK140" i="9" s="1"/>
  <c r="CG139" i="9"/>
  <c r="CJ139" i="9" s="1"/>
  <c r="CK139" i="9" s="1"/>
  <c r="CG138" i="9"/>
  <c r="CJ138" i="9" s="1"/>
  <c r="CK138" i="9" s="1"/>
  <c r="CG137" i="9"/>
  <c r="CJ137" i="9" s="1"/>
  <c r="CK137" i="9" s="1"/>
  <c r="CF136" i="9"/>
  <c r="CE136" i="9"/>
  <c r="CD136" i="9"/>
  <c r="CC136" i="9"/>
  <c r="CB136" i="9"/>
  <c r="CA136" i="9"/>
  <c r="BZ136" i="9"/>
  <c r="BY136" i="9"/>
  <c r="BX136" i="9"/>
  <c r="CG132" i="9"/>
  <c r="CJ132" i="9" s="1"/>
  <c r="CK132" i="9" s="1"/>
  <c r="CG131" i="9"/>
  <c r="CJ131" i="9" s="1"/>
  <c r="CK131" i="9" s="1"/>
  <c r="CG130" i="9"/>
  <c r="CJ130" i="9" s="1"/>
  <c r="CK130" i="9" s="1"/>
  <c r="CG129" i="9"/>
  <c r="CJ129" i="9" s="1"/>
  <c r="CK129" i="9" s="1"/>
  <c r="CG128" i="9"/>
  <c r="CJ128" i="9" s="1"/>
  <c r="CK128" i="9" s="1"/>
  <c r="CG127" i="9"/>
  <c r="CJ127" i="9" s="1"/>
  <c r="CK127" i="9" s="1"/>
  <c r="CG126" i="9"/>
  <c r="CJ126" i="9" s="1"/>
  <c r="CK126" i="9" s="1"/>
  <c r="CG125" i="9"/>
  <c r="CJ125" i="9" s="1"/>
  <c r="CK125" i="9" s="1"/>
  <c r="CG124" i="9"/>
  <c r="CJ124" i="9" s="1"/>
  <c r="CK124" i="9" s="1"/>
  <c r="CF123" i="9"/>
  <c r="CE123" i="9"/>
  <c r="CD123" i="9"/>
  <c r="CC123" i="9"/>
  <c r="CB123" i="9"/>
  <c r="CA123" i="9"/>
  <c r="BZ123" i="9"/>
  <c r="BY123" i="9"/>
  <c r="BX123" i="9"/>
  <c r="CG122" i="9"/>
  <c r="CJ122" i="9" s="1"/>
  <c r="CK122" i="9" s="1"/>
  <c r="CG121" i="9"/>
  <c r="CJ121" i="9" s="1"/>
  <c r="CK121" i="9" s="1"/>
  <c r="CG120" i="9"/>
  <c r="CJ120" i="9" s="1"/>
  <c r="CK120" i="9" s="1"/>
  <c r="CG119" i="9"/>
  <c r="CJ119" i="9" s="1"/>
  <c r="CK119" i="9" s="1"/>
  <c r="CF118" i="9"/>
  <c r="CE118" i="9"/>
  <c r="CD118" i="9"/>
  <c r="CC118" i="9"/>
  <c r="CB118" i="9"/>
  <c r="CA118" i="9"/>
  <c r="BZ118" i="9"/>
  <c r="BY118" i="9"/>
  <c r="BX118" i="9"/>
  <c r="CG116" i="9"/>
  <c r="CJ116" i="9" s="1"/>
  <c r="CK116" i="9" s="1"/>
  <c r="CG115" i="9"/>
  <c r="CJ115" i="9" s="1"/>
  <c r="CK115" i="9" s="1"/>
  <c r="CG114" i="9"/>
  <c r="CJ114" i="9" s="1"/>
  <c r="CK114" i="9" s="1"/>
  <c r="CG113" i="9"/>
  <c r="CJ113" i="9" s="1"/>
  <c r="CK113" i="9" s="1"/>
  <c r="CG112" i="9"/>
  <c r="CJ112" i="9" s="1"/>
  <c r="CK112" i="9" s="1"/>
  <c r="CG111" i="9"/>
  <c r="CJ111" i="9" s="1"/>
  <c r="CK111" i="9" s="1"/>
  <c r="CG110" i="9"/>
  <c r="CJ110" i="9" s="1"/>
  <c r="CK110" i="9" s="1"/>
  <c r="CG109" i="9"/>
  <c r="CJ109" i="9" s="1"/>
  <c r="CK109" i="9" s="1"/>
  <c r="CG108" i="9"/>
  <c r="CJ108" i="9" s="1"/>
  <c r="CK108" i="9" s="1"/>
  <c r="CG107" i="9"/>
  <c r="CJ107" i="9" s="1"/>
  <c r="CK107" i="9" s="1"/>
  <c r="CG106" i="9"/>
  <c r="CJ106" i="9" s="1"/>
  <c r="CK106" i="9" s="1"/>
  <c r="CG105" i="9"/>
  <c r="CJ105" i="9" s="1"/>
  <c r="CK105" i="9" s="1"/>
  <c r="CG104" i="9"/>
  <c r="CJ104" i="9" s="1"/>
  <c r="CK104" i="9" s="1"/>
  <c r="CG103" i="9"/>
  <c r="CJ103" i="9" s="1"/>
  <c r="CK103" i="9" s="1"/>
  <c r="CG102" i="9"/>
  <c r="CJ102" i="9" s="1"/>
  <c r="CK102" i="9" s="1"/>
  <c r="CG101" i="9"/>
  <c r="CJ101" i="9" s="1"/>
  <c r="CK101" i="9" s="1"/>
  <c r="CG100" i="9"/>
  <c r="CJ100" i="9" s="1"/>
  <c r="CK100" i="9" s="1"/>
  <c r="CG99" i="9"/>
  <c r="CJ99" i="9" s="1"/>
  <c r="CK99" i="9" s="1"/>
  <c r="CG98" i="9"/>
  <c r="CJ98" i="9" s="1"/>
  <c r="CK98" i="9" s="1"/>
  <c r="CG97" i="9"/>
  <c r="CJ97" i="9" s="1"/>
  <c r="CK97" i="9" s="1"/>
  <c r="CG96" i="9"/>
  <c r="CJ96" i="9" s="1"/>
  <c r="CK96" i="9" s="1"/>
  <c r="CG95" i="9"/>
  <c r="CJ95" i="9" s="1"/>
  <c r="CK95" i="9" s="1"/>
  <c r="CF94" i="9"/>
  <c r="CE94" i="9"/>
  <c r="CD94" i="9"/>
  <c r="CC94" i="9"/>
  <c r="CB94" i="9"/>
  <c r="CA94" i="9"/>
  <c r="BZ94" i="9"/>
  <c r="BY94" i="9"/>
  <c r="BX94" i="9"/>
  <c r="CG93" i="9"/>
  <c r="CJ93" i="9" s="1"/>
  <c r="CK93" i="9" s="1"/>
  <c r="CG92" i="9"/>
  <c r="CJ92" i="9" s="1"/>
  <c r="CK92" i="9" s="1"/>
  <c r="CG91" i="9"/>
  <c r="CJ91" i="9" s="1"/>
  <c r="CK91" i="9" s="1"/>
  <c r="CG90" i="9"/>
  <c r="CJ90" i="9" s="1"/>
  <c r="CK90" i="9" s="1"/>
  <c r="CG89" i="9"/>
  <c r="CJ89" i="9" s="1"/>
  <c r="CK89" i="9" s="1"/>
  <c r="CG88" i="9"/>
  <c r="CJ88" i="9" s="1"/>
  <c r="CK88" i="9" s="1"/>
  <c r="CG87" i="9"/>
  <c r="CJ87" i="9" s="1"/>
  <c r="CK87" i="9" s="1"/>
  <c r="CG86" i="9"/>
  <c r="CJ86" i="9" s="1"/>
  <c r="CK86" i="9" s="1"/>
  <c r="CG85" i="9"/>
  <c r="CJ85" i="9" s="1"/>
  <c r="CK85" i="9" s="1"/>
  <c r="CG84" i="9"/>
  <c r="CJ84" i="9" s="1"/>
  <c r="CK84" i="9" s="1"/>
  <c r="CG83" i="9"/>
  <c r="CJ83" i="9" s="1"/>
  <c r="CK83" i="9" s="1"/>
  <c r="CG82" i="9"/>
  <c r="CJ82" i="9" s="1"/>
  <c r="CK82" i="9" s="1"/>
  <c r="CG81" i="9"/>
  <c r="CJ81" i="9" s="1"/>
  <c r="CK81" i="9" s="1"/>
  <c r="CG80" i="9"/>
  <c r="CJ80" i="9" s="1"/>
  <c r="CK80" i="9" s="1"/>
  <c r="CG79" i="9"/>
  <c r="CJ79" i="9" s="1"/>
  <c r="CK79" i="9" s="1"/>
  <c r="CG78" i="9"/>
  <c r="CJ78" i="9" s="1"/>
  <c r="CK78" i="9" s="1"/>
  <c r="CG77" i="9"/>
  <c r="CJ77" i="9" s="1"/>
  <c r="CK77" i="9" s="1"/>
  <c r="CG76" i="9"/>
  <c r="CJ76" i="9" s="1"/>
  <c r="CK76" i="9" s="1"/>
  <c r="CG75" i="9"/>
  <c r="CJ75" i="9" s="1"/>
  <c r="CK75" i="9" s="1"/>
  <c r="CG74" i="9"/>
  <c r="CJ74" i="9" s="1"/>
  <c r="CK74" i="9" s="1"/>
  <c r="CG73" i="9"/>
  <c r="CJ73" i="9" s="1"/>
  <c r="CK73" i="9" s="1"/>
  <c r="CG72" i="9"/>
  <c r="CJ72" i="9" s="1"/>
  <c r="CK72" i="9" s="1"/>
  <c r="CG71" i="9"/>
  <c r="CJ71" i="9" s="1"/>
  <c r="CK71" i="9" s="1"/>
  <c r="CG70" i="9"/>
  <c r="CJ70" i="9" s="1"/>
  <c r="CK70" i="9" s="1"/>
  <c r="CG69" i="9"/>
  <c r="CJ69" i="9" s="1"/>
  <c r="CK69" i="9" s="1"/>
  <c r="CG68" i="9"/>
  <c r="CJ68" i="9" s="1"/>
  <c r="CK68" i="9" s="1"/>
  <c r="CF67" i="9"/>
  <c r="CE67" i="9"/>
  <c r="CD67" i="9"/>
  <c r="CC67" i="9"/>
  <c r="CB67" i="9"/>
  <c r="CA67" i="9"/>
  <c r="BZ67" i="9"/>
  <c r="BY67" i="9"/>
  <c r="BX67" i="9"/>
  <c r="CG66" i="9"/>
  <c r="CJ66" i="9" s="1"/>
  <c r="CK66" i="9" s="1"/>
  <c r="CG65" i="9"/>
  <c r="CJ65" i="9" s="1"/>
  <c r="CK65" i="9" s="1"/>
  <c r="CG64" i="9"/>
  <c r="CJ64" i="9" s="1"/>
  <c r="CK64" i="9" s="1"/>
  <c r="CG63" i="9"/>
  <c r="CJ63" i="9" s="1"/>
  <c r="CK63" i="9" s="1"/>
  <c r="CG62" i="9"/>
  <c r="CJ62" i="9" s="1"/>
  <c r="CK62" i="9" s="1"/>
  <c r="CG61" i="9"/>
  <c r="CJ61" i="9" s="1"/>
  <c r="CK61" i="9" s="1"/>
  <c r="CG60" i="9"/>
  <c r="CJ60" i="9" s="1"/>
  <c r="CK60" i="9" s="1"/>
  <c r="CG59" i="9"/>
  <c r="CJ59" i="9" s="1"/>
  <c r="CK59" i="9" s="1"/>
  <c r="CG58" i="9"/>
  <c r="CJ58" i="9" s="1"/>
  <c r="CK58" i="9" s="1"/>
  <c r="CG57" i="9"/>
  <c r="CJ57" i="9" s="1"/>
  <c r="CK57" i="9" s="1"/>
  <c r="CG56" i="9"/>
  <c r="CJ56" i="9" s="1"/>
  <c r="CK56" i="9" s="1"/>
  <c r="CG55" i="9"/>
  <c r="CJ55" i="9" s="1"/>
  <c r="CK55" i="9" s="1"/>
  <c r="CG54" i="9"/>
  <c r="CJ54" i="9" s="1"/>
  <c r="CK54" i="9" s="1"/>
  <c r="CG53" i="9"/>
  <c r="CJ53" i="9" s="1"/>
  <c r="CK53" i="9" s="1"/>
  <c r="CG52" i="9"/>
  <c r="CJ52" i="9" s="1"/>
  <c r="CK52" i="9" s="1"/>
  <c r="CG51" i="9"/>
  <c r="CJ51" i="9" s="1"/>
  <c r="CK51" i="9" s="1"/>
  <c r="CG50" i="9"/>
  <c r="CJ50" i="9" s="1"/>
  <c r="CK50" i="9" s="1"/>
  <c r="CG49" i="9"/>
  <c r="CJ49" i="9" s="1"/>
  <c r="CK49" i="9" s="1"/>
  <c r="CG48" i="9"/>
  <c r="CJ48" i="9" s="1"/>
  <c r="CK48" i="9" s="1"/>
  <c r="CG47" i="9"/>
  <c r="CJ47" i="9" s="1"/>
  <c r="CK47" i="9" s="1"/>
  <c r="CG46" i="9"/>
  <c r="CJ46" i="9" s="1"/>
  <c r="CK46" i="9" s="1"/>
  <c r="CG45" i="9"/>
  <c r="CJ45" i="9" s="1"/>
  <c r="CK45" i="9" s="1"/>
  <c r="CG44" i="9"/>
  <c r="CJ44" i="9" s="1"/>
  <c r="CK44" i="9" s="1"/>
  <c r="CG43" i="9"/>
  <c r="CJ43" i="9" s="1"/>
  <c r="CK43" i="9" s="1"/>
  <c r="CG42" i="9"/>
  <c r="CJ42" i="9" s="1"/>
  <c r="CK42" i="9" s="1"/>
  <c r="CG41" i="9"/>
  <c r="CJ41" i="9" s="1"/>
  <c r="CK41" i="9" s="1"/>
  <c r="CG40" i="9"/>
  <c r="CJ40" i="9" s="1"/>
  <c r="CK40" i="9" s="1"/>
  <c r="CF39" i="9"/>
  <c r="CE39" i="9"/>
  <c r="CD39" i="9"/>
  <c r="CC39" i="9"/>
  <c r="CB39" i="9"/>
  <c r="CA39" i="9"/>
  <c r="BZ39" i="9"/>
  <c r="BY39" i="9"/>
  <c r="BX39" i="9"/>
  <c r="CG38" i="9"/>
  <c r="CJ38" i="9" s="1"/>
  <c r="CK38" i="9" s="1"/>
  <c r="CG37" i="9"/>
  <c r="CJ37" i="9" s="1"/>
  <c r="CK37" i="9" s="1"/>
  <c r="CG36" i="9"/>
  <c r="CJ36" i="9" s="1"/>
  <c r="CK36" i="9" s="1"/>
  <c r="CG35" i="9"/>
  <c r="CJ35" i="9" s="1"/>
  <c r="CK35" i="9" s="1"/>
  <c r="CG34" i="9"/>
  <c r="CJ34" i="9" s="1"/>
  <c r="CK34" i="9" s="1"/>
  <c r="CF33" i="9"/>
  <c r="CE33" i="9"/>
  <c r="CD33" i="9"/>
  <c r="CC33" i="9"/>
  <c r="CB33" i="9"/>
  <c r="CA33" i="9"/>
  <c r="BZ33" i="9"/>
  <c r="BY33" i="9"/>
  <c r="BX33" i="9"/>
  <c r="CG31" i="9"/>
  <c r="CJ31" i="9" s="1"/>
  <c r="CK31" i="9" s="1"/>
  <c r="CG30" i="9"/>
  <c r="CJ30" i="9" s="1"/>
  <c r="CK30" i="9" s="1"/>
  <c r="CG29" i="9"/>
  <c r="CJ29" i="9" s="1"/>
  <c r="CK29" i="9" s="1"/>
  <c r="CG28" i="9"/>
  <c r="CJ28" i="9" s="1"/>
  <c r="CK28" i="9" s="1"/>
  <c r="CG27" i="9"/>
  <c r="CJ27" i="9" s="1"/>
  <c r="CK27" i="9" s="1"/>
  <c r="CG26" i="9"/>
  <c r="CJ26" i="9" s="1"/>
  <c r="CK26" i="9" s="1"/>
  <c r="CG25" i="9"/>
  <c r="CJ25" i="9" s="1"/>
  <c r="CK25" i="9" s="1"/>
  <c r="CG24" i="9"/>
  <c r="CJ24" i="9" s="1"/>
  <c r="CK24" i="9" s="1"/>
  <c r="CG23" i="9"/>
  <c r="CJ23" i="9" s="1"/>
  <c r="CK23" i="9" s="1"/>
  <c r="CF22" i="9"/>
  <c r="CE22" i="9"/>
  <c r="CD22" i="9"/>
  <c r="CC22" i="9"/>
  <c r="CB22" i="9"/>
  <c r="CA22" i="9"/>
  <c r="BZ22" i="9"/>
  <c r="BY22" i="9"/>
  <c r="BX22" i="9"/>
  <c r="CG18" i="9"/>
  <c r="CJ18" i="9" s="1"/>
  <c r="CK18" i="9" s="1"/>
  <c r="CG17" i="9"/>
  <c r="CJ17" i="9" s="1"/>
  <c r="CK17" i="9" s="1"/>
  <c r="CG16" i="9"/>
  <c r="CJ16" i="9" s="1"/>
  <c r="CK16" i="9" s="1"/>
  <c r="CF15" i="9"/>
  <c r="CE15" i="9"/>
  <c r="CD15" i="9"/>
  <c r="CC15" i="9"/>
  <c r="CB15" i="9"/>
  <c r="CA15" i="9"/>
  <c r="BZ15" i="9"/>
  <c r="BY15" i="9"/>
  <c r="BX15" i="9"/>
  <c r="CG12" i="9"/>
  <c r="CJ12" i="9" s="1"/>
  <c r="CK12" i="9" s="1"/>
  <c r="CG11" i="9"/>
  <c r="CJ11" i="9" s="1"/>
  <c r="CK11" i="9" s="1"/>
  <c r="CG10" i="9"/>
  <c r="CJ10" i="9" s="1"/>
  <c r="CK10" i="9" s="1"/>
  <c r="CG9" i="9"/>
  <c r="CJ9" i="9" s="1"/>
  <c r="CK9" i="9" s="1"/>
  <c r="F162" i="72"/>
  <c r="F163" i="72"/>
  <c r="F164" i="72"/>
  <c r="F165" i="72"/>
  <c r="F166" i="72"/>
  <c r="F167" i="72"/>
  <c r="F168" i="72"/>
  <c r="F169" i="72"/>
  <c r="F170" i="72"/>
  <c r="F171" i="72"/>
  <c r="F172" i="72"/>
  <c r="F173" i="72"/>
  <c r="F174" i="72"/>
  <c r="F175" i="72"/>
  <c r="F176" i="72"/>
  <c r="F177" i="72"/>
  <c r="F178" i="72"/>
  <c r="F179" i="72"/>
  <c r="F180" i="72"/>
  <c r="F181" i="72"/>
  <c r="F182" i="72"/>
  <c r="F183" i="72"/>
  <c r="F184" i="72"/>
  <c r="F185" i="72"/>
  <c r="F186" i="72"/>
  <c r="F187" i="72"/>
  <c r="F188" i="72"/>
  <c r="F189" i="72"/>
  <c r="F190" i="72"/>
  <c r="F191" i="72"/>
  <c r="F192" i="72"/>
  <c r="F193" i="72"/>
  <c r="F194" i="72"/>
  <c r="F195" i="72"/>
  <c r="F196" i="72"/>
  <c r="F197" i="72"/>
  <c r="F198" i="72"/>
  <c r="F199" i="72"/>
  <c r="F200" i="72"/>
  <c r="F201" i="72"/>
  <c r="F202" i="72"/>
  <c r="F203" i="72"/>
  <c r="F204" i="72"/>
  <c r="F205" i="72"/>
  <c r="F206" i="72"/>
  <c r="C11" i="72"/>
  <c r="CS18" i="9"/>
  <c r="AX39" i="9" l="1"/>
  <c r="BU134" i="9"/>
  <c r="BV20" i="9"/>
  <c r="AU134" i="9"/>
  <c r="AU152" i="9" s="1"/>
  <c r="AU158" i="9" s="1"/>
  <c r="AU160" i="9" s="1"/>
  <c r="AW20" i="9"/>
  <c r="AX122" i="9"/>
  <c r="CG163" i="9"/>
  <c r="CJ163" i="9" s="1"/>
  <c r="CK163" i="9" s="1"/>
  <c r="CM18" i="9"/>
  <c r="AX143" i="9"/>
  <c r="AX69" i="9"/>
  <c r="AX50" i="9"/>
  <c r="BG168" i="9"/>
  <c r="BI134" i="9"/>
  <c r="BJ20" i="9"/>
  <c r="AX74" i="9"/>
  <c r="AX164" i="9"/>
  <c r="AT134" i="9"/>
  <c r="AT152" i="9" s="1"/>
  <c r="AT158" i="9" s="1"/>
  <c r="AT160" i="9" s="1"/>
  <c r="AT168" i="9" s="1"/>
  <c r="AX131" i="9"/>
  <c r="AX38" i="9"/>
  <c r="AX30" i="9"/>
  <c r="AN134" i="9"/>
  <c r="AN152" i="9" s="1"/>
  <c r="AN158" i="9" s="1"/>
  <c r="AN160" i="9" s="1"/>
  <c r="AN168" i="9" s="1"/>
  <c r="AR134" i="9"/>
  <c r="AR152" i="9" s="1"/>
  <c r="AR158" i="9" s="1"/>
  <c r="AR160" i="9" s="1"/>
  <c r="AR168" i="9" s="1"/>
  <c r="AX127" i="9"/>
  <c r="AX86" i="9"/>
  <c r="AX12" i="9"/>
  <c r="AX26" i="9"/>
  <c r="AX99" i="9"/>
  <c r="AX115" i="9"/>
  <c r="AX62" i="9"/>
  <c r="AX148" i="9"/>
  <c r="AX88" i="9"/>
  <c r="AX87" i="9"/>
  <c r="AO134" i="9"/>
  <c r="AO152" i="9" s="1"/>
  <c r="AO158" i="9" s="1"/>
  <c r="AO160" i="9" s="1"/>
  <c r="AO168" i="9" s="1"/>
  <c r="AX64" i="9"/>
  <c r="AX113" i="9"/>
  <c r="AX42" i="9"/>
  <c r="AX139" i="9"/>
  <c r="AX126" i="9"/>
  <c r="AX44" i="9"/>
  <c r="AX111" i="9"/>
  <c r="AX137" i="9"/>
  <c r="AX29" i="9"/>
  <c r="AX41" i="9"/>
  <c r="AX35" i="9"/>
  <c r="AX145" i="9"/>
  <c r="AX46" i="9"/>
  <c r="AX91" i="9"/>
  <c r="AX51" i="9"/>
  <c r="AX140" i="9"/>
  <c r="AX100" i="9"/>
  <c r="AX25" i="9"/>
  <c r="AX77" i="9"/>
  <c r="AX124" i="9"/>
  <c r="AX146" i="9"/>
  <c r="AX37" i="9"/>
  <c r="AX92" i="9"/>
  <c r="AX119" i="9"/>
  <c r="AX40" i="9"/>
  <c r="AX85" i="9"/>
  <c r="AX57" i="9"/>
  <c r="AX154" i="9"/>
  <c r="AX90" i="9"/>
  <c r="AX18" i="9"/>
  <c r="AX71" i="9"/>
  <c r="AX116" i="9"/>
  <c r="AX11" i="9"/>
  <c r="AX163" i="9"/>
  <c r="AX27" i="9"/>
  <c r="AX73" i="9"/>
  <c r="AX66" i="9"/>
  <c r="AX109" i="9"/>
  <c r="AX72" i="9"/>
  <c r="AX165" i="9"/>
  <c r="AX49" i="9"/>
  <c r="AX98" i="9"/>
  <c r="AX97" i="9"/>
  <c r="AX141" i="9"/>
  <c r="AX120" i="9"/>
  <c r="AX65" i="9"/>
  <c r="AX118" i="9"/>
  <c r="AX103" i="9"/>
  <c r="AX22" i="9"/>
  <c r="AX80" i="9"/>
  <c r="AX36" i="9"/>
  <c r="AX107" i="9"/>
  <c r="AX60" i="9"/>
  <c r="AX63" i="9"/>
  <c r="AX156" i="9"/>
  <c r="AX128" i="9"/>
  <c r="AX84" i="9"/>
  <c r="AX31" i="9"/>
  <c r="AX138" i="9"/>
  <c r="AX61" i="9"/>
  <c r="AX130" i="9"/>
  <c r="AX76" i="9"/>
  <c r="AX94" i="9"/>
  <c r="AX53" i="9"/>
  <c r="AX17" i="9"/>
  <c r="AX123" i="9"/>
  <c r="AX144" i="9"/>
  <c r="AX114" i="9"/>
  <c r="AX52" i="9"/>
  <c r="AX79" i="9"/>
  <c r="AX48" i="9"/>
  <c r="AX112" i="9"/>
  <c r="AX96" i="9"/>
  <c r="AX106" i="9"/>
  <c r="AX56" i="9"/>
  <c r="AX10" i="9"/>
  <c r="AX89" i="9"/>
  <c r="AX24" i="9"/>
  <c r="AX104" i="9"/>
  <c r="AX23" i="9"/>
  <c r="AX75" i="9"/>
  <c r="AX28" i="9"/>
  <c r="AX33" i="9"/>
  <c r="AX142" i="9"/>
  <c r="AX83" i="9"/>
  <c r="AX43" i="9"/>
  <c r="AX147" i="9"/>
  <c r="AX110" i="9"/>
  <c r="AX70" i="9"/>
  <c r="AX129" i="9"/>
  <c r="AX81" i="9"/>
  <c r="AX47" i="9"/>
  <c r="AX68" i="9"/>
  <c r="AX136" i="9"/>
  <c r="AX102" i="9"/>
  <c r="AX58" i="9"/>
  <c r="AX95" i="9"/>
  <c r="AX45" i="9"/>
  <c r="AX54" i="9"/>
  <c r="AX125" i="9"/>
  <c r="AX13" i="9"/>
  <c r="AX132" i="9"/>
  <c r="AX78" i="9"/>
  <c r="AX34" i="9"/>
  <c r="AX155" i="9"/>
  <c r="AX105" i="9"/>
  <c r="AX55" i="9"/>
  <c r="AX9" i="9"/>
  <c r="AX121" i="9"/>
  <c r="AX82" i="9"/>
  <c r="AX16" i="9"/>
  <c r="AX93" i="9"/>
  <c r="AX59" i="9"/>
  <c r="AX67" i="9"/>
  <c r="AX15" i="9"/>
  <c r="AQ134" i="9"/>
  <c r="AQ152" i="9" s="1"/>
  <c r="AQ158" i="9" s="1"/>
  <c r="AQ160" i="9" s="1"/>
  <c r="AQ168" i="9" s="1"/>
  <c r="CD32" i="9"/>
  <c r="CC20" i="9"/>
  <c r="AV134" i="9"/>
  <c r="AV152" i="9" s="1"/>
  <c r="AV158" i="9" s="1"/>
  <c r="AV160" i="9" s="1"/>
  <c r="AV168" i="9" s="1"/>
  <c r="CG154" i="9"/>
  <c r="CJ154" i="9" s="1"/>
  <c r="CK154" i="9" s="1"/>
  <c r="AP134" i="9"/>
  <c r="AP152" i="9" s="1"/>
  <c r="AP158" i="9" s="1"/>
  <c r="AP160" i="9" s="1"/>
  <c r="AP168" i="9" s="1"/>
  <c r="AX20" i="9"/>
  <c r="AW32" i="9"/>
  <c r="AX32" i="9" s="1"/>
  <c r="CA20" i="9"/>
  <c r="CD20" i="9"/>
  <c r="AU166" i="9"/>
  <c r="AW166" i="9" s="1"/>
  <c r="AX166" i="9" s="1"/>
  <c r="BY20" i="9"/>
  <c r="BZ20" i="9"/>
  <c r="CF20" i="9"/>
  <c r="CG118" i="9"/>
  <c r="CJ118" i="9" s="1"/>
  <c r="CK118" i="9" s="1"/>
  <c r="CE20" i="9"/>
  <c r="CB32" i="9"/>
  <c r="CC32" i="9"/>
  <c r="CG67" i="9"/>
  <c r="CJ67" i="9" s="1"/>
  <c r="CK67" i="9" s="1"/>
  <c r="BZ32" i="9"/>
  <c r="CF32" i="9"/>
  <c r="CA32" i="9"/>
  <c r="BX32" i="9"/>
  <c r="BY32" i="9"/>
  <c r="BY134" i="9" s="1"/>
  <c r="BY152" i="9" s="1"/>
  <c r="BY158" i="9" s="1"/>
  <c r="BY160" i="9" s="1"/>
  <c r="BY168" i="9" s="1"/>
  <c r="CE32" i="9"/>
  <c r="CG33" i="9"/>
  <c r="CJ33" i="9" s="1"/>
  <c r="CK33" i="9" s="1"/>
  <c r="CB20" i="9"/>
  <c r="BX20" i="9"/>
  <c r="CG15" i="9"/>
  <c r="CJ15" i="9" s="1"/>
  <c r="CK15" i="9" s="1"/>
  <c r="CG13" i="9"/>
  <c r="CJ13" i="9" s="1"/>
  <c r="CK13" i="9" s="1"/>
  <c r="CG22" i="9"/>
  <c r="CJ22" i="9" s="1"/>
  <c r="CK22" i="9" s="1"/>
  <c r="CG39" i="9"/>
  <c r="CJ39" i="9" s="1"/>
  <c r="CK39" i="9" s="1"/>
  <c r="CG136" i="9"/>
  <c r="CJ136" i="9" s="1"/>
  <c r="CK136" i="9" s="1"/>
  <c r="CG141" i="9"/>
  <c r="CJ141" i="9" s="1"/>
  <c r="CK141" i="9" s="1"/>
  <c r="CG94" i="9"/>
  <c r="CJ94" i="9" s="1"/>
  <c r="CK94" i="9" s="1"/>
  <c r="CG123" i="9"/>
  <c r="CJ123" i="9" s="1"/>
  <c r="CK123" i="9" s="1"/>
  <c r="K1937" i="63"/>
  <c r="K1938" i="63"/>
  <c r="K1939" i="63"/>
  <c r="K1940" i="63"/>
  <c r="K1941" i="63"/>
  <c r="K1942" i="63"/>
  <c r="K1943" i="63"/>
  <c r="K1944" i="63"/>
  <c r="K1945" i="63"/>
  <c r="K1946" i="63"/>
  <c r="K1947" i="63"/>
  <c r="K1948" i="63"/>
  <c r="K1949" i="63"/>
  <c r="K1950" i="63"/>
  <c r="K1951" i="63"/>
  <c r="K1952" i="63"/>
  <c r="K1953" i="63"/>
  <c r="K1954" i="63"/>
  <c r="K1955" i="63"/>
  <c r="K1956" i="63"/>
  <c r="K1957" i="63"/>
  <c r="K1958" i="63"/>
  <c r="K1959" i="63"/>
  <c r="K1960" i="63"/>
  <c r="K1961" i="63"/>
  <c r="K1962" i="63"/>
  <c r="K1963" i="63"/>
  <c r="K1964" i="63"/>
  <c r="K1965" i="63"/>
  <c r="K1966" i="63"/>
  <c r="K1967" i="63"/>
  <c r="K1968" i="63"/>
  <c r="K1969" i="63"/>
  <c r="K1970" i="63"/>
  <c r="K1971" i="63"/>
  <c r="K1972" i="63"/>
  <c r="K1973" i="63"/>
  <c r="K1974" i="63"/>
  <c r="K1975" i="63"/>
  <c r="K1976" i="63"/>
  <c r="K1977" i="63"/>
  <c r="K1978" i="63"/>
  <c r="K1979" i="63"/>
  <c r="K1980" i="63"/>
  <c r="K1981" i="63"/>
  <c r="K1982" i="63"/>
  <c r="K1983" i="63"/>
  <c r="K1984" i="63"/>
  <c r="K1985" i="63"/>
  <c r="K1986" i="63"/>
  <c r="K1987" i="63"/>
  <c r="K1988" i="63"/>
  <c r="K1989" i="63"/>
  <c r="K1990" i="63"/>
  <c r="K1991" i="63"/>
  <c r="K1992" i="63"/>
  <c r="K1993" i="63"/>
  <c r="K1994" i="63"/>
  <c r="K1995" i="63"/>
  <c r="K1996" i="63"/>
  <c r="K1997" i="63"/>
  <c r="K1998" i="63"/>
  <c r="K1999" i="63"/>
  <c r="K2000" i="63"/>
  <c r="K2001" i="63"/>
  <c r="K2002" i="63"/>
  <c r="K2003" i="63"/>
  <c r="K2004" i="63"/>
  <c r="K2005" i="63"/>
  <c r="K2006" i="63"/>
  <c r="K2007" i="63"/>
  <c r="K2008" i="63"/>
  <c r="K2009" i="63"/>
  <c r="K2010" i="63"/>
  <c r="K2011" i="63"/>
  <c r="K2012" i="63"/>
  <c r="K2013" i="63"/>
  <c r="K2014" i="63"/>
  <c r="K2015" i="63"/>
  <c r="K2016" i="63"/>
  <c r="K2017" i="63"/>
  <c r="K2018" i="63"/>
  <c r="K2019" i="63"/>
  <c r="K2020" i="63"/>
  <c r="K2021" i="63"/>
  <c r="K2022" i="63"/>
  <c r="K2023" i="63"/>
  <c r="K2024" i="63"/>
  <c r="K2025" i="63"/>
  <c r="K2026" i="63"/>
  <c r="K2027" i="63"/>
  <c r="K2028" i="63"/>
  <c r="K2029" i="63"/>
  <c r="K2030" i="63"/>
  <c r="K2031" i="63"/>
  <c r="K2032" i="63"/>
  <c r="K2033" i="63"/>
  <c r="K2034" i="63"/>
  <c r="K2035" i="63"/>
  <c r="K2036" i="63"/>
  <c r="K2037" i="63"/>
  <c r="K2038" i="63"/>
  <c r="K2039" i="63"/>
  <c r="K2040" i="63"/>
  <c r="K2041" i="63"/>
  <c r="K2042" i="63"/>
  <c r="K2043" i="63"/>
  <c r="K2044" i="63"/>
  <c r="K2045" i="63"/>
  <c r="K2046" i="63"/>
  <c r="K2047" i="63"/>
  <c r="K2048" i="63"/>
  <c r="K2049" i="63"/>
  <c r="K2050" i="63"/>
  <c r="K2051" i="63"/>
  <c r="K2052" i="63"/>
  <c r="K2053" i="63"/>
  <c r="K2054" i="63"/>
  <c r="K2055" i="63"/>
  <c r="K2056" i="63"/>
  <c r="K2057" i="63"/>
  <c r="K2058" i="63"/>
  <c r="K2059" i="63"/>
  <c r="K2060" i="63"/>
  <c r="K2061" i="63"/>
  <c r="K2062" i="63"/>
  <c r="K2063" i="63"/>
  <c r="K2064" i="63"/>
  <c r="K2065" i="63"/>
  <c r="K2066" i="63"/>
  <c r="K2067" i="63"/>
  <c r="K2068" i="63"/>
  <c r="K2069" i="63"/>
  <c r="K2070" i="63"/>
  <c r="K2071" i="63"/>
  <c r="K2072" i="63"/>
  <c r="K2073" i="63"/>
  <c r="K2074" i="63"/>
  <c r="K2075" i="63"/>
  <c r="K2076" i="63"/>
  <c r="K2077" i="63"/>
  <c r="K2078" i="63"/>
  <c r="K2079" i="63"/>
  <c r="K2080" i="63"/>
  <c r="K2081" i="63"/>
  <c r="K2082" i="63"/>
  <c r="K2083" i="63"/>
  <c r="K2084" i="63"/>
  <c r="K2085" i="63"/>
  <c r="K2086" i="63"/>
  <c r="K2087" i="63"/>
  <c r="K2088" i="63"/>
  <c r="K2089" i="63"/>
  <c r="K2090" i="63"/>
  <c r="K2091" i="63"/>
  <c r="K2092" i="63"/>
  <c r="K2093" i="63"/>
  <c r="K2094" i="63"/>
  <c r="K2095" i="63"/>
  <c r="K2096" i="63"/>
  <c r="K2097" i="63"/>
  <c r="K2098" i="63"/>
  <c r="K2099" i="63"/>
  <c r="K2100" i="63"/>
  <c r="K2101" i="63"/>
  <c r="K2102" i="63"/>
  <c r="K2103" i="63"/>
  <c r="K2104" i="63"/>
  <c r="K2105" i="63"/>
  <c r="K2106" i="63"/>
  <c r="K2107" i="63"/>
  <c r="K2108" i="63"/>
  <c r="K2109" i="63"/>
  <c r="K2110" i="63"/>
  <c r="K2111" i="63"/>
  <c r="K2112" i="63"/>
  <c r="K2113" i="63"/>
  <c r="K2114" i="63"/>
  <c r="K2115" i="63"/>
  <c r="K2116" i="63"/>
  <c r="K2117" i="63"/>
  <c r="K2118" i="63"/>
  <c r="K2119" i="63"/>
  <c r="K2120" i="63"/>
  <c r="K2121" i="63"/>
  <c r="K2122" i="63"/>
  <c r="K2123" i="63"/>
  <c r="K2124" i="63"/>
  <c r="K2125" i="63"/>
  <c r="K2126" i="63"/>
  <c r="K2127" i="63"/>
  <c r="K2128" i="63"/>
  <c r="K2129" i="63"/>
  <c r="K2130" i="63"/>
  <c r="K2131" i="63"/>
  <c r="K2132" i="63"/>
  <c r="K2133" i="63"/>
  <c r="K2134" i="63"/>
  <c r="K2135" i="63"/>
  <c r="K2136" i="63"/>
  <c r="K2137" i="63"/>
  <c r="K2138" i="63"/>
  <c r="K2139" i="63"/>
  <c r="K2140" i="63"/>
  <c r="K2141" i="63"/>
  <c r="K2142" i="63"/>
  <c r="K2143" i="63"/>
  <c r="K2144" i="63"/>
  <c r="K2145" i="63"/>
  <c r="K2146" i="63"/>
  <c r="K2147" i="63"/>
  <c r="K2148" i="63"/>
  <c r="K2149" i="63"/>
  <c r="K2150" i="63"/>
  <c r="K2151" i="63"/>
  <c r="K2152" i="63"/>
  <c r="K2153" i="63"/>
  <c r="K2154" i="63"/>
  <c r="K2155" i="63"/>
  <c r="K2156" i="63"/>
  <c r="K2157" i="63"/>
  <c r="K2158" i="63"/>
  <c r="K2159" i="63"/>
  <c r="K2160" i="63"/>
  <c r="K2161" i="63"/>
  <c r="K2162" i="63"/>
  <c r="K2163" i="63"/>
  <c r="K2164" i="63"/>
  <c r="K2165" i="63"/>
  <c r="K2166" i="63"/>
  <c r="K2167" i="63"/>
  <c r="K2168" i="63"/>
  <c r="K2169" i="63"/>
  <c r="K2170" i="63"/>
  <c r="K2171" i="63"/>
  <c r="K2172" i="63"/>
  <c r="K2173" i="63"/>
  <c r="K2174" i="63"/>
  <c r="K2175" i="63"/>
  <c r="D136" i="4"/>
  <c r="C153" i="4"/>
  <c r="D153" i="4"/>
  <c r="C136" i="4"/>
  <c r="BU152" i="9" l="1"/>
  <c r="G11" i="17" s="1"/>
  <c r="G23" i="17" s="1"/>
  <c r="G28" i="17" s="1"/>
  <c r="G29" i="17" s="1"/>
  <c r="G31" i="17" s="1"/>
  <c r="G39" i="17" s="1"/>
  <c r="BV134" i="9"/>
  <c r="H10" i="17"/>
  <c r="C12" i="72"/>
  <c r="CH37" i="9"/>
  <c r="BI152" i="9"/>
  <c r="F11" i="17" s="1"/>
  <c r="BJ134" i="9"/>
  <c r="CH143" i="9"/>
  <c r="CH77" i="9"/>
  <c r="CH27" i="9"/>
  <c r="CH131" i="9"/>
  <c r="CH104" i="9"/>
  <c r="CH156" i="9"/>
  <c r="CH115" i="9"/>
  <c r="CH116" i="9"/>
  <c r="CH35" i="9"/>
  <c r="CH23" i="9"/>
  <c r="CH62" i="9"/>
  <c r="CH78" i="9"/>
  <c r="CH97" i="9"/>
  <c r="CH58" i="9"/>
  <c r="CH83" i="9"/>
  <c r="CH88" i="9"/>
  <c r="CH109" i="9"/>
  <c r="CH13" i="9"/>
  <c r="CH113" i="9"/>
  <c r="CC134" i="9"/>
  <c r="CC152" i="9" s="1"/>
  <c r="CC158" i="9" s="1"/>
  <c r="CC160" i="9" s="1"/>
  <c r="CC168" i="9" s="1"/>
  <c r="CH90" i="9"/>
  <c r="CH71" i="9"/>
  <c r="CH120" i="9"/>
  <c r="CH59" i="9"/>
  <c r="CH124" i="9"/>
  <c r="CH84" i="9"/>
  <c r="CH24" i="9"/>
  <c r="CH103" i="9"/>
  <c r="CH112" i="9"/>
  <c r="CH127" i="9"/>
  <c r="CH16" i="9"/>
  <c r="CH30" i="9"/>
  <c r="CH29" i="9"/>
  <c r="CH69" i="9"/>
  <c r="CH42" i="9"/>
  <c r="CH56" i="9"/>
  <c r="CH40" i="9"/>
  <c r="CD134" i="9"/>
  <c r="CD152" i="9" s="1"/>
  <c r="CD158" i="9" s="1"/>
  <c r="CD160" i="9" s="1"/>
  <c r="CD168" i="9" s="1"/>
  <c r="CH11" i="9"/>
  <c r="CH132" i="9"/>
  <c r="CH165" i="9"/>
  <c r="CH12" i="9"/>
  <c r="CH28" i="9"/>
  <c r="CH128" i="9"/>
  <c r="CH65" i="9"/>
  <c r="CH145" i="9"/>
  <c r="CH67" i="9"/>
  <c r="CH73" i="9"/>
  <c r="CH64" i="9"/>
  <c r="BZ134" i="9"/>
  <c r="BZ152" i="9" s="1"/>
  <c r="BZ158" i="9" s="1"/>
  <c r="BZ160" i="9" s="1"/>
  <c r="BZ168" i="9" s="1"/>
  <c r="AU168" i="9"/>
  <c r="CH130" i="9"/>
  <c r="CH144" i="9"/>
  <c r="CH126" i="9"/>
  <c r="CH55" i="9"/>
  <c r="CH82" i="9"/>
  <c r="CH93" i="9"/>
  <c r="CH54" i="9"/>
  <c r="CH48" i="9"/>
  <c r="CH95" i="9"/>
  <c r="CH155" i="9"/>
  <c r="CH86" i="9"/>
  <c r="CH79" i="9"/>
  <c r="CH140" i="9"/>
  <c r="CH34" i="9"/>
  <c r="CH105" i="9"/>
  <c r="CH49" i="9"/>
  <c r="CH142" i="9"/>
  <c r="CH76" i="9"/>
  <c r="CH154" i="9"/>
  <c r="CH81" i="9"/>
  <c r="CH57" i="9"/>
  <c r="CH99" i="9"/>
  <c r="CH60" i="9"/>
  <c r="CH47" i="9"/>
  <c r="CH111" i="9"/>
  <c r="CH129" i="9"/>
  <c r="CH52" i="9"/>
  <c r="CH9" i="9"/>
  <c r="CB134" i="9"/>
  <c r="CB152" i="9" s="1"/>
  <c r="CB158" i="9" s="1"/>
  <c r="CB160" i="9" s="1"/>
  <c r="CB168" i="9" s="1"/>
  <c r="CA134" i="9"/>
  <c r="CA152" i="9" s="1"/>
  <c r="CA158" i="9" s="1"/>
  <c r="CA160" i="9" s="1"/>
  <c r="CA168" i="9" s="1"/>
  <c r="CH91" i="9"/>
  <c r="CH68" i="9"/>
  <c r="CH72" i="9"/>
  <c r="CH148" i="9"/>
  <c r="CH164" i="9"/>
  <c r="CH51" i="9"/>
  <c r="CH41" i="9"/>
  <c r="AW134" i="9"/>
  <c r="CH106" i="9"/>
  <c r="CH25" i="9"/>
  <c r="CH89" i="9"/>
  <c r="CH43" i="9"/>
  <c r="CH121" i="9"/>
  <c r="CH70" i="9"/>
  <c r="CH137" i="9"/>
  <c r="CH75" i="9"/>
  <c r="CH66" i="9"/>
  <c r="CH125" i="9"/>
  <c r="CH139" i="9"/>
  <c r="CH53" i="9"/>
  <c r="CH114" i="9"/>
  <c r="CH80" i="9"/>
  <c r="CH36" i="9"/>
  <c r="CH119" i="9"/>
  <c r="CH46" i="9"/>
  <c r="CH26" i="9"/>
  <c r="CH118" i="9"/>
  <c r="CE134" i="9"/>
  <c r="CE152" i="9" s="1"/>
  <c r="CE158" i="9" s="1"/>
  <c r="CE160" i="9" s="1"/>
  <c r="CH92" i="9"/>
  <c r="CH100" i="9"/>
  <c r="CH31" i="9"/>
  <c r="CH122" i="9"/>
  <c r="CH61" i="9"/>
  <c r="CH15" i="9"/>
  <c r="CH110" i="9"/>
  <c r="CH38" i="9"/>
  <c r="CH147" i="9"/>
  <c r="CH87" i="9"/>
  <c r="CH45" i="9"/>
  <c r="CH44" i="9"/>
  <c r="CH96" i="9"/>
  <c r="CH63" i="9"/>
  <c r="CH50" i="9"/>
  <c r="CH98" i="9"/>
  <c r="CH138" i="9"/>
  <c r="CH18" i="9"/>
  <c r="CH74" i="9"/>
  <c r="CF134" i="9"/>
  <c r="CF152" i="9" s="1"/>
  <c r="CF158" i="9" s="1"/>
  <c r="CF160" i="9" s="1"/>
  <c r="CF168" i="9" s="1"/>
  <c r="CG20" i="9"/>
  <c r="CJ20" i="9" s="1"/>
  <c r="CK20" i="9" s="1"/>
  <c r="CH102" i="9"/>
  <c r="CH85" i="9"/>
  <c r="CH163" i="9"/>
  <c r="CH141" i="9"/>
  <c r="CH136" i="9"/>
  <c r="CH123" i="9"/>
  <c r="CH94" i="9"/>
  <c r="CH39" i="9"/>
  <c r="BX134" i="9"/>
  <c r="BX152" i="9" s="1"/>
  <c r="BX158" i="9" s="1"/>
  <c r="BX160" i="9" s="1"/>
  <c r="BX168" i="9" s="1"/>
  <c r="CH33" i="9"/>
  <c r="CH22" i="9"/>
  <c r="CH146" i="9"/>
  <c r="CH107" i="9"/>
  <c r="CH17" i="9"/>
  <c r="CH10" i="9"/>
  <c r="CG32" i="9"/>
  <c r="CJ32" i="9" s="1"/>
  <c r="CK32" i="9" s="1"/>
  <c r="K1984" i="67"/>
  <c r="K1985" i="67"/>
  <c r="K1986" i="67"/>
  <c r="K1987" i="67"/>
  <c r="K1988" i="67"/>
  <c r="K1989" i="67"/>
  <c r="K1990" i="67"/>
  <c r="K1991" i="67"/>
  <c r="K1992" i="67"/>
  <c r="K1993" i="67"/>
  <c r="K1994" i="67"/>
  <c r="K1995" i="67"/>
  <c r="K1996" i="67"/>
  <c r="K1997" i="67"/>
  <c r="K1998" i="67"/>
  <c r="K1999" i="67"/>
  <c r="K2000" i="67"/>
  <c r="K2001" i="67"/>
  <c r="K2002" i="67"/>
  <c r="K2003" i="67"/>
  <c r="K2004" i="67"/>
  <c r="K2005" i="67"/>
  <c r="K2006" i="67"/>
  <c r="K2007" i="67"/>
  <c r="K2008" i="67"/>
  <c r="K2009" i="67"/>
  <c r="K2010" i="67"/>
  <c r="K2011" i="67"/>
  <c r="K2012" i="67"/>
  <c r="K2013" i="67"/>
  <c r="K2014" i="67"/>
  <c r="K2015" i="67"/>
  <c r="K2016" i="67"/>
  <c r="K2017" i="67"/>
  <c r="K2018" i="67"/>
  <c r="K2019" i="67"/>
  <c r="K2020" i="67"/>
  <c r="K2021" i="67"/>
  <c r="K2022" i="67"/>
  <c r="K2023" i="67"/>
  <c r="K2024" i="67"/>
  <c r="K2025" i="67"/>
  <c r="K2026" i="67"/>
  <c r="K2027" i="67"/>
  <c r="K2028" i="67"/>
  <c r="K2029" i="67"/>
  <c r="K2030" i="67"/>
  <c r="K2031" i="67"/>
  <c r="K2032" i="67"/>
  <c r="K2033" i="67"/>
  <c r="K2034" i="67"/>
  <c r="K2035" i="67"/>
  <c r="K2036" i="67"/>
  <c r="K2037" i="67"/>
  <c r="K2038" i="67"/>
  <c r="K2039" i="67"/>
  <c r="K2040" i="67"/>
  <c r="K2041" i="67"/>
  <c r="K2042" i="67"/>
  <c r="K2043" i="67"/>
  <c r="K2044" i="67"/>
  <c r="K2045" i="67"/>
  <c r="K2046" i="67"/>
  <c r="K2047" i="67"/>
  <c r="K2048" i="67"/>
  <c r="K2049" i="67"/>
  <c r="K2050" i="67"/>
  <c r="K2051" i="67"/>
  <c r="K2052" i="67"/>
  <c r="K2053" i="67"/>
  <c r="K2054" i="67"/>
  <c r="K2055" i="67"/>
  <c r="K2056" i="67"/>
  <c r="K2057" i="67"/>
  <c r="K2058" i="67"/>
  <c r="K2059" i="67"/>
  <c r="K2060" i="67"/>
  <c r="K2061" i="67"/>
  <c r="K2062" i="67"/>
  <c r="K2063" i="67"/>
  <c r="K2064" i="67"/>
  <c r="K2065" i="67"/>
  <c r="K2066" i="67"/>
  <c r="K2067" i="67"/>
  <c r="K2068" i="67"/>
  <c r="K2069" i="67"/>
  <c r="K2070" i="67"/>
  <c r="K2071" i="67"/>
  <c r="K2072" i="67"/>
  <c r="K2073" i="67"/>
  <c r="K2074" i="67"/>
  <c r="K2075" i="67"/>
  <c r="K2076" i="67"/>
  <c r="K2077" i="67"/>
  <c r="K2078" i="67"/>
  <c r="K2079" i="67"/>
  <c r="K2080" i="67"/>
  <c r="K2081" i="67"/>
  <c r="K2082" i="67"/>
  <c r="K2083" i="67"/>
  <c r="K2084" i="67"/>
  <c r="K2085" i="67"/>
  <c r="K2086" i="67"/>
  <c r="K2087" i="67"/>
  <c r="K2088" i="67"/>
  <c r="K2089" i="67"/>
  <c r="K2090" i="67"/>
  <c r="K2091" i="67"/>
  <c r="K2092" i="67"/>
  <c r="K2093" i="67"/>
  <c r="K2094" i="67"/>
  <c r="K2095" i="67"/>
  <c r="K2096" i="67"/>
  <c r="K2097" i="67"/>
  <c r="K2098" i="67"/>
  <c r="K2099" i="67"/>
  <c r="K2100" i="67"/>
  <c r="K2101" i="67"/>
  <c r="K2102" i="67"/>
  <c r="K2103" i="67"/>
  <c r="K2104" i="67"/>
  <c r="K2105" i="67"/>
  <c r="K2106" i="67"/>
  <c r="K2107" i="67"/>
  <c r="K2108" i="67"/>
  <c r="K2109" i="67"/>
  <c r="K2110" i="67"/>
  <c r="K2111" i="67"/>
  <c r="K2112" i="67"/>
  <c r="K2113" i="67"/>
  <c r="K2114" i="67"/>
  <c r="K2115" i="67"/>
  <c r="K2116" i="67"/>
  <c r="K2117" i="67"/>
  <c r="K2118" i="67"/>
  <c r="K2119" i="67"/>
  <c r="K2120" i="67"/>
  <c r="K2121" i="67"/>
  <c r="K2122" i="67"/>
  <c r="K2123" i="67"/>
  <c r="K2124" i="67"/>
  <c r="K2125" i="67"/>
  <c r="K2126" i="67"/>
  <c r="K2127" i="67"/>
  <c r="K2128" i="67"/>
  <c r="K2129" i="67"/>
  <c r="K2130" i="67"/>
  <c r="K2131" i="67"/>
  <c r="K2132" i="67"/>
  <c r="K2133" i="67"/>
  <c r="K2134" i="67"/>
  <c r="K2135" i="67"/>
  <c r="K2136" i="67"/>
  <c r="K2137" i="67"/>
  <c r="K2138" i="67"/>
  <c r="K2139" i="67"/>
  <c r="K2140" i="67"/>
  <c r="K2141" i="67"/>
  <c r="K2142" i="67"/>
  <c r="K2143" i="67"/>
  <c r="K2144" i="67"/>
  <c r="K2145" i="67"/>
  <c r="K2146" i="67"/>
  <c r="K2147" i="67"/>
  <c r="K2148" i="67"/>
  <c r="K2149" i="67"/>
  <c r="K2150" i="67"/>
  <c r="K2151" i="67"/>
  <c r="K2152" i="67"/>
  <c r="K2153" i="67"/>
  <c r="K2154" i="67"/>
  <c r="K2155" i="67"/>
  <c r="K2156" i="67"/>
  <c r="K2157" i="67"/>
  <c r="K2158" i="67"/>
  <c r="K2159" i="67"/>
  <c r="K2160" i="67"/>
  <c r="K2161" i="67"/>
  <c r="K2162" i="67"/>
  <c r="K2163" i="67"/>
  <c r="K2164" i="67"/>
  <c r="K2165" i="67"/>
  <c r="K2166" i="67"/>
  <c r="K2167" i="67"/>
  <c r="K2168" i="67"/>
  <c r="K2169" i="67"/>
  <c r="K2170" i="67"/>
  <c r="K2171" i="67"/>
  <c r="K2172" i="67"/>
  <c r="K2173" i="67"/>
  <c r="K2174" i="67"/>
  <c r="K2175" i="67"/>
  <c r="K2176" i="67"/>
  <c r="K2177" i="67"/>
  <c r="K2178" i="67"/>
  <c r="K2179" i="67"/>
  <c r="K2180" i="67"/>
  <c r="K2181" i="67"/>
  <c r="K2182" i="67"/>
  <c r="K2183" i="67"/>
  <c r="K2184" i="67"/>
  <c r="K2185" i="67"/>
  <c r="K2186" i="67"/>
  <c r="K2187" i="67"/>
  <c r="K2188" i="67"/>
  <c r="K2189" i="67"/>
  <c r="K2190" i="67"/>
  <c r="K2191" i="67"/>
  <c r="K2192" i="67"/>
  <c r="K2193" i="67"/>
  <c r="K2194" i="67"/>
  <c r="K2195" i="67"/>
  <c r="K2196" i="67"/>
  <c r="K2197" i="67"/>
  <c r="K2198" i="67"/>
  <c r="K2199" i="67"/>
  <c r="K2200" i="67"/>
  <c r="K2201" i="67"/>
  <c r="K2202" i="67"/>
  <c r="K2203" i="67"/>
  <c r="K2204" i="67"/>
  <c r="K2205" i="67"/>
  <c r="K2206" i="67"/>
  <c r="K2207" i="67"/>
  <c r="K2208" i="67"/>
  <c r="K2209" i="67"/>
  <c r="K2210" i="67"/>
  <c r="K2211" i="67"/>
  <c r="K2212" i="67"/>
  <c r="K2213" i="67"/>
  <c r="K2214" i="67"/>
  <c r="K2215" i="67"/>
  <c r="K2216" i="67"/>
  <c r="K2217" i="67"/>
  <c r="K2218" i="67"/>
  <c r="K2219" i="67"/>
  <c r="K2220" i="67"/>
  <c r="K2221" i="67"/>
  <c r="K2222" i="67"/>
  <c r="K2223" i="67"/>
  <c r="K2224" i="67"/>
  <c r="K2225" i="67"/>
  <c r="K2226" i="67"/>
  <c r="K2227" i="67"/>
  <c r="K2228" i="67"/>
  <c r="K2229" i="67"/>
  <c r="K2230" i="67"/>
  <c r="K2231" i="67"/>
  <c r="K2232" i="67"/>
  <c r="K2233" i="67"/>
  <c r="K2234" i="67"/>
  <c r="K2235" i="67"/>
  <c r="K2236" i="67"/>
  <c r="K2237" i="67"/>
  <c r="K2238" i="67"/>
  <c r="K2239" i="67"/>
  <c r="K2240" i="67"/>
  <c r="K2241" i="67"/>
  <c r="K2242" i="67"/>
  <c r="K2243" i="67"/>
  <c r="K2244" i="67"/>
  <c r="K2245" i="67"/>
  <c r="K2246" i="67"/>
  <c r="K2247" i="67"/>
  <c r="K2248" i="67"/>
  <c r="K2249" i="67"/>
  <c r="K2250" i="67"/>
  <c r="K2251" i="67"/>
  <c r="K2252" i="67"/>
  <c r="K2253" i="67"/>
  <c r="K2254" i="67"/>
  <c r="K2255" i="67"/>
  <c r="K2256" i="67"/>
  <c r="K2257" i="67"/>
  <c r="K2258" i="67"/>
  <c r="K2259" i="67"/>
  <c r="K2260" i="67"/>
  <c r="K2261" i="67"/>
  <c r="K2262" i="67"/>
  <c r="K2263" i="67"/>
  <c r="K2264" i="67"/>
  <c r="K2265" i="67"/>
  <c r="K2266" i="67"/>
  <c r="K2267" i="67"/>
  <c r="K2268" i="67"/>
  <c r="K2269" i="67"/>
  <c r="K2270" i="67"/>
  <c r="K2271" i="67"/>
  <c r="K2272" i="67"/>
  <c r="K2273" i="67"/>
  <c r="K2274" i="67"/>
  <c r="J2003" i="67"/>
  <c r="J2004" i="67"/>
  <c r="J2005" i="67"/>
  <c r="J2006" i="67"/>
  <c r="J2007" i="67"/>
  <c r="J2008" i="67"/>
  <c r="J2009" i="67"/>
  <c r="J2010" i="67"/>
  <c r="J2011" i="67"/>
  <c r="J2012" i="67"/>
  <c r="J2013" i="67"/>
  <c r="J2014" i="67"/>
  <c r="J2015" i="67"/>
  <c r="J2016" i="67"/>
  <c r="J2017" i="67"/>
  <c r="J2018" i="67"/>
  <c r="J2019" i="67"/>
  <c r="J2020" i="67"/>
  <c r="J2021" i="67"/>
  <c r="J2022" i="67"/>
  <c r="J2023" i="67"/>
  <c r="J2024" i="67"/>
  <c r="J2025" i="67"/>
  <c r="J2026" i="67"/>
  <c r="J2027" i="67"/>
  <c r="J2028" i="67"/>
  <c r="J2029" i="67"/>
  <c r="J2030" i="67"/>
  <c r="J2031" i="67"/>
  <c r="J2032" i="67"/>
  <c r="J2033" i="67"/>
  <c r="J2034" i="67"/>
  <c r="J2035" i="67"/>
  <c r="J2036" i="67"/>
  <c r="J2037" i="67"/>
  <c r="J2038" i="67"/>
  <c r="J2039" i="67"/>
  <c r="J2040" i="67"/>
  <c r="J2041" i="67"/>
  <c r="J2042" i="67"/>
  <c r="J2043" i="67"/>
  <c r="J2044" i="67"/>
  <c r="J2045" i="67"/>
  <c r="J2046" i="67"/>
  <c r="J2047" i="67"/>
  <c r="J2048" i="67"/>
  <c r="J2049" i="67"/>
  <c r="J2050" i="67"/>
  <c r="J2051" i="67"/>
  <c r="J2052" i="67"/>
  <c r="J2053" i="67"/>
  <c r="J2054" i="67"/>
  <c r="J2055" i="67"/>
  <c r="J2056" i="67"/>
  <c r="J2057" i="67"/>
  <c r="J2058" i="67"/>
  <c r="J2059" i="67"/>
  <c r="J2060" i="67"/>
  <c r="J2061" i="67"/>
  <c r="J2062" i="67"/>
  <c r="J2063" i="67"/>
  <c r="J2064" i="67"/>
  <c r="J2065" i="67"/>
  <c r="J2066" i="67"/>
  <c r="J2067" i="67"/>
  <c r="J2068" i="67"/>
  <c r="J2069" i="67"/>
  <c r="J2070" i="67"/>
  <c r="J2071" i="67"/>
  <c r="J2072" i="67"/>
  <c r="J2073" i="67"/>
  <c r="J2074" i="67"/>
  <c r="J2075" i="67"/>
  <c r="J2076" i="67"/>
  <c r="J2077" i="67"/>
  <c r="J2078" i="67"/>
  <c r="J2079" i="67"/>
  <c r="J2080" i="67"/>
  <c r="J2081" i="67"/>
  <c r="J2082" i="67"/>
  <c r="J2083" i="67"/>
  <c r="J2084" i="67"/>
  <c r="J2085" i="67"/>
  <c r="J2086" i="67"/>
  <c r="J2087" i="67"/>
  <c r="J2088" i="67"/>
  <c r="J2089" i="67"/>
  <c r="J2090" i="67"/>
  <c r="J2091" i="67"/>
  <c r="J2092" i="67"/>
  <c r="J2093" i="67"/>
  <c r="J2094" i="67"/>
  <c r="J2095" i="67"/>
  <c r="J2096" i="67"/>
  <c r="J2097" i="67"/>
  <c r="J2098" i="67"/>
  <c r="J2099" i="67"/>
  <c r="J2100" i="67"/>
  <c r="J2101" i="67"/>
  <c r="J2102" i="67"/>
  <c r="J2103" i="67"/>
  <c r="J2104" i="67"/>
  <c r="J2105" i="67"/>
  <c r="J2106" i="67"/>
  <c r="J2107" i="67"/>
  <c r="J2108" i="67"/>
  <c r="J2109" i="67"/>
  <c r="J2110" i="67"/>
  <c r="J2111" i="67"/>
  <c r="J2112" i="67"/>
  <c r="J2113" i="67"/>
  <c r="J2114" i="67"/>
  <c r="J2115" i="67"/>
  <c r="J2116" i="67"/>
  <c r="J2117" i="67"/>
  <c r="J2118" i="67"/>
  <c r="J2119" i="67"/>
  <c r="J2120" i="67"/>
  <c r="J2121" i="67"/>
  <c r="J2122" i="67"/>
  <c r="J2123" i="67"/>
  <c r="J2124" i="67"/>
  <c r="J2125" i="67"/>
  <c r="J2126" i="67"/>
  <c r="J2127" i="67"/>
  <c r="J2128" i="67"/>
  <c r="J2129" i="67"/>
  <c r="J2130" i="67"/>
  <c r="J2131" i="67"/>
  <c r="J2132" i="67"/>
  <c r="J2133" i="67"/>
  <c r="J2134" i="67"/>
  <c r="J2135" i="67"/>
  <c r="J2136" i="67"/>
  <c r="J2137" i="67"/>
  <c r="J2138" i="67"/>
  <c r="J2139" i="67"/>
  <c r="J2140" i="67"/>
  <c r="J2141" i="67"/>
  <c r="J2142" i="67"/>
  <c r="J2143" i="67"/>
  <c r="J2144" i="67"/>
  <c r="J2145" i="67"/>
  <c r="J2146" i="67"/>
  <c r="J2147" i="67"/>
  <c r="J2148" i="67"/>
  <c r="J2149" i="67"/>
  <c r="J2150" i="67"/>
  <c r="J2151" i="67"/>
  <c r="J2152" i="67"/>
  <c r="J2153" i="67"/>
  <c r="J2154" i="67"/>
  <c r="J2155" i="67"/>
  <c r="J2156" i="67"/>
  <c r="J2157" i="67"/>
  <c r="J2158" i="67"/>
  <c r="J2159" i="67"/>
  <c r="J2160" i="67"/>
  <c r="J2161" i="67"/>
  <c r="J2162" i="67"/>
  <c r="J2163" i="67"/>
  <c r="J2164" i="67"/>
  <c r="J2165" i="67"/>
  <c r="J2166" i="67"/>
  <c r="J2167" i="67"/>
  <c r="J2168" i="67"/>
  <c r="J2169" i="67"/>
  <c r="J2170" i="67"/>
  <c r="J2171" i="67"/>
  <c r="J2172" i="67"/>
  <c r="J2173" i="67"/>
  <c r="J2174" i="67"/>
  <c r="J2175" i="67"/>
  <c r="J2176" i="67"/>
  <c r="J2177" i="67"/>
  <c r="J2178" i="67"/>
  <c r="J2179" i="67"/>
  <c r="J2180" i="67"/>
  <c r="J2181" i="67"/>
  <c r="J2182" i="67"/>
  <c r="J2183" i="67"/>
  <c r="J2184" i="67"/>
  <c r="J2185" i="67"/>
  <c r="J2186" i="67"/>
  <c r="J2187" i="67"/>
  <c r="J2188" i="67"/>
  <c r="J2189" i="67"/>
  <c r="J2190" i="67"/>
  <c r="J2191" i="67"/>
  <c r="J2192" i="67"/>
  <c r="J2193" i="67"/>
  <c r="J2194" i="67"/>
  <c r="J2195" i="67"/>
  <c r="J2196" i="67"/>
  <c r="J2197" i="67"/>
  <c r="J2198" i="67"/>
  <c r="J2199" i="67"/>
  <c r="J2200" i="67"/>
  <c r="J2201" i="67"/>
  <c r="J2202" i="67"/>
  <c r="J2203" i="67"/>
  <c r="J2204" i="67"/>
  <c r="J2205" i="67"/>
  <c r="J2206" i="67"/>
  <c r="J2207" i="67"/>
  <c r="J2208" i="67"/>
  <c r="J2209" i="67"/>
  <c r="J2210" i="67"/>
  <c r="J2211" i="67"/>
  <c r="J2212" i="67"/>
  <c r="J2213" i="67"/>
  <c r="J2214" i="67"/>
  <c r="J2215" i="67"/>
  <c r="J2216" i="67"/>
  <c r="J2217" i="67"/>
  <c r="J2218" i="67"/>
  <c r="J2219" i="67"/>
  <c r="J2220" i="67"/>
  <c r="J2221" i="67"/>
  <c r="J2222" i="67"/>
  <c r="J2223" i="67"/>
  <c r="J2224" i="67"/>
  <c r="J2225" i="67"/>
  <c r="J2226" i="67"/>
  <c r="J2227" i="67"/>
  <c r="J2228" i="67"/>
  <c r="J2229" i="67"/>
  <c r="J2230" i="67"/>
  <c r="J2231" i="67"/>
  <c r="J2232" i="67"/>
  <c r="J2233" i="67"/>
  <c r="J2234" i="67"/>
  <c r="J2235" i="67"/>
  <c r="J2236" i="67"/>
  <c r="J2237" i="67"/>
  <c r="J2238" i="67"/>
  <c r="J2239" i="67"/>
  <c r="J2240" i="67"/>
  <c r="J2241" i="67"/>
  <c r="J2242" i="67"/>
  <c r="J2243" i="67"/>
  <c r="J2244" i="67"/>
  <c r="J2245" i="67"/>
  <c r="J2246" i="67"/>
  <c r="J2247" i="67"/>
  <c r="J2248" i="67"/>
  <c r="J2249" i="67"/>
  <c r="J2250" i="67"/>
  <c r="J2251" i="67"/>
  <c r="J2252" i="67"/>
  <c r="J2253" i="67"/>
  <c r="J2254" i="67"/>
  <c r="J2255" i="67"/>
  <c r="J2256" i="67"/>
  <c r="J2257" i="67"/>
  <c r="J2258" i="67"/>
  <c r="J2259" i="67"/>
  <c r="J2260" i="67"/>
  <c r="J2261" i="67"/>
  <c r="J2262" i="67"/>
  <c r="J2263" i="67"/>
  <c r="J2264" i="67"/>
  <c r="J2265" i="67"/>
  <c r="J2266" i="67"/>
  <c r="J2267" i="67"/>
  <c r="J2268" i="67"/>
  <c r="J2269" i="67"/>
  <c r="J2270" i="67"/>
  <c r="J2271" i="67"/>
  <c r="J2272" i="67"/>
  <c r="J2273" i="67"/>
  <c r="J2274" i="67"/>
  <c r="AJ166" i="9"/>
  <c r="AI166" i="9"/>
  <c r="AE166" i="9"/>
  <c r="AD166" i="9"/>
  <c r="AC166" i="9"/>
  <c r="AB166" i="9"/>
  <c r="AK165" i="9"/>
  <c r="AK164" i="9"/>
  <c r="AJ163" i="9"/>
  <c r="AI163" i="9"/>
  <c r="AH163" i="9"/>
  <c r="AG163" i="9"/>
  <c r="AF163" i="9"/>
  <c r="AE163" i="9"/>
  <c r="AD163" i="9"/>
  <c r="AC163" i="9"/>
  <c r="AB163" i="9"/>
  <c r="AK156" i="9"/>
  <c r="AK155" i="9"/>
  <c r="AJ154" i="9"/>
  <c r="AI154" i="9"/>
  <c r="AH154" i="9"/>
  <c r="AG154" i="9"/>
  <c r="AF154" i="9"/>
  <c r="AE154" i="9"/>
  <c r="AD154" i="9"/>
  <c r="AC154" i="9"/>
  <c r="AB154" i="9"/>
  <c r="AK149" i="9"/>
  <c r="AK148" i="9"/>
  <c r="AK147" i="9"/>
  <c r="AK146" i="9"/>
  <c r="AK145" i="9"/>
  <c r="AK144" i="9"/>
  <c r="AK143" i="9"/>
  <c r="AK142" i="9"/>
  <c r="AJ141" i="9"/>
  <c r="AI141" i="9"/>
  <c r="AH141" i="9"/>
  <c r="AG141" i="9"/>
  <c r="AF141" i="9"/>
  <c r="AE141" i="9"/>
  <c r="AD141" i="9"/>
  <c r="AC141" i="9"/>
  <c r="AB141" i="9"/>
  <c r="AK140" i="9"/>
  <c r="AK139" i="9"/>
  <c r="AK138" i="9"/>
  <c r="AK137" i="9"/>
  <c r="AJ136" i="9"/>
  <c r="AI136" i="9"/>
  <c r="AH136" i="9"/>
  <c r="AG136" i="9"/>
  <c r="AF136" i="9"/>
  <c r="AE136" i="9"/>
  <c r="AD136" i="9"/>
  <c r="AC136" i="9"/>
  <c r="AB136" i="9"/>
  <c r="AK132" i="9"/>
  <c r="AK131" i="9"/>
  <c r="AK130" i="9"/>
  <c r="AK129" i="9"/>
  <c r="AK128" i="9"/>
  <c r="AK127" i="9"/>
  <c r="AK126" i="9"/>
  <c r="AK125" i="9"/>
  <c r="AK124" i="9"/>
  <c r="AJ123" i="9"/>
  <c r="AI123" i="9"/>
  <c r="AH123" i="9"/>
  <c r="AG123" i="9"/>
  <c r="AF123" i="9"/>
  <c r="AE123" i="9"/>
  <c r="AD123" i="9"/>
  <c r="AC123" i="9"/>
  <c r="AB123" i="9"/>
  <c r="AK122" i="9"/>
  <c r="AK121" i="9"/>
  <c r="AK120" i="9"/>
  <c r="AK119" i="9"/>
  <c r="AJ118" i="9"/>
  <c r="AI118" i="9"/>
  <c r="AH118" i="9"/>
  <c r="AG118" i="9"/>
  <c r="AF118" i="9"/>
  <c r="AE118" i="9"/>
  <c r="AD118" i="9"/>
  <c r="AC118" i="9"/>
  <c r="AB118" i="9"/>
  <c r="AK116" i="9"/>
  <c r="AK115" i="9"/>
  <c r="AK114" i="9"/>
  <c r="AK113" i="9"/>
  <c r="AK112" i="9"/>
  <c r="AK111" i="9"/>
  <c r="AK110" i="9"/>
  <c r="AK109" i="9"/>
  <c r="AK108" i="9"/>
  <c r="AK107" i="9"/>
  <c r="AK106" i="9"/>
  <c r="AK105" i="9"/>
  <c r="AK104" i="9"/>
  <c r="AK103" i="9"/>
  <c r="AK102" i="9"/>
  <c r="AK101" i="9"/>
  <c r="AK100" i="9"/>
  <c r="AK99" i="9"/>
  <c r="AK98" i="9"/>
  <c r="AK97" i="9"/>
  <c r="AK96" i="9"/>
  <c r="AK95" i="9"/>
  <c r="AJ94" i="9"/>
  <c r="AI94" i="9"/>
  <c r="AH94" i="9"/>
  <c r="AG94" i="9"/>
  <c r="AF94" i="9"/>
  <c r="AE94" i="9"/>
  <c r="AD94" i="9"/>
  <c r="AC94" i="9"/>
  <c r="AB94" i="9"/>
  <c r="AK93" i="9"/>
  <c r="AK92" i="9"/>
  <c r="AK91" i="9"/>
  <c r="AK90" i="9"/>
  <c r="AK89" i="9"/>
  <c r="AK88" i="9"/>
  <c r="AK87" i="9"/>
  <c r="AK86" i="9"/>
  <c r="AK85" i="9"/>
  <c r="AK84" i="9"/>
  <c r="AK83" i="9"/>
  <c r="AK82" i="9"/>
  <c r="AK81" i="9"/>
  <c r="AK80" i="9"/>
  <c r="AK79" i="9"/>
  <c r="AK78" i="9"/>
  <c r="AK77" i="9"/>
  <c r="AK76" i="9"/>
  <c r="AK75" i="9"/>
  <c r="AK74" i="9"/>
  <c r="AK73" i="9"/>
  <c r="AK72" i="9"/>
  <c r="AK71" i="9"/>
  <c r="AK70" i="9"/>
  <c r="AK69" i="9"/>
  <c r="AK68" i="9"/>
  <c r="AJ67" i="9"/>
  <c r="AI67" i="9"/>
  <c r="AH67" i="9"/>
  <c r="AG67" i="9"/>
  <c r="AF67" i="9"/>
  <c r="AE67" i="9"/>
  <c r="AD67" i="9"/>
  <c r="AC67" i="9"/>
  <c r="AB67" i="9"/>
  <c r="AK66" i="9"/>
  <c r="AK65" i="9"/>
  <c r="AK64" i="9"/>
  <c r="AK63" i="9"/>
  <c r="AK62" i="9"/>
  <c r="AK61" i="9"/>
  <c r="AK60" i="9"/>
  <c r="AK59" i="9"/>
  <c r="AK58" i="9"/>
  <c r="AK57" i="9"/>
  <c r="AK56" i="9"/>
  <c r="AK55" i="9"/>
  <c r="AK54" i="9"/>
  <c r="AK53" i="9"/>
  <c r="AK52" i="9"/>
  <c r="AK51" i="9"/>
  <c r="AK50" i="9"/>
  <c r="AK49" i="9"/>
  <c r="AK48" i="9"/>
  <c r="AK47" i="9"/>
  <c r="AK46" i="9"/>
  <c r="AK45" i="9"/>
  <c r="AK44" i="9"/>
  <c r="AK43" i="9"/>
  <c r="AK42" i="9"/>
  <c r="AK41" i="9"/>
  <c r="AK40" i="9"/>
  <c r="AJ39" i="9"/>
  <c r="AI39" i="9"/>
  <c r="AH39" i="9"/>
  <c r="AG39" i="9"/>
  <c r="AF39" i="9"/>
  <c r="AE39" i="9"/>
  <c r="AD39" i="9"/>
  <c r="AC39" i="9"/>
  <c r="AB39" i="9"/>
  <c r="AK38" i="9"/>
  <c r="AK37" i="9"/>
  <c r="AK36" i="9"/>
  <c r="AK35" i="9"/>
  <c r="AK34" i="9"/>
  <c r="AJ33" i="9"/>
  <c r="AI33" i="9"/>
  <c r="AH33" i="9"/>
  <c r="AG33" i="9"/>
  <c r="AF33" i="9"/>
  <c r="AE33" i="9"/>
  <c r="AD33" i="9"/>
  <c r="AC33" i="9"/>
  <c r="AB33" i="9"/>
  <c r="AK31" i="9"/>
  <c r="AK30" i="9"/>
  <c r="AK29" i="9"/>
  <c r="AK28" i="9"/>
  <c r="AK27" i="9"/>
  <c r="AK26" i="9"/>
  <c r="AK25" i="9"/>
  <c r="AK24" i="9"/>
  <c r="AK23" i="9"/>
  <c r="AJ22" i="9"/>
  <c r="AI22" i="9"/>
  <c r="AH22" i="9"/>
  <c r="AG22" i="9"/>
  <c r="AF22" i="9"/>
  <c r="AE22" i="9"/>
  <c r="AD22" i="9"/>
  <c r="AC22" i="9"/>
  <c r="AB22" i="9"/>
  <c r="AK18" i="9"/>
  <c r="AK17" i="9"/>
  <c r="AK16" i="9"/>
  <c r="AJ15" i="9"/>
  <c r="AI15" i="9"/>
  <c r="AH15" i="9"/>
  <c r="AG15" i="9"/>
  <c r="AF15" i="9"/>
  <c r="AE15" i="9"/>
  <c r="AD15" i="9"/>
  <c r="AC15" i="9"/>
  <c r="AB15" i="9"/>
  <c r="AJ13" i="9"/>
  <c r="AI13" i="9"/>
  <c r="AH13" i="9"/>
  <c r="AG13" i="9"/>
  <c r="AF13" i="9"/>
  <c r="AE13" i="9"/>
  <c r="AD13" i="9"/>
  <c r="AC13" i="9"/>
  <c r="AB13" i="9"/>
  <c r="AK12" i="9"/>
  <c r="AK11" i="9"/>
  <c r="AK10" i="9"/>
  <c r="AK9" i="9"/>
  <c r="K1977" i="67"/>
  <c r="K1978" i="67"/>
  <c r="K1979" i="67"/>
  <c r="K1980" i="67"/>
  <c r="K1981" i="67"/>
  <c r="K1982" i="67"/>
  <c r="K1983" i="67"/>
  <c r="P94" i="9"/>
  <c r="Q94" i="9"/>
  <c r="R94" i="9"/>
  <c r="S94" i="9"/>
  <c r="T94" i="9"/>
  <c r="U94" i="9"/>
  <c r="V94" i="9"/>
  <c r="W94" i="9"/>
  <c r="X94" i="9"/>
  <c r="G40" i="17" l="1"/>
  <c r="G41" i="17"/>
  <c r="BU158" i="9"/>
  <c r="BV152" i="9"/>
  <c r="BI158" i="9"/>
  <c r="BJ152" i="9"/>
  <c r="AX134" i="9"/>
  <c r="AW152" i="9"/>
  <c r="E11" i="17" s="1"/>
  <c r="AK163" i="9"/>
  <c r="CH20" i="9"/>
  <c r="CH32" i="9"/>
  <c r="CG134" i="9"/>
  <c r="CJ134" i="9" s="1"/>
  <c r="CK134" i="9" s="1"/>
  <c r="AB20" i="9"/>
  <c r="AE20" i="9"/>
  <c r="AH20" i="9"/>
  <c r="AF20" i="9"/>
  <c r="AI20" i="9"/>
  <c r="AC32" i="9"/>
  <c r="AI32" i="9"/>
  <c r="AK154" i="9"/>
  <c r="AK118" i="9"/>
  <c r="AK13" i="9"/>
  <c r="AL125" i="9" s="1"/>
  <c r="AK136" i="9"/>
  <c r="AG32" i="9"/>
  <c r="AK67" i="9"/>
  <c r="AB32" i="9"/>
  <c r="AH32" i="9"/>
  <c r="AH134" i="9" s="1"/>
  <c r="AH152" i="9" s="1"/>
  <c r="AH158" i="9" s="1"/>
  <c r="AH160" i="9" s="1"/>
  <c r="AH168" i="9" s="1"/>
  <c r="AD32" i="9"/>
  <c r="AJ32" i="9"/>
  <c r="AE32" i="9"/>
  <c r="AF32" i="9"/>
  <c r="AK22" i="9"/>
  <c r="AK166" i="9"/>
  <c r="AG20" i="9"/>
  <c r="AK15" i="9"/>
  <c r="AC20" i="9"/>
  <c r="AC134" i="9" s="1"/>
  <c r="AC152" i="9" s="1"/>
  <c r="AC158" i="9" s="1"/>
  <c r="AC160" i="9" s="1"/>
  <c r="AC168" i="9" s="1"/>
  <c r="AD20" i="9"/>
  <c r="AJ20" i="9"/>
  <c r="AK33" i="9"/>
  <c r="AK39" i="9"/>
  <c r="AK94" i="9"/>
  <c r="AK141" i="9"/>
  <c r="AK123" i="9"/>
  <c r="C67" i="72"/>
  <c r="D67" i="72"/>
  <c r="J1639" i="67"/>
  <c r="J1640" i="67"/>
  <c r="J1641" i="67"/>
  <c r="J1642" i="67"/>
  <c r="J1643" i="67"/>
  <c r="J1644" i="67"/>
  <c r="J1645" i="67"/>
  <c r="J1646" i="67"/>
  <c r="J1647" i="67"/>
  <c r="J1648" i="67"/>
  <c r="J1649" i="67"/>
  <c r="J1650" i="67"/>
  <c r="J1651" i="67"/>
  <c r="J1652" i="67"/>
  <c r="J1653" i="67"/>
  <c r="J1654" i="67"/>
  <c r="J1655" i="67"/>
  <c r="J1656" i="67"/>
  <c r="J1657" i="67"/>
  <c r="J1658" i="67"/>
  <c r="J1659" i="67"/>
  <c r="J1660" i="67"/>
  <c r="J1661" i="67"/>
  <c r="J1662" i="67"/>
  <c r="J1663" i="67"/>
  <c r="J1664" i="67"/>
  <c r="J1665" i="67"/>
  <c r="J1666" i="67"/>
  <c r="J1667" i="67"/>
  <c r="J1668" i="67"/>
  <c r="J1669" i="67"/>
  <c r="J1670" i="67"/>
  <c r="J1671" i="67"/>
  <c r="J1672" i="67"/>
  <c r="J1673" i="67"/>
  <c r="J1674" i="67"/>
  <c r="J1675" i="67"/>
  <c r="J1676" i="67"/>
  <c r="J1677" i="67"/>
  <c r="J1678" i="67"/>
  <c r="J1679" i="67"/>
  <c r="J1680" i="67"/>
  <c r="J1681" i="67"/>
  <c r="J1682" i="67"/>
  <c r="J1683" i="67"/>
  <c r="J1684" i="67"/>
  <c r="J1685" i="67"/>
  <c r="J1686" i="67"/>
  <c r="J1687" i="67"/>
  <c r="J1688" i="67"/>
  <c r="J1689" i="67"/>
  <c r="J1690" i="67"/>
  <c r="J1691" i="67"/>
  <c r="J1692" i="67"/>
  <c r="J1693" i="67"/>
  <c r="J1694" i="67"/>
  <c r="J1695" i="67"/>
  <c r="J1696" i="67"/>
  <c r="J1697" i="67"/>
  <c r="J1698" i="67"/>
  <c r="J1699" i="67"/>
  <c r="J1700" i="67"/>
  <c r="J1701" i="67"/>
  <c r="J1702" i="67"/>
  <c r="J1703" i="67"/>
  <c r="J1704" i="67"/>
  <c r="J1705" i="67"/>
  <c r="J1706" i="67"/>
  <c r="J1707" i="67"/>
  <c r="J1708" i="67"/>
  <c r="J1709" i="67"/>
  <c r="J1710" i="67"/>
  <c r="J1711" i="67"/>
  <c r="J1712" i="67"/>
  <c r="J1713" i="67"/>
  <c r="J1714" i="67"/>
  <c r="J1715" i="67"/>
  <c r="J1716" i="67"/>
  <c r="J1717" i="67"/>
  <c r="J1718" i="67"/>
  <c r="J1719" i="67"/>
  <c r="J1720" i="67"/>
  <c r="J1721" i="67"/>
  <c r="J1722" i="67"/>
  <c r="J1723" i="67"/>
  <c r="J1724" i="67"/>
  <c r="J1725" i="67"/>
  <c r="J1726" i="67"/>
  <c r="J1727" i="67"/>
  <c r="J1728" i="67"/>
  <c r="J1729" i="67"/>
  <c r="J1730" i="67"/>
  <c r="J1731" i="67"/>
  <c r="J1732" i="67"/>
  <c r="J1733" i="67"/>
  <c r="J1734" i="67"/>
  <c r="J1735" i="67"/>
  <c r="J1736" i="67"/>
  <c r="J1737" i="67"/>
  <c r="J1738" i="67"/>
  <c r="J1739" i="67"/>
  <c r="J1740" i="67"/>
  <c r="J1741" i="67"/>
  <c r="J1742" i="67"/>
  <c r="J1743" i="67"/>
  <c r="J1744" i="67"/>
  <c r="J1745" i="67"/>
  <c r="J1746" i="67"/>
  <c r="J1747" i="67"/>
  <c r="J1748" i="67"/>
  <c r="J1749" i="67"/>
  <c r="J1750" i="67"/>
  <c r="J1751" i="67"/>
  <c r="J1752" i="67"/>
  <c r="J1753" i="67"/>
  <c r="J1754" i="67"/>
  <c r="J1755" i="67"/>
  <c r="J1756" i="67"/>
  <c r="J1757" i="67"/>
  <c r="J1758" i="67"/>
  <c r="J1759" i="67"/>
  <c r="J1760" i="67"/>
  <c r="J1761" i="67"/>
  <c r="J1762" i="67"/>
  <c r="J1763" i="67"/>
  <c r="J1764" i="67"/>
  <c r="J1765" i="67"/>
  <c r="J1766" i="67"/>
  <c r="J1767" i="67"/>
  <c r="J1768" i="67"/>
  <c r="J1769" i="67"/>
  <c r="J1770" i="67"/>
  <c r="J1771" i="67"/>
  <c r="J1772" i="67"/>
  <c r="J1773" i="67"/>
  <c r="J1774" i="67"/>
  <c r="J1775" i="67"/>
  <c r="J1776" i="67"/>
  <c r="J1777" i="67"/>
  <c r="J1778" i="67"/>
  <c r="J1779" i="67"/>
  <c r="J1780" i="67"/>
  <c r="J1781" i="67"/>
  <c r="J1782" i="67"/>
  <c r="J1783" i="67"/>
  <c r="J1784" i="67"/>
  <c r="J1785" i="67"/>
  <c r="J1786" i="67"/>
  <c r="J1787" i="67"/>
  <c r="J1788" i="67"/>
  <c r="J1789" i="67"/>
  <c r="J1790" i="67"/>
  <c r="J1791" i="67"/>
  <c r="J1792" i="67"/>
  <c r="J1793" i="67"/>
  <c r="J1794" i="67"/>
  <c r="J1795" i="67"/>
  <c r="J1796" i="67"/>
  <c r="J1797" i="67"/>
  <c r="J1798" i="67"/>
  <c r="J1799" i="67"/>
  <c r="J1800" i="67"/>
  <c r="J1801" i="67"/>
  <c r="J1802" i="67"/>
  <c r="J1803" i="67"/>
  <c r="J1804" i="67"/>
  <c r="J1805" i="67"/>
  <c r="J1806" i="67"/>
  <c r="J1807" i="67"/>
  <c r="J1808" i="67"/>
  <c r="J1809" i="67"/>
  <c r="J1810" i="67"/>
  <c r="J1811" i="67"/>
  <c r="J1812" i="67"/>
  <c r="J1813" i="67"/>
  <c r="J1814" i="67"/>
  <c r="J1815" i="67"/>
  <c r="J1816" i="67"/>
  <c r="J1817" i="67"/>
  <c r="J1818" i="67"/>
  <c r="J1819" i="67"/>
  <c r="J1820" i="67"/>
  <c r="J1821" i="67"/>
  <c r="J1822" i="67"/>
  <c r="J1823" i="67"/>
  <c r="J1824" i="67"/>
  <c r="J1825" i="67"/>
  <c r="J1826" i="67"/>
  <c r="J1827" i="67"/>
  <c r="J1828" i="67"/>
  <c r="J1829" i="67"/>
  <c r="J1830" i="67"/>
  <c r="J1831" i="67"/>
  <c r="J1832" i="67"/>
  <c r="J1833" i="67"/>
  <c r="J1834" i="67"/>
  <c r="J1835" i="67"/>
  <c r="J1836" i="67"/>
  <c r="J1837" i="67"/>
  <c r="J1838" i="67"/>
  <c r="J1839" i="67"/>
  <c r="J1840" i="67"/>
  <c r="J1841" i="67"/>
  <c r="J1842" i="67"/>
  <c r="J1843" i="67"/>
  <c r="J1844" i="67"/>
  <c r="J1845" i="67"/>
  <c r="J1846" i="67"/>
  <c r="J1847" i="67"/>
  <c r="J1848" i="67"/>
  <c r="J1849" i="67"/>
  <c r="J1850" i="67"/>
  <c r="J1851" i="67"/>
  <c r="J1852" i="67"/>
  <c r="J1853" i="67"/>
  <c r="J1854" i="67"/>
  <c r="J1855" i="67"/>
  <c r="J1856" i="67"/>
  <c r="J1857" i="67"/>
  <c r="J1858" i="67"/>
  <c r="J1859" i="67"/>
  <c r="J1860" i="67"/>
  <c r="J1861" i="67"/>
  <c r="J1862" i="67"/>
  <c r="J1863" i="67"/>
  <c r="J1864" i="67"/>
  <c r="J1865" i="67"/>
  <c r="J1866" i="67"/>
  <c r="J1867" i="67"/>
  <c r="J1868" i="67"/>
  <c r="J1869" i="67"/>
  <c r="J1870" i="67"/>
  <c r="J1871" i="67"/>
  <c r="J1872" i="67"/>
  <c r="J1873" i="67"/>
  <c r="J1874" i="67"/>
  <c r="J1875" i="67"/>
  <c r="J1876" i="67"/>
  <c r="J1877" i="67"/>
  <c r="J1878" i="67"/>
  <c r="J1879" i="67"/>
  <c r="J1880" i="67"/>
  <c r="J1881" i="67"/>
  <c r="J1882" i="67"/>
  <c r="J1883" i="67"/>
  <c r="J1884" i="67"/>
  <c r="J1885" i="67"/>
  <c r="J1886" i="67"/>
  <c r="J1887" i="67"/>
  <c r="J1888" i="67"/>
  <c r="J1889" i="67"/>
  <c r="J1890" i="67"/>
  <c r="J1891" i="67"/>
  <c r="J1892" i="67"/>
  <c r="J1893" i="67"/>
  <c r="J1894" i="67"/>
  <c r="J1895" i="67"/>
  <c r="J1896" i="67"/>
  <c r="J1897" i="67"/>
  <c r="J1898" i="67"/>
  <c r="J1899" i="67"/>
  <c r="J1900" i="67"/>
  <c r="J1901" i="67"/>
  <c r="J1902" i="67"/>
  <c r="J1903" i="67"/>
  <c r="J1904" i="67"/>
  <c r="J1905" i="67"/>
  <c r="J1906" i="67"/>
  <c r="J1907" i="67"/>
  <c r="J1908" i="67"/>
  <c r="J1909" i="67"/>
  <c r="J1910" i="67"/>
  <c r="J1911" i="67"/>
  <c r="J1912" i="67"/>
  <c r="J1913" i="67"/>
  <c r="J1914" i="67"/>
  <c r="J1915" i="67"/>
  <c r="J1916" i="67"/>
  <c r="J1917" i="67"/>
  <c r="J1918" i="67"/>
  <c r="J1919" i="67"/>
  <c r="J1920" i="67"/>
  <c r="J1921" i="67"/>
  <c r="J1922" i="67"/>
  <c r="J1923" i="67"/>
  <c r="J1924" i="67"/>
  <c r="J1925" i="67"/>
  <c r="J1926" i="67"/>
  <c r="J1927" i="67"/>
  <c r="J1928" i="67"/>
  <c r="J1929" i="67"/>
  <c r="J1930" i="67"/>
  <c r="J1931" i="67"/>
  <c r="J1932" i="67"/>
  <c r="J1933" i="67"/>
  <c r="J1934" i="67"/>
  <c r="J1935" i="67"/>
  <c r="J1936" i="67"/>
  <c r="J1937" i="67"/>
  <c r="J1938" i="67"/>
  <c r="J1939" i="67"/>
  <c r="J1940" i="67"/>
  <c r="J1941" i="67"/>
  <c r="J1942" i="67"/>
  <c r="J1943" i="67"/>
  <c r="J1944" i="67"/>
  <c r="J1945" i="67"/>
  <c r="J1946" i="67"/>
  <c r="J1947" i="67"/>
  <c r="J1948" i="67"/>
  <c r="J1949" i="67"/>
  <c r="J1950" i="67"/>
  <c r="J1951" i="67"/>
  <c r="J1952" i="67"/>
  <c r="J1953" i="67"/>
  <c r="J1954" i="67"/>
  <c r="J1955" i="67"/>
  <c r="J1956" i="67"/>
  <c r="J1957" i="67"/>
  <c r="J1958" i="67"/>
  <c r="J1959" i="67"/>
  <c r="J1960" i="67"/>
  <c r="J1961" i="67"/>
  <c r="J1962" i="67"/>
  <c r="J1963" i="67"/>
  <c r="J1964" i="67"/>
  <c r="J1965" i="67"/>
  <c r="J1966" i="67"/>
  <c r="J1967" i="67"/>
  <c r="J1968" i="67"/>
  <c r="J1969" i="67"/>
  <c r="J1970" i="67"/>
  <c r="J1971" i="67"/>
  <c r="J1972" i="67"/>
  <c r="J1973" i="67"/>
  <c r="J1974" i="67"/>
  <c r="J1975" i="67"/>
  <c r="J1976" i="67"/>
  <c r="J1977" i="67"/>
  <c r="J1978" i="67"/>
  <c r="J1979" i="67"/>
  <c r="J1980" i="67"/>
  <c r="J1981" i="67"/>
  <c r="J1982" i="67"/>
  <c r="J1983" i="67"/>
  <c r="J1984" i="67"/>
  <c r="J1985" i="67"/>
  <c r="J1986" i="67"/>
  <c r="J1987" i="67"/>
  <c r="J1988" i="67"/>
  <c r="J1989" i="67"/>
  <c r="J1990" i="67"/>
  <c r="J1991" i="67"/>
  <c r="J1992" i="67"/>
  <c r="J1993" i="67"/>
  <c r="J1994" i="67"/>
  <c r="J1995" i="67"/>
  <c r="J1996" i="67"/>
  <c r="J1997" i="67"/>
  <c r="J1998" i="67"/>
  <c r="J1999" i="67"/>
  <c r="J2000" i="67"/>
  <c r="J2001" i="67"/>
  <c r="J2002" i="67"/>
  <c r="BU160" i="9" l="1"/>
  <c r="BV158" i="9"/>
  <c r="BI160" i="9"/>
  <c r="BJ158" i="9"/>
  <c r="AL73" i="9"/>
  <c r="AL61" i="9"/>
  <c r="AL50" i="9"/>
  <c r="E12" i="17"/>
  <c r="E23" i="17" s="1"/>
  <c r="E28" i="17" s="1"/>
  <c r="E29" i="17" s="1"/>
  <c r="E31" i="17" s="1"/>
  <c r="E39" i="17" s="1"/>
  <c r="AL124" i="9"/>
  <c r="D10" i="17"/>
  <c r="CH166" i="9"/>
  <c r="AL114" i="9"/>
  <c r="AL26" i="9"/>
  <c r="AL113" i="9"/>
  <c r="AL51" i="9"/>
  <c r="AL31" i="9"/>
  <c r="CE168" i="9"/>
  <c r="AL106" i="9"/>
  <c r="AL57" i="9"/>
  <c r="AL81" i="9"/>
  <c r="AL25" i="9"/>
  <c r="AL96" i="9"/>
  <c r="AE134" i="9"/>
  <c r="AE152" i="9" s="1"/>
  <c r="AE158" i="9" s="1"/>
  <c r="AE160" i="9" s="1"/>
  <c r="AE168" i="9" s="1"/>
  <c r="AW158" i="9"/>
  <c r="AX152" i="9"/>
  <c r="AL139" i="9"/>
  <c r="AL24" i="9"/>
  <c r="AL52" i="9"/>
  <c r="AL16" i="9"/>
  <c r="AL118" i="9"/>
  <c r="AL54" i="9"/>
  <c r="AL105" i="9"/>
  <c r="AL92" i="9"/>
  <c r="AL122" i="9"/>
  <c r="AL53" i="9"/>
  <c r="AL59" i="9"/>
  <c r="AL144" i="9"/>
  <c r="AL82" i="9"/>
  <c r="AL40" i="9"/>
  <c r="AL86" i="9"/>
  <c r="AL80" i="9"/>
  <c r="AL49" i="9"/>
  <c r="AL36" i="9"/>
  <c r="AL110" i="9"/>
  <c r="AL70" i="9"/>
  <c r="AL99" i="9"/>
  <c r="AL48" i="9"/>
  <c r="AL29" i="9"/>
  <c r="AL64" i="9"/>
  <c r="AL146" i="9"/>
  <c r="AL23" i="9"/>
  <c r="AL128" i="9"/>
  <c r="AL109" i="9"/>
  <c r="AL35" i="9"/>
  <c r="AL58" i="9"/>
  <c r="AL130" i="9"/>
  <c r="AL95" i="9"/>
  <c r="AL62" i="9"/>
  <c r="AL98" i="9"/>
  <c r="AL155" i="9"/>
  <c r="AL12" i="9"/>
  <c r="AL79" i="9"/>
  <c r="AL138" i="9"/>
  <c r="AL44" i="9"/>
  <c r="AL91" i="9"/>
  <c r="AL43" i="9"/>
  <c r="AL132" i="9"/>
  <c r="AL47" i="9"/>
  <c r="AL143" i="9"/>
  <c r="AL100" i="9"/>
  <c r="AL89" i="9"/>
  <c r="AL68" i="9"/>
  <c r="AL147" i="9"/>
  <c r="AL60" i="9"/>
  <c r="AL115" i="9"/>
  <c r="AL87" i="9"/>
  <c r="AL163" i="9"/>
  <c r="AL30" i="9"/>
  <c r="AL127" i="9"/>
  <c r="AL27" i="9"/>
  <c r="AL41" i="9"/>
  <c r="AL165" i="9"/>
  <c r="AL46" i="9"/>
  <c r="AL18" i="9"/>
  <c r="AL103" i="9"/>
  <c r="AL55" i="9"/>
  <c r="AL78" i="9"/>
  <c r="AL90" i="9"/>
  <c r="AL97" i="9"/>
  <c r="AL83" i="9"/>
  <c r="AL129" i="9"/>
  <c r="AL85" i="9"/>
  <c r="AL22" i="9"/>
  <c r="AL131" i="9"/>
  <c r="AL28" i="9"/>
  <c r="AL140" i="9"/>
  <c r="AL13" i="9"/>
  <c r="AL120" i="9"/>
  <c r="AL88" i="9"/>
  <c r="AL10" i="9"/>
  <c r="AL74" i="9"/>
  <c r="AL38" i="9"/>
  <c r="AL121" i="9"/>
  <c r="AL77" i="9"/>
  <c r="AL11" i="9"/>
  <c r="AL63" i="9"/>
  <c r="AL9" i="9"/>
  <c r="AL116" i="9"/>
  <c r="AL42" i="9"/>
  <c r="AL66" i="9"/>
  <c r="AL65" i="9"/>
  <c r="AL76" i="9"/>
  <c r="AL145" i="9"/>
  <c r="AL72" i="9"/>
  <c r="AK20" i="9"/>
  <c r="CG152" i="9"/>
  <c r="CJ152" i="9" s="1"/>
  <c r="CK152" i="9" s="1"/>
  <c r="CH134" i="9"/>
  <c r="AI134" i="9"/>
  <c r="AI152" i="9" s="1"/>
  <c r="AI158" i="9" s="1"/>
  <c r="AI160" i="9" s="1"/>
  <c r="AI168" i="9" s="1"/>
  <c r="AB134" i="9"/>
  <c r="AB152" i="9" s="1"/>
  <c r="AB158" i="9" s="1"/>
  <c r="AB160" i="9" s="1"/>
  <c r="AB168" i="9" s="1"/>
  <c r="AL102" i="9"/>
  <c r="AL34" i="9"/>
  <c r="AL104" i="9"/>
  <c r="AL107" i="9"/>
  <c r="AL84" i="9"/>
  <c r="AL37" i="9"/>
  <c r="AF134" i="9"/>
  <c r="AF152" i="9" s="1"/>
  <c r="AF158" i="9" s="1"/>
  <c r="AF160" i="9" s="1"/>
  <c r="AF168" i="9" s="1"/>
  <c r="AL67" i="9"/>
  <c r="AL154" i="9"/>
  <c r="AL112" i="9"/>
  <c r="AL15" i="9"/>
  <c r="AL156" i="9"/>
  <c r="AL126" i="9"/>
  <c r="AL69" i="9"/>
  <c r="AL45" i="9"/>
  <c r="AL164" i="9"/>
  <c r="AL71" i="9"/>
  <c r="AL75" i="9"/>
  <c r="AL148" i="9"/>
  <c r="AL119" i="9"/>
  <c r="AL17" i="9"/>
  <c r="AL56" i="9"/>
  <c r="AL142" i="9"/>
  <c r="AG134" i="9"/>
  <c r="AG152" i="9" s="1"/>
  <c r="AG158" i="9" s="1"/>
  <c r="AG160" i="9" s="1"/>
  <c r="AG168" i="9" s="1"/>
  <c r="AL137" i="9"/>
  <c r="AL136" i="9"/>
  <c r="AL111" i="9"/>
  <c r="AL93" i="9"/>
  <c r="AL141" i="9"/>
  <c r="AL123" i="9"/>
  <c r="AL94" i="9"/>
  <c r="AD134" i="9"/>
  <c r="AD152" i="9" s="1"/>
  <c r="AD158" i="9" s="1"/>
  <c r="AD160" i="9" s="1"/>
  <c r="AD168" i="9" s="1"/>
  <c r="AJ134" i="9"/>
  <c r="AJ152" i="9" s="1"/>
  <c r="AJ158" i="9" s="1"/>
  <c r="AJ160" i="9" s="1"/>
  <c r="AJ168" i="9" s="1"/>
  <c r="AL39" i="9"/>
  <c r="AL166" i="9"/>
  <c r="AL33" i="9"/>
  <c r="AK32" i="9"/>
  <c r="D11" i="72"/>
  <c r="G209" i="4"/>
  <c r="G116" i="4"/>
  <c r="G134" i="4"/>
  <c r="E49" i="4"/>
  <c r="E52" i="4"/>
  <c r="K1134" i="63"/>
  <c r="K1135" i="63"/>
  <c r="K1136" i="63"/>
  <c r="K1137" i="63"/>
  <c r="K1138" i="63"/>
  <c r="K1139" i="63"/>
  <c r="K1140" i="63"/>
  <c r="K1141" i="63"/>
  <c r="K1142" i="63"/>
  <c r="K1143" i="63"/>
  <c r="K1144" i="63"/>
  <c r="K1145" i="63"/>
  <c r="K1146" i="63"/>
  <c r="K1147" i="63"/>
  <c r="K1148" i="63"/>
  <c r="K1149" i="63"/>
  <c r="K1150" i="63"/>
  <c r="K1151" i="63"/>
  <c r="K1152" i="63"/>
  <c r="K1153" i="63"/>
  <c r="K1154" i="63"/>
  <c r="K1155" i="63"/>
  <c r="K1156" i="63"/>
  <c r="K1157" i="63"/>
  <c r="K1158" i="63"/>
  <c r="K1159" i="63"/>
  <c r="K1160" i="63"/>
  <c r="K1161" i="63"/>
  <c r="K1162" i="63"/>
  <c r="K1163" i="63"/>
  <c r="K1164" i="63"/>
  <c r="K1165" i="63"/>
  <c r="K1166" i="63"/>
  <c r="K1167" i="63"/>
  <c r="K1168" i="63"/>
  <c r="K1169" i="63"/>
  <c r="K1170" i="63"/>
  <c r="K1171" i="63"/>
  <c r="K1172" i="63"/>
  <c r="K1173" i="63"/>
  <c r="K1174" i="63"/>
  <c r="K1175" i="63"/>
  <c r="K1176" i="63"/>
  <c r="K1177" i="63"/>
  <c r="K1178" i="63"/>
  <c r="K1179" i="63"/>
  <c r="K1180" i="63"/>
  <c r="K1181" i="63"/>
  <c r="K1182" i="63"/>
  <c r="K1183" i="63"/>
  <c r="K1184" i="63"/>
  <c r="K1185" i="63"/>
  <c r="K1186" i="63"/>
  <c r="K1187" i="63"/>
  <c r="K1188" i="63"/>
  <c r="K1189" i="63"/>
  <c r="K1190" i="63"/>
  <c r="K1191" i="63"/>
  <c r="K1192" i="63"/>
  <c r="K1193" i="63"/>
  <c r="K1194" i="63"/>
  <c r="K1195" i="63"/>
  <c r="K1196" i="63"/>
  <c r="K1197" i="63"/>
  <c r="K1198" i="63"/>
  <c r="K1199" i="63"/>
  <c r="K1200" i="63"/>
  <c r="K1201" i="63"/>
  <c r="K1202" i="63"/>
  <c r="K1203" i="63"/>
  <c r="K1204" i="63"/>
  <c r="K1205" i="63"/>
  <c r="K1206" i="63"/>
  <c r="K1207" i="63"/>
  <c r="K1208" i="63"/>
  <c r="K1209" i="63"/>
  <c r="K1210" i="63"/>
  <c r="K1211" i="63"/>
  <c r="K1212" i="63"/>
  <c r="K1213" i="63"/>
  <c r="K1214" i="63"/>
  <c r="K1215" i="63"/>
  <c r="K1216" i="63"/>
  <c r="K1217" i="63"/>
  <c r="K1218" i="63"/>
  <c r="K1219" i="63"/>
  <c r="K1220" i="63"/>
  <c r="K1221" i="63"/>
  <c r="K1222" i="63"/>
  <c r="K1223" i="63"/>
  <c r="K1224" i="63"/>
  <c r="K1225" i="63"/>
  <c r="K1226" i="63"/>
  <c r="K1227" i="63"/>
  <c r="K1228" i="63"/>
  <c r="K1229" i="63"/>
  <c r="K1230" i="63"/>
  <c r="K1231" i="63"/>
  <c r="K1232" i="63"/>
  <c r="K1233" i="63"/>
  <c r="K1234" i="63"/>
  <c r="K1235" i="63"/>
  <c r="K1236" i="63"/>
  <c r="K1237" i="63"/>
  <c r="K1238" i="63"/>
  <c r="K1239" i="63"/>
  <c r="K1240" i="63"/>
  <c r="K1241" i="63"/>
  <c r="K1242" i="63"/>
  <c r="K1243" i="63"/>
  <c r="K1244" i="63"/>
  <c r="K1245" i="63"/>
  <c r="K1246" i="63"/>
  <c r="K1247" i="63"/>
  <c r="K1248" i="63"/>
  <c r="K1249" i="63"/>
  <c r="K1250" i="63"/>
  <c r="K1251" i="63"/>
  <c r="K1252" i="63"/>
  <c r="K1253" i="63"/>
  <c r="K1254" i="63"/>
  <c r="K1255" i="63"/>
  <c r="K1256" i="63"/>
  <c r="K1257" i="63"/>
  <c r="K1258" i="63"/>
  <c r="K1259" i="63"/>
  <c r="K1260" i="63"/>
  <c r="K1261" i="63"/>
  <c r="K1262" i="63"/>
  <c r="K1263" i="63"/>
  <c r="K1264" i="63"/>
  <c r="K1265" i="63"/>
  <c r="K1266" i="63"/>
  <c r="K1267" i="63"/>
  <c r="K1268" i="63"/>
  <c r="K1269" i="63"/>
  <c r="K1270" i="63"/>
  <c r="K1271" i="63"/>
  <c r="K1272" i="63"/>
  <c r="K1273" i="63"/>
  <c r="K1274" i="63"/>
  <c r="K1275" i="63"/>
  <c r="K1276" i="63"/>
  <c r="K1277" i="63"/>
  <c r="K1278" i="63"/>
  <c r="K1279" i="63"/>
  <c r="K1280" i="63"/>
  <c r="K1281" i="63"/>
  <c r="K1282" i="63"/>
  <c r="K1283" i="63"/>
  <c r="K1284" i="63"/>
  <c r="K1285" i="63"/>
  <c r="K1286" i="63"/>
  <c r="K1287" i="63"/>
  <c r="K1288" i="63"/>
  <c r="K1289" i="63"/>
  <c r="K1290" i="63"/>
  <c r="K1291" i="63"/>
  <c r="K1292" i="63"/>
  <c r="K1293" i="63"/>
  <c r="K1294" i="63"/>
  <c r="K1295" i="63"/>
  <c r="K1296" i="63"/>
  <c r="K1297" i="63"/>
  <c r="K1298" i="63"/>
  <c r="K1299" i="63"/>
  <c r="K1300" i="63"/>
  <c r="K1301" i="63"/>
  <c r="K1302" i="63"/>
  <c r="K1303" i="63"/>
  <c r="K1304" i="63"/>
  <c r="K1305" i="63"/>
  <c r="K1306" i="63"/>
  <c r="K1307" i="63"/>
  <c r="K1308" i="63"/>
  <c r="K1309" i="63"/>
  <c r="K1310" i="63"/>
  <c r="K1311" i="63"/>
  <c r="K1312" i="63"/>
  <c r="K1313" i="63"/>
  <c r="K1314" i="63"/>
  <c r="K1315" i="63"/>
  <c r="K1316" i="63"/>
  <c r="K1317" i="63"/>
  <c r="K1318" i="63"/>
  <c r="K1319" i="63"/>
  <c r="K1320" i="63"/>
  <c r="K1321" i="63"/>
  <c r="K1322" i="63"/>
  <c r="K1323" i="63"/>
  <c r="K1324" i="63"/>
  <c r="K1325" i="63"/>
  <c r="K1326" i="63"/>
  <c r="K1327" i="63"/>
  <c r="K1328" i="63"/>
  <c r="K1329" i="63"/>
  <c r="K1330" i="63"/>
  <c r="K1331" i="63"/>
  <c r="K1332" i="63"/>
  <c r="K1333" i="63"/>
  <c r="K1334" i="63"/>
  <c r="K1335" i="63"/>
  <c r="K1336" i="63"/>
  <c r="K1337" i="63"/>
  <c r="K1338" i="63"/>
  <c r="K1339" i="63"/>
  <c r="K1340" i="63"/>
  <c r="K1341" i="63"/>
  <c r="K1342" i="63"/>
  <c r="K1343" i="63"/>
  <c r="K1344" i="63"/>
  <c r="K1345" i="63"/>
  <c r="K1346" i="63"/>
  <c r="K1347" i="63"/>
  <c r="K1348" i="63"/>
  <c r="K1349" i="63"/>
  <c r="K1350" i="63"/>
  <c r="K1351" i="63"/>
  <c r="K1352" i="63"/>
  <c r="K1353" i="63"/>
  <c r="K1354" i="63"/>
  <c r="K1355" i="63"/>
  <c r="K1356" i="63"/>
  <c r="K1357" i="63"/>
  <c r="K1358" i="63"/>
  <c r="K1359" i="63"/>
  <c r="K1360" i="63"/>
  <c r="K1361" i="63"/>
  <c r="K1362" i="63"/>
  <c r="K1363" i="63"/>
  <c r="K1364" i="63"/>
  <c r="K1365" i="63"/>
  <c r="K1366" i="63"/>
  <c r="K1367" i="63"/>
  <c r="K1368" i="63"/>
  <c r="K1369" i="63"/>
  <c r="K1370" i="63"/>
  <c r="K1371" i="63"/>
  <c r="K1372" i="63"/>
  <c r="K1373" i="63"/>
  <c r="K1374" i="63"/>
  <c r="K1375" i="63"/>
  <c r="K1376" i="63"/>
  <c r="K1377" i="63"/>
  <c r="K1378" i="63"/>
  <c r="K1379" i="63"/>
  <c r="K1380" i="63"/>
  <c r="K1381" i="63"/>
  <c r="K1382" i="63"/>
  <c r="K1383" i="63"/>
  <c r="K1384" i="63"/>
  <c r="K1385" i="63"/>
  <c r="K1386" i="63"/>
  <c r="K1387" i="63"/>
  <c r="K1388" i="63"/>
  <c r="K1389" i="63"/>
  <c r="K1390" i="63"/>
  <c r="K1391" i="63"/>
  <c r="K1392" i="63"/>
  <c r="K1393" i="63"/>
  <c r="K1394" i="63"/>
  <c r="K1395" i="63"/>
  <c r="K1396" i="63"/>
  <c r="K1397" i="63"/>
  <c r="K1398" i="63"/>
  <c r="K1399" i="63"/>
  <c r="K1400" i="63"/>
  <c r="K1401" i="63"/>
  <c r="K1402" i="63"/>
  <c r="K1403" i="63"/>
  <c r="K1404" i="63"/>
  <c r="K1405" i="63"/>
  <c r="K1406" i="63"/>
  <c r="K1407" i="63"/>
  <c r="K1408" i="63"/>
  <c r="K1409" i="63"/>
  <c r="K1410" i="63"/>
  <c r="K1411" i="63"/>
  <c r="K1412" i="63"/>
  <c r="K1413" i="63"/>
  <c r="K1414" i="63"/>
  <c r="K1415" i="63"/>
  <c r="K1416" i="63"/>
  <c r="K1417" i="63"/>
  <c r="K1418" i="63"/>
  <c r="K1419" i="63"/>
  <c r="K1420" i="63"/>
  <c r="K1421" i="63"/>
  <c r="K1422" i="63"/>
  <c r="K1423" i="63"/>
  <c r="K1424" i="63"/>
  <c r="K1425" i="63"/>
  <c r="K1426" i="63"/>
  <c r="K1427" i="63"/>
  <c r="K1428" i="63"/>
  <c r="K1429" i="63"/>
  <c r="K1430" i="63"/>
  <c r="K1431" i="63"/>
  <c r="K1432" i="63"/>
  <c r="K1433" i="63"/>
  <c r="K1434" i="63"/>
  <c r="K1435" i="63"/>
  <c r="K1436" i="63"/>
  <c r="K1437" i="63"/>
  <c r="K1438" i="63"/>
  <c r="K1439" i="63"/>
  <c r="K1440" i="63"/>
  <c r="K1441" i="63"/>
  <c r="K1442" i="63"/>
  <c r="K1443" i="63"/>
  <c r="K1444" i="63"/>
  <c r="K1445" i="63"/>
  <c r="K1446" i="63"/>
  <c r="K1447" i="63"/>
  <c r="K1448" i="63"/>
  <c r="K1449" i="63"/>
  <c r="K1450" i="63"/>
  <c r="K1451" i="63"/>
  <c r="K1452" i="63"/>
  <c r="K1453" i="63"/>
  <c r="K1454" i="63"/>
  <c r="K1455" i="63"/>
  <c r="K1456" i="63"/>
  <c r="K1457" i="63"/>
  <c r="K1458" i="63"/>
  <c r="K1459" i="63"/>
  <c r="K1460" i="63"/>
  <c r="K1461" i="63"/>
  <c r="K1462" i="63"/>
  <c r="K1463" i="63"/>
  <c r="K1464" i="63"/>
  <c r="K1465" i="63"/>
  <c r="K1466" i="63"/>
  <c r="K1467" i="63"/>
  <c r="K1468" i="63"/>
  <c r="K1469" i="63"/>
  <c r="K1470" i="63"/>
  <c r="K1471" i="63"/>
  <c r="K1472" i="63"/>
  <c r="K1473" i="63"/>
  <c r="K1474" i="63"/>
  <c r="K1475" i="63"/>
  <c r="K1476" i="63"/>
  <c r="K1477" i="63"/>
  <c r="K1478" i="63"/>
  <c r="K1479" i="63"/>
  <c r="K1480" i="63"/>
  <c r="K1481" i="63"/>
  <c r="K1482" i="63"/>
  <c r="K1483" i="63"/>
  <c r="K1484" i="63"/>
  <c r="K1485" i="63"/>
  <c r="K1486" i="63"/>
  <c r="K1487" i="63"/>
  <c r="K1488" i="63"/>
  <c r="K1489" i="63"/>
  <c r="K1490" i="63"/>
  <c r="K1491" i="63"/>
  <c r="K1492" i="63"/>
  <c r="K1493" i="63"/>
  <c r="K1494" i="63"/>
  <c r="K1495" i="63"/>
  <c r="K1496" i="63"/>
  <c r="K1497" i="63"/>
  <c r="K1498" i="63"/>
  <c r="K1499" i="63"/>
  <c r="K1500" i="63"/>
  <c r="K1501" i="63"/>
  <c r="K1502" i="63"/>
  <c r="K1503" i="63"/>
  <c r="K1504" i="63"/>
  <c r="K1505" i="63"/>
  <c r="K1506" i="63"/>
  <c r="K1507" i="63"/>
  <c r="K1508" i="63"/>
  <c r="K1509" i="63"/>
  <c r="K1510" i="63"/>
  <c r="K1511" i="63"/>
  <c r="K1512" i="63"/>
  <c r="K1513" i="63"/>
  <c r="K1514" i="63"/>
  <c r="K1515" i="63"/>
  <c r="K1516" i="63"/>
  <c r="K1517" i="63"/>
  <c r="K1518" i="63"/>
  <c r="K1519" i="63"/>
  <c r="K1520" i="63"/>
  <c r="K1521" i="63"/>
  <c r="K1522" i="63"/>
  <c r="K1523" i="63"/>
  <c r="K1524" i="63"/>
  <c r="K1525" i="63"/>
  <c r="K1526" i="63"/>
  <c r="K1527" i="63"/>
  <c r="K1528" i="63"/>
  <c r="K1529" i="63"/>
  <c r="K1530" i="63"/>
  <c r="K1531" i="63"/>
  <c r="K1532" i="63"/>
  <c r="K1533" i="63"/>
  <c r="K1534" i="63"/>
  <c r="K1535" i="63"/>
  <c r="K1536" i="63"/>
  <c r="K1537" i="63"/>
  <c r="K1538" i="63"/>
  <c r="K1539" i="63"/>
  <c r="K1540" i="63"/>
  <c r="K1541" i="63"/>
  <c r="K1542" i="63"/>
  <c r="K1543" i="63"/>
  <c r="K1544" i="63"/>
  <c r="K1545" i="63"/>
  <c r="K1546" i="63"/>
  <c r="K1547" i="63"/>
  <c r="K1548" i="63"/>
  <c r="K1549" i="63"/>
  <c r="K1550" i="63"/>
  <c r="K1551" i="63"/>
  <c r="K1552" i="63"/>
  <c r="K1553" i="63"/>
  <c r="K1554" i="63"/>
  <c r="K1555" i="63"/>
  <c r="K1556" i="63"/>
  <c r="K1557" i="63"/>
  <c r="K1558" i="63"/>
  <c r="K1559" i="63"/>
  <c r="K1560" i="63"/>
  <c r="K1561" i="63"/>
  <c r="K1562" i="63"/>
  <c r="K1563" i="63"/>
  <c r="K1564" i="63"/>
  <c r="K1565" i="63"/>
  <c r="K1566" i="63"/>
  <c r="K1567" i="63"/>
  <c r="K1568" i="63"/>
  <c r="K1569" i="63"/>
  <c r="K1570" i="63"/>
  <c r="K1571" i="63"/>
  <c r="K1572" i="63"/>
  <c r="K1573" i="63"/>
  <c r="K1574" i="63"/>
  <c r="K1575" i="63"/>
  <c r="K1576" i="63"/>
  <c r="K1577" i="63"/>
  <c r="K1578" i="63"/>
  <c r="K1579" i="63"/>
  <c r="K1580" i="63"/>
  <c r="K1581" i="63"/>
  <c r="K1582" i="63"/>
  <c r="K1583" i="63"/>
  <c r="K1584" i="63"/>
  <c r="K1585" i="63"/>
  <c r="K1586" i="63"/>
  <c r="K1587" i="63"/>
  <c r="K1588" i="63"/>
  <c r="K1589" i="63"/>
  <c r="K1590" i="63"/>
  <c r="K1591" i="63"/>
  <c r="K1592" i="63"/>
  <c r="K1593" i="63"/>
  <c r="K1594" i="63"/>
  <c r="K1595" i="63"/>
  <c r="K1596" i="63"/>
  <c r="K1597" i="63"/>
  <c r="K1598" i="63"/>
  <c r="K1599" i="63"/>
  <c r="K1600" i="63"/>
  <c r="K1601" i="63"/>
  <c r="K1602" i="63"/>
  <c r="K1603" i="63"/>
  <c r="K1604" i="63"/>
  <c r="K1605" i="63"/>
  <c r="K1606" i="63"/>
  <c r="K1607" i="63"/>
  <c r="K1608" i="63"/>
  <c r="K1609" i="63"/>
  <c r="K1610" i="63"/>
  <c r="K1611" i="63"/>
  <c r="K1612" i="63"/>
  <c r="K1613" i="63"/>
  <c r="K1614" i="63"/>
  <c r="K1615" i="63"/>
  <c r="K1616" i="63"/>
  <c r="K1617" i="63"/>
  <c r="K1618" i="63"/>
  <c r="K1619" i="63"/>
  <c r="K1620" i="63"/>
  <c r="K1621" i="63"/>
  <c r="K1622" i="63"/>
  <c r="K1623" i="63"/>
  <c r="K1624" i="63"/>
  <c r="K1625" i="63"/>
  <c r="K1626" i="63"/>
  <c r="K1627" i="63"/>
  <c r="K1628" i="63"/>
  <c r="K1629" i="63"/>
  <c r="K1630" i="63"/>
  <c r="K1631" i="63"/>
  <c r="K1632" i="63"/>
  <c r="K1633" i="63"/>
  <c r="K1634" i="63"/>
  <c r="K1635" i="63"/>
  <c r="K1636" i="63"/>
  <c r="K1637" i="63"/>
  <c r="K1638" i="63"/>
  <c r="K1639" i="63"/>
  <c r="K1640" i="63"/>
  <c r="K1641" i="63"/>
  <c r="K1642" i="63"/>
  <c r="K1643" i="63"/>
  <c r="K1644" i="63"/>
  <c r="K1645" i="63"/>
  <c r="K1646" i="63"/>
  <c r="K1647" i="63"/>
  <c r="K1648" i="63"/>
  <c r="K1649" i="63"/>
  <c r="K1650" i="63"/>
  <c r="K1651" i="63"/>
  <c r="K1652" i="63"/>
  <c r="K1653" i="63"/>
  <c r="K1654" i="63"/>
  <c r="K1655" i="63"/>
  <c r="K1656" i="63"/>
  <c r="K1657" i="63"/>
  <c r="K1658" i="63"/>
  <c r="K1659" i="63"/>
  <c r="K1660" i="63"/>
  <c r="K1661" i="63"/>
  <c r="K1662" i="63"/>
  <c r="K1663" i="63"/>
  <c r="K1664" i="63"/>
  <c r="K1665" i="63"/>
  <c r="K1666" i="63"/>
  <c r="K1667" i="63"/>
  <c r="K1668" i="63"/>
  <c r="K1669" i="63"/>
  <c r="K1670" i="63"/>
  <c r="K1671" i="63"/>
  <c r="K1672" i="63"/>
  <c r="K1673" i="63"/>
  <c r="K1674" i="63"/>
  <c r="K1675" i="63"/>
  <c r="K1676" i="63"/>
  <c r="K1677" i="63"/>
  <c r="K1678" i="63"/>
  <c r="K1679" i="63"/>
  <c r="K1680" i="63"/>
  <c r="K1681" i="63"/>
  <c r="K1682" i="63"/>
  <c r="K1683" i="63"/>
  <c r="K1684" i="63"/>
  <c r="K1685" i="63"/>
  <c r="K1686" i="63"/>
  <c r="K1687" i="63"/>
  <c r="K1688" i="63"/>
  <c r="K1689" i="63"/>
  <c r="K1690" i="63"/>
  <c r="K1691" i="63"/>
  <c r="K1692" i="63"/>
  <c r="K1693" i="63"/>
  <c r="K1694" i="63"/>
  <c r="K1695" i="63"/>
  <c r="K1696" i="63"/>
  <c r="K1697" i="63"/>
  <c r="K1698" i="63"/>
  <c r="K1699" i="63"/>
  <c r="K1700" i="63"/>
  <c r="K1701" i="63"/>
  <c r="K1702" i="63"/>
  <c r="K1703" i="63"/>
  <c r="K1704" i="63"/>
  <c r="K1705" i="63"/>
  <c r="K1706" i="63"/>
  <c r="K1707" i="63"/>
  <c r="K1708" i="63"/>
  <c r="K1709" i="63"/>
  <c r="K1710" i="63"/>
  <c r="K1711" i="63"/>
  <c r="K1712" i="63"/>
  <c r="K1713" i="63"/>
  <c r="K1714" i="63"/>
  <c r="K1715" i="63"/>
  <c r="K1716" i="63"/>
  <c r="K1717" i="63"/>
  <c r="K1718" i="63"/>
  <c r="K1719" i="63"/>
  <c r="K1720" i="63"/>
  <c r="K1721" i="63"/>
  <c r="K1722" i="63"/>
  <c r="K1723" i="63"/>
  <c r="K1724" i="63"/>
  <c r="K1725" i="63"/>
  <c r="K1726" i="63"/>
  <c r="K1727" i="63"/>
  <c r="K1728" i="63"/>
  <c r="K1729" i="63"/>
  <c r="K1730" i="63"/>
  <c r="K1731" i="63"/>
  <c r="K1732" i="63"/>
  <c r="K1733" i="63"/>
  <c r="K1734" i="63"/>
  <c r="K1735" i="63"/>
  <c r="K1736" i="63"/>
  <c r="K1737" i="63"/>
  <c r="K1738" i="63"/>
  <c r="K1739" i="63"/>
  <c r="K1740" i="63"/>
  <c r="K1741" i="63"/>
  <c r="K1742" i="63"/>
  <c r="K1743" i="63"/>
  <c r="K1744" i="63"/>
  <c r="K1745" i="63"/>
  <c r="K1746" i="63"/>
  <c r="K1747" i="63"/>
  <c r="K1748" i="63"/>
  <c r="K1749" i="63"/>
  <c r="K1750" i="63"/>
  <c r="K1751" i="63"/>
  <c r="K1752" i="63"/>
  <c r="K1753" i="63"/>
  <c r="K1754" i="63"/>
  <c r="K1755" i="63"/>
  <c r="K1756" i="63"/>
  <c r="K1757" i="63"/>
  <c r="K1758" i="63"/>
  <c r="K1759" i="63"/>
  <c r="K1760" i="63"/>
  <c r="K1761" i="63"/>
  <c r="K1762" i="63"/>
  <c r="K1763" i="63"/>
  <c r="K1764" i="63"/>
  <c r="K1765" i="63"/>
  <c r="K1766" i="63"/>
  <c r="K1767" i="63"/>
  <c r="K1768" i="63"/>
  <c r="K1769" i="63"/>
  <c r="K1770" i="63"/>
  <c r="K1771" i="63"/>
  <c r="K1772" i="63"/>
  <c r="K1773" i="63"/>
  <c r="K1774" i="63"/>
  <c r="K1775" i="63"/>
  <c r="K1776" i="63"/>
  <c r="K1777" i="63"/>
  <c r="K1778" i="63"/>
  <c r="K1779" i="63"/>
  <c r="K1780" i="63"/>
  <c r="K1781" i="63"/>
  <c r="K1782" i="63"/>
  <c r="K1783" i="63"/>
  <c r="K1784" i="63"/>
  <c r="K1785" i="63"/>
  <c r="K1786" i="63"/>
  <c r="K1787" i="63"/>
  <c r="K1788" i="63"/>
  <c r="K1789" i="63"/>
  <c r="K1790" i="63"/>
  <c r="K1791" i="63"/>
  <c r="K1792" i="63"/>
  <c r="K1793" i="63"/>
  <c r="K1794" i="63"/>
  <c r="K1795" i="63"/>
  <c r="K1796" i="63"/>
  <c r="K1797" i="63"/>
  <c r="K1798" i="63"/>
  <c r="K1799" i="63"/>
  <c r="K1800" i="63"/>
  <c r="K1801" i="63"/>
  <c r="K1802" i="63"/>
  <c r="K1803" i="63"/>
  <c r="K1804" i="63"/>
  <c r="K1805" i="63"/>
  <c r="K1806" i="63"/>
  <c r="K1807" i="63"/>
  <c r="K1808" i="63"/>
  <c r="K1809" i="63"/>
  <c r="K1810" i="63"/>
  <c r="K1811" i="63"/>
  <c r="K1812" i="63"/>
  <c r="K1813" i="63"/>
  <c r="K1814" i="63"/>
  <c r="K1815" i="63"/>
  <c r="K1816" i="63"/>
  <c r="K1817" i="63"/>
  <c r="K1818" i="63"/>
  <c r="K1819" i="63"/>
  <c r="K1820" i="63"/>
  <c r="K1821" i="63"/>
  <c r="K1822" i="63"/>
  <c r="K1823" i="63"/>
  <c r="K1824" i="63"/>
  <c r="K1825" i="63"/>
  <c r="K1826" i="63"/>
  <c r="K1827" i="63"/>
  <c r="K1828" i="63"/>
  <c r="K1829" i="63"/>
  <c r="K1830" i="63"/>
  <c r="K1831" i="63"/>
  <c r="K1832" i="63"/>
  <c r="K1833" i="63"/>
  <c r="K1834" i="63"/>
  <c r="K1835" i="63"/>
  <c r="K1836" i="63"/>
  <c r="K1837" i="63"/>
  <c r="K1838" i="63"/>
  <c r="K1839" i="63"/>
  <c r="K1840" i="63"/>
  <c r="K1841" i="63"/>
  <c r="K1842" i="63"/>
  <c r="K1843" i="63"/>
  <c r="K1844" i="63"/>
  <c r="K1845" i="63"/>
  <c r="K1846" i="63"/>
  <c r="K1847" i="63"/>
  <c r="K1848" i="63"/>
  <c r="K1849" i="63"/>
  <c r="K1850" i="63"/>
  <c r="K1851" i="63"/>
  <c r="K1852" i="63"/>
  <c r="K1853" i="63"/>
  <c r="K1854" i="63"/>
  <c r="K1855" i="63"/>
  <c r="K1856" i="63"/>
  <c r="K1857" i="63"/>
  <c r="K1858" i="63"/>
  <c r="K1859" i="63"/>
  <c r="K1860" i="63"/>
  <c r="K1861" i="63"/>
  <c r="K1862" i="63"/>
  <c r="K1863" i="63"/>
  <c r="K1864" i="63"/>
  <c r="K1865" i="63"/>
  <c r="K1866" i="63"/>
  <c r="K1867" i="63"/>
  <c r="K1868" i="63"/>
  <c r="K1869" i="63"/>
  <c r="K1870" i="63"/>
  <c r="K1871" i="63"/>
  <c r="K1872" i="63"/>
  <c r="K1873" i="63"/>
  <c r="K1874" i="63"/>
  <c r="K1875" i="63"/>
  <c r="K1876" i="63"/>
  <c r="K1877" i="63"/>
  <c r="K1878" i="63"/>
  <c r="K1879" i="63"/>
  <c r="K1880" i="63"/>
  <c r="K1881" i="63"/>
  <c r="K1882" i="63"/>
  <c r="K1883" i="63"/>
  <c r="K1884" i="63"/>
  <c r="K1885" i="63"/>
  <c r="K1886" i="63"/>
  <c r="K1887" i="63"/>
  <c r="K1888" i="63"/>
  <c r="K1889" i="63"/>
  <c r="K1890" i="63"/>
  <c r="K1891" i="63"/>
  <c r="K1892" i="63"/>
  <c r="K1893" i="63"/>
  <c r="K1894" i="63"/>
  <c r="K1895" i="63"/>
  <c r="K1896" i="63"/>
  <c r="K1897" i="63"/>
  <c r="K1898" i="63"/>
  <c r="K1899" i="63"/>
  <c r="K1900" i="63"/>
  <c r="K1901" i="63"/>
  <c r="K1902" i="63"/>
  <c r="K1903" i="63"/>
  <c r="K1904" i="63"/>
  <c r="K1905" i="63"/>
  <c r="K1906" i="63"/>
  <c r="K1907" i="63"/>
  <c r="K1908" i="63"/>
  <c r="K1909" i="63"/>
  <c r="K1910" i="63"/>
  <c r="K1911" i="63"/>
  <c r="K1912" i="63"/>
  <c r="K1913" i="63"/>
  <c r="K1914" i="63"/>
  <c r="K1915" i="63"/>
  <c r="K1916" i="63"/>
  <c r="K1917" i="63"/>
  <c r="K1918" i="63"/>
  <c r="K1919" i="63"/>
  <c r="K1920" i="63"/>
  <c r="K1921" i="63"/>
  <c r="K1922" i="63"/>
  <c r="K1923" i="63"/>
  <c r="K1924" i="63"/>
  <c r="K1925" i="63"/>
  <c r="K1926" i="63"/>
  <c r="K1927" i="63"/>
  <c r="K1928" i="63"/>
  <c r="K1929" i="63"/>
  <c r="K1930" i="63"/>
  <c r="K1931" i="63"/>
  <c r="K1932" i="63"/>
  <c r="K1933" i="63"/>
  <c r="K1934" i="63"/>
  <c r="K1935" i="63"/>
  <c r="K1936" i="63"/>
  <c r="E66" i="4"/>
  <c r="K1966" i="67"/>
  <c r="K1967" i="67"/>
  <c r="K1968" i="67"/>
  <c r="K1969" i="67"/>
  <c r="K1970" i="67"/>
  <c r="K1971" i="67"/>
  <c r="K1972" i="67"/>
  <c r="K1973" i="67"/>
  <c r="K1974" i="67"/>
  <c r="K1975" i="67"/>
  <c r="K1976" i="67"/>
  <c r="BV160" i="9" l="1"/>
  <c r="BU168" i="9"/>
  <c r="BV168" i="9" s="1"/>
  <c r="BJ160" i="9"/>
  <c r="BI168" i="9"/>
  <c r="BJ168" i="9" s="1"/>
  <c r="E41" i="17"/>
  <c r="E40" i="17"/>
  <c r="F12" i="17"/>
  <c r="F23" i="17" s="1"/>
  <c r="F28" i="17" s="1"/>
  <c r="F29" i="17" s="1"/>
  <c r="F31" i="17" s="1"/>
  <c r="F39" i="17" s="1"/>
  <c r="AL20" i="9"/>
  <c r="AX158" i="9"/>
  <c r="AW160" i="9"/>
  <c r="AK134" i="9"/>
  <c r="AL134" i="9" s="1"/>
  <c r="CG158" i="9"/>
  <c r="CJ158" i="9" s="1"/>
  <c r="CK158" i="9" s="1"/>
  <c r="CH152" i="9"/>
  <c r="AL32" i="9"/>
  <c r="Y23" i="9"/>
  <c r="CM23" i="9" s="1"/>
  <c r="Y24" i="9"/>
  <c r="CM24" i="9" s="1"/>
  <c r="Y25" i="9"/>
  <c r="CM25" i="9" s="1"/>
  <c r="X166" i="9"/>
  <c r="W166" i="9"/>
  <c r="V166" i="9"/>
  <c r="U166" i="9"/>
  <c r="T166" i="9"/>
  <c r="S166" i="9"/>
  <c r="R166" i="9"/>
  <c r="Q166" i="9"/>
  <c r="P166" i="9"/>
  <c r="Y165" i="9"/>
  <c r="Y164" i="9"/>
  <c r="P22" i="9"/>
  <c r="Q22" i="9"/>
  <c r="R22" i="9"/>
  <c r="S22" i="9"/>
  <c r="T22" i="9"/>
  <c r="U22" i="9"/>
  <c r="V22" i="9"/>
  <c r="W22" i="9"/>
  <c r="X22" i="9"/>
  <c r="P33" i="9"/>
  <c r="Q33" i="9"/>
  <c r="R33" i="9"/>
  <c r="S33" i="9"/>
  <c r="T33" i="9"/>
  <c r="U33" i="9"/>
  <c r="V33" i="9"/>
  <c r="W33" i="9"/>
  <c r="X33" i="9"/>
  <c r="X163" i="9"/>
  <c r="W163" i="9"/>
  <c r="V163" i="9"/>
  <c r="U163" i="9"/>
  <c r="T163" i="9"/>
  <c r="S163" i="9"/>
  <c r="R163" i="9"/>
  <c r="Q163" i="9"/>
  <c r="P163" i="9"/>
  <c r="Y156" i="9"/>
  <c r="Y155" i="9"/>
  <c r="X154" i="9"/>
  <c r="W154" i="9"/>
  <c r="V154" i="9"/>
  <c r="U154" i="9"/>
  <c r="T154" i="9"/>
  <c r="S154" i="9"/>
  <c r="R154" i="9"/>
  <c r="Q154" i="9"/>
  <c r="P154" i="9"/>
  <c r="Y149" i="9"/>
  <c r="Y148" i="9"/>
  <c r="Y147" i="9"/>
  <c r="Y146" i="9"/>
  <c r="Y145" i="9"/>
  <c r="Y144" i="9"/>
  <c r="Y143" i="9"/>
  <c r="Y142" i="9"/>
  <c r="X141" i="9"/>
  <c r="W141" i="9"/>
  <c r="V141" i="9"/>
  <c r="U141" i="9"/>
  <c r="T141" i="9"/>
  <c r="S141" i="9"/>
  <c r="R141" i="9"/>
  <c r="Q141" i="9"/>
  <c r="P141" i="9"/>
  <c r="Y140" i="9"/>
  <c r="Y139" i="9"/>
  <c r="Y138" i="9"/>
  <c r="Y137" i="9"/>
  <c r="X136" i="9"/>
  <c r="W136" i="9"/>
  <c r="V136" i="9"/>
  <c r="U136" i="9"/>
  <c r="T136" i="9"/>
  <c r="S136" i="9"/>
  <c r="R136" i="9"/>
  <c r="Q136" i="9"/>
  <c r="P136" i="9"/>
  <c r="Y132" i="9"/>
  <c r="Y131" i="9"/>
  <c r="Y130" i="9"/>
  <c r="Y129" i="9"/>
  <c r="Y128" i="9"/>
  <c r="Y127" i="9"/>
  <c r="Y126" i="9"/>
  <c r="Y125" i="9"/>
  <c r="Y124" i="9"/>
  <c r="X123" i="9"/>
  <c r="W123" i="9"/>
  <c r="V123" i="9"/>
  <c r="U123" i="9"/>
  <c r="T123" i="9"/>
  <c r="S123" i="9"/>
  <c r="R123" i="9"/>
  <c r="Q123" i="9"/>
  <c r="P123" i="9"/>
  <c r="Y122" i="9"/>
  <c r="Y121" i="9"/>
  <c r="Y120" i="9"/>
  <c r="Y119" i="9"/>
  <c r="X118" i="9"/>
  <c r="W118" i="9"/>
  <c r="V118" i="9"/>
  <c r="U118" i="9"/>
  <c r="T118" i="9"/>
  <c r="S118" i="9"/>
  <c r="R118" i="9"/>
  <c r="Q118" i="9"/>
  <c r="P118" i="9"/>
  <c r="Y116" i="9"/>
  <c r="Y115" i="9"/>
  <c r="Y114" i="9"/>
  <c r="Y113" i="9"/>
  <c r="Y112" i="9"/>
  <c r="Y111" i="9"/>
  <c r="Y110" i="9"/>
  <c r="Y109" i="9"/>
  <c r="Y108" i="9"/>
  <c r="Y107" i="9"/>
  <c r="Y106" i="9"/>
  <c r="Y105" i="9"/>
  <c r="Y104" i="9"/>
  <c r="Y103" i="9"/>
  <c r="Y102" i="9"/>
  <c r="Y101" i="9"/>
  <c r="Y100" i="9"/>
  <c r="Y99" i="9"/>
  <c r="Y98" i="9"/>
  <c r="Y97" i="9"/>
  <c r="Y96" i="9"/>
  <c r="Y95" i="9"/>
  <c r="Y93" i="9"/>
  <c r="Y92" i="9"/>
  <c r="Y91" i="9"/>
  <c r="Y90" i="9"/>
  <c r="Y89" i="9"/>
  <c r="Y88" i="9"/>
  <c r="Y87" i="9"/>
  <c r="Y86" i="9"/>
  <c r="Y85" i="9"/>
  <c r="Y84" i="9"/>
  <c r="Y83" i="9"/>
  <c r="Y82" i="9"/>
  <c r="Y81" i="9"/>
  <c r="Y80" i="9"/>
  <c r="Y79" i="9"/>
  <c r="Y78" i="9"/>
  <c r="Y77" i="9"/>
  <c r="Y76" i="9"/>
  <c r="Y75" i="9"/>
  <c r="Y74" i="9"/>
  <c r="Y73" i="9"/>
  <c r="Y72" i="9"/>
  <c r="Y71" i="9"/>
  <c r="Y70" i="9"/>
  <c r="Y69" i="9"/>
  <c r="Y68" i="9"/>
  <c r="X67" i="9"/>
  <c r="W67" i="9"/>
  <c r="V67" i="9"/>
  <c r="U67" i="9"/>
  <c r="T67" i="9"/>
  <c r="S67" i="9"/>
  <c r="R67" i="9"/>
  <c r="Q67" i="9"/>
  <c r="P67" i="9"/>
  <c r="Y66" i="9"/>
  <c r="Y65" i="9"/>
  <c r="Y64" i="9"/>
  <c r="Y63" i="9"/>
  <c r="Y62" i="9"/>
  <c r="Y61" i="9"/>
  <c r="Y60" i="9"/>
  <c r="Y59" i="9"/>
  <c r="Y58" i="9"/>
  <c r="Y57" i="9"/>
  <c r="Y56" i="9"/>
  <c r="Y55" i="9"/>
  <c r="Y54" i="9"/>
  <c r="Y53" i="9"/>
  <c r="Y52" i="9"/>
  <c r="Y51" i="9"/>
  <c r="Y50" i="9"/>
  <c r="Y49" i="9"/>
  <c r="Y48" i="9"/>
  <c r="Y47" i="9"/>
  <c r="Y46" i="9"/>
  <c r="Y45" i="9"/>
  <c r="Y44" i="9"/>
  <c r="Y43" i="9"/>
  <c r="Y42" i="9"/>
  <c r="Y41" i="9"/>
  <c r="Y40" i="9"/>
  <c r="X39" i="9"/>
  <c r="W39" i="9"/>
  <c r="V39" i="9"/>
  <c r="U39" i="9"/>
  <c r="T39" i="9"/>
  <c r="S39" i="9"/>
  <c r="R39" i="9"/>
  <c r="Q39" i="9"/>
  <c r="P39" i="9"/>
  <c r="Y38" i="9"/>
  <c r="Y37" i="9"/>
  <c r="Y36" i="9"/>
  <c r="Y35" i="9"/>
  <c r="Y34" i="9"/>
  <c r="Y31" i="9"/>
  <c r="CM31" i="9" s="1"/>
  <c r="Y30" i="9"/>
  <c r="CM30" i="9" s="1"/>
  <c r="Y29" i="9"/>
  <c r="CM29" i="9" s="1"/>
  <c r="Y28" i="9"/>
  <c r="CM28" i="9" s="1"/>
  <c r="Y27" i="9"/>
  <c r="CM27" i="9" s="1"/>
  <c r="Y26" i="9"/>
  <c r="CM26" i="9" s="1"/>
  <c r="Y18" i="9"/>
  <c r="Y17" i="9"/>
  <c r="CM17" i="9" s="1"/>
  <c r="Y16" i="9"/>
  <c r="X15" i="9"/>
  <c r="W15" i="9"/>
  <c r="V15" i="9"/>
  <c r="U15" i="9"/>
  <c r="T15" i="9"/>
  <c r="S15" i="9"/>
  <c r="R15" i="9"/>
  <c r="Q15" i="9"/>
  <c r="P15" i="9"/>
  <c r="X13" i="9"/>
  <c r="W13" i="9"/>
  <c r="V13" i="9"/>
  <c r="U13" i="9"/>
  <c r="T13" i="9"/>
  <c r="S13" i="9"/>
  <c r="R13" i="9"/>
  <c r="Q13" i="9"/>
  <c r="P13" i="9"/>
  <c r="Y12" i="9"/>
  <c r="Y11" i="9"/>
  <c r="CM11" i="9" s="1"/>
  <c r="Y10" i="9"/>
  <c r="Y9" i="9"/>
  <c r="K5" i="63"/>
  <c r="K6" i="63"/>
  <c r="K7" i="63"/>
  <c r="K8" i="63"/>
  <c r="K9" i="63"/>
  <c r="K10" i="63"/>
  <c r="K11" i="63"/>
  <c r="K12" i="63"/>
  <c r="K13" i="63"/>
  <c r="K14" i="63"/>
  <c r="K15" i="63"/>
  <c r="K16" i="63"/>
  <c r="K17" i="63"/>
  <c r="K18" i="63"/>
  <c r="K19" i="63"/>
  <c r="K20" i="63"/>
  <c r="K21" i="63"/>
  <c r="K22" i="63"/>
  <c r="K23" i="63"/>
  <c r="K24" i="63"/>
  <c r="K25" i="63"/>
  <c r="K26" i="63"/>
  <c r="K27" i="63"/>
  <c r="K28" i="63"/>
  <c r="K29" i="63"/>
  <c r="K30" i="63"/>
  <c r="K31" i="63"/>
  <c r="K32" i="63"/>
  <c r="K33" i="63"/>
  <c r="K34" i="63"/>
  <c r="K35" i="63"/>
  <c r="K36" i="63"/>
  <c r="K37" i="63"/>
  <c r="K38" i="63"/>
  <c r="K39" i="63"/>
  <c r="K40" i="63"/>
  <c r="K41" i="63"/>
  <c r="K42" i="63"/>
  <c r="K43" i="63"/>
  <c r="K44" i="63"/>
  <c r="K45" i="63"/>
  <c r="K46" i="63"/>
  <c r="K47" i="63"/>
  <c r="K48" i="63"/>
  <c r="K49" i="63"/>
  <c r="K50" i="63"/>
  <c r="K51" i="63"/>
  <c r="K52" i="63"/>
  <c r="K53" i="63"/>
  <c r="K54" i="63"/>
  <c r="K55" i="63"/>
  <c r="K56" i="63"/>
  <c r="K57" i="63"/>
  <c r="K58" i="63"/>
  <c r="K59" i="63"/>
  <c r="K60" i="63"/>
  <c r="K61" i="63"/>
  <c r="K62" i="63"/>
  <c r="K63" i="63"/>
  <c r="K64" i="63"/>
  <c r="K65" i="63"/>
  <c r="K66" i="63"/>
  <c r="K67" i="63"/>
  <c r="K68" i="63"/>
  <c r="K69" i="63"/>
  <c r="K70" i="63"/>
  <c r="K71" i="63"/>
  <c r="K72" i="63"/>
  <c r="K73" i="63"/>
  <c r="K74" i="63"/>
  <c r="K75" i="63"/>
  <c r="K76" i="63"/>
  <c r="K77" i="63"/>
  <c r="K78" i="63"/>
  <c r="K79" i="63"/>
  <c r="K80" i="63"/>
  <c r="K81" i="63"/>
  <c r="K82" i="63"/>
  <c r="K83" i="63"/>
  <c r="K84" i="63"/>
  <c r="K85" i="63"/>
  <c r="K86" i="63"/>
  <c r="K87" i="63"/>
  <c r="K88" i="63"/>
  <c r="K89" i="63"/>
  <c r="K90" i="63"/>
  <c r="K91" i="63"/>
  <c r="K92" i="63"/>
  <c r="K93" i="63"/>
  <c r="K94" i="63"/>
  <c r="K95" i="63"/>
  <c r="K96" i="63"/>
  <c r="K97" i="63"/>
  <c r="K98" i="63"/>
  <c r="K99" i="63"/>
  <c r="K100" i="63"/>
  <c r="K101" i="63"/>
  <c r="K102" i="63"/>
  <c r="K103" i="63"/>
  <c r="K104" i="63"/>
  <c r="K105" i="63"/>
  <c r="K106" i="63"/>
  <c r="K107" i="63"/>
  <c r="K108" i="63"/>
  <c r="K109" i="63"/>
  <c r="K110" i="63"/>
  <c r="K111" i="63"/>
  <c r="K112" i="63"/>
  <c r="K113" i="63"/>
  <c r="K114" i="63"/>
  <c r="K115" i="63"/>
  <c r="K116" i="63"/>
  <c r="K117" i="63"/>
  <c r="K118" i="63"/>
  <c r="K119" i="63"/>
  <c r="K120" i="63"/>
  <c r="K121" i="63"/>
  <c r="K122" i="63"/>
  <c r="K123" i="63"/>
  <c r="K124" i="63"/>
  <c r="K125" i="63"/>
  <c r="K126" i="63"/>
  <c r="K127" i="63"/>
  <c r="K128" i="63"/>
  <c r="K129" i="63"/>
  <c r="K130" i="63"/>
  <c r="K131" i="63"/>
  <c r="K132" i="63"/>
  <c r="K133" i="63"/>
  <c r="K134" i="63"/>
  <c r="K135" i="63"/>
  <c r="K136" i="63"/>
  <c r="K137" i="63"/>
  <c r="K138" i="63"/>
  <c r="K139" i="63"/>
  <c r="K140" i="63"/>
  <c r="K141" i="63"/>
  <c r="K142" i="63"/>
  <c r="K143" i="63"/>
  <c r="K144" i="63"/>
  <c r="K145" i="63"/>
  <c r="K146" i="63"/>
  <c r="K147" i="63"/>
  <c r="K148" i="63"/>
  <c r="K149" i="63"/>
  <c r="K150" i="63"/>
  <c r="K151" i="63"/>
  <c r="K152" i="63"/>
  <c r="K153" i="63"/>
  <c r="K154" i="63"/>
  <c r="K155" i="63"/>
  <c r="K156" i="63"/>
  <c r="K157" i="63"/>
  <c r="K158" i="63"/>
  <c r="K159" i="63"/>
  <c r="K160" i="63"/>
  <c r="K161" i="63"/>
  <c r="K162" i="63"/>
  <c r="K163" i="63"/>
  <c r="K164" i="63"/>
  <c r="K165" i="63"/>
  <c r="K166" i="63"/>
  <c r="K167" i="63"/>
  <c r="K168" i="63"/>
  <c r="K169" i="63"/>
  <c r="K170" i="63"/>
  <c r="K171" i="63"/>
  <c r="K172" i="63"/>
  <c r="K173" i="63"/>
  <c r="K174" i="63"/>
  <c r="K175" i="63"/>
  <c r="K176" i="63"/>
  <c r="K177" i="63"/>
  <c r="K178" i="63"/>
  <c r="K179" i="63"/>
  <c r="K180" i="63"/>
  <c r="K181" i="63"/>
  <c r="K182" i="63"/>
  <c r="K183" i="63"/>
  <c r="K184" i="63"/>
  <c r="K185" i="63"/>
  <c r="K186" i="63"/>
  <c r="K187" i="63"/>
  <c r="K188" i="63"/>
  <c r="K189" i="63"/>
  <c r="K190" i="63"/>
  <c r="K191" i="63"/>
  <c r="K192" i="63"/>
  <c r="K193" i="63"/>
  <c r="K194" i="63"/>
  <c r="K195" i="63"/>
  <c r="K196" i="63"/>
  <c r="K197" i="63"/>
  <c r="K198" i="63"/>
  <c r="K199" i="63"/>
  <c r="K200" i="63"/>
  <c r="K201" i="63"/>
  <c r="K202" i="63"/>
  <c r="K203" i="63"/>
  <c r="K204" i="63"/>
  <c r="K205" i="63"/>
  <c r="K206" i="63"/>
  <c r="K207" i="63"/>
  <c r="K208" i="63"/>
  <c r="K209" i="63"/>
  <c r="K210" i="63"/>
  <c r="K211" i="63"/>
  <c r="K212" i="63"/>
  <c r="K213" i="63"/>
  <c r="K214" i="63"/>
  <c r="K215" i="63"/>
  <c r="K216" i="63"/>
  <c r="K217" i="63"/>
  <c r="K218" i="63"/>
  <c r="K219" i="63"/>
  <c r="K220" i="63"/>
  <c r="K221" i="63"/>
  <c r="K222" i="63"/>
  <c r="K223" i="63"/>
  <c r="K224" i="63"/>
  <c r="K225" i="63"/>
  <c r="K226" i="63"/>
  <c r="K227" i="63"/>
  <c r="K228" i="63"/>
  <c r="K229" i="63"/>
  <c r="K230" i="63"/>
  <c r="K231" i="63"/>
  <c r="K232" i="63"/>
  <c r="K233" i="63"/>
  <c r="K234" i="63"/>
  <c r="K235" i="63"/>
  <c r="K236" i="63"/>
  <c r="K237" i="63"/>
  <c r="K238" i="63"/>
  <c r="K239" i="63"/>
  <c r="K240" i="63"/>
  <c r="K241" i="63"/>
  <c r="K242" i="63"/>
  <c r="K243" i="63"/>
  <c r="K244" i="63"/>
  <c r="K245" i="63"/>
  <c r="K246" i="63"/>
  <c r="K247" i="63"/>
  <c r="K248" i="63"/>
  <c r="K249" i="63"/>
  <c r="K250" i="63"/>
  <c r="K251" i="63"/>
  <c r="K252" i="63"/>
  <c r="K253" i="63"/>
  <c r="K254" i="63"/>
  <c r="K255" i="63"/>
  <c r="K256" i="63"/>
  <c r="K257" i="63"/>
  <c r="K258" i="63"/>
  <c r="K259" i="63"/>
  <c r="K260" i="63"/>
  <c r="K261" i="63"/>
  <c r="K262" i="63"/>
  <c r="K263" i="63"/>
  <c r="K264" i="63"/>
  <c r="K265" i="63"/>
  <c r="K266" i="63"/>
  <c r="K267" i="63"/>
  <c r="K268" i="63"/>
  <c r="K269" i="63"/>
  <c r="K270" i="63"/>
  <c r="K271" i="63"/>
  <c r="K272" i="63"/>
  <c r="K273" i="63"/>
  <c r="K274" i="63"/>
  <c r="K275" i="63"/>
  <c r="K276" i="63"/>
  <c r="K277" i="63"/>
  <c r="K278" i="63"/>
  <c r="K279" i="63"/>
  <c r="K280" i="63"/>
  <c r="K281" i="63"/>
  <c r="K282" i="63"/>
  <c r="K283" i="63"/>
  <c r="K284" i="63"/>
  <c r="K285" i="63"/>
  <c r="K286" i="63"/>
  <c r="K287" i="63"/>
  <c r="K288" i="63"/>
  <c r="K289" i="63"/>
  <c r="K290" i="63"/>
  <c r="K291" i="63"/>
  <c r="K292" i="63"/>
  <c r="K293" i="63"/>
  <c r="K294" i="63"/>
  <c r="K295" i="63"/>
  <c r="K296" i="63"/>
  <c r="K297" i="63"/>
  <c r="K298" i="63"/>
  <c r="K299" i="63"/>
  <c r="K300" i="63"/>
  <c r="K301" i="63"/>
  <c r="K302" i="63"/>
  <c r="K303" i="63"/>
  <c r="K304" i="63"/>
  <c r="K305" i="63"/>
  <c r="K306" i="63"/>
  <c r="K307" i="63"/>
  <c r="K308" i="63"/>
  <c r="K309" i="63"/>
  <c r="K310" i="63"/>
  <c r="K311" i="63"/>
  <c r="K312" i="63"/>
  <c r="K313" i="63"/>
  <c r="K314" i="63"/>
  <c r="K315" i="63"/>
  <c r="K316" i="63"/>
  <c r="K317" i="63"/>
  <c r="K318" i="63"/>
  <c r="K319" i="63"/>
  <c r="K320" i="63"/>
  <c r="K321" i="63"/>
  <c r="K322" i="63"/>
  <c r="K323" i="63"/>
  <c r="K324" i="63"/>
  <c r="K325" i="63"/>
  <c r="K326" i="63"/>
  <c r="K327" i="63"/>
  <c r="K328" i="63"/>
  <c r="K329" i="63"/>
  <c r="K330" i="63"/>
  <c r="K331" i="63"/>
  <c r="K332" i="63"/>
  <c r="K333" i="63"/>
  <c r="K334" i="63"/>
  <c r="K335" i="63"/>
  <c r="K336" i="63"/>
  <c r="K337" i="63"/>
  <c r="K338" i="63"/>
  <c r="K339" i="63"/>
  <c r="K340" i="63"/>
  <c r="K341" i="63"/>
  <c r="K342" i="63"/>
  <c r="K343" i="63"/>
  <c r="K344" i="63"/>
  <c r="K345" i="63"/>
  <c r="K346" i="63"/>
  <c r="K347" i="63"/>
  <c r="K348" i="63"/>
  <c r="K349" i="63"/>
  <c r="K350" i="63"/>
  <c r="K351" i="63"/>
  <c r="K352" i="63"/>
  <c r="K353" i="63"/>
  <c r="K354" i="63"/>
  <c r="K355" i="63"/>
  <c r="K356" i="63"/>
  <c r="K357" i="63"/>
  <c r="K358" i="63"/>
  <c r="K359" i="63"/>
  <c r="K360" i="63"/>
  <c r="K361" i="63"/>
  <c r="K362" i="63"/>
  <c r="K363" i="63"/>
  <c r="K364" i="63"/>
  <c r="K365" i="63"/>
  <c r="K366" i="63"/>
  <c r="K367" i="63"/>
  <c r="K368" i="63"/>
  <c r="K369" i="63"/>
  <c r="K370" i="63"/>
  <c r="K371" i="63"/>
  <c r="K372" i="63"/>
  <c r="K373" i="63"/>
  <c r="K374" i="63"/>
  <c r="K375" i="63"/>
  <c r="K376" i="63"/>
  <c r="K377" i="63"/>
  <c r="K378" i="63"/>
  <c r="K379" i="63"/>
  <c r="K380" i="63"/>
  <c r="K381" i="63"/>
  <c r="K382" i="63"/>
  <c r="K383" i="63"/>
  <c r="K384" i="63"/>
  <c r="K385" i="63"/>
  <c r="K386" i="63"/>
  <c r="K387" i="63"/>
  <c r="K388" i="63"/>
  <c r="K389" i="63"/>
  <c r="K390" i="63"/>
  <c r="K391" i="63"/>
  <c r="K392" i="63"/>
  <c r="K393" i="63"/>
  <c r="K394" i="63"/>
  <c r="K395" i="63"/>
  <c r="K396" i="63"/>
  <c r="K397" i="63"/>
  <c r="K398" i="63"/>
  <c r="K399" i="63"/>
  <c r="K400" i="63"/>
  <c r="K401" i="63"/>
  <c r="K402" i="63"/>
  <c r="K403" i="63"/>
  <c r="K404" i="63"/>
  <c r="K405" i="63"/>
  <c r="K406" i="63"/>
  <c r="K407" i="63"/>
  <c r="K408" i="63"/>
  <c r="K409" i="63"/>
  <c r="K410" i="63"/>
  <c r="K411" i="63"/>
  <c r="K412" i="63"/>
  <c r="K413" i="63"/>
  <c r="K414" i="63"/>
  <c r="K415" i="63"/>
  <c r="K416" i="63"/>
  <c r="K417" i="63"/>
  <c r="K418" i="63"/>
  <c r="K419" i="63"/>
  <c r="K420" i="63"/>
  <c r="K421" i="63"/>
  <c r="K422" i="63"/>
  <c r="K423" i="63"/>
  <c r="K424" i="63"/>
  <c r="K425" i="63"/>
  <c r="K426" i="63"/>
  <c r="K427" i="63"/>
  <c r="K428" i="63"/>
  <c r="K429" i="63"/>
  <c r="K430" i="63"/>
  <c r="K431" i="63"/>
  <c r="K432" i="63"/>
  <c r="K433" i="63"/>
  <c r="K434" i="63"/>
  <c r="K435" i="63"/>
  <c r="K436" i="63"/>
  <c r="K437" i="63"/>
  <c r="K438" i="63"/>
  <c r="K439" i="63"/>
  <c r="K440" i="63"/>
  <c r="K441" i="63"/>
  <c r="K442" i="63"/>
  <c r="K443" i="63"/>
  <c r="K444" i="63"/>
  <c r="K445" i="63"/>
  <c r="K446" i="63"/>
  <c r="K447" i="63"/>
  <c r="K448" i="63"/>
  <c r="K449" i="63"/>
  <c r="K450" i="63"/>
  <c r="K451" i="63"/>
  <c r="K452" i="63"/>
  <c r="K453" i="63"/>
  <c r="K454" i="63"/>
  <c r="K455" i="63"/>
  <c r="K456" i="63"/>
  <c r="K457" i="63"/>
  <c r="K458" i="63"/>
  <c r="K459" i="63"/>
  <c r="K460" i="63"/>
  <c r="K461" i="63"/>
  <c r="K462" i="63"/>
  <c r="K463" i="63"/>
  <c r="K464" i="63"/>
  <c r="K465" i="63"/>
  <c r="K466" i="63"/>
  <c r="K467" i="63"/>
  <c r="K468" i="63"/>
  <c r="K469" i="63"/>
  <c r="K470" i="63"/>
  <c r="K471" i="63"/>
  <c r="K472" i="63"/>
  <c r="K473" i="63"/>
  <c r="K474" i="63"/>
  <c r="K475" i="63"/>
  <c r="K476" i="63"/>
  <c r="K477" i="63"/>
  <c r="K478" i="63"/>
  <c r="K479" i="63"/>
  <c r="K480" i="63"/>
  <c r="K481" i="63"/>
  <c r="K482" i="63"/>
  <c r="K483" i="63"/>
  <c r="K484" i="63"/>
  <c r="K485" i="63"/>
  <c r="K486" i="63"/>
  <c r="K487" i="63"/>
  <c r="K488" i="63"/>
  <c r="K489" i="63"/>
  <c r="K490" i="63"/>
  <c r="K491" i="63"/>
  <c r="K492" i="63"/>
  <c r="K493" i="63"/>
  <c r="K494" i="63"/>
  <c r="K495" i="63"/>
  <c r="K496" i="63"/>
  <c r="K497" i="63"/>
  <c r="K498" i="63"/>
  <c r="K499" i="63"/>
  <c r="K500" i="63"/>
  <c r="K501" i="63"/>
  <c r="K502" i="63"/>
  <c r="K503" i="63"/>
  <c r="K504" i="63"/>
  <c r="K505" i="63"/>
  <c r="K506" i="63"/>
  <c r="K507" i="63"/>
  <c r="K508" i="63"/>
  <c r="K509" i="63"/>
  <c r="K510" i="63"/>
  <c r="K511" i="63"/>
  <c r="K512" i="63"/>
  <c r="K513" i="63"/>
  <c r="K514" i="63"/>
  <c r="K515" i="63"/>
  <c r="K516" i="63"/>
  <c r="K517" i="63"/>
  <c r="K518" i="63"/>
  <c r="K519" i="63"/>
  <c r="K520" i="63"/>
  <c r="K521" i="63"/>
  <c r="K522" i="63"/>
  <c r="K523" i="63"/>
  <c r="K524" i="63"/>
  <c r="K525" i="63"/>
  <c r="K526" i="63"/>
  <c r="K527" i="63"/>
  <c r="K528" i="63"/>
  <c r="K529" i="63"/>
  <c r="K530" i="63"/>
  <c r="K531" i="63"/>
  <c r="K532" i="63"/>
  <c r="K533" i="63"/>
  <c r="K534" i="63"/>
  <c r="K535" i="63"/>
  <c r="K536" i="63"/>
  <c r="K537" i="63"/>
  <c r="K538" i="63"/>
  <c r="K539" i="63"/>
  <c r="K540" i="63"/>
  <c r="K541" i="63"/>
  <c r="K542" i="63"/>
  <c r="K543" i="63"/>
  <c r="K544" i="63"/>
  <c r="K545" i="63"/>
  <c r="K546" i="63"/>
  <c r="K547" i="63"/>
  <c r="K548" i="63"/>
  <c r="K549" i="63"/>
  <c r="K550" i="63"/>
  <c r="K551" i="63"/>
  <c r="K552" i="63"/>
  <c r="K553" i="63"/>
  <c r="K554" i="63"/>
  <c r="K555" i="63"/>
  <c r="K556" i="63"/>
  <c r="K557" i="63"/>
  <c r="K558" i="63"/>
  <c r="K559" i="63"/>
  <c r="K560" i="63"/>
  <c r="K561" i="63"/>
  <c r="K562" i="63"/>
  <c r="K563" i="63"/>
  <c r="K564" i="63"/>
  <c r="K565" i="63"/>
  <c r="K566" i="63"/>
  <c r="K567" i="63"/>
  <c r="K568" i="63"/>
  <c r="K569" i="63"/>
  <c r="K570" i="63"/>
  <c r="K571" i="63"/>
  <c r="K572" i="63"/>
  <c r="K573" i="63"/>
  <c r="K574" i="63"/>
  <c r="K575" i="63"/>
  <c r="K576" i="63"/>
  <c r="K577" i="63"/>
  <c r="K578" i="63"/>
  <c r="K579" i="63"/>
  <c r="K580" i="63"/>
  <c r="K581" i="63"/>
  <c r="K582" i="63"/>
  <c r="K583" i="63"/>
  <c r="K584" i="63"/>
  <c r="K585" i="63"/>
  <c r="K586" i="63"/>
  <c r="K587" i="63"/>
  <c r="K588" i="63"/>
  <c r="K589" i="63"/>
  <c r="K590" i="63"/>
  <c r="K591" i="63"/>
  <c r="K592" i="63"/>
  <c r="K593" i="63"/>
  <c r="K594" i="63"/>
  <c r="K595" i="63"/>
  <c r="K596" i="63"/>
  <c r="K597" i="63"/>
  <c r="K598" i="63"/>
  <c r="K599" i="63"/>
  <c r="K600" i="63"/>
  <c r="K601" i="63"/>
  <c r="K602" i="63"/>
  <c r="K603" i="63"/>
  <c r="K604" i="63"/>
  <c r="K605" i="63"/>
  <c r="K606" i="63"/>
  <c r="K607" i="63"/>
  <c r="K608" i="63"/>
  <c r="K609" i="63"/>
  <c r="K610" i="63"/>
  <c r="K611" i="63"/>
  <c r="K612" i="63"/>
  <c r="K613" i="63"/>
  <c r="K614" i="63"/>
  <c r="K615" i="63"/>
  <c r="K616" i="63"/>
  <c r="K617" i="63"/>
  <c r="K618" i="63"/>
  <c r="K619" i="63"/>
  <c r="K620" i="63"/>
  <c r="K621" i="63"/>
  <c r="K622" i="63"/>
  <c r="K623" i="63"/>
  <c r="K624" i="63"/>
  <c r="K625" i="63"/>
  <c r="K626" i="63"/>
  <c r="K627" i="63"/>
  <c r="K628" i="63"/>
  <c r="K629" i="63"/>
  <c r="K630" i="63"/>
  <c r="K631" i="63"/>
  <c r="K632" i="63"/>
  <c r="K633" i="63"/>
  <c r="K634" i="63"/>
  <c r="K635" i="63"/>
  <c r="K636" i="63"/>
  <c r="K637" i="63"/>
  <c r="K638" i="63"/>
  <c r="K639" i="63"/>
  <c r="K640" i="63"/>
  <c r="K641" i="63"/>
  <c r="K642" i="63"/>
  <c r="K643" i="63"/>
  <c r="K644" i="63"/>
  <c r="K645" i="63"/>
  <c r="K646" i="63"/>
  <c r="K647" i="63"/>
  <c r="K648" i="63"/>
  <c r="K649" i="63"/>
  <c r="K650" i="63"/>
  <c r="K651" i="63"/>
  <c r="K652" i="63"/>
  <c r="K653" i="63"/>
  <c r="K654" i="63"/>
  <c r="K655" i="63"/>
  <c r="K656" i="63"/>
  <c r="K657" i="63"/>
  <c r="K658" i="63"/>
  <c r="K659" i="63"/>
  <c r="K660" i="63"/>
  <c r="K661" i="63"/>
  <c r="K662" i="63"/>
  <c r="K663" i="63"/>
  <c r="K664" i="63"/>
  <c r="K665" i="63"/>
  <c r="K666" i="63"/>
  <c r="K667" i="63"/>
  <c r="K668" i="63"/>
  <c r="K669" i="63"/>
  <c r="K670" i="63"/>
  <c r="K671" i="63"/>
  <c r="K672" i="63"/>
  <c r="K673" i="63"/>
  <c r="K674" i="63"/>
  <c r="K675" i="63"/>
  <c r="K676" i="63"/>
  <c r="K677" i="63"/>
  <c r="K678" i="63"/>
  <c r="K679" i="63"/>
  <c r="K680" i="63"/>
  <c r="K681" i="63"/>
  <c r="K682" i="63"/>
  <c r="K683" i="63"/>
  <c r="K684" i="63"/>
  <c r="K685" i="63"/>
  <c r="K686" i="63"/>
  <c r="K687" i="63"/>
  <c r="K688" i="63"/>
  <c r="K689" i="63"/>
  <c r="K690" i="63"/>
  <c r="K691" i="63"/>
  <c r="K692" i="63"/>
  <c r="K693" i="63"/>
  <c r="K694" i="63"/>
  <c r="K695" i="63"/>
  <c r="K696" i="63"/>
  <c r="K697" i="63"/>
  <c r="K698" i="63"/>
  <c r="K699" i="63"/>
  <c r="K700" i="63"/>
  <c r="K701" i="63"/>
  <c r="K702" i="63"/>
  <c r="K703" i="63"/>
  <c r="K704" i="63"/>
  <c r="K705" i="63"/>
  <c r="K706" i="63"/>
  <c r="K707" i="63"/>
  <c r="K708" i="63"/>
  <c r="K709" i="63"/>
  <c r="K710" i="63"/>
  <c r="K711" i="63"/>
  <c r="K712" i="63"/>
  <c r="K713" i="63"/>
  <c r="K714" i="63"/>
  <c r="K715" i="63"/>
  <c r="K716" i="63"/>
  <c r="K717" i="63"/>
  <c r="K718" i="63"/>
  <c r="K719" i="63"/>
  <c r="K720" i="63"/>
  <c r="K721" i="63"/>
  <c r="K722" i="63"/>
  <c r="K723" i="63"/>
  <c r="K724" i="63"/>
  <c r="K725" i="63"/>
  <c r="K726" i="63"/>
  <c r="K727" i="63"/>
  <c r="K728" i="63"/>
  <c r="K729" i="63"/>
  <c r="K730" i="63"/>
  <c r="K731" i="63"/>
  <c r="K732" i="63"/>
  <c r="K733" i="63"/>
  <c r="K734" i="63"/>
  <c r="K735" i="63"/>
  <c r="K736" i="63"/>
  <c r="K737" i="63"/>
  <c r="K738" i="63"/>
  <c r="K739" i="63"/>
  <c r="K740" i="63"/>
  <c r="K741" i="63"/>
  <c r="K742" i="63"/>
  <c r="K743" i="63"/>
  <c r="K744" i="63"/>
  <c r="K745" i="63"/>
  <c r="K746" i="63"/>
  <c r="K747" i="63"/>
  <c r="K748" i="63"/>
  <c r="K749" i="63"/>
  <c r="K750" i="63"/>
  <c r="K751" i="63"/>
  <c r="K752" i="63"/>
  <c r="K753" i="63"/>
  <c r="K754" i="63"/>
  <c r="K755" i="63"/>
  <c r="K756" i="63"/>
  <c r="K757" i="63"/>
  <c r="K758" i="63"/>
  <c r="K759" i="63"/>
  <c r="K760" i="63"/>
  <c r="K761" i="63"/>
  <c r="K762" i="63"/>
  <c r="K763" i="63"/>
  <c r="K764" i="63"/>
  <c r="K765" i="63"/>
  <c r="K766" i="63"/>
  <c r="K767" i="63"/>
  <c r="K768" i="63"/>
  <c r="K769" i="63"/>
  <c r="K770" i="63"/>
  <c r="K771" i="63"/>
  <c r="K772" i="63"/>
  <c r="K773" i="63"/>
  <c r="K774" i="63"/>
  <c r="K775" i="63"/>
  <c r="K776" i="63"/>
  <c r="K777" i="63"/>
  <c r="K778" i="63"/>
  <c r="K779" i="63"/>
  <c r="K780" i="63"/>
  <c r="K781" i="63"/>
  <c r="K782" i="63"/>
  <c r="K783" i="63"/>
  <c r="K784" i="63"/>
  <c r="K785" i="63"/>
  <c r="K786" i="63"/>
  <c r="K787" i="63"/>
  <c r="K788" i="63"/>
  <c r="K789" i="63"/>
  <c r="K790" i="63"/>
  <c r="K791" i="63"/>
  <c r="K792" i="63"/>
  <c r="K793" i="63"/>
  <c r="K794" i="63"/>
  <c r="K795" i="63"/>
  <c r="K796" i="63"/>
  <c r="K797" i="63"/>
  <c r="K798" i="63"/>
  <c r="K799" i="63"/>
  <c r="K800" i="63"/>
  <c r="K801" i="63"/>
  <c r="K802" i="63"/>
  <c r="K803" i="63"/>
  <c r="K804" i="63"/>
  <c r="K805" i="63"/>
  <c r="K806" i="63"/>
  <c r="K807" i="63"/>
  <c r="K808" i="63"/>
  <c r="K809" i="63"/>
  <c r="K810" i="63"/>
  <c r="K811" i="63"/>
  <c r="K812" i="63"/>
  <c r="K813" i="63"/>
  <c r="K814" i="63"/>
  <c r="K815" i="63"/>
  <c r="K816" i="63"/>
  <c r="K817" i="63"/>
  <c r="K818" i="63"/>
  <c r="K819" i="63"/>
  <c r="K820" i="63"/>
  <c r="K821" i="63"/>
  <c r="K822" i="63"/>
  <c r="K823" i="63"/>
  <c r="K824" i="63"/>
  <c r="K825" i="63"/>
  <c r="K826" i="63"/>
  <c r="K827" i="63"/>
  <c r="K828" i="63"/>
  <c r="K829" i="63"/>
  <c r="K830" i="63"/>
  <c r="K831" i="63"/>
  <c r="K832" i="63"/>
  <c r="K833" i="63"/>
  <c r="K834" i="63"/>
  <c r="K835" i="63"/>
  <c r="K836" i="63"/>
  <c r="K837" i="63"/>
  <c r="K838" i="63"/>
  <c r="K839" i="63"/>
  <c r="K840" i="63"/>
  <c r="K841" i="63"/>
  <c r="K842" i="63"/>
  <c r="K843" i="63"/>
  <c r="K844" i="63"/>
  <c r="K845" i="63"/>
  <c r="K846" i="63"/>
  <c r="K847" i="63"/>
  <c r="K848" i="63"/>
  <c r="K849" i="63"/>
  <c r="K850" i="63"/>
  <c r="K851" i="63"/>
  <c r="K852" i="63"/>
  <c r="K853" i="63"/>
  <c r="K854" i="63"/>
  <c r="K855" i="63"/>
  <c r="K856" i="63"/>
  <c r="K857" i="63"/>
  <c r="K858" i="63"/>
  <c r="K859" i="63"/>
  <c r="K860" i="63"/>
  <c r="K861" i="63"/>
  <c r="K862" i="63"/>
  <c r="K863" i="63"/>
  <c r="K864" i="63"/>
  <c r="K865" i="63"/>
  <c r="K866" i="63"/>
  <c r="K867" i="63"/>
  <c r="K868" i="63"/>
  <c r="K869" i="63"/>
  <c r="K870" i="63"/>
  <c r="K871" i="63"/>
  <c r="K872" i="63"/>
  <c r="K873" i="63"/>
  <c r="K874" i="63"/>
  <c r="K875" i="63"/>
  <c r="K876" i="63"/>
  <c r="K877" i="63"/>
  <c r="K878" i="63"/>
  <c r="K879" i="63"/>
  <c r="K880" i="63"/>
  <c r="K881" i="63"/>
  <c r="K882" i="63"/>
  <c r="K883" i="63"/>
  <c r="K884" i="63"/>
  <c r="K885" i="63"/>
  <c r="K886" i="63"/>
  <c r="K887" i="63"/>
  <c r="K888" i="63"/>
  <c r="K889" i="63"/>
  <c r="K890" i="63"/>
  <c r="K891" i="63"/>
  <c r="K892" i="63"/>
  <c r="K893" i="63"/>
  <c r="K894" i="63"/>
  <c r="K895" i="63"/>
  <c r="K896" i="63"/>
  <c r="K897" i="63"/>
  <c r="K898" i="63"/>
  <c r="K899" i="63"/>
  <c r="K900" i="63"/>
  <c r="K901" i="63"/>
  <c r="K902" i="63"/>
  <c r="K903" i="63"/>
  <c r="K904" i="63"/>
  <c r="K905" i="63"/>
  <c r="K906" i="63"/>
  <c r="K907" i="63"/>
  <c r="K908" i="63"/>
  <c r="K909" i="63"/>
  <c r="K910" i="63"/>
  <c r="K911" i="63"/>
  <c r="K912" i="63"/>
  <c r="K913" i="63"/>
  <c r="K914" i="63"/>
  <c r="K915" i="63"/>
  <c r="K916" i="63"/>
  <c r="K917" i="63"/>
  <c r="K918" i="63"/>
  <c r="K919" i="63"/>
  <c r="K920" i="63"/>
  <c r="K921" i="63"/>
  <c r="K922" i="63"/>
  <c r="K923" i="63"/>
  <c r="K924" i="63"/>
  <c r="K925" i="63"/>
  <c r="K926" i="63"/>
  <c r="K927" i="63"/>
  <c r="K928" i="63"/>
  <c r="K929" i="63"/>
  <c r="K930" i="63"/>
  <c r="K931" i="63"/>
  <c r="K932" i="63"/>
  <c r="K933" i="63"/>
  <c r="K934" i="63"/>
  <c r="K935" i="63"/>
  <c r="K936" i="63"/>
  <c r="K937" i="63"/>
  <c r="K938" i="63"/>
  <c r="K939" i="63"/>
  <c r="K940" i="63"/>
  <c r="K941" i="63"/>
  <c r="K942" i="63"/>
  <c r="K943" i="63"/>
  <c r="K944" i="63"/>
  <c r="K945" i="63"/>
  <c r="K946" i="63"/>
  <c r="K947" i="63"/>
  <c r="K948" i="63"/>
  <c r="K949" i="63"/>
  <c r="K950" i="63"/>
  <c r="K951" i="63"/>
  <c r="K952" i="63"/>
  <c r="K953" i="63"/>
  <c r="K954" i="63"/>
  <c r="K955" i="63"/>
  <c r="K956" i="63"/>
  <c r="K957" i="63"/>
  <c r="K958" i="63"/>
  <c r="K959" i="63"/>
  <c r="K960" i="63"/>
  <c r="K961" i="63"/>
  <c r="K962" i="63"/>
  <c r="K963" i="63"/>
  <c r="K964" i="63"/>
  <c r="K965" i="63"/>
  <c r="K966" i="63"/>
  <c r="K967" i="63"/>
  <c r="K968" i="63"/>
  <c r="K969" i="63"/>
  <c r="K970" i="63"/>
  <c r="K971" i="63"/>
  <c r="K972" i="63"/>
  <c r="K973" i="63"/>
  <c r="K974" i="63"/>
  <c r="K975" i="63"/>
  <c r="K976" i="63"/>
  <c r="K977" i="63"/>
  <c r="K978" i="63"/>
  <c r="K979" i="63"/>
  <c r="K980" i="63"/>
  <c r="K981" i="63"/>
  <c r="K982" i="63"/>
  <c r="K983" i="63"/>
  <c r="K984" i="63"/>
  <c r="K985" i="63"/>
  <c r="K986" i="63"/>
  <c r="K987" i="63"/>
  <c r="K988" i="63"/>
  <c r="K989" i="63"/>
  <c r="K990" i="63"/>
  <c r="K991" i="63"/>
  <c r="K992" i="63"/>
  <c r="K993" i="63"/>
  <c r="K994" i="63"/>
  <c r="K995" i="63"/>
  <c r="K996" i="63"/>
  <c r="K997" i="63"/>
  <c r="K998" i="63"/>
  <c r="K999" i="63"/>
  <c r="K1000" i="63"/>
  <c r="K1001" i="63"/>
  <c r="K1002" i="63"/>
  <c r="K1003" i="63"/>
  <c r="K1004" i="63"/>
  <c r="K1005" i="63"/>
  <c r="K1006" i="63"/>
  <c r="K1007" i="63"/>
  <c r="K1008" i="63"/>
  <c r="K1009" i="63"/>
  <c r="K1010" i="63"/>
  <c r="K1011" i="63"/>
  <c r="K1012" i="63"/>
  <c r="K1013" i="63"/>
  <c r="K1014" i="63"/>
  <c r="K1015" i="63"/>
  <c r="K1016" i="63"/>
  <c r="K1017" i="63"/>
  <c r="K1018" i="63"/>
  <c r="K1019" i="63"/>
  <c r="K1020" i="63"/>
  <c r="K1021" i="63"/>
  <c r="K1022" i="63"/>
  <c r="K1023" i="63"/>
  <c r="K1024" i="63"/>
  <c r="K1025" i="63"/>
  <c r="K1026" i="63"/>
  <c r="K1027" i="63"/>
  <c r="K1028" i="63"/>
  <c r="K1029" i="63"/>
  <c r="K1030" i="63"/>
  <c r="K1031" i="63"/>
  <c r="K1032" i="63"/>
  <c r="K1033" i="63"/>
  <c r="K1034" i="63"/>
  <c r="K1035" i="63"/>
  <c r="K1036" i="63"/>
  <c r="K1037" i="63"/>
  <c r="K1038" i="63"/>
  <c r="K1039" i="63"/>
  <c r="K1040" i="63"/>
  <c r="K1041" i="63"/>
  <c r="K1042" i="63"/>
  <c r="K1043" i="63"/>
  <c r="K1044" i="63"/>
  <c r="K1045" i="63"/>
  <c r="K1046" i="63"/>
  <c r="K1047" i="63"/>
  <c r="K1048" i="63"/>
  <c r="K1049" i="63"/>
  <c r="K1050" i="63"/>
  <c r="K1051" i="63"/>
  <c r="K1052" i="63"/>
  <c r="K1053" i="63"/>
  <c r="K1054" i="63"/>
  <c r="K1055" i="63"/>
  <c r="K1056" i="63"/>
  <c r="K1057" i="63"/>
  <c r="K1058" i="63"/>
  <c r="K1059" i="63"/>
  <c r="K1060" i="63"/>
  <c r="K1061" i="63"/>
  <c r="K1062" i="63"/>
  <c r="K1063" i="63"/>
  <c r="K1064" i="63"/>
  <c r="K1065" i="63"/>
  <c r="K1066" i="63"/>
  <c r="K1067" i="63"/>
  <c r="K1068" i="63"/>
  <c r="K1069" i="63"/>
  <c r="K1070" i="63"/>
  <c r="K1071" i="63"/>
  <c r="K1072" i="63"/>
  <c r="K1073" i="63"/>
  <c r="K1074" i="63"/>
  <c r="K1075" i="63"/>
  <c r="K1076" i="63"/>
  <c r="K1077" i="63"/>
  <c r="K1078" i="63"/>
  <c r="K1079" i="63"/>
  <c r="K1080" i="63"/>
  <c r="K1081" i="63"/>
  <c r="K1082" i="63"/>
  <c r="K1083" i="63"/>
  <c r="K1084" i="63"/>
  <c r="K1085" i="63"/>
  <c r="K1086" i="63"/>
  <c r="K1087" i="63"/>
  <c r="K1088" i="63"/>
  <c r="K1089" i="63"/>
  <c r="K1090" i="63"/>
  <c r="K1091" i="63"/>
  <c r="K1092" i="63"/>
  <c r="K1093" i="63"/>
  <c r="K1094" i="63"/>
  <c r="K1095" i="63"/>
  <c r="K1096" i="63"/>
  <c r="K1097" i="63"/>
  <c r="K1098" i="63"/>
  <c r="K1099" i="63"/>
  <c r="K1100" i="63"/>
  <c r="K1101" i="63"/>
  <c r="K1102" i="63"/>
  <c r="K1103" i="63"/>
  <c r="K1104" i="63"/>
  <c r="K1105" i="63"/>
  <c r="K1106" i="63"/>
  <c r="K1107" i="63"/>
  <c r="K1108" i="63"/>
  <c r="K1109" i="63"/>
  <c r="K1110" i="63"/>
  <c r="K1111" i="63"/>
  <c r="K1112" i="63"/>
  <c r="K1113" i="63"/>
  <c r="K1114" i="63"/>
  <c r="K1115" i="63"/>
  <c r="K1116" i="63"/>
  <c r="K1117" i="63"/>
  <c r="K1118" i="63"/>
  <c r="K1119" i="63"/>
  <c r="K1120" i="63"/>
  <c r="K1121" i="63"/>
  <c r="K1122" i="63"/>
  <c r="K1123" i="63"/>
  <c r="K1124" i="63"/>
  <c r="K1125" i="63"/>
  <c r="K1126" i="63"/>
  <c r="K1127" i="63"/>
  <c r="K1128" i="63"/>
  <c r="K1129" i="63"/>
  <c r="K1130" i="63"/>
  <c r="K1131" i="63"/>
  <c r="K1132" i="63"/>
  <c r="K1133" i="63"/>
  <c r="K4" i="63"/>
  <c r="C53" i="4"/>
  <c r="K5" i="67"/>
  <c r="K6" i="67"/>
  <c r="K7" i="67"/>
  <c r="K8" i="67"/>
  <c r="K9" i="67"/>
  <c r="K10" i="67"/>
  <c r="K11" i="67"/>
  <c r="K12" i="67"/>
  <c r="K13" i="67"/>
  <c r="K14" i="67"/>
  <c r="K15" i="67"/>
  <c r="K16" i="67"/>
  <c r="K17" i="67"/>
  <c r="K18" i="67"/>
  <c r="K19" i="67"/>
  <c r="K20" i="67"/>
  <c r="K21" i="67"/>
  <c r="K22" i="67"/>
  <c r="K23" i="67"/>
  <c r="K24" i="67"/>
  <c r="K25" i="67"/>
  <c r="K26" i="67"/>
  <c r="K27" i="67"/>
  <c r="K28" i="67"/>
  <c r="K29" i="67"/>
  <c r="K30" i="67"/>
  <c r="K31" i="67"/>
  <c r="K32" i="67"/>
  <c r="K33" i="67"/>
  <c r="K34" i="67"/>
  <c r="K35" i="67"/>
  <c r="K36" i="67"/>
  <c r="K37" i="67"/>
  <c r="K38" i="67"/>
  <c r="K39" i="67"/>
  <c r="K40" i="67"/>
  <c r="K41" i="67"/>
  <c r="K42" i="67"/>
  <c r="K43" i="67"/>
  <c r="K44" i="67"/>
  <c r="K45" i="67"/>
  <c r="K46" i="67"/>
  <c r="K47" i="67"/>
  <c r="K48" i="67"/>
  <c r="K49" i="67"/>
  <c r="K50" i="67"/>
  <c r="K51" i="67"/>
  <c r="K52" i="67"/>
  <c r="K53" i="67"/>
  <c r="K54" i="67"/>
  <c r="K55" i="67"/>
  <c r="K56" i="67"/>
  <c r="K57" i="67"/>
  <c r="K58" i="67"/>
  <c r="K59" i="67"/>
  <c r="K60" i="67"/>
  <c r="K61" i="67"/>
  <c r="K62" i="67"/>
  <c r="K63" i="67"/>
  <c r="K64" i="67"/>
  <c r="K65" i="67"/>
  <c r="K66" i="67"/>
  <c r="K67" i="67"/>
  <c r="K68" i="67"/>
  <c r="K69" i="67"/>
  <c r="K70" i="67"/>
  <c r="K71" i="67"/>
  <c r="K72" i="67"/>
  <c r="K73" i="67"/>
  <c r="K74" i="67"/>
  <c r="K75" i="67"/>
  <c r="K76" i="67"/>
  <c r="K77" i="67"/>
  <c r="K78" i="67"/>
  <c r="K79" i="67"/>
  <c r="K80" i="67"/>
  <c r="K81" i="67"/>
  <c r="K82" i="67"/>
  <c r="K83" i="67"/>
  <c r="K84" i="67"/>
  <c r="K85" i="67"/>
  <c r="K86" i="67"/>
  <c r="K87" i="67"/>
  <c r="K88" i="67"/>
  <c r="K89" i="67"/>
  <c r="K90" i="67"/>
  <c r="K91" i="67"/>
  <c r="K92" i="67"/>
  <c r="K93" i="67"/>
  <c r="K94" i="67"/>
  <c r="K95" i="67"/>
  <c r="K96" i="67"/>
  <c r="K97" i="67"/>
  <c r="K98" i="67"/>
  <c r="K99" i="67"/>
  <c r="K100" i="67"/>
  <c r="K101" i="67"/>
  <c r="K102" i="67"/>
  <c r="K103" i="67"/>
  <c r="K104" i="67"/>
  <c r="K105" i="67"/>
  <c r="K106" i="67"/>
  <c r="K107" i="67"/>
  <c r="K108" i="67"/>
  <c r="K109" i="67"/>
  <c r="K110" i="67"/>
  <c r="K111" i="67"/>
  <c r="K112" i="67"/>
  <c r="K113" i="67"/>
  <c r="K114" i="67"/>
  <c r="K115" i="67"/>
  <c r="K116" i="67"/>
  <c r="K117" i="67"/>
  <c r="K118" i="67"/>
  <c r="K119" i="67"/>
  <c r="K120" i="67"/>
  <c r="K121" i="67"/>
  <c r="K122" i="67"/>
  <c r="K123" i="67"/>
  <c r="K124" i="67"/>
  <c r="K125" i="67"/>
  <c r="K126" i="67"/>
  <c r="K127" i="67"/>
  <c r="K128" i="67"/>
  <c r="K129" i="67"/>
  <c r="K130" i="67"/>
  <c r="K131" i="67"/>
  <c r="K132" i="67"/>
  <c r="K133" i="67"/>
  <c r="K134" i="67"/>
  <c r="K135" i="67"/>
  <c r="K136" i="67"/>
  <c r="K137" i="67"/>
  <c r="K138" i="67"/>
  <c r="K139" i="67"/>
  <c r="K140" i="67"/>
  <c r="K141" i="67"/>
  <c r="K142" i="67"/>
  <c r="K143" i="67"/>
  <c r="K144" i="67"/>
  <c r="K145" i="67"/>
  <c r="K146" i="67"/>
  <c r="K147" i="67"/>
  <c r="K148" i="67"/>
  <c r="K149" i="67"/>
  <c r="K150" i="67"/>
  <c r="K151" i="67"/>
  <c r="K152" i="67"/>
  <c r="K153" i="67"/>
  <c r="K154" i="67"/>
  <c r="K155" i="67"/>
  <c r="K156" i="67"/>
  <c r="K157" i="67"/>
  <c r="K158" i="67"/>
  <c r="K159" i="67"/>
  <c r="K160" i="67"/>
  <c r="K161" i="67"/>
  <c r="K162" i="67"/>
  <c r="K163" i="67"/>
  <c r="K164" i="67"/>
  <c r="K165" i="67"/>
  <c r="K166" i="67"/>
  <c r="K167" i="67"/>
  <c r="K168" i="67"/>
  <c r="K169" i="67"/>
  <c r="K170" i="67"/>
  <c r="K171" i="67"/>
  <c r="K172" i="67"/>
  <c r="K173" i="67"/>
  <c r="K174" i="67"/>
  <c r="K175" i="67"/>
  <c r="K176" i="67"/>
  <c r="K177" i="67"/>
  <c r="K178" i="67"/>
  <c r="K179" i="67"/>
  <c r="K180" i="67"/>
  <c r="K181" i="67"/>
  <c r="K182" i="67"/>
  <c r="K183" i="67"/>
  <c r="K184" i="67"/>
  <c r="K185" i="67"/>
  <c r="K186" i="67"/>
  <c r="K187" i="67"/>
  <c r="K188" i="67"/>
  <c r="K189" i="67"/>
  <c r="K190" i="67"/>
  <c r="K191" i="67"/>
  <c r="K192" i="67"/>
  <c r="K193" i="67"/>
  <c r="K194" i="67"/>
  <c r="K195" i="67"/>
  <c r="K196" i="67"/>
  <c r="K197" i="67"/>
  <c r="K198" i="67"/>
  <c r="K199" i="67"/>
  <c r="K200" i="67"/>
  <c r="K201" i="67"/>
  <c r="K202" i="67"/>
  <c r="K203" i="67"/>
  <c r="K204" i="67"/>
  <c r="K205" i="67"/>
  <c r="K206" i="67"/>
  <c r="K207" i="67"/>
  <c r="K208" i="67"/>
  <c r="K209" i="67"/>
  <c r="K210" i="67"/>
  <c r="K211" i="67"/>
  <c r="K212" i="67"/>
  <c r="K213" i="67"/>
  <c r="K214" i="67"/>
  <c r="K215" i="67"/>
  <c r="K216" i="67"/>
  <c r="K217" i="67"/>
  <c r="K218" i="67"/>
  <c r="K219" i="67"/>
  <c r="K220" i="67"/>
  <c r="K221" i="67"/>
  <c r="K222" i="67"/>
  <c r="K223" i="67"/>
  <c r="K224" i="67"/>
  <c r="K225" i="67"/>
  <c r="K226" i="67"/>
  <c r="K227" i="67"/>
  <c r="K228" i="67"/>
  <c r="K229" i="67"/>
  <c r="K230" i="67"/>
  <c r="K231" i="67"/>
  <c r="K232" i="67"/>
  <c r="K233" i="67"/>
  <c r="K234" i="67"/>
  <c r="K235" i="67"/>
  <c r="K236" i="67"/>
  <c r="K237" i="67"/>
  <c r="K238" i="67"/>
  <c r="K239" i="67"/>
  <c r="K240" i="67"/>
  <c r="K241" i="67"/>
  <c r="K242" i="67"/>
  <c r="K243" i="67"/>
  <c r="K244" i="67"/>
  <c r="K245" i="67"/>
  <c r="K246" i="67"/>
  <c r="K247" i="67"/>
  <c r="K248" i="67"/>
  <c r="K249" i="67"/>
  <c r="K250" i="67"/>
  <c r="K251" i="67"/>
  <c r="K252" i="67"/>
  <c r="K253" i="67"/>
  <c r="K254" i="67"/>
  <c r="K255" i="67"/>
  <c r="K256" i="67"/>
  <c r="K257" i="67"/>
  <c r="K258" i="67"/>
  <c r="K259" i="67"/>
  <c r="K260" i="67"/>
  <c r="K261" i="67"/>
  <c r="K262" i="67"/>
  <c r="K263" i="67"/>
  <c r="K264" i="67"/>
  <c r="K265" i="67"/>
  <c r="K266" i="67"/>
  <c r="K267" i="67"/>
  <c r="K268" i="67"/>
  <c r="K269" i="67"/>
  <c r="K270" i="67"/>
  <c r="K271" i="67"/>
  <c r="K272" i="67"/>
  <c r="K273" i="67"/>
  <c r="K274" i="67"/>
  <c r="K275" i="67"/>
  <c r="K276" i="67"/>
  <c r="K277" i="67"/>
  <c r="K278" i="67"/>
  <c r="K279" i="67"/>
  <c r="K280" i="67"/>
  <c r="K281" i="67"/>
  <c r="K282" i="67"/>
  <c r="K283" i="67"/>
  <c r="K284" i="67"/>
  <c r="K285" i="67"/>
  <c r="K286" i="67"/>
  <c r="K287" i="67"/>
  <c r="K288" i="67"/>
  <c r="K289" i="67"/>
  <c r="K290" i="67"/>
  <c r="K291" i="67"/>
  <c r="K292" i="67"/>
  <c r="K293" i="67"/>
  <c r="K294" i="67"/>
  <c r="K295" i="67"/>
  <c r="K296" i="67"/>
  <c r="K297" i="67"/>
  <c r="K298" i="67"/>
  <c r="K299" i="67"/>
  <c r="K300" i="67"/>
  <c r="K301" i="67"/>
  <c r="K302" i="67"/>
  <c r="K303" i="67"/>
  <c r="K304" i="67"/>
  <c r="K305" i="67"/>
  <c r="K306" i="67"/>
  <c r="K307" i="67"/>
  <c r="K308" i="67"/>
  <c r="K309" i="67"/>
  <c r="K310" i="67"/>
  <c r="K311" i="67"/>
  <c r="K312" i="67"/>
  <c r="K313" i="67"/>
  <c r="K314" i="67"/>
  <c r="K315" i="67"/>
  <c r="K316" i="67"/>
  <c r="K317" i="67"/>
  <c r="K318" i="67"/>
  <c r="K319" i="67"/>
  <c r="K320" i="67"/>
  <c r="K321" i="67"/>
  <c r="K322" i="67"/>
  <c r="K323" i="67"/>
  <c r="K324" i="67"/>
  <c r="K325" i="67"/>
  <c r="K326" i="67"/>
  <c r="K327" i="67"/>
  <c r="K328" i="67"/>
  <c r="K329" i="67"/>
  <c r="K330" i="67"/>
  <c r="K331" i="67"/>
  <c r="K332" i="67"/>
  <c r="K333" i="67"/>
  <c r="K334" i="67"/>
  <c r="K335" i="67"/>
  <c r="K336" i="67"/>
  <c r="K337" i="67"/>
  <c r="K338" i="67"/>
  <c r="K339" i="67"/>
  <c r="K340" i="67"/>
  <c r="K341" i="67"/>
  <c r="K342" i="67"/>
  <c r="K343" i="67"/>
  <c r="K344" i="67"/>
  <c r="K345" i="67"/>
  <c r="K346" i="67"/>
  <c r="K347" i="67"/>
  <c r="K348" i="67"/>
  <c r="K349" i="67"/>
  <c r="K350" i="67"/>
  <c r="K351" i="67"/>
  <c r="K352" i="67"/>
  <c r="K353" i="67"/>
  <c r="K354" i="67"/>
  <c r="K355" i="67"/>
  <c r="K356" i="67"/>
  <c r="K357" i="67"/>
  <c r="K358" i="67"/>
  <c r="K359" i="67"/>
  <c r="K360" i="67"/>
  <c r="K361" i="67"/>
  <c r="K362" i="67"/>
  <c r="K363" i="67"/>
  <c r="K364" i="67"/>
  <c r="K365" i="67"/>
  <c r="K366" i="67"/>
  <c r="K367" i="67"/>
  <c r="K368" i="67"/>
  <c r="K369" i="67"/>
  <c r="K370" i="67"/>
  <c r="K371" i="67"/>
  <c r="K372" i="67"/>
  <c r="K373" i="67"/>
  <c r="K374" i="67"/>
  <c r="K375" i="67"/>
  <c r="K376" i="67"/>
  <c r="K377" i="67"/>
  <c r="K378" i="67"/>
  <c r="K379" i="67"/>
  <c r="K380" i="67"/>
  <c r="K381" i="67"/>
  <c r="K382" i="67"/>
  <c r="K383" i="67"/>
  <c r="K384" i="67"/>
  <c r="K385" i="67"/>
  <c r="K386" i="67"/>
  <c r="K387" i="67"/>
  <c r="K388" i="67"/>
  <c r="K389" i="67"/>
  <c r="K390" i="67"/>
  <c r="K391" i="67"/>
  <c r="K392" i="67"/>
  <c r="K393" i="67"/>
  <c r="K394" i="67"/>
  <c r="K395" i="67"/>
  <c r="K396" i="67"/>
  <c r="K397" i="67"/>
  <c r="K398" i="67"/>
  <c r="K399" i="67"/>
  <c r="K400" i="67"/>
  <c r="K401" i="67"/>
  <c r="K402" i="67"/>
  <c r="K403" i="67"/>
  <c r="K404" i="67"/>
  <c r="K405" i="67"/>
  <c r="K406" i="67"/>
  <c r="K407" i="67"/>
  <c r="K408" i="67"/>
  <c r="K409" i="67"/>
  <c r="K410" i="67"/>
  <c r="K411" i="67"/>
  <c r="K412" i="67"/>
  <c r="K413" i="67"/>
  <c r="K414" i="67"/>
  <c r="K415" i="67"/>
  <c r="K416" i="67"/>
  <c r="K417" i="67"/>
  <c r="K418" i="67"/>
  <c r="K419" i="67"/>
  <c r="K420" i="67"/>
  <c r="K421" i="67"/>
  <c r="K422" i="67"/>
  <c r="K423" i="67"/>
  <c r="K424" i="67"/>
  <c r="K425" i="67"/>
  <c r="K426" i="67"/>
  <c r="K427" i="67"/>
  <c r="K428" i="67"/>
  <c r="K429" i="67"/>
  <c r="K430" i="67"/>
  <c r="K431" i="67"/>
  <c r="K432" i="67"/>
  <c r="K433" i="67"/>
  <c r="K434" i="67"/>
  <c r="K435" i="67"/>
  <c r="K436" i="67"/>
  <c r="K437" i="67"/>
  <c r="K438" i="67"/>
  <c r="K439" i="67"/>
  <c r="K440" i="67"/>
  <c r="K441" i="67"/>
  <c r="K442" i="67"/>
  <c r="K443" i="67"/>
  <c r="K444" i="67"/>
  <c r="K445" i="67"/>
  <c r="K446" i="67"/>
  <c r="K447" i="67"/>
  <c r="K448" i="67"/>
  <c r="K449" i="67"/>
  <c r="K450" i="67"/>
  <c r="K451" i="67"/>
  <c r="K452" i="67"/>
  <c r="K453" i="67"/>
  <c r="K454" i="67"/>
  <c r="K455" i="67"/>
  <c r="K456" i="67"/>
  <c r="K457" i="67"/>
  <c r="K458" i="67"/>
  <c r="K459" i="67"/>
  <c r="K460" i="67"/>
  <c r="K461" i="67"/>
  <c r="K462" i="67"/>
  <c r="K463" i="67"/>
  <c r="K464" i="67"/>
  <c r="K465" i="67"/>
  <c r="K466" i="67"/>
  <c r="K467" i="67"/>
  <c r="K468" i="67"/>
  <c r="K469" i="67"/>
  <c r="K470" i="67"/>
  <c r="K471" i="67"/>
  <c r="K472" i="67"/>
  <c r="K473" i="67"/>
  <c r="K474" i="67"/>
  <c r="K475" i="67"/>
  <c r="K476" i="67"/>
  <c r="K477" i="67"/>
  <c r="K478" i="67"/>
  <c r="K479" i="67"/>
  <c r="K480" i="67"/>
  <c r="K481" i="67"/>
  <c r="K482" i="67"/>
  <c r="K483" i="67"/>
  <c r="K484" i="67"/>
  <c r="K485" i="67"/>
  <c r="K486" i="67"/>
  <c r="K487" i="67"/>
  <c r="K488" i="67"/>
  <c r="K489" i="67"/>
  <c r="K490" i="67"/>
  <c r="K491" i="67"/>
  <c r="K492" i="67"/>
  <c r="K493" i="67"/>
  <c r="K494" i="67"/>
  <c r="K495" i="67"/>
  <c r="K496" i="67"/>
  <c r="K497" i="67"/>
  <c r="K498" i="67"/>
  <c r="K499" i="67"/>
  <c r="K500" i="67"/>
  <c r="K501" i="67"/>
  <c r="K502" i="67"/>
  <c r="K503" i="67"/>
  <c r="K504" i="67"/>
  <c r="K505" i="67"/>
  <c r="K506" i="67"/>
  <c r="K507" i="67"/>
  <c r="K508" i="67"/>
  <c r="K509" i="67"/>
  <c r="K510" i="67"/>
  <c r="K511" i="67"/>
  <c r="K512" i="67"/>
  <c r="K513" i="67"/>
  <c r="K514" i="67"/>
  <c r="K515" i="67"/>
  <c r="K516" i="67"/>
  <c r="K517" i="67"/>
  <c r="K518" i="67"/>
  <c r="K519" i="67"/>
  <c r="K520" i="67"/>
  <c r="K521" i="67"/>
  <c r="K522" i="67"/>
  <c r="K523" i="67"/>
  <c r="K524" i="67"/>
  <c r="K525" i="67"/>
  <c r="K526" i="67"/>
  <c r="K527" i="67"/>
  <c r="K528" i="67"/>
  <c r="K529" i="67"/>
  <c r="K530" i="67"/>
  <c r="K531" i="67"/>
  <c r="K532" i="67"/>
  <c r="K533" i="67"/>
  <c r="K534" i="67"/>
  <c r="K535" i="67"/>
  <c r="K536" i="67"/>
  <c r="K537" i="67"/>
  <c r="K538" i="67"/>
  <c r="K539" i="67"/>
  <c r="K540" i="67"/>
  <c r="K541" i="67"/>
  <c r="K542" i="67"/>
  <c r="K543" i="67"/>
  <c r="K544" i="67"/>
  <c r="K545" i="67"/>
  <c r="K546" i="67"/>
  <c r="K547" i="67"/>
  <c r="K548" i="67"/>
  <c r="K549" i="67"/>
  <c r="K550" i="67"/>
  <c r="K551" i="67"/>
  <c r="K552" i="67"/>
  <c r="K553" i="67"/>
  <c r="K554" i="67"/>
  <c r="K555" i="67"/>
  <c r="K556" i="67"/>
  <c r="K557" i="67"/>
  <c r="K558" i="67"/>
  <c r="K559" i="67"/>
  <c r="K560" i="67"/>
  <c r="K561" i="67"/>
  <c r="K562" i="67"/>
  <c r="K563" i="67"/>
  <c r="K564" i="67"/>
  <c r="K565" i="67"/>
  <c r="K566" i="67"/>
  <c r="K567" i="67"/>
  <c r="K568" i="67"/>
  <c r="K569" i="67"/>
  <c r="K570" i="67"/>
  <c r="K571" i="67"/>
  <c r="K572" i="67"/>
  <c r="K573" i="67"/>
  <c r="K574" i="67"/>
  <c r="K575" i="67"/>
  <c r="K576" i="67"/>
  <c r="K577" i="67"/>
  <c r="K578" i="67"/>
  <c r="K579" i="67"/>
  <c r="K580" i="67"/>
  <c r="K581" i="67"/>
  <c r="K582" i="67"/>
  <c r="K583" i="67"/>
  <c r="K584" i="67"/>
  <c r="K585" i="67"/>
  <c r="K586" i="67"/>
  <c r="K587" i="67"/>
  <c r="K588" i="67"/>
  <c r="K589" i="67"/>
  <c r="K590" i="67"/>
  <c r="K591" i="67"/>
  <c r="K592" i="67"/>
  <c r="K593" i="67"/>
  <c r="K594" i="67"/>
  <c r="K595" i="67"/>
  <c r="K596" i="67"/>
  <c r="K597" i="67"/>
  <c r="K598" i="67"/>
  <c r="K599" i="67"/>
  <c r="K600" i="67"/>
  <c r="K601" i="67"/>
  <c r="K602" i="67"/>
  <c r="K603" i="67"/>
  <c r="K604" i="67"/>
  <c r="K605" i="67"/>
  <c r="K606" i="67"/>
  <c r="K607" i="67"/>
  <c r="K608" i="67"/>
  <c r="K609" i="67"/>
  <c r="K610" i="67"/>
  <c r="K611" i="67"/>
  <c r="K612" i="67"/>
  <c r="K613" i="67"/>
  <c r="K614" i="67"/>
  <c r="K615" i="67"/>
  <c r="K616" i="67"/>
  <c r="K617" i="67"/>
  <c r="K618" i="67"/>
  <c r="K619" i="67"/>
  <c r="K620" i="67"/>
  <c r="K621" i="67"/>
  <c r="K622" i="67"/>
  <c r="K623" i="67"/>
  <c r="K624" i="67"/>
  <c r="K625" i="67"/>
  <c r="K626" i="67"/>
  <c r="K627" i="67"/>
  <c r="K628" i="67"/>
  <c r="K629" i="67"/>
  <c r="K630" i="67"/>
  <c r="K631" i="67"/>
  <c r="K632" i="67"/>
  <c r="K633" i="67"/>
  <c r="K634" i="67"/>
  <c r="K635" i="67"/>
  <c r="K636" i="67"/>
  <c r="K637" i="67"/>
  <c r="K638" i="67"/>
  <c r="K639" i="67"/>
  <c r="K640" i="67"/>
  <c r="K641" i="67"/>
  <c r="K642" i="67"/>
  <c r="K643" i="67"/>
  <c r="K644" i="67"/>
  <c r="K645" i="67"/>
  <c r="K646" i="67"/>
  <c r="K647" i="67"/>
  <c r="K648" i="67"/>
  <c r="K649" i="67"/>
  <c r="K650" i="67"/>
  <c r="K651" i="67"/>
  <c r="K652" i="67"/>
  <c r="K653" i="67"/>
  <c r="K654" i="67"/>
  <c r="K655" i="67"/>
  <c r="K656" i="67"/>
  <c r="K657" i="67"/>
  <c r="K658" i="67"/>
  <c r="K659" i="67"/>
  <c r="K660" i="67"/>
  <c r="K661" i="67"/>
  <c r="K662" i="67"/>
  <c r="K663" i="67"/>
  <c r="K664" i="67"/>
  <c r="K665" i="67"/>
  <c r="K666" i="67"/>
  <c r="K667" i="67"/>
  <c r="K668" i="67"/>
  <c r="K669" i="67"/>
  <c r="K670" i="67"/>
  <c r="K671" i="67"/>
  <c r="K672" i="67"/>
  <c r="K673" i="67"/>
  <c r="K674" i="67"/>
  <c r="K675" i="67"/>
  <c r="K676" i="67"/>
  <c r="K677" i="67"/>
  <c r="K678" i="67"/>
  <c r="K679" i="67"/>
  <c r="K680" i="67"/>
  <c r="K681" i="67"/>
  <c r="K682" i="67"/>
  <c r="K683" i="67"/>
  <c r="K684" i="67"/>
  <c r="K685" i="67"/>
  <c r="K686" i="67"/>
  <c r="K687" i="67"/>
  <c r="K688" i="67"/>
  <c r="K689" i="67"/>
  <c r="K690" i="67"/>
  <c r="K691" i="67"/>
  <c r="K692" i="67"/>
  <c r="K693" i="67"/>
  <c r="K694" i="67"/>
  <c r="K695" i="67"/>
  <c r="K696" i="67"/>
  <c r="K697" i="67"/>
  <c r="K698" i="67"/>
  <c r="K699" i="67"/>
  <c r="K700" i="67"/>
  <c r="K701" i="67"/>
  <c r="K702" i="67"/>
  <c r="K703" i="67"/>
  <c r="K704" i="67"/>
  <c r="K705" i="67"/>
  <c r="K706" i="67"/>
  <c r="K707" i="67"/>
  <c r="K708" i="67"/>
  <c r="K709" i="67"/>
  <c r="K710" i="67"/>
  <c r="K711" i="67"/>
  <c r="K712" i="67"/>
  <c r="K713" i="67"/>
  <c r="K714" i="67"/>
  <c r="K715" i="67"/>
  <c r="K716" i="67"/>
  <c r="K717" i="67"/>
  <c r="K718" i="67"/>
  <c r="K719" i="67"/>
  <c r="K720" i="67"/>
  <c r="K721" i="67"/>
  <c r="K722" i="67"/>
  <c r="K723" i="67"/>
  <c r="K724" i="67"/>
  <c r="K725" i="67"/>
  <c r="K726" i="67"/>
  <c r="K727" i="67"/>
  <c r="K728" i="67"/>
  <c r="K729" i="67"/>
  <c r="K730" i="67"/>
  <c r="K731" i="67"/>
  <c r="K732" i="67"/>
  <c r="K733" i="67"/>
  <c r="K734" i="67"/>
  <c r="K735" i="67"/>
  <c r="K736" i="67"/>
  <c r="K737" i="67"/>
  <c r="K738" i="67"/>
  <c r="K739" i="67"/>
  <c r="K740" i="67"/>
  <c r="K741" i="67"/>
  <c r="K742" i="67"/>
  <c r="K743" i="67"/>
  <c r="K744" i="67"/>
  <c r="K745" i="67"/>
  <c r="K746" i="67"/>
  <c r="K747" i="67"/>
  <c r="K748" i="67"/>
  <c r="K749" i="67"/>
  <c r="K750" i="67"/>
  <c r="K751" i="67"/>
  <c r="K752" i="67"/>
  <c r="K753" i="67"/>
  <c r="K754" i="67"/>
  <c r="K755" i="67"/>
  <c r="K756" i="67"/>
  <c r="K757" i="67"/>
  <c r="K758" i="67"/>
  <c r="K759" i="67"/>
  <c r="K760" i="67"/>
  <c r="K761" i="67"/>
  <c r="K762" i="67"/>
  <c r="K763" i="67"/>
  <c r="K764" i="67"/>
  <c r="K765" i="67"/>
  <c r="K766" i="67"/>
  <c r="K767" i="67"/>
  <c r="K768" i="67"/>
  <c r="K769" i="67"/>
  <c r="K770" i="67"/>
  <c r="K771" i="67"/>
  <c r="K772" i="67"/>
  <c r="K773" i="67"/>
  <c r="K774" i="67"/>
  <c r="K775" i="67"/>
  <c r="K776" i="67"/>
  <c r="K777" i="67"/>
  <c r="K778" i="67"/>
  <c r="K779" i="67"/>
  <c r="K780" i="67"/>
  <c r="K781" i="67"/>
  <c r="K782" i="67"/>
  <c r="K783" i="67"/>
  <c r="K784" i="67"/>
  <c r="K785" i="67"/>
  <c r="K786" i="67"/>
  <c r="K787" i="67"/>
  <c r="K788" i="67"/>
  <c r="K789" i="67"/>
  <c r="K790" i="67"/>
  <c r="K791" i="67"/>
  <c r="K792" i="67"/>
  <c r="K793" i="67"/>
  <c r="K794" i="67"/>
  <c r="K795" i="67"/>
  <c r="K796" i="67"/>
  <c r="K797" i="67"/>
  <c r="K798" i="67"/>
  <c r="K799" i="67"/>
  <c r="K800" i="67"/>
  <c r="K801" i="67"/>
  <c r="K802" i="67"/>
  <c r="K803" i="67"/>
  <c r="K804" i="67"/>
  <c r="K805" i="67"/>
  <c r="K806" i="67"/>
  <c r="K807" i="67"/>
  <c r="K808" i="67"/>
  <c r="K809" i="67"/>
  <c r="K810" i="67"/>
  <c r="K811" i="67"/>
  <c r="K812" i="67"/>
  <c r="K813" i="67"/>
  <c r="K814" i="67"/>
  <c r="K815" i="67"/>
  <c r="K816" i="67"/>
  <c r="K817" i="67"/>
  <c r="K818" i="67"/>
  <c r="K819" i="67"/>
  <c r="K820" i="67"/>
  <c r="K821" i="67"/>
  <c r="K822" i="67"/>
  <c r="K823" i="67"/>
  <c r="K824" i="67"/>
  <c r="K825" i="67"/>
  <c r="K826" i="67"/>
  <c r="K827" i="67"/>
  <c r="K828" i="67"/>
  <c r="K829" i="67"/>
  <c r="K830" i="67"/>
  <c r="K831" i="67"/>
  <c r="K832" i="67"/>
  <c r="K833" i="67"/>
  <c r="K834" i="67"/>
  <c r="K835" i="67"/>
  <c r="K836" i="67"/>
  <c r="K837" i="67"/>
  <c r="K838" i="67"/>
  <c r="K839" i="67"/>
  <c r="K840" i="67"/>
  <c r="K841" i="67"/>
  <c r="K842" i="67"/>
  <c r="K843" i="67"/>
  <c r="K844" i="67"/>
  <c r="K845" i="67"/>
  <c r="K846" i="67"/>
  <c r="K847" i="67"/>
  <c r="K848" i="67"/>
  <c r="K849" i="67"/>
  <c r="K850" i="67"/>
  <c r="K851" i="67"/>
  <c r="K852" i="67"/>
  <c r="K853" i="67"/>
  <c r="K854" i="67"/>
  <c r="K855" i="67"/>
  <c r="K856" i="67"/>
  <c r="K857" i="67"/>
  <c r="K858" i="67"/>
  <c r="K859" i="67"/>
  <c r="K860" i="67"/>
  <c r="K861" i="67"/>
  <c r="K862" i="67"/>
  <c r="K863" i="67"/>
  <c r="K864" i="67"/>
  <c r="K865" i="67"/>
  <c r="K866" i="67"/>
  <c r="K867" i="67"/>
  <c r="K868" i="67"/>
  <c r="K869" i="67"/>
  <c r="K870" i="67"/>
  <c r="K871" i="67"/>
  <c r="K872" i="67"/>
  <c r="K873" i="67"/>
  <c r="K874" i="67"/>
  <c r="K875" i="67"/>
  <c r="K876" i="67"/>
  <c r="K877" i="67"/>
  <c r="K878" i="67"/>
  <c r="K879" i="67"/>
  <c r="K880" i="67"/>
  <c r="K881" i="67"/>
  <c r="K882" i="67"/>
  <c r="K883" i="67"/>
  <c r="K884" i="67"/>
  <c r="K885" i="67"/>
  <c r="K886" i="67"/>
  <c r="K887" i="67"/>
  <c r="K888" i="67"/>
  <c r="K889" i="67"/>
  <c r="K890" i="67"/>
  <c r="K891" i="67"/>
  <c r="K892" i="67"/>
  <c r="K893" i="67"/>
  <c r="K894" i="67"/>
  <c r="K895" i="67"/>
  <c r="K896" i="67"/>
  <c r="K897" i="67"/>
  <c r="K898" i="67"/>
  <c r="K899" i="67"/>
  <c r="K900" i="67"/>
  <c r="K901" i="67"/>
  <c r="K902" i="67"/>
  <c r="K903" i="67"/>
  <c r="K904" i="67"/>
  <c r="K905" i="67"/>
  <c r="K906" i="67"/>
  <c r="K907" i="67"/>
  <c r="K908" i="67"/>
  <c r="K909" i="67"/>
  <c r="K910" i="67"/>
  <c r="K911" i="67"/>
  <c r="K912" i="67"/>
  <c r="K913" i="67"/>
  <c r="K914" i="67"/>
  <c r="K915" i="67"/>
  <c r="K916" i="67"/>
  <c r="K917" i="67"/>
  <c r="K918" i="67"/>
  <c r="K919" i="67"/>
  <c r="K920" i="67"/>
  <c r="K921" i="67"/>
  <c r="K922" i="67"/>
  <c r="K923" i="67"/>
  <c r="K924" i="67"/>
  <c r="K925" i="67"/>
  <c r="K926" i="67"/>
  <c r="K927" i="67"/>
  <c r="K928" i="67"/>
  <c r="K929" i="67"/>
  <c r="K930" i="67"/>
  <c r="K931" i="67"/>
  <c r="K932" i="67"/>
  <c r="K933" i="67"/>
  <c r="K934" i="67"/>
  <c r="K935" i="67"/>
  <c r="K936" i="67"/>
  <c r="K937" i="67"/>
  <c r="K938" i="67"/>
  <c r="K939" i="67"/>
  <c r="K940" i="67"/>
  <c r="K941" i="67"/>
  <c r="K942" i="67"/>
  <c r="K943" i="67"/>
  <c r="K944" i="67"/>
  <c r="K945" i="67"/>
  <c r="K946" i="67"/>
  <c r="K947" i="67"/>
  <c r="K948" i="67"/>
  <c r="K949" i="67"/>
  <c r="K950" i="67"/>
  <c r="K951" i="67"/>
  <c r="K952" i="67"/>
  <c r="K953" i="67"/>
  <c r="K954" i="67"/>
  <c r="K955" i="67"/>
  <c r="K956" i="67"/>
  <c r="K957" i="67"/>
  <c r="K958" i="67"/>
  <c r="K959" i="67"/>
  <c r="K960" i="67"/>
  <c r="K961" i="67"/>
  <c r="K962" i="67"/>
  <c r="K963" i="67"/>
  <c r="K964" i="67"/>
  <c r="K965" i="67"/>
  <c r="K966" i="67"/>
  <c r="K967" i="67"/>
  <c r="K968" i="67"/>
  <c r="K969" i="67"/>
  <c r="K970" i="67"/>
  <c r="K971" i="67"/>
  <c r="K972" i="67"/>
  <c r="K973" i="67"/>
  <c r="K974" i="67"/>
  <c r="K975" i="67"/>
  <c r="K976" i="67"/>
  <c r="K977" i="67"/>
  <c r="K978" i="67"/>
  <c r="K979" i="67"/>
  <c r="K980" i="67"/>
  <c r="K981" i="67"/>
  <c r="K982" i="67"/>
  <c r="K983" i="67"/>
  <c r="K984" i="67"/>
  <c r="K985" i="67"/>
  <c r="K986" i="67"/>
  <c r="K987" i="67"/>
  <c r="K988" i="67"/>
  <c r="K989" i="67"/>
  <c r="K990" i="67"/>
  <c r="K991" i="67"/>
  <c r="K992" i="67"/>
  <c r="K993" i="67"/>
  <c r="K994" i="67"/>
  <c r="K995" i="67"/>
  <c r="K996" i="67"/>
  <c r="K997" i="67"/>
  <c r="K998" i="67"/>
  <c r="K999" i="67"/>
  <c r="K1000" i="67"/>
  <c r="K1001" i="67"/>
  <c r="K1002" i="67"/>
  <c r="K1003" i="67"/>
  <c r="K1004" i="67"/>
  <c r="K1005" i="67"/>
  <c r="K1006" i="67"/>
  <c r="K1007" i="67"/>
  <c r="K1008" i="67"/>
  <c r="K1009" i="67"/>
  <c r="K1010" i="67"/>
  <c r="K1011" i="67"/>
  <c r="K1012" i="67"/>
  <c r="K1013" i="67"/>
  <c r="K1014" i="67"/>
  <c r="K1015" i="67"/>
  <c r="K1016" i="67"/>
  <c r="K1017" i="67"/>
  <c r="K1018" i="67"/>
  <c r="K1019" i="67"/>
  <c r="K1020" i="67"/>
  <c r="K1021" i="67"/>
  <c r="K1022" i="67"/>
  <c r="K1023" i="67"/>
  <c r="K1024" i="67"/>
  <c r="K1025" i="67"/>
  <c r="K1026" i="67"/>
  <c r="K1027" i="67"/>
  <c r="K1028" i="67"/>
  <c r="K1029" i="67"/>
  <c r="K1030" i="67"/>
  <c r="K1031" i="67"/>
  <c r="K1032" i="67"/>
  <c r="K1033" i="67"/>
  <c r="K1034" i="67"/>
  <c r="K1035" i="67"/>
  <c r="K1036" i="67"/>
  <c r="K1037" i="67"/>
  <c r="K1038" i="67"/>
  <c r="K1039" i="67"/>
  <c r="K1040" i="67"/>
  <c r="K1041" i="67"/>
  <c r="K1042" i="67"/>
  <c r="K1043" i="67"/>
  <c r="K1044" i="67"/>
  <c r="K1045" i="67"/>
  <c r="K1046" i="67"/>
  <c r="K1047" i="67"/>
  <c r="K1048" i="67"/>
  <c r="K1049" i="67"/>
  <c r="K1050" i="67"/>
  <c r="K1051" i="67"/>
  <c r="K1052" i="67"/>
  <c r="K1053" i="67"/>
  <c r="K1054" i="67"/>
  <c r="K1055" i="67"/>
  <c r="K1056" i="67"/>
  <c r="K1057" i="67"/>
  <c r="K1058" i="67"/>
  <c r="K1059" i="67"/>
  <c r="K1060" i="67"/>
  <c r="K1061" i="67"/>
  <c r="K1062" i="67"/>
  <c r="K1063" i="67"/>
  <c r="K1064" i="67"/>
  <c r="K1065" i="67"/>
  <c r="K1066" i="67"/>
  <c r="K1067" i="67"/>
  <c r="K1068" i="67"/>
  <c r="K1069" i="67"/>
  <c r="K1070" i="67"/>
  <c r="K1071" i="67"/>
  <c r="K1072" i="67"/>
  <c r="K1073" i="67"/>
  <c r="K1074" i="67"/>
  <c r="K1075" i="67"/>
  <c r="K1076" i="67"/>
  <c r="K1077" i="67"/>
  <c r="K1078" i="67"/>
  <c r="K1079" i="67"/>
  <c r="K1080" i="67"/>
  <c r="K1081" i="67"/>
  <c r="K1082" i="67"/>
  <c r="K1083" i="67"/>
  <c r="K1084" i="67"/>
  <c r="K1085" i="67"/>
  <c r="K1086" i="67"/>
  <c r="K1087" i="67"/>
  <c r="K1088" i="67"/>
  <c r="K1089" i="67"/>
  <c r="K1090" i="67"/>
  <c r="K1091" i="67"/>
  <c r="K1092" i="67"/>
  <c r="K1093" i="67"/>
  <c r="K1094" i="67"/>
  <c r="K1095" i="67"/>
  <c r="K1096" i="67"/>
  <c r="K1097" i="67"/>
  <c r="K1098" i="67"/>
  <c r="K1099" i="67"/>
  <c r="K1100" i="67"/>
  <c r="K1101" i="67"/>
  <c r="K1102" i="67"/>
  <c r="K1103" i="67"/>
  <c r="K1104" i="67"/>
  <c r="K1105" i="67"/>
  <c r="K1106" i="67"/>
  <c r="K1107" i="67"/>
  <c r="K1108" i="67"/>
  <c r="K1109" i="67"/>
  <c r="K1110" i="67"/>
  <c r="K1111" i="67"/>
  <c r="K1112" i="67"/>
  <c r="K1113" i="67"/>
  <c r="K1114" i="67"/>
  <c r="K1115" i="67"/>
  <c r="K1116" i="67"/>
  <c r="K1117" i="67"/>
  <c r="K1118" i="67"/>
  <c r="K1119" i="67"/>
  <c r="K1120" i="67"/>
  <c r="K1121" i="67"/>
  <c r="K1122" i="67"/>
  <c r="K1123" i="67"/>
  <c r="K1124" i="67"/>
  <c r="K1125" i="67"/>
  <c r="K1126" i="67"/>
  <c r="K1127" i="67"/>
  <c r="K1128" i="67"/>
  <c r="K1129" i="67"/>
  <c r="K1130" i="67"/>
  <c r="K1131" i="67"/>
  <c r="K1132" i="67"/>
  <c r="K1133" i="67"/>
  <c r="K1134" i="67"/>
  <c r="K1135" i="67"/>
  <c r="K1136" i="67"/>
  <c r="K1137" i="67"/>
  <c r="K1138" i="67"/>
  <c r="K1139" i="67"/>
  <c r="K1140" i="67"/>
  <c r="K1141" i="67"/>
  <c r="K1142" i="67"/>
  <c r="K1143" i="67"/>
  <c r="K1144" i="67"/>
  <c r="K1145" i="67"/>
  <c r="K1146" i="67"/>
  <c r="K1147" i="67"/>
  <c r="K1148" i="67"/>
  <c r="K1149" i="67"/>
  <c r="K1150" i="67"/>
  <c r="K1151" i="67"/>
  <c r="K1152" i="67"/>
  <c r="K1153" i="67"/>
  <c r="K1154" i="67"/>
  <c r="K1155" i="67"/>
  <c r="K1156" i="67"/>
  <c r="K1157" i="67"/>
  <c r="K1158" i="67"/>
  <c r="K1159" i="67"/>
  <c r="K1160" i="67"/>
  <c r="K1161" i="67"/>
  <c r="K1162" i="67"/>
  <c r="K1163" i="67"/>
  <c r="K1164" i="67"/>
  <c r="K1165" i="67"/>
  <c r="K1166" i="67"/>
  <c r="K1167" i="67"/>
  <c r="K1168" i="67"/>
  <c r="K1169" i="67"/>
  <c r="K1170" i="67"/>
  <c r="K1171" i="67"/>
  <c r="K1172" i="67"/>
  <c r="K1173" i="67"/>
  <c r="K1174" i="67"/>
  <c r="K1175" i="67"/>
  <c r="K1176" i="67"/>
  <c r="K1177" i="67"/>
  <c r="K1178" i="67"/>
  <c r="K1179" i="67"/>
  <c r="K1180" i="67"/>
  <c r="K1181" i="67"/>
  <c r="K1182" i="67"/>
  <c r="K1183" i="67"/>
  <c r="K1184" i="67"/>
  <c r="K1185" i="67"/>
  <c r="K1186" i="67"/>
  <c r="K1187" i="67"/>
  <c r="K1188" i="67"/>
  <c r="K1189" i="67"/>
  <c r="K1190" i="67"/>
  <c r="K1191" i="67"/>
  <c r="K1192" i="67"/>
  <c r="K1193" i="67"/>
  <c r="K1194" i="67"/>
  <c r="K1195" i="67"/>
  <c r="K1196" i="67"/>
  <c r="K1197" i="67"/>
  <c r="K1198" i="67"/>
  <c r="K1199" i="67"/>
  <c r="K1200" i="67"/>
  <c r="K1201" i="67"/>
  <c r="K1202" i="67"/>
  <c r="K1203" i="67"/>
  <c r="K1204" i="67"/>
  <c r="K1205" i="67"/>
  <c r="K1206" i="67"/>
  <c r="K1207" i="67"/>
  <c r="K1208" i="67"/>
  <c r="K1209" i="67"/>
  <c r="K1210" i="67"/>
  <c r="K1211" i="67"/>
  <c r="K1212" i="67"/>
  <c r="K1213" i="67"/>
  <c r="K1214" i="67"/>
  <c r="K1215" i="67"/>
  <c r="K1216" i="67"/>
  <c r="K1217" i="67"/>
  <c r="K1218" i="67"/>
  <c r="K1219" i="67"/>
  <c r="K1220" i="67"/>
  <c r="K1221" i="67"/>
  <c r="K1222" i="67"/>
  <c r="K1223" i="67"/>
  <c r="K1224" i="67"/>
  <c r="K1225" i="67"/>
  <c r="K1226" i="67"/>
  <c r="K1227" i="67"/>
  <c r="K1228" i="67"/>
  <c r="K1229" i="67"/>
  <c r="K1230" i="67"/>
  <c r="K1231" i="67"/>
  <c r="K1232" i="67"/>
  <c r="K1233" i="67"/>
  <c r="K1234" i="67"/>
  <c r="K1235" i="67"/>
  <c r="K1236" i="67"/>
  <c r="K1237" i="67"/>
  <c r="K1238" i="67"/>
  <c r="K1239" i="67"/>
  <c r="K1240" i="67"/>
  <c r="K1241" i="67"/>
  <c r="K1242" i="67"/>
  <c r="K1243" i="67"/>
  <c r="K1244" i="67"/>
  <c r="K1245" i="67"/>
  <c r="K1246" i="67"/>
  <c r="K1247" i="67"/>
  <c r="K1248" i="67"/>
  <c r="K1249" i="67"/>
  <c r="K1250" i="67"/>
  <c r="K1251" i="67"/>
  <c r="K1252" i="67"/>
  <c r="K1253" i="67"/>
  <c r="K1254" i="67"/>
  <c r="K1255" i="67"/>
  <c r="K1256" i="67"/>
  <c r="K1257" i="67"/>
  <c r="K1258" i="67"/>
  <c r="K1259" i="67"/>
  <c r="K1260" i="67"/>
  <c r="K1261" i="67"/>
  <c r="K1262" i="67"/>
  <c r="K1263" i="67"/>
  <c r="K1264" i="67"/>
  <c r="K1265" i="67"/>
  <c r="K1266" i="67"/>
  <c r="K1267" i="67"/>
  <c r="K1268" i="67"/>
  <c r="K1269" i="67"/>
  <c r="K1270" i="67"/>
  <c r="K1271" i="67"/>
  <c r="K1272" i="67"/>
  <c r="K1273" i="67"/>
  <c r="K1274" i="67"/>
  <c r="K1275" i="67"/>
  <c r="K1276" i="67"/>
  <c r="K1277" i="67"/>
  <c r="K1278" i="67"/>
  <c r="K1279" i="67"/>
  <c r="K1280" i="67"/>
  <c r="K1281" i="67"/>
  <c r="K1282" i="67"/>
  <c r="K1283" i="67"/>
  <c r="K1284" i="67"/>
  <c r="K1285" i="67"/>
  <c r="K1286" i="67"/>
  <c r="K1287" i="67"/>
  <c r="K1288" i="67"/>
  <c r="K1289" i="67"/>
  <c r="K1290" i="67"/>
  <c r="K1291" i="67"/>
  <c r="K1292" i="67"/>
  <c r="K1293" i="67"/>
  <c r="K1294" i="67"/>
  <c r="K1295" i="67"/>
  <c r="K1296" i="67"/>
  <c r="K1297" i="67"/>
  <c r="K1298" i="67"/>
  <c r="K1299" i="67"/>
  <c r="K1300" i="67"/>
  <c r="K1301" i="67"/>
  <c r="K1302" i="67"/>
  <c r="K1303" i="67"/>
  <c r="K1304" i="67"/>
  <c r="K1305" i="67"/>
  <c r="K1306" i="67"/>
  <c r="K1307" i="67"/>
  <c r="K1308" i="67"/>
  <c r="K1309" i="67"/>
  <c r="K1310" i="67"/>
  <c r="K1311" i="67"/>
  <c r="K1312" i="67"/>
  <c r="K1313" i="67"/>
  <c r="K1314" i="67"/>
  <c r="K1315" i="67"/>
  <c r="K1316" i="67"/>
  <c r="K1317" i="67"/>
  <c r="K1318" i="67"/>
  <c r="K1319" i="67"/>
  <c r="K1320" i="67"/>
  <c r="K1321" i="67"/>
  <c r="K1322" i="67"/>
  <c r="K1323" i="67"/>
  <c r="K1324" i="67"/>
  <c r="K1325" i="67"/>
  <c r="K1326" i="67"/>
  <c r="K1327" i="67"/>
  <c r="K1328" i="67"/>
  <c r="K1329" i="67"/>
  <c r="K1330" i="67"/>
  <c r="K1331" i="67"/>
  <c r="K1332" i="67"/>
  <c r="K1333" i="67"/>
  <c r="K1334" i="67"/>
  <c r="K1335" i="67"/>
  <c r="K1336" i="67"/>
  <c r="K1337" i="67"/>
  <c r="K1338" i="67"/>
  <c r="K1339" i="67"/>
  <c r="K1340" i="67"/>
  <c r="K1341" i="67"/>
  <c r="K1342" i="67"/>
  <c r="K1343" i="67"/>
  <c r="K1344" i="67"/>
  <c r="K1345" i="67"/>
  <c r="K1346" i="67"/>
  <c r="K1347" i="67"/>
  <c r="K1348" i="67"/>
  <c r="K1349" i="67"/>
  <c r="K1350" i="67"/>
  <c r="K1351" i="67"/>
  <c r="K1352" i="67"/>
  <c r="K1353" i="67"/>
  <c r="K1354" i="67"/>
  <c r="K1355" i="67"/>
  <c r="K1356" i="67"/>
  <c r="K1357" i="67"/>
  <c r="K1358" i="67"/>
  <c r="K1359" i="67"/>
  <c r="K1360" i="67"/>
  <c r="K1361" i="67"/>
  <c r="K1362" i="67"/>
  <c r="K1363" i="67"/>
  <c r="K1364" i="67"/>
  <c r="K1365" i="67"/>
  <c r="K1366" i="67"/>
  <c r="K1367" i="67"/>
  <c r="K1368" i="67"/>
  <c r="K1369" i="67"/>
  <c r="K1370" i="67"/>
  <c r="K1371" i="67"/>
  <c r="K1372" i="67"/>
  <c r="K1373" i="67"/>
  <c r="K1374" i="67"/>
  <c r="K1375" i="67"/>
  <c r="K1376" i="67"/>
  <c r="K1377" i="67"/>
  <c r="K1378" i="67"/>
  <c r="K1379" i="67"/>
  <c r="K1380" i="67"/>
  <c r="K1381" i="67"/>
  <c r="K1382" i="67"/>
  <c r="K1383" i="67"/>
  <c r="K1384" i="67"/>
  <c r="K1385" i="67"/>
  <c r="K1386" i="67"/>
  <c r="K1387" i="67"/>
  <c r="K1388" i="67"/>
  <c r="K1389" i="67"/>
  <c r="K1390" i="67"/>
  <c r="K1391" i="67"/>
  <c r="K1392" i="67"/>
  <c r="K1393" i="67"/>
  <c r="K1394" i="67"/>
  <c r="K1395" i="67"/>
  <c r="K1396" i="67"/>
  <c r="K1397" i="67"/>
  <c r="K1398" i="67"/>
  <c r="K1399" i="67"/>
  <c r="K1400" i="67"/>
  <c r="K1401" i="67"/>
  <c r="K1402" i="67"/>
  <c r="K1403" i="67"/>
  <c r="K1404" i="67"/>
  <c r="K1405" i="67"/>
  <c r="K1406" i="67"/>
  <c r="K1407" i="67"/>
  <c r="K1408" i="67"/>
  <c r="K1409" i="67"/>
  <c r="K1410" i="67"/>
  <c r="K1411" i="67"/>
  <c r="K1412" i="67"/>
  <c r="K1413" i="67"/>
  <c r="K1414" i="67"/>
  <c r="K1415" i="67"/>
  <c r="K1416" i="67"/>
  <c r="K1417" i="67"/>
  <c r="K1418" i="67"/>
  <c r="K1419" i="67"/>
  <c r="K1420" i="67"/>
  <c r="K1421" i="67"/>
  <c r="K1422" i="67"/>
  <c r="K1423" i="67"/>
  <c r="K1424" i="67"/>
  <c r="K1425" i="67"/>
  <c r="K1426" i="67"/>
  <c r="K1427" i="67"/>
  <c r="K1428" i="67"/>
  <c r="K1429" i="67"/>
  <c r="K1430" i="67"/>
  <c r="K1431" i="67"/>
  <c r="K1432" i="67"/>
  <c r="K1433" i="67"/>
  <c r="K1434" i="67"/>
  <c r="K1435" i="67"/>
  <c r="K1436" i="67"/>
  <c r="K1437" i="67"/>
  <c r="K1438" i="67"/>
  <c r="K1439" i="67"/>
  <c r="K1440" i="67"/>
  <c r="K1441" i="67"/>
  <c r="K1442" i="67"/>
  <c r="K1443" i="67"/>
  <c r="K1444" i="67"/>
  <c r="K1445" i="67"/>
  <c r="K1446" i="67"/>
  <c r="K1447" i="67"/>
  <c r="K1448" i="67"/>
  <c r="K1449" i="67"/>
  <c r="K1450" i="67"/>
  <c r="K1451" i="67"/>
  <c r="K1452" i="67"/>
  <c r="K1453" i="67"/>
  <c r="K1454" i="67"/>
  <c r="K1455" i="67"/>
  <c r="K1456" i="67"/>
  <c r="K1457" i="67"/>
  <c r="K1458" i="67"/>
  <c r="K1459" i="67"/>
  <c r="K1460" i="67"/>
  <c r="K1461" i="67"/>
  <c r="K1462" i="67"/>
  <c r="K1463" i="67"/>
  <c r="K1464" i="67"/>
  <c r="K1465" i="67"/>
  <c r="K1466" i="67"/>
  <c r="K1467" i="67"/>
  <c r="K1468" i="67"/>
  <c r="K1469" i="67"/>
  <c r="K1470" i="67"/>
  <c r="K1471" i="67"/>
  <c r="K1472" i="67"/>
  <c r="K1473" i="67"/>
  <c r="K1474" i="67"/>
  <c r="K1475" i="67"/>
  <c r="K1476" i="67"/>
  <c r="K1477" i="67"/>
  <c r="K1478" i="67"/>
  <c r="K1479" i="67"/>
  <c r="K1480" i="67"/>
  <c r="K1481" i="67"/>
  <c r="K1482" i="67"/>
  <c r="K1483" i="67"/>
  <c r="K1484" i="67"/>
  <c r="K1485" i="67"/>
  <c r="K1486" i="67"/>
  <c r="K1487" i="67"/>
  <c r="K1488" i="67"/>
  <c r="K1489" i="67"/>
  <c r="K1490" i="67"/>
  <c r="K1491" i="67"/>
  <c r="K1492" i="67"/>
  <c r="K1493" i="67"/>
  <c r="K1494" i="67"/>
  <c r="K1495" i="67"/>
  <c r="K1496" i="67"/>
  <c r="K1497" i="67"/>
  <c r="K1498" i="67"/>
  <c r="K1499" i="67"/>
  <c r="K1500" i="67"/>
  <c r="K1501" i="67"/>
  <c r="K1502" i="67"/>
  <c r="K1503" i="67"/>
  <c r="K1504" i="67"/>
  <c r="K1505" i="67"/>
  <c r="K1506" i="67"/>
  <c r="K1507" i="67"/>
  <c r="K1508" i="67"/>
  <c r="K1509" i="67"/>
  <c r="K1510" i="67"/>
  <c r="K1511" i="67"/>
  <c r="K1512" i="67"/>
  <c r="K1513" i="67"/>
  <c r="K1514" i="67"/>
  <c r="K1515" i="67"/>
  <c r="K1516" i="67"/>
  <c r="K1517" i="67"/>
  <c r="K1518" i="67"/>
  <c r="K1519" i="67"/>
  <c r="K1520" i="67"/>
  <c r="K1521" i="67"/>
  <c r="K1522" i="67"/>
  <c r="K1523" i="67"/>
  <c r="K1524" i="67"/>
  <c r="K1525" i="67"/>
  <c r="K1526" i="67"/>
  <c r="K1527" i="67"/>
  <c r="K1528" i="67"/>
  <c r="K1529" i="67"/>
  <c r="K1530" i="67"/>
  <c r="K1531" i="67"/>
  <c r="K1532" i="67"/>
  <c r="K1533" i="67"/>
  <c r="K1534" i="67"/>
  <c r="K1535" i="67"/>
  <c r="K1536" i="67"/>
  <c r="K1537" i="67"/>
  <c r="K1538" i="67"/>
  <c r="K1539" i="67"/>
  <c r="K1540" i="67"/>
  <c r="K1541" i="67"/>
  <c r="K1542" i="67"/>
  <c r="K1543" i="67"/>
  <c r="K1544" i="67"/>
  <c r="K1545" i="67"/>
  <c r="K1546" i="67"/>
  <c r="K1547" i="67"/>
  <c r="K1548" i="67"/>
  <c r="K1549" i="67"/>
  <c r="K1550" i="67"/>
  <c r="K1551" i="67"/>
  <c r="K1552" i="67"/>
  <c r="K1553" i="67"/>
  <c r="K1554" i="67"/>
  <c r="K1555" i="67"/>
  <c r="K1556" i="67"/>
  <c r="K1557" i="67"/>
  <c r="K1558" i="67"/>
  <c r="K1559" i="67"/>
  <c r="K1560" i="67"/>
  <c r="K1561" i="67"/>
  <c r="K1562" i="67"/>
  <c r="K1563" i="67"/>
  <c r="K1564" i="67"/>
  <c r="K1565" i="67"/>
  <c r="K1566" i="67"/>
  <c r="K1567" i="67"/>
  <c r="K1568" i="67"/>
  <c r="K1569" i="67"/>
  <c r="K1570" i="67"/>
  <c r="K1571" i="67"/>
  <c r="K1572" i="67"/>
  <c r="K1573" i="67"/>
  <c r="K1574" i="67"/>
  <c r="K1575" i="67"/>
  <c r="K1576" i="67"/>
  <c r="K1577" i="67"/>
  <c r="K1578" i="67"/>
  <c r="K1579" i="67"/>
  <c r="K1580" i="67"/>
  <c r="K1581" i="67"/>
  <c r="K1582" i="67"/>
  <c r="K1583" i="67"/>
  <c r="K1584" i="67"/>
  <c r="K1585" i="67"/>
  <c r="K1586" i="67"/>
  <c r="K1587" i="67"/>
  <c r="K1588" i="67"/>
  <c r="K1589" i="67"/>
  <c r="K1590" i="67"/>
  <c r="K1591" i="67"/>
  <c r="K1592" i="67"/>
  <c r="K1593" i="67"/>
  <c r="K1594" i="67"/>
  <c r="K1595" i="67"/>
  <c r="K1596" i="67"/>
  <c r="K1597" i="67"/>
  <c r="K1598" i="67"/>
  <c r="K1599" i="67"/>
  <c r="K1600" i="67"/>
  <c r="K1601" i="67"/>
  <c r="K1602" i="67"/>
  <c r="K1603" i="67"/>
  <c r="K1604" i="67"/>
  <c r="K1605" i="67"/>
  <c r="K1606" i="67"/>
  <c r="K1607" i="67"/>
  <c r="K1608" i="67"/>
  <c r="K1609" i="67"/>
  <c r="K1610" i="67"/>
  <c r="K1611" i="67"/>
  <c r="K1612" i="67"/>
  <c r="K1613" i="67"/>
  <c r="K1614" i="67"/>
  <c r="K1615" i="67"/>
  <c r="K1616" i="67"/>
  <c r="K1617" i="67"/>
  <c r="K1618" i="67"/>
  <c r="K1619" i="67"/>
  <c r="K1620" i="67"/>
  <c r="K1621" i="67"/>
  <c r="K1622" i="67"/>
  <c r="K1623" i="67"/>
  <c r="K1624" i="67"/>
  <c r="K1625" i="67"/>
  <c r="K1626" i="67"/>
  <c r="K1627" i="67"/>
  <c r="K1628" i="67"/>
  <c r="K1629" i="67"/>
  <c r="K1630" i="67"/>
  <c r="K1631" i="67"/>
  <c r="K1632" i="67"/>
  <c r="K1633" i="67"/>
  <c r="K1634" i="67"/>
  <c r="K1635" i="67"/>
  <c r="K1636" i="67"/>
  <c r="K1637" i="67"/>
  <c r="K1638" i="67"/>
  <c r="K1639" i="67"/>
  <c r="K1640" i="67"/>
  <c r="K1641" i="67"/>
  <c r="K1642" i="67"/>
  <c r="K1643" i="67"/>
  <c r="K1644" i="67"/>
  <c r="K1645" i="67"/>
  <c r="K1646" i="67"/>
  <c r="K1647" i="67"/>
  <c r="K1648" i="67"/>
  <c r="K1649" i="67"/>
  <c r="K1650" i="67"/>
  <c r="K1651" i="67"/>
  <c r="K1652" i="67"/>
  <c r="K1653" i="67"/>
  <c r="K1654" i="67"/>
  <c r="K1655" i="67"/>
  <c r="K1656" i="67"/>
  <c r="K1657" i="67"/>
  <c r="K1658" i="67"/>
  <c r="K1659" i="67"/>
  <c r="K1660" i="67"/>
  <c r="K1661" i="67"/>
  <c r="K1662" i="67"/>
  <c r="K1663" i="67"/>
  <c r="K1664" i="67"/>
  <c r="K1665" i="67"/>
  <c r="K1666" i="67"/>
  <c r="K1667" i="67"/>
  <c r="K1668" i="67"/>
  <c r="K1669" i="67"/>
  <c r="K1670" i="67"/>
  <c r="K1671" i="67"/>
  <c r="K1672" i="67"/>
  <c r="K1673" i="67"/>
  <c r="K1674" i="67"/>
  <c r="K1675" i="67"/>
  <c r="K1676" i="67"/>
  <c r="K1677" i="67"/>
  <c r="K1678" i="67"/>
  <c r="K1679" i="67"/>
  <c r="K1680" i="67"/>
  <c r="K1681" i="67"/>
  <c r="K1682" i="67"/>
  <c r="K1683" i="67"/>
  <c r="K1684" i="67"/>
  <c r="K1685" i="67"/>
  <c r="K1686" i="67"/>
  <c r="K1687" i="67"/>
  <c r="K1688" i="67"/>
  <c r="K1689" i="67"/>
  <c r="K1690" i="67"/>
  <c r="K1691" i="67"/>
  <c r="K1692" i="67"/>
  <c r="K1693" i="67"/>
  <c r="K1694" i="67"/>
  <c r="K1695" i="67"/>
  <c r="K1696" i="67"/>
  <c r="K1697" i="67"/>
  <c r="K1698" i="67"/>
  <c r="K1699" i="67"/>
  <c r="K1700" i="67"/>
  <c r="K1701" i="67"/>
  <c r="K1702" i="67"/>
  <c r="K1703" i="67"/>
  <c r="K1704" i="67"/>
  <c r="K1705" i="67"/>
  <c r="K1706" i="67"/>
  <c r="K1707" i="67"/>
  <c r="K1708" i="67"/>
  <c r="K1709" i="67"/>
  <c r="K1710" i="67"/>
  <c r="K1711" i="67"/>
  <c r="K1712" i="67"/>
  <c r="K1713" i="67"/>
  <c r="K1714" i="67"/>
  <c r="K1715" i="67"/>
  <c r="K1716" i="67"/>
  <c r="K1717" i="67"/>
  <c r="K1718" i="67"/>
  <c r="K1719" i="67"/>
  <c r="K1720" i="67"/>
  <c r="K1721" i="67"/>
  <c r="K1722" i="67"/>
  <c r="K1723" i="67"/>
  <c r="K1724" i="67"/>
  <c r="K1725" i="67"/>
  <c r="K1726" i="67"/>
  <c r="K1727" i="67"/>
  <c r="K1728" i="67"/>
  <c r="K1729" i="67"/>
  <c r="K1730" i="67"/>
  <c r="K1731" i="67"/>
  <c r="K1732" i="67"/>
  <c r="K1733" i="67"/>
  <c r="K1734" i="67"/>
  <c r="K1735" i="67"/>
  <c r="K1736" i="67"/>
  <c r="K1737" i="67"/>
  <c r="K1738" i="67"/>
  <c r="K1739" i="67"/>
  <c r="K1740" i="67"/>
  <c r="K1741" i="67"/>
  <c r="K1742" i="67"/>
  <c r="K1743" i="67"/>
  <c r="K1744" i="67"/>
  <c r="K1745" i="67"/>
  <c r="K1746" i="67"/>
  <c r="K1747" i="67"/>
  <c r="K1748" i="67"/>
  <c r="K1749" i="67"/>
  <c r="K1750" i="67"/>
  <c r="K1751" i="67"/>
  <c r="K1752" i="67"/>
  <c r="K1753" i="67"/>
  <c r="K1754" i="67"/>
  <c r="K1755" i="67"/>
  <c r="K1756" i="67"/>
  <c r="K1757" i="67"/>
  <c r="K1758" i="67"/>
  <c r="K1759" i="67"/>
  <c r="K1760" i="67"/>
  <c r="K1761" i="67"/>
  <c r="K1762" i="67"/>
  <c r="K1763" i="67"/>
  <c r="K1764" i="67"/>
  <c r="K1765" i="67"/>
  <c r="K1766" i="67"/>
  <c r="K1767" i="67"/>
  <c r="K1768" i="67"/>
  <c r="K1769" i="67"/>
  <c r="K1770" i="67"/>
  <c r="K1771" i="67"/>
  <c r="K1772" i="67"/>
  <c r="K1773" i="67"/>
  <c r="K1774" i="67"/>
  <c r="K1775" i="67"/>
  <c r="K1776" i="67"/>
  <c r="K1777" i="67"/>
  <c r="K1778" i="67"/>
  <c r="K1779" i="67"/>
  <c r="K1780" i="67"/>
  <c r="K1781" i="67"/>
  <c r="K1782" i="67"/>
  <c r="K1783" i="67"/>
  <c r="K1784" i="67"/>
  <c r="K1785" i="67"/>
  <c r="K1786" i="67"/>
  <c r="K1787" i="67"/>
  <c r="K1788" i="67"/>
  <c r="K1789" i="67"/>
  <c r="K1790" i="67"/>
  <c r="K1791" i="67"/>
  <c r="K1792" i="67"/>
  <c r="K1793" i="67"/>
  <c r="K1794" i="67"/>
  <c r="K1795" i="67"/>
  <c r="K1796" i="67"/>
  <c r="K1797" i="67"/>
  <c r="K1798" i="67"/>
  <c r="K1799" i="67"/>
  <c r="K1800" i="67"/>
  <c r="K1801" i="67"/>
  <c r="K1802" i="67"/>
  <c r="K1803" i="67"/>
  <c r="K1804" i="67"/>
  <c r="K1805" i="67"/>
  <c r="K1806" i="67"/>
  <c r="K1807" i="67"/>
  <c r="K1808" i="67"/>
  <c r="K1809" i="67"/>
  <c r="K1810" i="67"/>
  <c r="K1811" i="67"/>
  <c r="K1812" i="67"/>
  <c r="K1813" i="67"/>
  <c r="K1814" i="67"/>
  <c r="K1815" i="67"/>
  <c r="K1816" i="67"/>
  <c r="K1817" i="67"/>
  <c r="K1818" i="67"/>
  <c r="K1819" i="67"/>
  <c r="K1820" i="67"/>
  <c r="K1821" i="67"/>
  <c r="K1822" i="67"/>
  <c r="K1823" i="67"/>
  <c r="K1824" i="67"/>
  <c r="K1825" i="67"/>
  <c r="K1826" i="67"/>
  <c r="K1827" i="67"/>
  <c r="K1828" i="67"/>
  <c r="K1829" i="67"/>
  <c r="K1830" i="67"/>
  <c r="K1831" i="67"/>
  <c r="K1832" i="67"/>
  <c r="K1833" i="67"/>
  <c r="K1834" i="67"/>
  <c r="K1835" i="67"/>
  <c r="K1836" i="67"/>
  <c r="K1837" i="67"/>
  <c r="K1838" i="67"/>
  <c r="K1839" i="67"/>
  <c r="K1840" i="67"/>
  <c r="K1841" i="67"/>
  <c r="K1842" i="67"/>
  <c r="K1843" i="67"/>
  <c r="K1844" i="67"/>
  <c r="K1845" i="67"/>
  <c r="K1846" i="67"/>
  <c r="K1847" i="67"/>
  <c r="K1848" i="67"/>
  <c r="K1849" i="67"/>
  <c r="K1850" i="67"/>
  <c r="K1851" i="67"/>
  <c r="K1852" i="67"/>
  <c r="K1853" i="67"/>
  <c r="K1854" i="67"/>
  <c r="K1855" i="67"/>
  <c r="K1856" i="67"/>
  <c r="K1857" i="67"/>
  <c r="K1858" i="67"/>
  <c r="K1859" i="67"/>
  <c r="K1860" i="67"/>
  <c r="K1861" i="67"/>
  <c r="K1862" i="67"/>
  <c r="K1863" i="67"/>
  <c r="K1864" i="67"/>
  <c r="K1865" i="67"/>
  <c r="K1866" i="67"/>
  <c r="K1867" i="67"/>
  <c r="K1868" i="67"/>
  <c r="K1869" i="67"/>
  <c r="K1870" i="67"/>
  <c r="K1871" i="67"/>
  <c r="K1872" i="67"/>
  <c r="K1873" i="67"/>
  <c r="K1874" i="67"/>
  <c r="K1875" i="67"/>
  <c r="K1876" i="67"/>
  <c r="K1877" i="67"/>
  <c r="K1878" i="67"/>
  <c r="K1879" i="67"/>
  <c r="K1880" i="67"/>
  <c r="K1881" i="67"/>
  <c r="K1882" i="67"/>
  <c r="K1883" i="67"/>
  <c r="K1884" i="67"/>
  <c r="K1885" i="67"/>
  <c r="K1886" i="67"/>
  <c r="K1887" i="67"/>
  <c r="K1888" i="67"/>
  <c r="K1889" i="67"/>
  <c r="K1890" i="67"/>
  <c r="K1891" i="67"/>
  <c r="K1892" i="67"/>
  <c r="K1893" i="67"/>
  <c r="K1894" i="67"/>
  <c r="K1895" i="67"/>
  <c r="K1896" i="67"/>
  <c r="K1897" i="67"/>
  <c r="K1898" i="67"/>
  <c r="K1899" i="67"/>
  <c r="K1900" i="67"/>
  <c r="K1901" i="67"/>
  <c r="K1902" i="67"/>
  <c r="K1903" i="67"/>
  <c r="K1904" i="67"/>
  <c r="K1905" i="67"/>
  <c r="K1906" i="67"/>
  <c r="K1907" i="67"/>
  <c r="K1908" i="67"/>
  <c r="K1909" i="67"/>
  <c r="K1910" i="67"/>
  <c r="K1911" i="67"/>
  <c r="K1912" i="67"/>
  <c r="K1913" i="67"/>
  <c r="K1914" i="67"/>
  <c r="K1915" i="67"/>
  <c r="K1916" i="67"/>
  <c r="K1917" i="67"/>
  <c r="K1918" i="67"/>
  <c r="K1919" i="67"/>
  <c r="K1920" i="67"/>
  <c r="K1921" i="67"/>
  <c r="K1922" i="67"/>
  <c r="K1923" i="67"/>
  <c r="K1924" i="67"/>
  <c r="K1925" i="67"/>
  <c r="K1926" i="67"/>
  <c r="K1927" i="67"/>
  <c r="K1928" i="67"/>
  <c r="K1929" i="67"/>
  <c r="K1930" i="67"/>
  <c r="K1931" i="67"/>
  <c r="K1932" i="67"/>
  <c r="K1933" i="67"/>
  <c r="K1934" i="67"/>
  <c r="K1935" i="67"/>
  <c r="K1936" i="67"/>
  <c r="K1937" i="67"/>
  <c r="K1938" i="67"/>
  <c r="K1939" i="67"/>
  <c r="K1940" i="67"/>
  <c r="K1941" i="67"/>
  <c r="K1942" i="67"/>
  <c r="K1943" i="67"/>
  <c r="K1944" i="67"/>
  <c r="K1945" i="67"/>
  <c r="K1946" i="67"/>
  <c r="K1947" i="67"/>
  <c r="K1948" i="67"/>
  <c r="K1949" i="67"/>
  <c r="K1950" i="67"/>
  <c r="K1951" i="67"/>
  <c r="K1952" i="67"/>
  <c r="K1953" i="67"/>
  <c r="K1954" i="67"/>
  <c r="K1955" i="67"/>
  <c r="K1956" i="67"/>
  <c r="K1957" i="67"/>
  <c r="K1958" i="67"/>
  <c r="K1959" i="67"/>
  <c r="K1960" i="67"/>
  <c r="K1961" i="67"/>
  <c r="K1962" i="67"/>
  <c r="K1963" i="67"/>
  <c r="K1964" i="67"/>
  <c r="K1965" i="67"/>
  <c r="K4" i="67"/>
  <c r="M165" i="9"/>
  <c r="M164" i="9"/>
  <c r="L163" i="9"/>
  <c r="K163" i="9"/>
  <c r="J163" i="9"/>
  <c r="I163" i="9"/>
  <c r="H163" i="9"/>
  <c r="G163" i="9"/>
  <c r="F163" i="9"/>
  <c r="E163" i="9"/>
  <c r="D163" i="9"/>
  <c r="M156" i="9"/>
  <c r="M155" i="9"/>
  <c r="L154" i="9"/>
  <c r="K154" i="9"/>
  <c r="J154" i="9"/>
  <c r="I154" i="9"/>
  <c r="H154" i="9"/>
  <c r="G154" i="9"/>
  <c r="F154" i="9"/>
  <c r="E154" i="9"/>
  <c r="D154" i="9"/>
  <c r="M149" i="9"/>
  <c r="M148" i="9"/>
  <c r="M147" i="9"/>
  <c r="M146" i="9"/>
  <c r="M145" i="9"/>
  <c r="M144" i="9"/>
  <c r="M143" i="9"/>
  <c r="M142" i="9"/>
  <c r="L141" i="9"/>
  <c r="K141" i="9"/>
  <c r="J141" i="9"/>
  <c r="I141" i="9"/>
  <c r="H141" i="9"/>
  <c r="G141" i="9"/>
  <c r="F141" i="9"/>
  <c r="E141" i="9"/>
  <c r="D141" i="9"/>
  <c r="M140" i="9"/>
  <c r="M139" i="9"/>
  <c r="M138" i="9"/>
  <c r="M137" i="9"/>
  <c r="L136" i="9"/>
  <c r="K136" i="9"/>
  <c r="J136" i="9"/>
  <c r="I136" i="9"/>
  <c r="H136" i="9"/>
  <c r="G136" i="9"/>
  <c r="F136" i="9"/>
  <c r="E136" i="9"/>
  <c r="D136" i="9"/>
  <c r="M132" i="9"/>
  <c r="M131" i="9"/>
  <c r="M130" i="9"/>
  <c r="M129" i="9"/>
  <c r="M128" i="9"/>
  <c r="M127" i="9"/>
  <c r="M126" i="9"/>
  <c r="M125" i="9"/>
  <c r="M124" i="9"/>
  <c r="L123" i="9"/>
  <c r="K123" i="9"/>
  <c r="J123" i="9"/>
  <c r="I123" i="9"/>
  <c r="H123" i="9"/>
  <c r="G123" i="9"/>
  <c r="F123" i="9"/>
  <c r="E123" i="9"/>
  <c r="D123" i="9"/>
  <c r="M122" i="9"/>
  <c r="M121" i="9"/>
  <c r="M120" i="9"/>
  <c r="M119" i="9"/>
  <c r="L118" i="9"/>
  <c r="K118" i="9"/>
  <c r="J118" i="9"/>
  <c r="I118" i="9"/>
  <c r="H118" i="9"/>
  <c r="G118" i="9"/>
  <c r="F118" i="9"/>
  <c r="E118" i="9"/>
  <c r="D118" i="9"/>
  <c r="M116" i="9"/>
  <c r="M115" i="9"/>
  <c r="M114" i="9"/>
  <c r="M113" i="9"/>
  <c r="M112" i="9"/>
  <c r="M111" i="9"/>
  <c r="M110" i="9"/>
  <c r="M109" i="9"/>
  <c r="M108" i="9"/>
  <c r="M107" i="9"/>
  <c r="M106" i="9"/>
  <c r="M105" i="9"/>
  <c r="M104" i="9"/>
  <c r="M103" i="9"/>
  <c r="M102" i="9"/>
  <c r="M101" i="9"/>
  <c r="M100" i="9"/>
  <c r="M99" i="9"/>
  <c r="M98" i="9"/>
  <c r="M97" i="9"/>
  <c r="M96" i="9"/>
  <c r="M95" i="9"/>
  <c r="L94" i="9"/>
  <c r="K94" i="9"/>
  <c r="J94" i="9"/>
  <c r="I94" i="9"/>
  <c r="H94" i="9"/>
  <c r="G94" i="9"/>
  <c r="F94" i="9"/>
  <c r="E94" i="9"/>
  <c r="D94" i="9"/>
  <c r="M93" i="9"/>
  <c r="M92" i="9"/>
  <c r="M163" i="9" s="1"/>
  <c r="M91" i="9"/>
  <c r="M90" i="9"/>
  <c r="M89" i="9"/>
  <c r="M88" i="9"/>
  <c r="M87" i="9"/>
  <c r="M86" i="9"/>
  <c r="M85" i="9"/>
  <c r="M84" i="9"/>
  <c r="M83" i="9"/>
  <c r="M82" i="9"/>
  <c r="M81" i="9"/>
  <c r="M80" i="9"/>
  <c r="M79" i="9"/>
  <c r="M78" i="9"/>
  <c r="M77" i="9"/>
  <c r="M76" i="9"/>
  <c r="M75" i="9"/>
  <c r="M74" i="9"/>
  <c r="M73" i="9"/>
  <c r="M72" i="9"/>
  <c r="M71" i="9"/>
  <c r="M70" i="9"/>
  <c r="M69" i="9"/>
  <c r="M68" i="9"/>
  <c r="L67" i="9"/>
  <c r="K67" i="9"/>
  <c r="J67" i="9"/>
  <c r="I67" i="9"/>
  <c r="H67" i="9"/>
  <c r="G67" i="9"/>
  <c r="F67" i="9"/>
  <c r="E67" i="9"/>
  <c r="D67" i="9"/>
  <c r="M66" i="9"/>
  <c r="M65" i="9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L39" i="9"/>
  <c r="K39" i="9"/>
  <c r="J39" i="9"/>
  <c r="I39" i="9"/>
  <c r="H39" i="9"/>
  <c r="G39" i="9"/>
  <c r="F39" i="9"/>
  <c r="E39" i="9"/>
  <c r="D39" i="9"/>
  <c r="M38" i="9"/>
  <c r="M37" i="9"/>
  <c r="M36" i="9"/>
  <c r="M35" i="9"/>
  <c r="M34" i="9"/>
  <c r="L33" i="9"/>
  <c r="K33" i="9"/>
  <c r="J33" i="9"/>
  <c r="I33" i="9"/>
  <c r="H33" i="9"/>
  <c r="G33" i="9"/>
  <c r="F33" i="9"/>
  <c r="E33" i="9"/>
  <c r="D33" i="9"/>
  <c r="M31" i="9"/>
  <c r="M30" i="9"/>
  <c r="M29" i="9"/>
  <c r="M28" i="9"/>
  <c r="M27" i="9"/>
  <c r="M26" i="9"/>
  <c r="M25" i="9"/>
  <c r="L22" i="9"/>
  <c r="K22" i="9"/>
  <c r="J22" i="9"/>
  <c r="I22" i="9"/>
  <c r="H22" i="9"/>
  <c r="G22" i="9"/>
  <c r="F22" i="9"/>
  <c r="E22" i="9"/>
  <c r="D22" i="9"/>
  <c r="M18" i="9"/>
  <c r="M17" i="9"/>
  <c r="M16" i="9"/>
  <c r="L15" i="9"/>
  <c r="K15" i="9"/>
  <c r="J15" i="9"/>
  <c r="I15" i="9"/>
  <c r="H15" i="9"/>
  <c r="G15" i="9"/>
  <c r="F15" i="9"/>
  <c r="E15" i="9"/>
  <c r="D15" i="9"/>
  <c r="L13" i="9"/>
  <c r="K13" i="9"/>
  <c r="J13" i="9"/>
  <c r="I13" i="9"/>
  <c r="H13" i="9"/>
  <c r="G13" i="9"/>
  <c r="F13" i="9"/>
  <c r="E13" i="9"/>
  <c r="D13" i="9"/>
  <c r="M12" i="9"/>
  <c r="M11" i="9"/>
  <c r="M10" i="9"/>
  <c r="M9" i="9"/>
  <c r="F40" i="17" l="1"/>
  <c r="F41" i="17"/>
  <c r="AK152" i="9"/>
  <c r="AK158" i="9" s="1"/>
  <c r="AX160" i="9"/>
  <c r="AW168" i="9"/>
  <c r="AX168" i="9" s="1"/>
  <c r="CG160" i="9"/>
  <c r="CJ160" i="9" s="1"/>
  <c r="CK160" i="9" s="1"/>
  <c r="CH158" i="9"/>
  <c r="CM84" i="9"/>
  <c r="CM165" i="9"/>
  <c r="Y163" i="9"/>
  <c r="CM16" i="9"/>
  <c r="CM164" i="9"/>
  <c r="R20" i="9"/>
  <c r="Y22" i="9"/>
  <c r="Y166" i="9"/>
  <c r="Y154" i="9"/>
  <c r="Y141" i="9"/>
  <c r="Y123" i="9"/>
  <c r="Y39" i="9"/>
  <c r="G20" i="9"/>
  <c r="Q20" i="9"/>
  <c r="W20" i="9"/>
  <c r="Y136" i="9"/>
  <c r="T32" i="9"/>
  <c r="I32" i="9"/>
  <c r="W32" i="9"/>
  <c r="Q32" i="9"/>
  <c r="Q134" i="9" s="1"/>
  <c r="Q152" i="9" s="1"/>
  <c r="Q158" i="9" s="1"/>
  <c r="Q160" i="9" s="1"/>
  <c r="Q168" i="9" s="1"/>
  <c r="S20" i="9"/>
  <c r="Y33" i="9"/>
  <c r="R32" i="9"/>
  <c r="X32" i="9"/>
  <c r="V32" i="9"/>
  <c r="P32" i="9"/>
  <c r="U32" i="9"/>
  <c r="U20" i="9"/>
  <c r="Y118" i="9"/>
  <c r="Y15" i="9"/>
  <c r="Y67" i="9"/>
  <c r="Y94" i="9"/>
  <c r="S32" i="9"/>
  <c r="T20" i="9"/>
  <c r="P20" i="9"/>
  <c r="V20" i="9"/>
  <c r="X20" i="9"/>
  <c r="Y13" i="9"/>
  <c r="C10" i="17" s="1"/>
  <c r="F20" i="9"/>
  <c r="L20" i="9"/>
  <c r="M13" i="9"/>
  <c r="N29" i="9" s="1"/>
  <c r="E32" i="9"/>
  <c r="K32" i="9"/>
  <c r="M39" i="9"/>
  <c r="M118" i="9"/>
  <c r="K20" i="9"/>
  <c r="M22" i="9"/>
  <c r="N22" i="9" s="1"/>
  <c r="E20" i="9"/>
  <c r="D32" i="9"/>
  <c r="M136" i="9"/>
  <c r="G32" i="9"/>
  <c r="H32" i="9"/>
  <c r="L32" i="9"/>
  <c r="M67" i="9"/>
  <c r="J32" i="9"/>
  <c r="M33" i="9"/>
  <c r="H20" i="9"/>
  <c r="I20" i="9"/>
  <c r="D20" i="9"/>
  <c r="J20" i="9"/>
  <c r="M15" i="9"/>
  <c r="M141" i="9"/>
  <c r="M94" i="9"/>
  <c r="M123" i="9"/>
  <c r="M154" i="9"/>
  <c r="F32" i="9"/>
  <c r="CP8" i="9"/>
  <c r="H11" i="17" l="1"/>
  <c r="H23" i="17" s="1"/>
  <c r="H28" i="17" s="1"/>
  <c r="H29" i="17" s="1"/>
  <c r="H31" i="17" s="1"/>
  <c r="H39" i="17" s="1"/>
  <c r="AL152" i="9"/>
  <c r="D11" i="17"/>
  <c r="CG168" i="9"/>
  <c r="CJ168" i="9" s="1"/>
  <c r="CK168" i="9" s="1"/>
  <c r="CH160" i="9"/>
  <c r="Z44" i="9"/>
  <c r="AL158" i="9"/>
  <c r="AK160" i="9"/>
  <c r="I134" i="9"/>
  <c r="I152" i="9" s="1"/>
  <c r="I158" i="9" s="1"/>
  <c r="I160" i="9" s="1"/>
  <c r="I168" i="9" s="1"/>
  <c r="R134" i="9"/>
  <c r="R152" i="9" s="1"/>
  <c r="R158" i="9" s="1"/>
  <c r="R160" i="9" s="1"/>
  <c r="R168" i="9" s="1"/>
  <c r="L134" i="9"/>
  <c r="L152" i="9" s="1"/>
  <c r="L158" i="9" s="1"/>
  <c r="L160" i="9" s="1"/>
  <c r="L168" i="9" s="1"/>
  <c r="W134" i="9"/>
  <c r="W152" i="9" s="1"/>
  <c r="W158" i="9" s="1"/>
  <c r="W160" i="9" s="1"/>
  <c r="W168" i="9" s="1"/>
  <c r="U134" i="9"/>
  <c r="U152" i="9" s="1"/>
  <c r="U158" i="9" s="1"/>
  <c r="U160" i="9" s="1"/>
  <c r="U168" i="9" s="1"/>
  <c r="Z140" i="9"/>
  <c r="G134" i="9"/>
  <c r="G152" i="9" s="1"/>
  <c r="G158" i="9" s="1"/>
  <c r="G160" i="9" s="1"/>
  <c r="G168" i="9" s="1"/>
  <c r="H134" i="9"/>
  <c r="H152" i="9" s="1"/>
  <c r="H158" i="9" s="1"/>
  <c r="H160" i="9" s="1"/>
  <c r="H168" i="9" s="1"/>
  <c r="CM22" i="9"/>
  <c r="CM166" i="9"/>
  <c r="Z79" i="9"/>
  <c r="Z11" i="9"/>
  <c r="N26" i="9"/>
  <c r="Z142" i="9"/>
  <c r="N31" i="9"/>
  <c r="N25" i="9"/>
  <c r="Z76" i="9"/>
  <c r="Z88" i="9"/>
  <c r="Z84" i="9"/>
  <c r="Z126" i="9"/>
  <c r="Z64" i="9"/>
  <c r="Z130" i="9"/>
  <c r="Z37" i="9"/>
  <c r="Z18" i="9"/>
  <c r="Z50" i="9"/>
  <c r="Z89" i="9"/>
  <c r="Z46" i="9"/>
  <c r="Z93" i="9"/>
  <c r="Z67" i="9"/>
  <c r="Z33" i="9"/>
  <c r="Z136" i="9"/>
  <c r="Z83" i="9"/>
  <c r="Z34" i="9"/>
  <c r="Z35" i="9"/>
  <c r="Z139" i="9"/>
  <c r="Z52" i="9"/>
  <c r="Z77" i="9"/>
  <c r="Z121" i="9"/>
  <c r="Z91" i="9"/>
  <c r="Z26" i="9"/>
  <c r="Z23" i="9"/>
  <c r="Z24" i="9"/>
  <c r="Z25" i="9"/>
  <c r="Z85" i="9"/>
  <c r="Z100" i="9"/>
  <c r="Z165" i="9"/>
  <c r="Z43" i="9"/>
  <c r="Z60" i="9"/>
  <c r="Z57" i="9"/>
  <c r="Z75" i="9"/>
  <c r="Z143" i="9"/>
  <c r="Z73" i="9"/>
  <c r="Z120" i="9"/>
  <c r="Z90" i="9"/>
  <c r="Z132" i="9"/>
  <c r="Z30" i="9"/>
  <c r="Z48" i="9"/>
  <c r="Z39" i="9"/>
  <c r="X134" i="9"/>
  <c r="X152" i="9" s="1"/>
  <c r="X158" i="9" s="1"/>
  <c r="X160" i="9" s="1"/>
  <c r="X168" i="9" s="1"/>
  <c r="P134" i="9"/>
  <c r="P152" i="9" s="1"/>
  <c r="P158" i="9" s="1"/>
  <c r="P160" i="9" s="1"/>
  <c r="P168" i="9" s="1"/>
  <c r="T134" i="9"/>
  <c r="T152" i="9" s="1"/>
  <c r="T158" i="9" s="1"/>
  <c r="T160" i="9" s="1"/>
  <c r="T168" i="9" s="1"/>
  <c r="Y32" i="9"/>
  <c r="CM32" i="9" s="1"/>
  <c r="Z94" i="9"/>
  <c r="Z69" i="9"/>
  <c r="V134" i="9"/>
  <c r="V152" i="9" s="1"/>
  <c r="V158" i="9" s="1"/>
  <c r="V160" i="9" s="1"/>
  <c r="V168" i="9" s="1"/>
  <c r="S134" i="9"/>
  <c r="S152" i="9" s="1"/>
  <c r="S158" i="9" s="1"/>
  <c r="S160" i="9" s="1"/>
  <c r="S168" i="9" s="1"/>
  <c r="Z31" i="9"/>
  <c r="Z16" i="9"/>
  <c r="Z148" i="9"/>
  <c r="Z56" i="9"/>
  <c r="Z138" i="9"/>
  <c r="Z49" i="9"/>
  <c r="Z123" i="9"/>
  <c r="Z74" i="9"/>
  <c r="Z38" i="9"/>
  <c r="F134" i="9"/>
  <c r="F152" i="9" s="1"/>
  <c r="F158" i="9" s="1"/>
  <c r="F160" i="9" s="1"/>
  <c r="F168" i="9" s="1"/>
  <c r="Z110" i="9"/>
  <c r="Z42" i="9"/>
  <c r="Z58" i="9"/>
  <c r="Z124" i="9"/>
  <c r="Z128" i="9"/>
  <c r="Z36" i="9"/>
  <c r="E134" i="9"/>
  <c r="E152" i="9" s="1"/>
  <c r="E158" i="9" s="1"/>
  <c r="E160" i="9" s="1"/>
  <c r="E168" i="9" s="1"/>
  <c r="Z166" i="9"/>
  <c r="Z13" i="9"/>
  <c r="Z156" i="9"/>
  <c r="Z82" i="9"/>
  <c r="Z78" i="9"/>
  <c r="Z15" i="9"/>
  <c r="Z155" i="9"/>
  <c r="Z122" i="9"/>
  <c r="Z71" i="9"/>
  <c r="Z119" i="9"/>
  <c r="Z164" i="9"/>
  <c r="Z40" i="9"/>
  <c r="Z109" i="9"/>
  <c r="Z65" i="9"/>
  <c r="Z107" i="9"/>
  <c r="Z22" i="9"/>
  <c r="N57" i="9"/>
  <c r="N28" i="9"/>
  <c r="Y20" i="9"/>
  <c r="Z146" i="9"/>
  <c r="Z92" i="9"/>
  <c r="Z125" i="9"/>
  <c r="Z70" i="9"/>
  <c r="Z112" i="9"/>
  <c r="Z72" i="9"/>
  <c r="Z129" i="9"/>
  <c r="Z147" i="9"/>
  <c r="Z111" i="9"/>
  <c r="Z61" i="9"/>
  <c r="Z86" i="9"/>
  <c r="Z137" i="9"/>
  <c r="Z98" i="9"/>
  <c r="Z29" i="9"/>
  <c r="Z10" i="9"/>
  <c r="Z103" i="9"/>
  <c r="Z59" i="9"/>
  <c r="Z95" i="9"/>
  <c r="Z17" i="9"/>
  <c r="N27" i="9"/>
  <c r="Z102" i="9"/>
  <c r="Z105" i="9"/>
  <c r="Z68" i="9"/>
  <c r="Z96" i="9"/>
  <c r="Z28" i="9"/>
  <c r="Z154" i="9"/>
  <c r="Z106" i="9"/>
  <c r="Z62" i="9"/>
  <c r="Z163" i="9"/>
  <c r="Z141" i="9"/>
  <c r="Z99" i="9"/>
  <c r="Z55" i="9"/>
  <c r="Z80" i="9"/>
  <c r="Z131" i="9"/>
  <c r="Z66" i="9"/>
  <c r="Z114" i="9"/>
  <c r="Z145" i="9"/>
  <c r="Z97" i="9"/>
  <c r="Z41" i="9"/>
  <c r="Z63" i="9"/>
  <c r="N30" i="9"/>
  <c r="Z127" i="9"/>
  <c r="Z104" i="9"/>
  <c r="Z87" i="9"/>
  <c r="Z53" i="9"/>
  <c r="Z118" i="9"/>
  <c r="Z51" i="9"/>
  <c r="Z9" i="9"/>
  <c r="Z116" i="9"/>
  <c r="Z54" i="9"/>
  <c r="Z12" i="9"/>
  <c r="Z27" i="9"/>
  <c r="Z115" i="9"/>
  <c r="Z81" i="9"/>
  <c r="Z47" i="9"/>
  <c r="Z113" i="9"/>
  <c r="Z45" i="9"/>
  <c r="Z144" i="9"/>
  <c r="N34" i="9"/>
  <c r="N103" i="9"/>
  <c r="N52" i="9"/>
  <c r="N127" i="9"/>
  <c r="N78" i="9"/>
  <c r="N16" i="9"/>
  <c r="N138" i="9"/>
  <c r="N110" i="9"/>
  <c r="N11" i="9"/>
  <c r="N118" i="9"/>
  <c r="N142" i="9"/>
  <c r="N10" i="9"/>
  <c r="D134" i="9"/>
  <c r="D152" i="9" s="1"/>
  <c r="D158" i="9" s="1"/>
  <c r="D160" i="9" s="1"/>
  <c r="D168" i="9" s="1"/>
  <c r="N61" i="9"/>
  <c r="K134" i="9"/>
  <c r="K152" i="9" s="1"/>
  <c r="K158" i="9" s="1"/>
  <c r="K160" i="9" s="1"/>
  <c r="K168" i="9" s="1"/>
  <c r="N9" i="9"/>
  <c r="N122" i="9"/>
  <c r="N98" i="9"/>
  <c r="N140" i="9"/>
  <c r="N97" i="9"/>
  <c r="N129" i="9"/>
  <c r="N46" i="9"/>
  <c r="N112" i="9"/>
  <c r="N132" i="9"/>
  <c r="N49" i="9"/>
  <c r="N104" i="9"/>
  <c r="N72" i="9"/>
  <c r="N146" i="9"/>
  <c r="N33" i="9"/>
  <c r="N147" i="9"/>
  <c r="N66" i="9"/>
  <c r="N164" i="9"/>
  <c r="N65" i="9"/>
  <c r="N163" i="9"/>
  <c r="N62" i="9"/>
  <c r="N111" i="9"/>
  <c r="N40" i="9"/>
  <c r="N88" i="9"/>
  <c r="N93" i="9"/>
  <c r="N69" i="9"/>
  <c r="N79" i="9"/>
  <c r="N92" i="9"/>
  <c r="N120" i="9"/>
  <c r="N137" i="9"/>
  <c r="N60" i="9"/>
  <c r="N136" i="9"/>
  <c r="N59" i="9"/>
  <c r="N86" i="9"/>
  <c r="N144" i="9"/>
  <c r="N56" i="9"/>
  <c r="N99" i="9"/>
  <c r="N128" i="9"/>
  <c r="N67" i="9"/>
  <c r="N148" i="9"/>
  <c r="N90" i="9"/>
  <c r="N76" i="9"/>
  <c r="N37" i="9"/>
  <c r="N68" i="9"/>
  <c r="N105" i="9"/>
  <c r="N131" i="9"/>
  <c r="N130" i="9"/>
  <c r="N41" i="9"/>
  <c r="N80" i="9"/>
  <c r="N39" i="9"/>
  <c r="N50" i="9"/>
  <c r="N77" i="9"/>
  <c r="N95" i="9"/>
  <c r="N145" i="9"/>
  <c r="N87" i="9"/>
  <c r="N70" i="9"/>
  <c r="N91" i="9"/>
  <c r="N42" i="9"/>
  <c r="N125" i="9"/>
  <c r="N17" i="9"/>
  <c r="N124" i="9"/>
  <c r="N38" i="9"/>
  <c r="N74" i="9"/>
  <c r="N139" i="9"/>
  <c r="N44" i="9"/>
  <c r="N71" i="9"/>
  <c r="N143" i="9"/>
  <c r="N165" i="9"/>
  <c r="N12" i="9"/>
  <c r="N58" i="9"/>
  <c r="N83" i="9"/>
  <c r="N156" i="9"/>
  <c r="N100" i="9"/>
  <c r="N63" i="9"/>
  <c r="N64" i="9"/>
  <c r="N96" i="9"/>
  <c r="N47" i="9"/>
  <c r="N109" i="9"/>
  <c r="N48" i="9"/>
  <c r="N116" i="9"/>
  <c r="N155" i="9"/>
  <c r="N55" i="9"/>
  <c r="N73" i="9"/>
  <c r="N13" i="9"/>
  <c r="N102" i="9"/>
  <c r="N85" i="9"/>
  <c r="N81" i="9"/>
  <c r="N107" i="9"/>
  <c r="N166" i="9"/>
  <c r="N36" i="9"/>
  <c r="N43" i="9"/>
  <c r="N89" i="9"/>
  <c r="N35" i="9"/>
  <c r="N106" i="9"/>
  <c r="N113" i="9"/>
  <c r="N114" i="9"/>
  <c r="N53" i="9"/>
  <c r="N115" i="9"/>
  <c r="N51" i="9"/>
  <c r="N54" i="9"/>
  <c r="N121" i="9"/>
  <c r="N126" i="9"/>
  <c r="N82" i="9"/>
  <c r="M20" i="9"/>
  <c r="N20" i="9" s="1"/>
  <c r="N84" i="9"/>
  <c r="N119" i="9"/>
  <c r="N18" i="9"/>
  <c r="N75" i="9"/>
  <c r="N45" i="9"/>
  <c r="N15" i="9"/>
  <c r="N123" i="9"/>
  <c r="N141" i="9"/>
  <c r="N94" i="9"/>
  <c r="N154" i="9"/>
  <c r="M32" i="9"/>
  <c r="J134" i="9"/>
  <c r="J152" i="9" s="1"/>
  <c r="J158" i="9" s="1"/>
  <c r="J160" i="9" s="1"/>
  <c r="J168" i="9" s="1"/>
  <c r="O27" i="17"/>
  <c r="O30" i="17"/>
  <c r="M29" i="17"/>
  <c r="O29" i="17" s="1"/>
  <c r="Q29" i="17" s="1"/>
  <c r="M28" i="17"/>
  <c r="O28" i="17" s="1"/>
  <c r="Q28" i="17" s="1"/>
  <c r="C68" i="4"/>
  <c r="H41" i="17" l="1"/>
  <c r="H40" i="17"/>
  <c r="D12" i="17"/>
  <c r="D23" i="17" s="1"/>
  <c r="D28" i="17" s="1"/>
  <c r="D29" i="17" s="1"/>
  <c r="D31" i="17" s="1"/>
  <c r="D39" i="17" s="1"/>
  <c r="CH168" i="9"/>
  <c r="AK168" i="9"/>
  <c r="AL160" i="9"/>
  <c r="Z20" i="9"/>
  <c r="Z32" i="9"/>
  <c r="Y134" i="9"/>
  <c r="N32" i="9"/>
  <c r="M134" i="9"/>
  <c r="D40" i="17" l="1"/>
  <c r="D41" i="17"/>
  <c r="AL168" i="9"/>
  <c r="Y152" i="9"/>
  <c r="C11" i="17" s="1"/>
  <c r="Z134" i="9"/>
  <c r="M152" i="9"/>
  <c r="N152" i="9" s="1"/>
  <c r="N134" i="9"/>
  <c r="C12" i="17" l="1"/>
  <c r="C23" i="17" s="1"/>
  <c r="C28" i="17" s="1"/>
  <c r="C29" i="17" s="1"/>
  <c r="C31" i="17" s="1"/>
  <c r="C39" i="17" s="1"/>
  <c r="Z152" i="9"/>
  <c r="Y158" i="9"/>
  <c r="M158" i="9"/>
  <c r="M160" i="9" s="1"/>
  <c r="C41" i="17" l="1"/>
  <c r="C40" i="17"/>
  <c r="Y160" i="9"/>
  <c r="Z158" i="9"/>
  <c r="N158" i="9"/>
  <c r="N160" i="9"/>
  <c r="M168" i="9"/>
  <c r="Z160" i="9" l="1"/>
  <c r="Y168" i="9"/>
  <c r="N168" i="9"/>
  <c r="Z168" i="9" l="1"/>
  <c r="E70" i="4"/>
  <c r="E57" i="4"/>
  <c r="G157" i="4"/>
  <c r="F157" i="4"/>
  <c r="D157" i="4"/>
  <c r="C157" i="4"/>
  <c r="F173" i="4"/>
  <c r="F174" i="4"/>
  <c r="CP96" i="9" s="1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CP115" i="9" s="1"/>
  <c r="F167" i="4"/>
  <c r="F150" i="4"/>
  <c r="F151" i="4"/>
  <c r="F152" i="4"/>
  <c r="F154" i="4"/>
  <c r="F155" i="4"/>
  <c r="F156" i="4"/>
  <c r="F158" i="4"/>
  <c r="F159" i="4"/>
  <c r="F160" i="4"/>
  <c r="F161" i="4"/>
  <c r="F162" i="4"/>
  <c r="F163" i="4"/>
  <c r="F164" i="4"/>
  <c r="F165" i="4"/>
  <c r="F166" i="4"/>
  <c r="F141" i="4"/>
  <c r="F135" i="4"/>
  <c r="F136" i="4"/>
  <c r="F137" i="4"/>
  <c r="F138" i="4"/>
  <c r="F139" i="4"/>
  <c r="F129" i="4"/>
  <c r="F128" i="4"/>
  <c r="F115" i="4"/>
  <c r="F116" i="4"/>
  <c r="F117" i="4"/>
  <c r="F118" i="4"/>
  <c r="F203" i="4"/>
  <c r="F204" i="4"/>
  <c r="F206" i="4"/>
  <c r="F207" i="4"/>
  <c r="F209" i="4"/>
  <c r="CP128" i="9" s="1"/>
  <c r="F213" i="4"/>
  <c r="F214" i="4"/>
  <c r="F201" i="4"/>
  <c r="F194" i="4"/>
  <c r="F195" i="4"/>
  <c r="F196" i="4"/>
  <c r="F197" i="4"/>
  <c r="F198" i="4"/>
  <c r="F199" i="4"/>
  <c r="F200" i="4"/>
  <c r="F192" i="4"/>
  <c r="CP116" i="9" s="1"/>
  <c r="F171" i="4"/>
  <c r="F153" i="4"/>
  <c r="F168" i="4"/>
  <c r="F169" i="4"/>
  <c r="F170" i="4"/>
  <c r="F148" i="4"/>
  <c r="F119" i="4"/>
  <c r="F120" i="4"/>
  <c r="F121" i="4"/>
  <c r="F122" i="4"/>
  <c r="F123" i="4"/>
  <c r="F124" i="4"/>
  <c r="F125" i="4"/>
  <c r="F126" i="4"/>
  <c r="F127" i="4"/>
  <c r="F130" i="4"/>
  <c r="F131" i="4"/>
  <c r="F132" i="4"/>
  <c r="F133" i="4"/>
  <c r="F134" i="4"/>
  <c r="F142" i="4"/>
  <c r="F143" i="4"/>
  <c r="F144" i="4"/>
  <c r="F145" i="4"/>
  <c r="F146" i="4"/>
  <c r="F147" i="4"/>
  <c r="F113" i="4"/>
  <c r="F110" i="4"/>
  <c r="F111" i="4"/>
  <c r="F112" i="4"/>
  <c r="F95" i="4"/>
  <c r="F97" i="4"/>
  <c r="F98" i="4"/>
  <c r="F99" i="4"/>
  <c r="F100" i="4"/>
  <c r="F101" i="4"/>
  <c r="F102" i="4"/>
  <c r="F103" i="4"/>
  <c r="F104" i="4"/>
  <c r="F106" i="4"/>
  <c r="F107" i="4"/>
  <c r="F108" i="4"/>
  <c r="F94" i="4"/>
  <c r="CP11" i="9" s="1"/>
  <c r="F88" i="4"/>
  <c r="F89" i="4"/>
  <c r="F90" i="4"/>
  <c r="F91" i="4"/>
  <c r="F92" i="4"/>
  <c r="F93" i="4"/>
  <c r="CS131" i="9"/>
  <c r="G196" i="4"/>
  <c r="G153" i="4"/>
  <c r="G136" i="4"/>
  <c r="CS60" i="9" s="1"/>
  <c r="G135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90" i="4"/>
  <c r="G191" i="4"/>
  <c r="CS115" i="9" s="1"/>
  <c r="G167" i="4"/>
  <c r="G150" i="4"/>
  <c r="G151" i="4"/>
  <c r="G152" i="4"/>
  <c r="G154" i="4"/>
  <c r="G155" i="4"/>
  <c r="G156" i="4"/>
  <c r="G158" i="4"/>
  <c r="G159" i="4"/>
  <c r="G160" i="4"/>
  <c r="G161" i="4"/>
  <c r="CS79" i="9" s="1"/>
  <c r="G162" i="4"/>
  <c r="CS80" i="9" s="1"/>
  <c r="G163" i="4"/>
  <c r="G164" i="4"/>
  <c r="G165" i="4"/>
  <c r="G166" i="4"/>
  <c r="G141" i="4"/>
  <c r="G137" i="4"/>
  <c r="G138" i="4"/>
  <c r="G139" i="4"/>
  <c r="G129" i="4"/>
  <c r="CS50" i="9" s="1"/>
  <c r="G128" i="4"/>
  <c r="G117" i="4"/>
  <c r="G115" i="4"/>
  <c r="G118" i="4"/>
  <c r="G203" i="4"/>
  <c r="G204" i="4"/>
  <c r="G207" i="4"/>
  <c r="G213" i="4"/>
  <c r="G214" i="4"/>
  <c r="G201" i="4"/>
  <c r="G194" i="4"/>
  <c r="G195" i="4"/>
  <c r="G197" i="4"/>
  <c r="G198" i="4"/>
  <c r="G199" i="4"/>
  <c r="G200" i="4"/>
  <c r="G192" i="4"/>
  <c r="G171" i="4"/>
  <c r="G168" i="4"/>
  <c r="G169" i="4"/>
  <c r="G170" i="4"/>
  <c r="G148" i="4"/>
  <c r="G119" i="4"/>
  <c r="G120" i="4"/>
  <c r="G121" i="4"/>
  <c r="G122" i="4"/>
  <c r="G123" i="4"/>
  <c r="G124" i="4"/>
  <c r="G125" i="4"/>
  <c r="G126" i="4"/>
  <c r="G127" i="4"/>
  <c r="G130" i="4"/>
  <c r="CS51" i="9" s="1"/>
  <c r="G131" i="4"/>
  <c r="G132" i="4"/>
  <c r="CS53" i="9" s="1"/>
  <c r="G133" i="4"/>
  <c r="G142" i="4"/>
  <c r="G143" i="4"/>
  <c r="G144" i="4"/>
  <c r="G145" i="4"/>
  <c r="G146" i="4"/>
  <c r="G147" i="4"/>
  <c r="G113" i="4"/>
  <c r="G110" i="4"/>
  <c r="G111" i="4"/>
  <c r="G112" i="4"/>
  <c r="G95" i="4"/>
  <c r="G106" i="4"/>
  <c r="G107" i="4"/>
  <c r="G108" i="4"/>
  <c r="G94" i="4"/>
  <c r="CS11" i="9" s="1"/>
  <c r="G97" i="4"/>
  <c r="G98" i="4"/>
  <c r="G99" i="4"/>
  <c r="G100" i="4"/>
  <c r="G101" i="4"/>
  <c r="G102" i="4"/>
  <c r="G103" i="4"/>
  <c r="G104" i="4"/>
  <c r="G88" i="4"/>
  <c r="G89" i="4"/>
  <c r="G90" i="4"/>
  <c r="G91" i="4"/>
  <c r="G92" i="4"/>
  <c r="G93" i="4"/>
  <c r="E72" i="4"/>
  <c r="E73" i="4"/>
  <c r="E74" i="4"/>
  <c r="E76" i="4"/>
  <c r="E77" i="4"/>
  <c r="E78" i="4"/>
  <c r="E68" i="4"/>
  <c r="E58" i="4"/>
  <c r="E59" i="4"/>
  <c r="E60" i="4"/>
  <c r="E61" i="4"/>
  <c r="E62" i="4"/>
  <c r="E63" i="4"/>
  <c r="E64" i="4"/>
  <c r="E65" i="4"/>
  <c r="E45" i="4"/>
  <c r="E53" i="4"/>
  <c r="E50" i="4"/>
  <c r="E55" i="4"/>
  <c r="E47" i="4"/>
  <c r="E39" i="4"/>
  <c r="E41" i="4"/>
  <c r="E42" i="4"/>
  <c r="E43" i="4"/>
  <c r="E44" i="4"/>
  <c r="E37" i="4"/>
  <c r="Q48" i="6" s="1"/>
  <c r="E35" i="4"/>
  <c r="E36" i="4"/>
  <c r="Q47" i="6" s="1"/>
  <c r="E32" i="4"/>
  <c r="E28" i="4"/>
  <c r="E30" i="4"/>
  <c r="E16" i="4"/>
  <c r="E26" i="4"/>
  <c r="E18" i="4"/>
  <c r="E25" i="4"/>
  <c r="E24" i="4"/>
  <c r="E23" i="4"/>
  <c r="E22" i="4"/>
  <c r="E19" i="4"/>
  <c r="E21" i="4"/>
  <c r="E11" i="4"/>
  <c r="E12" i="4"/>
  <c r="E13" i="4"/>
  <c r="E14" i="4"/>
  <c r="E15" i="4"/>
  <c r="E9" i="4"/>
  <c r="E6" i="4"/>
  <c r="F12" i="6" s="1"/>
  <c r="E7" i="4"/>
  <c r="E8" i="4"/>
  <c r="C140" i="4"/>
  <c r="H114" i="4"/>
  <c r="C104" i="4"/>
  <c r="C206" i="4"/>
  <c r="C196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90" i="4"/>
  <c r="C191" i="4"/>
  <c r="C167" i="4"/>
  <c r="C150" i="4"/>
  <c r="C151" i="4"/>
  <c r="C152" i="4"/>
  <c r="C154" i="4"/>
  <c r="C155" i="4"/>
  <c r="C156" i="4"/>
  <c r="C159" i="4"/>
  <c r="C160" i="4"/>
  <c r="C161" i="4"/>
  <c r="C162" i="4"/>
  <c r="C163" i="4"/>
  <c r="C164" i="4"/>
  <c r="C165" i="4"/>
  <c r="C166" i="4"/>
  <c r="C141" i="4"/>
  <c r="C135" i="4"/>
  <c r="C137" i="4"/>
  <c r="C138" i="4"/>
  <c r="C139" i="4"/>
  <c r="C129" i="4"/>
  <c r="C128" i="4"/>
  <c r="C118" i="4"/>
  <c r="C115" i="4"/>
  <c r="C116" i="4"/>
  <c r="C117" i="4"/>
  <c r="C203" i="4"/>
  <c r="C204" i="4"/>
  <c r="C207" i="4"/>
  <c r="C209" i="4"/>
  <c r="C213" i="4"/>
  <c r="C214" i="4"/>
  <c r="C201" i="4"/>
  <c r="C194" i="4"/>
  <c r="C195" i="4"/>
  <c r="C197" i="4"/>
  <c r="C198" i="4"/>
  <c r="C199" i="4"/>
  <c r="C200" i="4"/>
  <c r="C192" i="4"/>
  <c r="C168" i="4"/>
  <c r="C169" i="4"/>
  <c r="C170" i="4"/>
  <c r="C171" i="4"/>
  <c r="C148" i="4"/>
  <c r="C119" i="4"/>
  <c r="C120" i="4"/>
  <c r="C121" i="4"/>
  <c r="C122" i="4"/>
  <c r="C123" i="4"/>
  <c r="C124" i="4"/>
  <c r="C125" i="4"/>
  <c r="C126" i="4"/>
  <c r="C127" i="4"/>
  <c r="C130" i="4"/>
  <c r="C131" i="4"/>
  <c r="C132" i="4"/>
  <c r="C133" i="4"/>
  <c r="C134" i="4"/>
  <c r="C142" i="4"/>
  <c r="C143" i="4"/>
  <c r="C144" i="4"/>
  <c r="C145" i="4"/>
  <c r="C146" i="4"/>
  <c r="C147" i="4"/>
  <c r="C113" i="4"/>
  <c r="C111" i="4"/>
  <c r="C112" i="4"/>
  <c r="C95" i="4"/>
  <c r="C106" i="4"/>
  <c r="C107" i="4"/>
  <c r="C108" i="4"/>
  <c r="C97" i="4"/>
  <c r="C98" i="4"/>
  <c r="C99" i="4"/>
  <c r="C100" i="4"/>
  <c r="C101" i="4"/>
  <c r="C102" i="4"/>
  <c r="C103" i="4"/>
  <c r="C94" i="4"/>
  <c r="C89" i="4"/>
  <c r="C90" i="4"/>
  <c r="C91" i="4"/>
  <c r="C92" i="4"/>
  <c r="C93" i="4"/>
  <c r="D206" i="4"/>
  <c r="D196" i="4"/>
  <c r="D139" i="4"/>
  <c r="D115" i="4"/>
  <c r="D116" i="4"/>
  <c r="D117" i="4"/>
  <c r="D118" i="4"/>
  <c r="D104" i="4"/>
  <c r="D94" i="4"/>
  <c r="D95" i="4"/>
  <c r="D113" i="4"/>
  <c r="D213" i="4"/>
  <c r="D214" i="4"/>
  <c r="D209" i="4"/>
  <c r="CM128" i="9" s="1"/>
  <c r="D207" i="4"/>
  <c r="D204" i="4"/>
  <c r="D203" i="4"/>
  <c r="D201" i="4"/>
  <c r="D194" i="4"/>
  <c r="D195" i="4"/>
  <c r="D197" i="4"/>
  <c r="D198" i="4"/>
  <c r="D199" i="4"/>
  <c r="CM148" i="9" s="1"/>
  <c r="D200" i="4"/>
  <c r="CM149" i="9" s="1"/>
  <c r="D192" i="4"/>
  <c r="D169" i="4"/>
  <c r="CM87" i="9" s="1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CM110" i="9" s="1"/>
  <c r="D188" i="4"/>
  <c r="CM109" i="9"/>
  <c r="D190" i="4"/>
  <c r="D191" i="4"/>
  <c r="D167" i="4"/>
  <c r="D168" i="4"/>
  <c r="D170" i="4"/>
  <c r="D171" i="4"/>
  <c r="D148" i="4"/>
  <c r="D150" i="4"/>
  <c r="D151" i="4"/>
  <c r="D152" i="4"/>
  <c r="D154" i="4"/>
  <c r="D155" i="4"/>
  <c r="D156" i="4"/>
  <c r="D159" i="4"/>
  <c r="D160" i="4"/>
  <c r="D161" i="4"/>
  <c r="D162" i="4"/>
  <c r="D163" i="4"/>
  <c r="D164" i="4"/>
  <c r="CM82" i="9" s="1"/>
  <c r="D165" i="4"/>
  <c r="CM83" i="9" s="1"/>
  <c r="D166" i="4"/>
  <c r="D141" i="4"/>
  <c r="D135" i="4"/>
  <c r="CM57" i="9" s="1"/>
  <c r="CM60" i="9"/>
  <c r="D137" i="4"/>
  <c r="D138" i="4"/>
  <c r="D140" i="4"/>
  <c r="D128" i="4"/>
  <c r="D129" i="4"/>
  <c r="D127" i="4"/>
  <c r="D130" i="4"/>
  <c r="CM51" i="9" s="1"/>
  <c r="D131" i="4"/>
  <c r="CM52" i="9" s="1"/>
  <c r="D132" i="4"/>
  <c r="CM53" i="9" s="1"/>
  <c r="D133" i="4"/>
  <c r="CM54" i="9" s="1"/>
  <c r="D134" i="4"/>
  <c r="D142" i="4"/>
  <c r="D143" i="4"/>
  <c r="D144" i="4"/>
  <c r="D145" i="4"/>
  <c r="D146" i="4"/>
  <c r="D147" i="4"/>
  <c r="D119" i="4"/>
  <c r="D120" i="4"/>
  <c r="D121" i="4"/>
  <c r="D122" i="4"/>
  <c r="D123" i="4"/>
  <c r="D124" i="4"/>
  <c r="D125" i="4"/>
  <c r="D126" i="4"/>
  <c r="D111" i="4"/>
  <c r="D112" i="4"/>
  <c r="D106" i="4"/>
  <c r="D107" i="4"/>
  <c r="D108" i="4"/>
  <c r="D97" i="4"/>
  <c r="D98" i="4"/>
  <c r="D100" i="4"/>
  <c r="D101" i="4"/>
  <c r="D102" i="4"/>
  <c r="D103" i="4"/>
  <c r="D89" i="4"/>
  <c r="D90" i="4"/>
  <c r="D91" i="4"/>
  <c r="D92" i="4"/>
  <c r="D93" i="4"/>
  <c r="C78" i="4"/>
  <c r="C76" i="4"/>
  <c r="C77" i="4"/>
  <c r="C73" i="4"/>
  <c r="C72" i="4"/>
  <c r="C74" i="4"/>
  <c r="C70" i="4"/>
  <c r="C66" i="4"/>
  <c r="C57" i="4"/>
  <c r="C58" i="4"/>
  <c r="C59" i="4"/>
  <c r="C60" i="4"/>
  <c r="C61" i="4"/>
  <c r="C62" i="4"/>
  <c r="C63" i="4"/>
  <c r="C64" i="4"/>
  <c r="C65" i="4"/>
  <c r="C47" i="4"/>
  <c r="C55" i="4"/>
  <c r="C50" i="4"/>
  <c r="C52" i="4"/>
  <c r="C225" i="72" s="1"/>
  <c r="C49" i="4"/>
  <c r="C45" i="4"/>
  <c r="C39" i="4"/>
  <c r="C41" i="4"/>
  <c r="C42" i="4"/>
  <c r="C43" i="4"/>
  <c r="C44" i="4"/>
  <c r="C37" i="4"/>
  <c r="C35" i="4"/>
  <c r="C36" i="4"/>
  <c r="C32" i="4"/>
  <c r="C28" i="4"/>
  <c r="C137" i="72" s="1"/>
  <c r="C30" i="4"/>
  <c r="C18" i="4"/>
  <c r="C26" i="4"/>
  <c r="C25" i="4"/>
  <c r="C24" i="4"/>
  <c r="C23" i="4"/>
  <c r="C22" i="4"/>
  <c r="C7" i="4"/>
  <c r="C8" i="4"/>
  <c r="C9" i="4"/>
  <c r="C11" i="4"/>
  <c r="C12" i="4"/>
  <c r="C13" i="4"/>
  <c r="C14" i="4"/>
  <c r="C15" i="4"/>
  <c r="C16" i="4"/>
  <c r="C105" i="72" s="1"/>
  <c r="C113" i="72" s="1"/>
  <c r="C19" i="4"/>
  <c r="C21" i="4"/>
  <c r="C6" i="4"/>
  <c r="C12" i="6" s="1"/>
  <c r="Q18" i="6" l="1"/>
  <c r="CS106" i="9"/>
  <c r="G87" i="4"/>
  <c r="CS10" i="9"/>
  <c r="CP10" i="9"/>
  <c r="F87" i="4"/>
  <c r="Q30" i="6"/>
  <c r="N71" i="6"/>
  <c r="C231" i="72"/>
  <c r="C230" i="72"/>
  <c r="C226" i="72"/>
  <c r="N31" i="6"/>
  <c r="N30" i="6"/>
  <c r="C29" i="72" l="1"/>
  <c r="CP83" i="9" l="1"/>
  <c r="CS83" i="9"/>
  <c r="CS98" i="9"/>
  <c r="CP98" i="9"/>
  <c r="D96" i="4" l="1"/>
  <c r="CM105" i="9"/>
  <c r="CS57" i="9"/>
  <c r="CP57" i="9"/>
  <c r="CM101" i="9"/>
  <c r="CM156" i="9" l="1"/>
  <c r="CM9" i="9"/>
  <c r="C87" i="4" l="1"/>
  <c r="D87" i="4"/>
  <c r="K59" i="17" l="1"/>
  <c r="CV122" i="9" l="1"/>
  <c r="CW122" i="9" s="1"/>
  <c r="CM137" i="9" l="1"/>
  <c r="C5" i="4" l="1"/>
  <c r="C17" i="72" l="1"/>
  <c r="CS12" i="9" l="1"/>
  <c r="CS102" i="9" l="1"/>
  <c r="CP102" i="9"/>
  <c r="CP106" i="9"/>
  <c r="CP61" i="9"/>
  <c r="CP62" i="9"/>
  <c r="CP51" i="9"/>
  <c r="CP50" i="9"/>
  <c r="CM12" i="9" l="1"/>
  <c r="C172" i="4" l="1"/>
  <c r="D211" i="72" l="1"/>
  <c r="C48" i="4"/>
  <c r="C224" i="72" s="1"/>
  <c r="C38" i="4" l="1"/>
  <c r="I26" i="17" l="1"/>
  <c r="O83" i="6"/>
  <c r="O82" i="6"/>
  <c r="O81" i="6"/>
  <c r="C239" i="72" l="1"/>
  <c r="C71" i="72" l="1"/>
  <c r="CS110" i="9" l="1"/>
  <c r="CP110" i="9"/>
  <c r="CP53" i="9"/>
  <c r="CM116" i="9" l="1"/>
  <c r="CM147" i="9"/>
  <c r="CM146" i="9"/>
  <c r="CM144" i="9"/>
  <c r="CM143" i="9"/>
  <c r="CM142" i="9"/>
  <c r="CM131" i="9"/>
  <c r="CM126" i="9"/>
  <c r="CM114" i="9"/>
  <c r="CM115" i="9"/>
  <c r="CM106" i="9"/>
  <c r="CM104" i="9"/>
  <c r="CM103" i="9"/>
  <c r="CM102" i="9"/>
  <c r="CM100" i="9"/>
  <c r="CM99" i="9"/>
  <c r="CM96" i="9"/>
  <c r="CM97" i="9"/>
  <c r="CM95" i="9"/>
  <c r="CM92" i="9"/>
  <c r="CM163" i="9" s="1"/>
  <c r="CM89" i="9"/>
  <c r="CM86" i="9"/>
  <c r="CM70" i="9"/>
  <c r="CM71" i="9"/>
  <c r="CM72" i="9"/>
  <c r="CM73" i="9"/>
  <c r="CM74" i="9"/>
  <c r="CM75" i="9"/>
  <c r="CM76" i="9"/>
  <c r="CM77" i="9"/>
  <c r="CM78" i="9"/>
  <c r="CM79" i="9"/>
  <c r="CM80" i="9"/>
  <c r="CM81" i="9"/>
  <c r="CM85" i="9"/>
  <c r="CM69" i="9"/>
  <c r="CM68" i="9"/>
  <c r="CM66" i="9"/>
  <c r="CM65" i="9"/>
  <c r="CM64" i="9"/>
  <c r="CM63" i="9"/>
  <c r="CM62" i="9"/>
  <c r="CM61" i="9"/>
  <c r="CM56" i="9"/>
  <c r="CM41" i="9"/>
  <c r="CM42" i="9"/>
  <c r="CM43" i="9"/>
  <c r="CM44" i="9"/>
  <c r="CM45" i="9"/>
  <c r="CM46" i="9"/>
  <c r="CM47" i="9"/>
  <c r="CM48" i="9"/>
  <c r="CM49" i="9"/>
  <c r="CM50" i="9"/>
  <c r="CM40" i="9"/>
  <c r="CM35" i="9"/>
  <c r="CM36" i="9"/>
  <c r="CM37" i="9"/>
  <c r="CM34" i="9"/>
  <c r="CM139" i="9"/>
  <c r="CM94" i="9" l="1"/>
  <c r="CM39" i="9"/>
  <c r="CM33" i="9"/>
  <c r="CM67" i="9"/>
  <c r="CM141" i="9"/>
  <c r="D193" i="4" l="1"/>
  <c r="G172" i="4"/>
  <c r="G149" i="4"/>
  <c r="F149" i="4"/>
  <c r="E20" i="4"/>
  <c r="C15" i="6" l="1"/>
  <c r="C9" i="72" l="1"/>
  <c r="C232" i="72"/>
  <c r="C234" i="72"/>
  <c r="C233" i="72"/>
  <c r="N18" i="6"/>
  <c r="CS63" i="9"/>
  <c r="CS62" i="9"/>
  <c r="CS61" i="9"/>
  <c r="CP104" i="9"/>
  <c r="CP63" i="9"/>
  <c r="CP85" i="9" l="1"/>
  <c r="CP84" i="9"/>
  <c r="CS85" i="9"/>
  <c r="CS84" i="9"/>
  <c r="CV115" i="9" l="1"/>
  <c r="CW115" i="9" s="1"/>
  <c r="CV114" i="9"/>
  <c r="CW114" i="9" s="1"/>
  <c r="N33" i="6"/>
  <c r="N32" i="6"/>
  <c r="Q33" i="6"/>
  <c r="Q32" i="6"/>
  <c r="Q31" i="6"/>
  <c r="Q29" i="6"/>
  <c r="N29" i="6"/>
  <c r="C149" i="4" l="1"/>
  <c r="C114" i="4" s="1"/>
  <c r="C193" i="4"/>
  <c r="CS124" i="9" l="1"/>
  <c r="CP124" i="9"/>
  <c r="CP149" i="9"/>
  <c r="CS149" i="9"/>
  <c r="F193" i="4"/>
  <c r="CS82" i="9"/>
  <c r="CV82" i="9" s="1"/>
  <c r="CW82" i="9" s="1"/>
  <c r="CS71" i="9"/>
  <c r="CS52" i="9"/>
  <c r="CP131" i="9"/>
  <c r="CP126" i="9"/>
  <c r="CS156" i="9"/>
  <c r="CS154" i="9" s="1"/>
  <c r="CP156" i="9"/>
  <c r="CP154" i="9" s="1"/>
  <c r="CP82" i="9" l="1"/>
  <c r="CP71" i="9"/>
  <c r="CP52" i="9"/>
  <c r="F96" i="4"/>
  <c r="CP26" i="9"/>
  <c r="G193" i="4"/>
  <c r="G114" i="4"/>
  <c r="F172" i="4"/>
  <c r="F114" i="4" s="1"/>
  <c r="F205" i="4"/>
  <c r="F202" i="4"/>
  <c r="G96" i="4"/>
  <c r="CS13" i="9" l="1"/>
  <c r="F109" i="4"/>
  <c r="CT60" i="9" l="1"/>
  <c r="CT62" i="9"/>
  <c r="CT63" i="9"/>
  <c r="CT58" i="9"/>
  <c r="CT59" i="9"/>
  <c r="CT61" i="9"/>
  <c r="CT122" i="9"/>
  <c r="CT83" i="9"/>
  <c r="D172" i="4" l="1"/>
  <c r="D205" i="4"/>
  <c r="C205" i="4"/>
  <c r="D149" i="4"/>
  <c r="D110" i="4"/>
  <c r="C110" i="4"/>
  <c r="C96" i="4"/>
  <c r="C40" i="4"/>
  <c r="D114" i="4" l="1"/>
  <c r="C70" i="72"/>
  <c r="C73" i="72" s="1"/>
  <c r="D29" i="72" l="1"/>
  <c r="E27" i="72" l="1"/>
  <c r="C10" i="4" l="1"/>
  <c r="CS89" i="9" l="1"/>
  <c r="CS81" i="9"/>
  <c r="CS78" i="9"/>
  <c r="CS77" i="9"/>
  <c r="CS76" i="9"/>
  <c r="CS75" i="9"/>
  <c r="CS73" i="9"/>
  <c r="CS74" i="9"/>
  <c r="CS126" i="9"/>
  <c r="CS116" i="9"/>
  <c r="CS112" i="9"/>
  <c r="CS111" i="9"/>
  <c r="CS105" i="9"/>
  <c r="CS103" i="9"/>
  <c r="CV103" i="9" s="1"/>
  <c r="CS104" i="9"/>
  <c r="CV104" i="9" s="1"/>
  <c r="CP105" i="9"/>
  <c r="CP103" i="9"/>
  <c r="CS100" i="9"/>
  <c r="CV100" i="9" s="1"/>
  <c r="CS99" i="9"/>
  <c r="CS97" i="9"/>
  <c r="CS96" i="9"/>
  <c r="CV96" i="9" s="1"/>
  <c r="CS95" i="9"/>
  <c r="CP112" i="9"/>
  <c r="CP111" i="9"/>
  <c r="CP100" i="9"/>
  <c r="CP99" i="9"/>
  <c r="CP97" i="9"/>
  <c r="CP95" i="9"/>
  <c r="CP92" i="9"/>
  <c r="CP163" i="9" s="1"/>
  <c r="CP89" i="9"/>
  <c r="CS87" i="9"/>
  <c r="CP87" i="9"/>
  <c r="CS86" i="9"/>
  <c r="CP86" i="9"/>
  <c r="CP81" i="9"/>
  <c r="CP80" i="9"/>
  <c r="CP79" i="9"/>
  <c r="CP78" i="9"/>
  <c r="CP77" i="9"/>
  <c r="CP76" i="9"/>
  <c r="CP75" i="9"/>
  <c r="CP74" i="9"/>
  <c r="CS28" i="9"/>
  <c r="CP28" i="9"/>
  <c r="CS137" i="9"/>
  <c r="CS94" i="9" l="1"/>
  <c r="CP94" i="9"/>
  <c r="CS92" i="9"/>
  <c r="CS163" i="9" s="1"/>
  <c r="CS72" i="9"/>
  <c r="CP73" i="9"/>
  <c r="CP72" i="9"/>
  <c r="E211" i="72"/>
  <c r="C211" i="72"/>
  <c r="C214" i="72"/>
  <c r="C220" i="72" s="1"/>
  <c r="C133" i="72" l="1"/>
  <c r="Q34" i="6"/>
  <c r="N34" i="6"/>
  <c r="N28" i="6" s="1"/>
  <c r="F59" i="6"/>
  <c r="F57" i="6"/>
  <c r="F56" i="6"/>
  <c r="F55" i="6"/>
  <c r="F54" i="6"/>
  <c r="F53" i="6"/>
  <c r="C59" i="6"/>
  <c r="C57" i="6"/>
  <c r="C56" i="6"/>
  <c r="C55" i="6"/>
  <c r="C54" i="6"/>
  <c r="C53" i="6"/>
  <c r="C20" i="4"/>
  <c r="C132" i="72"/>
  <c r="C131" i="72"/>
  <c r="C130" i="72"/>
  <c r="C129" i="72"/>
  <c r="C128" i="72"/>
  <c r="CM10" i="9" l="1"/>
  <c r="C127" i="72"/>
  <c r="CV10" i="9" l="1"/>
  <c r="CM13" i="9"/>
  <c r="CV11" i="9"/>
  <c r="B12" i="15" l="1"/>
  <c r="I10" i="17"/>
  <c r="CN23" i="9"/>
  <c r="CN25" i="9"/>
  <c r="CN24" i="9"/>
  <c r="CN22" i="9"/>
  <c r="CN60" i="9"/>
  <c r="CN108" i="9"/>
  <c r="CN9" i="9"/>
  <c r="CN101" i="9"/>
  <c r="CN149" i="9"/>
  <c r="CN163" i="9"/>
  <c r="CN122" i="9"/>
  <c r="CN102" i="9"/>
  <c r="C30" i="72" l="1"/>
  <c r="G212" i="4"/>
  <c r="CS15" i="9" s="1"/>
  <c r="CS14" i="9" s="1"/>
  <c r="F212" i="4"/>
  <c r="CP15" i="9" s="1"/>
  <c r="CP14" i="9" s="1"/>
  <c r="G205" i="4"/>
  <c r="G202" i="4"/>
  <c r="G105" i="4"/>
  <c r="G86" i="4" s="1"/>
  <c r="F105" i="4"/>
  <c r="F86" i="4" s="1"/>
  <c r="E48" i="4"/>
  <c r="E51" i="4"/>
  <c r="E54" i="4"/>
  <c r="E80" i="4" l="1"/>
  <c r="CP170" i="9" s="1"/>
  <c r="CR15" i="9"/>
  <c r="G109" i="4"/>
  <c r="E79" i="4" s="1"/>
  <c r="E46" i="4"/>
  <c r="C202" i="4" l="1"/>
  <c r="C109" i="4" s="1"/>
  <c r="C56" i="4"/>
  <c r="C34" i="4"/>
  <c r="C54" i="4"/>
  <c r="C51" i="4"/>
  <c r="CS170" i="9" l="1"/>
  <c r="CV151" i="9" l="1"/>
  <c r="CW151" i="9" s="1"/>
  <c r="CS148" i="9" l="1"/>
  <c r="CP148" i="9"/>
  <c r="CS147" i="9"/>
  <c r="CP147" i="9"/>
  <c r="CS146" i="9"/>
  <c r="CP146" i="9"/>
  <c r="CS144" i="9"/>
  <c r="CP144" i="9"/>
  <c r="CS143" i="9"/>
  <c r="CP143" i="9"/>
  <c r="CS142" i="9"/>
  <c r="CP142" i="9"/>
  <c r="CS128" i="9"/>
  <c r="CS123" i="9" s="1"/>
  <c r="CP123" i="9"/>
  <c r="CS25" i="9"/>
  <c r="CP25" i="9"/>
  <c r="CS141" i="9" l="1"/>
  <c r="CP141" i="9"/>
  <c r="F211" i="4"/>
  <c r="CW11" i="9" l="1"/>
  <c r="D212" i="4" l="1"/>
  <c r="C212" i="4"/>
  <c r="D202" i="4"/>
  <c r="D105" i="4"/>
  <c r="D86" i="4" s="1"/>
  <c r="D12" i="72" s="1"/>
  <c r="C105" i="4"/>
  <c r="C75" i="4"/>
  <c r="C71" i="4" s="1"/>
  <c r="C69" i="4"/>
  <c r="C67" i="4"/>
  <c r="C31" i="4"/>
  <c r="C29" i="4"/>
  <c r="C27" i="4"/>
  <c r="C17" i="4"/>
  <c r="E40" i="4"/>
  <c r="C86" i="4" l="1"/>
  <c r="CV132" i="9"/>
  <c r="CW132" i="9" s="1"/>
  <c r="CV131" i="9"/>
  <c r="CW131" i="9" s="1"/>
  <c r="CV90" i="9"/>
  <c r="CW90" i="9" s="1"/>
  <c r="CV26" i="9"/>
  <c r="CW26" i="9" s="1"/>
  <c r="CV50" i="9"/>
  <c r="CW50" i="9" s="1"/>
  <c r="CV28" i="9"/>
  <c r="CW28" i="9" s="1"/>
  <c r="CV88" i="9"/>
  <c r="CW88" i="9" s="1"/>
  <c r="CV109" i="9"/>
  <c r="CW109" i="9" s="1"/>
  <c r="D109" i="4"/>
  <c r="C46" i="4"/>
  <c r="C33" i="4" s="1"/>
  <c r="C4" i="4"/>
  <c r="CN119" i="9"/>
  <c r="C80" i="4" l="1"/>
  <c r="CG170" i="9" s="1"/>
  <c r="CG171" i="9" s="1"/>
  <c r="C79" i="4"/>
  <c r="CM170" i="9" s="1"/>
  <c r="CV113" i="9"/>
  <c r="CW113" i="9" s="1"/>
  <c r="CN118" i="9"/>
  <c r="CV106" i="9"/>
  <c r="CW106" i="9" s="1"/>
  <c r="CV112" i="9"/>
  <c r="CW112" i="9" s="1"/>
  <c r="CV116" i="9"/>
  <c r="CW116" i="9" s="1"/>
  <c r="CV127" i="9"/>
  <c r="CW127" i="9" s="1"/>
  <c r="CW104" i="9"/>
  <c r="CV128" i="9"/>
  <c r="CW128" i="9" s="1"/>
  <c r="CW96" i="9"/>
  <c r="CV105" i="9"/>
  <c r="CW105" i="9" s="1"/>
  <c r="CV129" i="9"/>
  <c r="CW129" i="9" s="1"/>
  <c r="CV120" i="9"/>
  <c r="CW120" i="9" s="1"/>
  <c r="CV30" i="9"/>
  <c r="CW30" i="9" s="1"/>
  <c r="CV111" i="9"/>
  <c r="CW111" i="9" s="1"/>
  <c r="CW100" i="9"/>
  <c r="E28" i="72"/>
  <c r="Y170" i="9" l="1"/>
  <c r="Y171" i="9" s="1"/>
  <c r="CM123" i="9"/>
  <c r="B8" i="15" s="1"/>
  <c r="B11" i="15" s="1"/>
  <c r="CV124" i="9"/>
  <c r="CW124" i="9" s="1"/>
  <c r="CM154" i="9"/>
  <c r="C81" i="4"/>
  <c r="CV125" i="9"/>
  <c r="CW125" i="9" s="1"/>
  <c r="CV165" i="9" l="1"/>
  <c r="CW165" i="9" s="1"/>
  <c r="CV166" i="9"/>
  <c r="CW166" i="9" s="1"/>
  <c r="CV164" i="9" l="1"/>
  <c r="CW164" i="9" s="1"/>
  <c r="CP139" i="9" l="1"/>
  <c r="CP137" i="9"/>
  <c r="CP70" i="9"/>
  <c r="CP69" i="9"/>
  <c r="CP68" i="9"/>
  <c r="CP66" i="9"/>
  <c r="CP65" i="9"/>
  <c r="CP64" i="9"/>
  <c r="CP55" i="9"/>
  <c r="CP49" i="9"/>
  <c r="CP48" i="9"/>
  <c r="CP47" i="9"/>
  <c r="CP46" i="9"/>
  <c r="CP45" i="9"/>
  <c r="CP44" i="9"/>
  <c r="CP43" i="9"/>
  <c r="CP42" i="9"/>
  <c r="CP41" i="9"/>
  <c r="CP40" i="9"/>
  <c r="CP37" i="9"/>
  <c r="CP36" i="9"/>
  <c r="CP35" i="9"/>
  <c r="CP34" i="9"/>
  <c r="CP31" i="9"/>
  <c r="CP22" i="9" s="1"/>
  <c r="CP12" i="9"/>
  <c r="CP13" i="9" s="1"/>
  <c r="CV130" i="9"/>
  <c r="CW130" i="9" s="1"/>
  <c r="CV110" i="9"/>
  <c r="CW110" i="9" s="1"/>
  <c r="CV107" i="9"/>
  <c r="CW107" i="9" s="1"/>
  <c r="CW103" i="9"/>
  <c r="CV102" i="9"/>
  <c r="CW102" i="9" s="1"/>
  <c r="CV99" i="9"/>
  <c r="CW99" i="9" s="1"/>
  <c r="CV98" i="9"/>
  <c r="CW98" i="9" s="1"/>
  <c r="CV97" i="9"/>
  <c r="CW97" i="9" s="1"/>
  <c r="CV93" i="9"/>
  <c r="CW93" i="9" s="1"/>
  <c r="CV92" i="9"/>
  <c r="CW92" i="9" s="1"/>
  <c r="CV91" i="9"/>
  <c r="CW91" i="9" s="1"/>
  <c r="CV89" i="9"/>
  <c r="CW89" i="9" s="1"/>
  <c r="CV87" i="9"/>
  <c r="CW87" i="9" s="1"/>
  <c r="CV86" i="9"/>
  <c r="CW86" i="9" s="1"/>
  <c r="CV85" i="9"/>
  <c r="CW85" i="9" s="1"/>
  <c r="CV84" i="9"/>
  <c r="CW84" i="9" s="1"/>
  <c r="CV81" i="9"/>
  <c r="CW81" i="9" s="1"/>
  <c r="CV80" i="9"/>
  <c r="CW80" i="9" s="1"/>
  <c r="CV79" i="9"/>
  <c r="CW79" i="9" s="1"/>
  <c r="CV78" i="9"/>
  <c r="CW78" i="9" s="1"/>
  <c r="CV77" i="9"/>
  <c r="CW77" i="9" s="1"/>
  <c r="CV76" i="9"/>
  <c r="CW76" i="9" s="1"/>
  <c r="CV75" i="9"/>
  <c r="CW75" i="9" s="1"/>
  <c r="CV74" i="9"/>
  <c r="CW74" i="9" s="1"/>
  <c r="CV73" i="9"/>
  <c r="CW73" i="9" s="1"/>
  <c r="CV72" i="9"/>
  <c r="CW72" i="9" s="1"/>
  <c r="CS70" i="9"/>
  <c r="CV70" i="9" s="1"/>
  <c r="CW70" i="9" s="1"/>
  <c r="CS69" i="9"/>
  <c r="CV69" i="9" s="1"/>
  <c r="CW69" i="9" s="1"/>
  <c r="CS68" i="9"/>
  <c r="CS66" i="9"/>
  <c r="CV66" i="9" s="1"/>
  <c r="CW66" i="9" s="1"/>
  <c r="CS65" i="9"/>
  <c r="CV65" i="9" s="1"/>
  <c r="CW65" i="9" s="1"/>
  <c r="CS64" i="9"/>
  <c r="CV64" i="9" s="1"/>
  <c r="CW64" i="9" s="1"/>
  <c r="CV63" i="9"/>
  <c r="CW63" i="9" s="1"/>
  <c r="CV62" i="9"/>
  <c r="CW62" i="9" s="1"/>
  <c r="CV61" i="9"/>
  <c r="CW61" i="9" s="1"/>
  <c r="CV59" i="9"/>
  <c r="CW59" i="9" s="1"/>
  <c r="CV58" i="9"/>
  <c r="CW58" i="9" s="1"/>
  <c r="CS55" i="9"/>
  <c r="CV55" i="9" s="1"/>
  <c r="CW55" i="9" s="1"/>
  <c r="CV54" i="9"/>
  <c r="CW54" i="9" s="1"/>
  <c r="CV57" i="9"/>
  <c r="CW57" i="9" s="1"/>
  <c r="CV56" i="9"/>
  <c r="CW56" i="9" s="1"/>
  <c r="CV53" i="9"/>
  <c r="CW53" i="9" s="1"/>
  <c r="CV51" i="9"/>
  <c r="CW51" i="9" s="1"/>
  <c r="CS49" i="9"/>
  <c r="CV49" i="9" s="1"/>
  <c r="CW49" i="9" s="1"/>
  <c r="CS48" i="9"/>
  <c r="CS47" i="9"/>
  <c r="CV47" i="9" s="1"/>
  <c r="CW47" i="9" s="1"/>
  <c r="CS46" i="9"/>
  <c r="CV46" i="9" s="1"/>
  <c r="CW46" i="9" s="1"/>
  <c r="CS45" i="9"/>
  <c r="CV45" i="9" s="1"/>
  <c r="CW45" i="9" s="1"/>
  <c r="CS44" i="9"/>
  <c r="CV44" i="9" s="1"/>
  <c r="CW44" i="9" s="1"/>
  <c r="CS43" i="9"/>
  <c r="CV43" i="9" s="1"/>
  <c r="CW43" i="9" s="1"/>
  <c r="CS42" i="9"/>
  <c r="CV42" i="9" s="1"/>
  <c r="CW42" i="9" s="1"/>
  <c r="CS41" i="9"/>
  <c r="CV41" i="9" s="1"/>
  <c r="CW41" i="9" s="1"/>
  <c r="CS40" i="9"/>
  <c r="CV38" i="9"/>
  <c r="CW38" i="9" s="1"/>
  <c r="CS37" i="9"/>
  <c r="CV37" i="9" s="1"/>
  <c r="CW37" i="9" s="1"/>
  <c r="CS36" i="9"/>
  <c r="CV36" i="9" s="1"/>
  <c r="CW36" i="9" s="1"/>
  <c r="CS35" i="9"/>
  <c r="CV35" i="9" s="1"/>
  <c r="CW35" i="9" s="1"/>
  <c r="CS34" i="9"/>
  <c r="CS139" i="9"/>
  <c r="CS136" i="9" s="1"/>
  <c r="CS31" i="9"/>
  <c r="CV31" i="9" s="1"/>
  <c r="CW31" i="9" s="1"/>
  <c r="CV29" i="9"/>
  <c r="CW29" i="9" s="1"/>
  <c r="CS27" i="9"/>
  <c r="CV162" i="9"/>
  <c r="CW162" i="9" s="1"/>
  <c r="CQ83" i="9" l="1"/>
  <c r="CQ60" i="9"/>
  <c r="CQ59" i="9"/>
  <c r="CS39" i="9"/>
  <c r="CQ122" i="9"/>
  <c r="CQ163" i="9"/>
  <c r="CV48" i="9"/>
  <c r="CW48" i="9" s="1"/>
  <c r="CT48" i="9"/>
  <c r="CT131" i="9"/>
  <c r="CT109" i="9"/>
  <c r="CQ10" i="9"/>
  <c r="CP20" i="9"/>
  <c r="CR13" i="9"/>
  <c r="CP136" i="9"/>
  <c r="CT106" i="9"/>
  <c r="CT114" i="9"/>
  <c r="CT113" i="9"/>
  <c r="CT115" i="9"/>
  <c r="CQ114" i="9"/>
  <c r="CQ113" i="9"/>
  <c r="CS22" i="9"/>
  <c r="CQ115" i="9"/>
  <c r="CS20" i="9"/>
  <c r="CT82" i="9"/>
  <c r="CS33" i="9"/>
  <c r="CP67" i="9"/>
  <c r="CS67" i="9"/>
  <c r="CP33" i="9"/>
  <c r="CT149" i="9"/>
  <c r="CT88" i="9"/>
  <c r="CT29" i="9"/>
  <c r="CT26" i="9"/>
  <c r="CT30" i="9"/>
  <c r="CT28" i="9"/>
  <c r="CV27" i="9"/>
  <c r="CW27" i="9" s="1"/>
  <c r="CT27" i="9"/>
  <c r="CT10" i="9"/>
  <c r="CT11" i="9"/>
  <c r="CT38" i="9"/>
  <c r="CT50" i="9"/>
  <c r="CT96" i="9"/>
  <c r="CT112" i="9"/>
  <c r="CT116" i="9"/>
  <c r="CT124" i="9"/>
  <c r="CT126" i="9"/>
  <c r="CT13" i="9"/>
  <c r="CT125" i="9"/>
  <c r="CT12" i="9"/>
  <c r="CV16" i="9" l="1"/>
  <c r="CW16" i="9" s="1"/>
  <c r="CQ71" i="9"/>
  <c r="CQ82" i="9"/>
  <c r="CQ136" i="9"/>
  <c r="CQ39" i="9"/>
  <c r="CQ166" i="9"/>
  <c r="CQ155" i="9"/>
  <c r="CQ144" i="9"/>
  <c r="CQ126" i="9"/>
  <c r="CQ107" i="9"/>
  <c r="CQ97" i="9"/>
  <c r="CQ89" i="9"/>
  <c r="CQ81" i="9"/>
  <c r="CQ73" i="9"/>
  <c r="CQ64" i="9"/>
  <c r="CQ57" i="9"/>
  <c r="CQ46" i="9"/>
  <c r="CQ38" i="9"/>
  <c r="CQ30" i="9"/>
  <c r="CQ165" i="9"/>
  <c r="CQ143" i="9"/>
  <c r="CQ116" i="9"/>
  <c r="CQ105" i="9"/>
  <c r="CQ96" i="9"/>
  <c r="CQ88" i="9"/>
  <c r="CQ80" i="9"/>
  <c r="CQ72" i="9"/>
  <c r="CQ63" i="9"/>
  <c r="CQ56" i="9"/>
  <c r="CQ45" i="9"/>
  <c r="CQ37" i="9"/>
  <c r="CQ29" i="9"/>
  <c r="CQ18" i="9"/>
  <c r="CQ164" i="9"/>
  <c r="CQ142" i="9"/>
  <c r="CQ132" i="9"/>
  <c r="CQ125" i="9"/>
  <c r="CQ106" i="9"/>
  <c r="CQ104" i="9"/>
  <c r="CQ95" i="9"/>
  <c r="CQ87" i="9"/>
  <c r="CQ79" i="9"/>
  <c r="CQ62" i="9"/>
  <c r="CQ36" i="9"/>
  <c r="CQ151" i="9"/>
  <c r="CQ131" i="9"/>
  <c r="CQ124" i="9"/>
  <c r="CQ103" i="9"/>
  <c r="CQ86" i="9"/>
  <c r="CQ78" i="9"/>
  <c r="CQ69" i="9"/>
  <c r="CQ61" i="9"/>
  <c r="CQ51" i="9"/>
  <c r="CQ43" i="9"/>
  <c r="CQ35" i="9"/>
  <c r="CQ27" i="9"/>
  <c r="CQ16" i="9"/>
  <c r="CQ147" i="9"/>
  <c r="CQ129" i="9"/>
  <c r="CQ111" i="9"/>
  <c r="CQ92" i="9"/>
  <c r="CQ76" i="9"/>
  <c r="CQ58" i="9"/>
  <c r="CQ41" i="9"/>
  <c r="CQ25" i="9"/>
  <c r="CQ138" i="9"/>
  <c r="CQ120" i="9"/>
  <c r="CQ99" i="9"/>
  <c r="CQ66" i="9"/>
  <c r="CQ48" i="9"/>
  <c r="CQ12" i="9"/>
  <c r="CQ156" i="9"/>
  <c r="CQ145" i="9"/>
  <c r="CQ127" i="9"/>
  <c r="CQ110" i="9"/>
  <c r="CQ90" i="9"/>
  <c r="CQ74" i="9"/>
  <c r="CQ54" i="9"/>
  <c r="CQ11" i="9"/>
  <c r="CQ53" i="9"/>
  <c r="CQ28" i="9"/>
  <c r="CQ148" i="9"/>
  <c r="CQ140" i="9"/>
  <c r="CQ130" i="9"/>
  <c r="CQ112" i="9"/>
  <c r="CQ102" i="9"/>
  <c r="CQ93" i="9"/>
  <c r="CQ85" i="9"/>
  <c r="CQ77" i="9"/>
  <c r="CQ68" i="9"/>
  <c r="CQ50" i="9"/>
  <c r="CQ42" i="9"/>
  <c r="CQ34" i="9"/>
  <c r="CQ26" i="9"/>
  <c r="CQ139" i="9"/>
  <c r="CQ100" i="9"/>
  <c r="CQ84" i="9"/>
  <c r="CQ49" i="9"/>
  <c r="CQ13" i="9"/>
  <c r="CQ146" i="9"/>
  <c r="CQ128" i="9"/>
  <c r="CQ109" i="9"/>
  <c r="CQ91" i="9"/>
  <c r="CQ75" i="9"/>
  <c r="CQ55" i="9"/>
  <c r="CQ40" i="9"/>
  <c r="CQ137" i="9"/>
  <c r="CQ98" i="9"/>
  <c r="CQ65" i="9"/>
  <c r="CQ47" i="9"/>
  <c r="CQ31" i="9"/>
  <c r="CQ70" i="9"/>
  <c r="CQ44" i="9"/>
  <c r="CQ17" i="9"/>
  <c r="CQ22" i="9"/>
  <c r="CQ33" i="9"/>
  <c r="CQ123" i="9"/>
  <c r="CQ67" i="9"/>
  <c r="CQ94" i="9"/>
  <c r="CQ154" i="9"/>
  <c r="CQ141" i="9"/>
  <c r="CV126" i="9"/>
  <c r="CW126" i="9" s="1"/>
  <c r="C12" i="15"/>
  <c r="CV25" i="9"/>
  <c r="CW25" i="9" s="1"/>
  <c r="CW10" i="9"/>
  <c r="CM15" i="9" l="1"/>
  <c r="CV18" i="9"/>
  <c r="CW18" i="9" s="1"/>
  <c r="CM136" i="9"/>
  <c r="CV147" i="9"/>
  <c r="CW147" i="9" s="1"/>
  <c r="CV140" i="9"/>
  <c r="CW140" i="9" s="1"/>
  <c r="CV139" i="9"/>
  <c r="CW139" i="9" s="1"/>
  <c r="CV142" i="9"/>
  <c r="CW142" i="9" s="1"/>
  <c r="CV144" i="9"/>
  <c r="CW144" i="9" s="1"/>
  <c r="CV145" i="9"/>
  <c r="CW145" i="9" s="1"/>
  <c r="CV143" i="9"/>
  <c r="CW143" i="9" s="1"/>
  <c r="CV68" i="9"/>
  <c r="CW68" i="9" s="1"/>
  <c r="CV148" i="9"/>
  <c r="CW148" i="9" s="1"/>
  <c r="CT104" i="9"/>
  <c r="CT111" i="9"/>
  <c r="CT64" i="9"/>
  <c r="CT66" i="9"/>
  <c r="CT69" i="9"/>
  <c r="CT72" i="9"/>
  <c r="CT74" i="9"/>
  <c r="CT76" i="9"/>
  <c r="CT78" i="9"/>
  <c r="CT80" i="9"/>
  <c r="CT85" i="9"/>
  <c r="CT87" i="9"/>
  <c r="CT91" i="9"/>
  <c r="CT93" i="9"/>
  <c r="CT97" i="9"/>
  <c r="CT99" i="9"/>
  <c r="CT102" i="9"/>
  <c r="CT103" i="9"/>
  <c r="CT107" i="9"/>
  <c r="CT51" i="9"/>
  <c r="CT65" i="9"/>
  <c r="CT70" i="9"/>
  <c r="CT73" i="9"/>
  <c r="CT75" i="9"/>
  <c r="CT77" i="9"/>
  <c r="CT79" i="9"/>
  <c r="CT81" i="9"/>
  <c r="CT84" i="9"/>
  <c r="CT86" i="9"/>
  <c r="CT89" i="9"/>
  <c r="CT92" i="9"/>
  <c r="CT98" i="9"/>
  <c r="CT100" i="9"/>
  <c r="CT105" i="9"/>
  <c r="CT110" i="9"/>
  <c r="CV138" i="9" l="1"/>
  <c r="CW138" i="9" s="1"/>
  <c r="CN10" i="9"/>
  <c r="CV137" i="9"/>
  <c r="CW137" i="9" s="1"/>
  <c r="CV146" i="9"/>
  <c r="CW146" i="9" s="1"/>
  <c r="CV12" i="9"/>
  <c r="CW12" i="9" s="1"/>
  <c r="CV17" i="9"/>
  <c r="CW17" i="9" s="1"/>
  <c r="CV33" i="9"/>
  <c r="CW33" i="9" s="1"/>
  <c r="CV94" i="9"/>
  <c r="CW94" i="9" s="1"/>
  <c r="CV39" i="9"/>
  <c r="CW39" i="9" s="1"/>
  <c r="CV95" i="9"/>
  <c r="CW95" i="9" s="1"/>
  <c r="CV40" i="9"/>
  <c r="CW40" i="9" s="1"/>
  <c r="CV34" i="9"/>
  <c r="CW34" i="9" s="1"/>
  <c r="CT94" i="9"/>
  <c r="CT95" i="9"/>
  <c r="CV67" i="9"/>
  <c r="CW67" i="9" s="1"/>
  <c r="CM20" i="9" l="1"/>
  <c r="CM134" i="9" s="1"/>
  <c r="CN11" i="9"/>
  <c r="CN114" i="9"/>
  <c r="CN113" i="9"/>
  <c r="CN82" i="9"/>
  <c r="CN115" i="9"/>
  <c r="CT67" i="9"/>
  <c r="CT68" i="9"/>
  <c r="CT140" i="9"/>
  <c r="CT130" i="9"/>
  <c r="CT120" i="9"/>
  <c r="CT16" i="9"/>
  <c r="B6" i="15" l="1"/>
  <c r="CT129" i="9"/>
  <c r="CT17" i="9"/>
  <c r="F31" i="6" l="1"/>
  <c r="C31" i="6"/>
  <c r="CT54" i="9" l="1"/>
  <c r="F211" i="72" l="1"/>
  <c r="E67" i="72" l="1"/>
  <c r="CT35" i="9" l="1"/>
  <c r="C8" i="71"/>
  <c r="E8" i="71" l="1"/>
  <c r="D8" i="71"/>
  <c r="B8" i="71"/>
  <c r="E26" i="72" l="1"/>
  <c r="E25" i="72"/>
  <c r="E24" i="72"/>
  <c r="E23" i="72"/>
  <c r="E22" i="72"/>
  <c r="E21" i="72"/>
  <c r="E20" i="72"/>
  <c r="E29" i="72" l="1"/>
  <c r="C238" i="72"/>
  <c r="C240" i="72" s="1"/>
  <c r="C30" i="6" l="1"/>
  <c r="F30" i="6"/>
  <c r="CT55" i="9" l="1"/>
  <c r="CT57" i="9"/>
  <c r="CT56" i="9"/>
  <c r="CT53" i="9"/>
  <c r="CT49" i="9"/>
  <c r="CT47" i="9"/>
  <c r="CT46" i="9"/>
  <c r="CT45" i="9"/>
  <c r="CT44" i="9"/>
  <c r="CT43" i="9"/>
  <c r="CT42" i="9"/>
  <c r="CT41" i="9"/>
  <c r="CT37" i="9"/>
  <c r="CT36" i="9"/>
  <c r="CT147" i="9"/>
  <c r="CT146" i="9"/>
  <c r="CT148" i="9"/>
  <c r="CT145" i="9"/>
  <c r="CT144" i="9"/>
  <c r="CT143" i="9"/>
  <c r="CT138" i="9"/>
  <c r="CT139" i="9"/>
  <c r="CT31" i="9"/>
  <c r="C22" i="71"/>
  <c r="CT137" i="9" l="1"/>
  <c r="CT128" i="9"/>
  <c r="CV123" i="9"/>
  <c r="CW123" i="9" s="1"/>
  <c r="CT34" i="9"/>
  <c r="CT25" i="9"/>
  <c r="CT142" i="9"/>
  <c r="CT141" i="9"/>
  <c r="CT22" i="9" l="1"/>
  <c r="CT136" i="9"/>
  <c r="CT39" i="9"/>
  <c r="CT40" i="9"/>
  <c r="CT33" i="9"/>
  <c r="CT123" i="9"/>
  <c r="CV13" i="9" l="1"/>
  <c r="CW13" i="9" s="1"/>
  <c r="CN155" i="9"/>
  <c r="CN50" i="9"/>
  <c r="CN88" i="9"/>
  <c r="CN26" i="9"/>
  <c r="CN28" i="9"/>
  <c r="CN131" i="9"/>
  <c r="CN109" i="9"/>
  <c r="CN132" i="9"/>
  <c r="CN90" i="9"/>
  <c r="CN106" i="9"/>
  <c r="CN53" i="9"/>
  <c r="CN75" i="9"/>
  <c r="CN58" i="9"/>
  <c r="CN69" i="9"/>
  <c r="CN61" i="9"/>
  <c r="CN98" i="9"/>
  <c r="CN72" i="9"/>
  <c r="CN54" i="9"/>
  <c r="CN84" i="9"/>
  <c r="CN91" i="9"/>
  <c r="CN80" i="9"/>
  <c r="CN96" i="9"/>
  <c r="CN78" i="9"/>
  <c r="CN70" i="9"/>
  <c r="CN36" i="9"/>
  <c r="CN44" i="9"/>
  <c r="CN81" i="9"/>
  <c r="CN89" i="9"/>
  <c r="CN35" i="9"/>
  <c r="CN103" i="9"/>
  <c r="CN105" i="9"/>
  <c r="CN86" i="9"/>
  <c r="CN79" i="9"/>
  <c r="CN73" i="9"/>
  <c r="CN107" i="9"/>
  <c r="CN56" i="9"/>
  <c r="CN43" i="9"/>
  <c r="CN49" i="9"/>
  <c r="CN111" i="9"/>
  <c r="CN64" i="9"/>
  <c r="CN116" i="9"/>
  <c r="CN37" i="9"/>
  <c r="CN97" i="9"/>
  <c r="CN87" i="9"/>
  <c r="CN65" i="9"/>
  <c r="CN29" i="9"/>
  <c r="CN130" i="9"/>
  <c r="CN100" i="9"/>
  <c r="CN112" i="9"/>
  <c r="CN127" i="9"/>
  <c r="CN92" i="9"/>
  <c r="CN38" i="9"/>
  <c r="CN30" i="9"/>
  <c r="CN120" i="9"/>
  <c r="CN110" i="9"/>
  <c r="CN55" i="9"/>
  <c r="CN128" i="9"/>
  <c r="CN62" i="9"/>
  <c r="CN77" i="9"/>
  <c r="CN45" i="9"/>
  <c r="CN42" i="9"/>
  <c r="CN47" i="9"/>
  <c r="CN41" i="9"/>
  <c r="CN31" i="9"/>
  <c r="CN104" i="9"/>
  <c r="CN124" i="9"/>
  <c r="CN99" i="9"/>
  <c r="CN74" i="9"/>
  <c r="CN93" i="9"/>
  <c r="CN66" i="9"/>
  <c r="CN129" i="9"/>
  <c r="CN46" i="9"/>
  <c r="CN76" i="9"/>
  <c r="CN59" i="9"/>
  <c r="CN51" i="9"/>
  <c r="CN57" i="9"/>
  <c r="CN48" i="9"/>
  <c r="CN27" i="9"/>
  <c r="CN125" i="9"/>
  <c r="CN63" i="9"/>
  <c r="CN85" i="9"/>
  <c r="CN156" i="9"/>
  <c r="CN166" i="9"/>
  <c r="CN165" i="9"/>
  <c r="CN164" i="9"/>
  <c r="CN126" i="9"/>
  <c r="CN16" i="9"/>
  <c r="CN68" i="9"/>
  <c r="CN137" i="9"/>
  <c r="CN148" i="9"/>
  <c r="CN143" i="9"/>
  <c r="CN146" i="9"/>
  <c r="CN34" i="9"/>
  <c r="CN95" i="9"/>
  <c r="CN18" i="9"/>
  <c r="CN144" i="9"/>
  <c r="CN138" i="9"/>
  <c r="CN140" i="9"/>
  <c r="CN12" i="9"/>
  <c r="CN147" i="9"/>
  <c r="CN40" i="9"/>
  <c r="CN145" i="9"/>
  <c r="CN142" i="9"/>
  <c r="CN17" i="9"/>
  <c r="CN139" i="9"/>
  <c r="CT165" i="9"/>
  <c r="CT166" i="9"/>
  <c r="CT164" i="9"/>
  <c r="CN67" i="9"/>
  <c r="CN94" i="9"/>
  <c r="Q50" i="6" l="1"/>
  <c r="CV136" i="9" l="1"/>
  <c r="CW136" i="9" s="1"/>
  <c r="T51" i="6"/>
  <c r="U51" i="6" s="1"/>
  <c r="N50" i="6"/>
  <c r="T50" i="6" s="1"/>
  <c r="U50" i="6" s="1"/>
  <c r="C243" i="72" l="1"/>
  <c r="C95" i="72"/>
  <c r="C103" i="72" s="1"/>
  <c r="C75" i="72"/>
  <c r="C93" i="72" s="1"/>
  <c r="C53" i="72"/>
  <c r="D68" i="72" s="1"/>
  <c r="C47" i="72"/>
  <c r="C50" i="72" s="1"/>
  <c r="C42" i="72"/>
  <c r="C32" i="72"/>
  <c r="C40" i="72" s="1"/>
  <c r="Q54" i="6"/>
  <c r="N54" i="6"/>
  <c r="N53" i="6" s="1"/>
  <c r="N48" i="6"/>
  <c r="N47" i="6"/>
  <c r="N25" i="6"/>
  <c r="C140" i="72"/>
  <c r="C145" i="72" s="1"/>
  <c r="E56" i="4"/>
  <c r="E67" i="4"/>
  <c r="C52" i="6" l="1"/>
  <c r="T48" i="6"/>
  <c r="T47" i="6"/>
  <c r="U47" i="6" s="1"/>
  <c r="F52" i="6"/>
  <c r="A3" i="72" l="1"/>
  <c r="A2" i="72"/>
  <c r="A1" i="72"/>
  <c r="C250" i="72"/>
  <c r="C134" i="72"/>
  <c r="C45" i="72"/>
  <c r="J41" i="71"/>
  <c r="J37" i="71"/>
  <c r="I37" i="71"/>
  <c r="C36" i="71"/>
  <c r="B36" i="71"/>
  <c r="C35" i="71"/>
  <c r="B35" i="71"/>
  <c r="C33" i="71"/>
  <c r="B33" i="71"/>
  <c r="J31" i="71"/>
  <c r="J39" i="71" s="1"/>
  <c r="B31" i="71"/>
  <c r="I31" i="71" s="1"/>
  <c r="I39" i="71" s="1"/>
  <c r="J30" i="71"/>
  <c r="J38" i="71" s="1"/>
  <c r="I30" i="71"/>
  <c r="I38" i="71" s="1"/>
  <c r="C26" i="71"/>
  <c r="B26" i="71"/>
  <c r="D25" i="71"/>
  <c r="D26" i="71" s="1"/>
  <c r="E22" i="71"/>
  <c r="E47" i="71" s="1"/>
  <c r="D22" i="71"/>
  <c r="C46" i="71"/>
  <c r="A17" i="71"/>
  <c r="E21" i="71"/>
  <c r="D21" i="71"/>
  <c r="C21" i="71"/>
  <c r="F7" i="71"/>
  <c r="F6" i="71"/>
  <c r="F5" i="71"/>
  <c r="F4" i="71"/>
  <c r="F3" i="71"/>
  <c r="F1" i="71" s="1"/>
  <c r="E1" i="71"/>
  <c r="D1" i="71"/>
  <c r="C1" i="71"/>
  <c r="B1" i="71"/>
  <c r="B9" i="71" l="1"/>
  <c r="C9" i="71"/>
  <c r="D9" i="71"/>
  <c r="H8" i="71"/>
  <c r="I8" i="71" s="1"/>
  <c r="D46" i="71"/>
  <c r="B22" i="71"/>
  <c r="F22" i="71" s="1"/>
  <c r="E46" i="71"/>
  <c r="E48" i="71" s="1"/>
  <c r="I40" i="71"/>
  <c r="I42" i="71" s="1"/>
  <c r="D47" i="71"/>
  <c r="F67" i="72"/>
  <c r="J40" i="71"/>
  <c r="J42" i="71" s="1"/>
  <c r="E9" i="71"/>
  <c r="J32" i="71"/>
  <c r="J34" i="71" s="1"/>
  <c r="E25" i="71"/>
  <c r="C47" i="71"/>
  <c r="C48" i="71" s="1"/>
  <c r="I32" i="71"/>
  <c r="F8" i="71"/>
  <c r="D48" i="71" l="1"/>
  <c r="F48" i="71" s="1"/>
  <c r="F9" i="71"/>
  <c r="E75" i="4" l="1"/>
  <c r="N26" i="6" l="1"/>
  <c r="E31" i="4"/>
  <c r="C115" i="72" l="1"/>
  <c r="C125" i="72" s="1"/>
  <c r="I59" i="6"/>
  <c r="CN15" i="9" l="1"/>
  <c r="CV141" i="9" l="1"/>
  <c r="CW141" i="9" s="1"/>
  <c r="CN33" i="9"/>
  <c r="CN32" i="9"/>
  <c r="CM152" i="9" l="1"/>
  <c r="CV22" i="9"/>
  <c r="CW22" i="9" s="1"/>
  <c r="H12" i="71"/>
  <c r="CM158" i="9" l="1"/>
  <c r="I11" i="17"/>
  <c r="F21" i="71"/>
  <c r="B21" i="71"/>
  <c r="CM160" i="9" l="1"/>
  <c r="CM168" i="9" s="1"/>
  <c r="B7" i="15"/>
  <c r="I12" i="17"/>
  <c r="I23" i="17" s="1"/>
  <c r="I28" i="17" s="1"/>
  <c r="H13" i="71"/>
  <c r="Q25" i="6"/>
  <c r="Q26" i="6"/>
  <c r="N68" i="6" l="1"/>
  <c r="CM171" i="9"/>
  <c r="B39" i="15"/>
  <c r="E29" i="4"/>
  <c r="O68" i="7" l="1"/>
  <c r="N68" i="7"/>
  <c r="P64" i="7"/>
  <c r="P48" i="7"/>
  <c r="P34" i="7"/>
  <c r="P26" i="7"/>
  <c r="P25" i="7"/>
  <c r="P24" i="7"/>
  <c r="P23" i="7"/>
  <c r="P22" i="7"/>
  <c r="C66" i="7" l="1"/>
  <c r="E17" i="4" l="1"/>
  <c r="CT18" i="9" l="1"/>
  <c r="CV15" i="9"/>
  <c r="CW15" i="9" s="1"/>
  <c r="C222" i="72"/>
  <c r="C227" i="72" s="1"/>
  <c r="C229" i="72"/>
  <c r="C235" i="72" s="1"/>
  <c r="CQ15" i="9" l="1"/>
  <c r="CT15" i="9"/>
  <c r="CV20" i="9"/>
  <c r="CW20" i="9" s="1"/>
  <c r="E5" i="4"/>
  <c r="CQ20" i="9" l="1"/>
  <c r="CT20" i="9"/>
  <c r="T26" i="6" l="1"/>
  <c r="U26" i="6" s="1"/>
  <c r="I95" i="7" l="1"/>
  <c r="F66" i="7" l="1"/>
  <c r="U48" i="6" l="1"/>
  <c r="J95" i="7"/>
  <c r="G211" i="4" l="1"/>
  <c r="F16" i="7" l="1"/>
  <c r="P19" i="7"/>
  <c r="C16" i="7"/>
  <c r="C47" i="7" l="1"/>
  <c r="C77" i="7"/>
  <c r="C78" i="7"/>
  <c r="C79" i="7"/>
  <c r="C80" i="7"/>
  <c r="C81" i="7"/>
  <c r="F36" i="7"/>
  <c r="F37" i="7"/>
  <c r="F38" i="7"/>
  <c r="F39" i="7"/>
  <c r="F40" i="7"/>
  <c r="F41" i="7"/>
  <c r="F42" i="7"/>
  <c r="F43" i="7"/>
  <c r="F44" i="7"/>
  <c r="F45" i="7"/>
  <c r="F46" i="7"/>
  <c r="F47" i="7"/>
  <c r="C43" i="7"/>
  <c r="C44" i="7"/>
  <c r="C45" i="7"/>
  <c r="C46" i="7"/>
  <c r="C36" i="7"/>
  <c r="C37" i="7"/>
  <c r="C38" i="7"/>
  <c r="C39" i="7"/>
  <c r="C40" i="7"/>
  <c r="C41" i="7"/>
  <c r="C42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F73" i="7"/>
  <c r="F74" i="7"/>
  <c r="F28" i="7"/>
  <c r="F29" i="7"/>
  <c r="F30" i="7"/>
  <c r="F31" i="7"/>
  <c r="F32" i="7"/>
  <c r="F33" i="7"/>
  <c r="C33" i="7"/>
  <c r="C32" i="7"/>
  <c r="I32" i="7" l="1"/>
  <c r="J32" i="7" s="1"/>
  <c r="I33" i="7"/>
  <c r="J33" i="7" s="1"/>
  <c r="F10" i="7"/>
  <c r="F11" i="7"/>
  <c r="F9" i="7"/>
  <c r="C10" i="7"/>
  <c r="C11" i="7"/>
  <c r="C9" i="7"/>
  <c r="F15" i="7"/>
  <c r="C104" i="7" l="1"/>
  <c r="I10" i="7"/>
  <c r="J10" i="7" s="1"/>
  <c r="I11" i="7"/>
  <c r="J11" i="7" s="1"/>
  <c r="I9" i="7"/>
  <c r="J9" i="7" s="1"/>
  <c r="E38" i="4" l="1"/>
  <c r="C67" i="7" l="1"/>
  <c r="C105" i="7" l="1"/>
  <c r="C87" i="7" l="1"/>
  <c r="Q24" i="6" l="1"/>
  <c r="Q37" i="6"/>
  <c r="Q23" i="6"/>
  <c r="F32" i="6"/>
  <c r="F28" i="6"/>
  <c r="N37" i="6"/>
  <c r="N23" i="6"/>
  <c r="N24" i="6"/>
  <c r="C9" i="15" l="1"/>
  <c r="C22" i="15"/>
  <c r="C23" i="15" s="1"/>
  <c r="Q22" i="6"/>
  <c r="N22" i="6"/>
  <c r="C32" i="6"/>
  <c r="C28" i="6"/>
  <c r="E10" i="4" l="1"/>
  <c r="C29" i="7" l="1"/>
  <c r="I29" i="7" s="1"/>
  <c r="J29" i="7" s="1"/>
  <c r="C159" i="72"/>
  <c r="D212" i="72" s="1"/>
  <c r="C147" i="72"/>
  <c r="C157" i="72" s="1"/>
  <c r="C136" i="72"/>
  <c r="C138" i="72" s="1"/>
  <c r="C13" i="6" l="1"/>
  <c r="C14" i="6"/>
  <c r="E69" i="4"/>
  <c r="C11" i="6" l="1"/>
  <c r="F8" i="7" l="1"/>
  <c r="C8" i="7"/>
  <c r="C65" i="7" l="1"/>
  <c r="C64" i="7" s="1"/>
  <c r="F12" i="7" l="1"/>
  <c r="C107" i="7" l="1"/>
  <c r="C106" i="7" l="1"/>
  <c r="C73" i="7" l="1"/>
  <c r="C15" i="7" l="1"/>
  <c r="I15" i="7" s="1"/>
  <c r="N4" i="7" l="1"/>
  <c r="C108" i="7"/>
  <c r="E71" i="4"/>
  <c r="C86" i="7" l="1"/>
  <c r="C85" i="7" s="1"/>
  <c r="P27" i="7" l="1"/>
  <c r="C20" i="7"/>
  <c r="F20" i="7"/>
  <c r="P20" i="7"/>
  <c r="P21" i="7"/>
  <c r="C93" i="7"/>
  <c r="Q17" i="6"/>
  <c r="Q16" i="6" s="1"/>
  <c r="C26" i="15" s="1"/>
  <c r="C27" i="15" s="1"/>
  <c r="E27" i="4"/>
  <c r="F48" i="6"/>
  <c r="C41" i="15"/>
  <c r="F15" i="6"/>
  <c r="I15" i="6" s="1"/>
  <c r="J15" i="6" s="1"/>
  <c r="C74" i="7"/>
  <c r="C31" i="7"/>
  <c r="I31" i="7" s="1"/>
  <c r="J31" i="7" s="1"/>
  <c r="C30" i="7"/>
  <c r="I30" i="7" s="1"/>
  <c r="J30" i="7" s="1"/>
  <c r="C28" i="7"/>
  <c r="I28" i="7" s="1"/>
  <c r="J28" i="7" s="1"/>
  <c r="C27" i="7"/>
  <c r="C76" i="7"/>
  <c r="C75" i="7" s="1"/>
  <c r="C49" i="7"/>
  <c r="C48" i="7" s="1"/>
  <c r="C19" i="7"/>
  <c r="C72" i="7"/>
  <c r="C35" i="7"/>
  <c r="C34" i="7" s="1"/>
  <c r="I79" i="7"/>
  <c r="J79" i="7" s="1"/>
  <c r="B3" i="17"/>
  <c r="B2" i="17"/>
  <c r="B1" i="17"/>
  <c r="C5" i="15"/>
  <c r="C35" i="15" s="1"/>
  <c r="B5" i="15"/>
  <c r="B35" i="15" s="1"/>
  <c r="A4" i="15"/>
  <c r="A2" i="15"/>
  <c r="A1" i="15"/>
  <c r="A83" i="6"/>
  <c r="A82" i="6"/>
  <c r="A81" i="6"/>
  <c r="C12" i="7"/>
  <c r="I12" i="7" s="1"/>
  <c r="J12" i="7" s="1"/>
  <c r="F19" i="7"/>
  <c r="Q65" i="6"/>
  <c r="Q64" i="6" s="1"/>
  <c r="C94" i="7"/>
  <c r="F93" i="7"/>
  <c r="E34" i="4"/>
  <c r="E33" i="4" s="1"/>
  <c r="F65" i="6"/>
  <c r="I53" i="6"/>
  <c r="N17" i="6"/>
  <c r="N16" i="6" s="1"/>
  <c r="Q46" i="6"/>
  <c r="N46" i="6"/>
  <c r="F39" i="6"/>
  <c r="F40" i="6"/>
  <c r="C39" i="6"/>
  <c r="C40" i="6"/>
  <c r="F67" i="7"/>
  <c r="F65" i="7"/>
  <c r="F35" i="7"/>
  <c r="F86" i="7"/>
  <c r="I86" i="7" s="1"/>
  <c r="J86" i="7" s="1"/>
  <c r="F77" i="7"/>
  <c r="F78" i="7"/>
  <c r="F80" i="7"/>
  <c r="F81" i="7"/>
  <c r="F76" i="7"/>
  <c r="F72" i="7"/>
  <c r="F27" i="7"/>
  <c r="P7" i="7"/>
  <c r="P6" i="7"/>
  <c r="T6" i="7" s="1"/>
  <c r="P5" i="7"/>
  <c r="T5" i="7" s="1"/>
  <c r="P4" i="7"/>
  <c r="T4" i="7" s="1"/>
  <c r="P3" i="7"/>
  <c r="T3" i="7" s="1"/>
  <c r="T66" i="6"/>
  <c r="T13" i="6"/>
  <c r="U13" i="6" s="1"/>
  <c r="F19" i="6"/>
  <c r="C19" i="6"/>
  <c r="B4" i="9"/>
  <c r="B2" i="9"/>
  <c r="B1" i="9"/>
  <c r="F49" i="7"/>
  <c r="F48" i="7" s="1"/>
  <c r="Q72" i="6"/>
  <c r="N72" i="6"/>
  <c r="N65" i="6"/>
  <c r="N64" i="6" s="1"/>
  <c r="N62" i="6"/>
  <c r="N61" i="6" s="1"/>
  <c r="Q62" i="6"/>
  <c r="Q61" i="6" s="1"/>
  <c r="Q11" i="6"/>
  <c r="Q36" i="6"/>
  <c r="Q53" i="6"/>
  <c r="N36" i="6"/>
  <c r="F67" i="6"/>
  <c r="F24" i="6"/>
  <c r="F23" i="6" s="1"/>
  <c r="F14" i="6"/>
  <c r="I14" i="6" s="1"/>
  <c r="J14" i="6" s="1"/>
  <c r="F13" i="6"/>
  <c r="I13" i="6" s="1"/>
  <c r="J13" i="6" s="1"/>
  <c r="C24" i="6"/>
  <c r="C23" i="6" s="1"/>
  <c r="C65" i="6"/>
  <c r="C64" i="6" s="1"/>
  <c r="T38" i="6"/>
  <c r="U38" i="6" s="1"/>
  <c r="T39" i="6"/>
  <c r="U39" i="6" s="1"/>
  <c r="F8" i="6"/>
  <c r="Q8" i="6" s="1"/>
  <c r="C8" i="6"/>
  <c r="N8" i="6" s="1"/>
  <c r="B5" i="7"/>
  <c r="B3" i="7"/>
  <c r="B2" i="7"/>
  <c r="A5" i="6"/>
  <c r="A3" i="6"/>
  <c r="A2" i="6"/>
  <c r="N11" i="6"/>
  <c r="T12" i="6"/>
  <c r="U12" i="6" s="1"/>
  <c r="I55" i="6" l="1"/>
  <c r="J55" i="6" s="1"/>
  <c r="E4" i="4"/>
  <c r="E81" i="4" s="1"/>
  <c r="F62" i="6"/>
  <c r="F61" i="6" s="1"/>
  <c r="P68" i="7"/>
  <c r="F22" i="7"/>
  <c r="C22" i="7"/>
  <c r="C71" i="7"/>
  <c r="F75" i="7"/>
  <c r="C26" i="7"/>
  <c r="D95" i="7"/>
  <c r="T11" i="6"/>
  <c r="U11" i="6" s="1"/>
  <c r="I65" i="7"/>
  <c r="J65" i="7" s="1"/>
  <c r="F94" i="7"/>
  <c r="I94" i="7" s="1"/>
  <c r="J94" i="7" s="1"/>
  <c r="B9" i="15"/>
  <c r="R5" i="7"/>
  <c r="R4" i="7"/>
  <c r="I31" i="6"/>
  <c r="J31" i="6" s="1"/>
  <c r="I32" i="6"/>
  <c r="J32" i="6" s="1"/>
  <c r="T31" i="6"/>
  <c r="U31" i="6" s="1"/>
  <c r="T72" i="6"/>
  <c r="U72" i="6" s="1"/>
  <c r="R3" i="7"/>
  <c r="I73" i="7"/>
  <c r="J73" i="7" s="1"/>
  <c r="T30" i="6"/>
  <c r="U30" i="6" s="1"/>
  <c r="I37" i="6"/>
  <c r="R6" i="7"/>
  <c r="C13" i="15"/>
  <c r="C21" i="15" s="1"/>
  <c r="C30" i="15" s="1"/>
  <c r="I67" i="7"/>
  <c r="J67" i="7" s="1"/>
  <c r="I40" i="6"/>
  <c r="J40" i="6" s="1"/>
  <c r="T71" i="6"/>
  <c r="U71" i="6" s="1"/>
  <c r="I56" i="6"/>
  <c r="I54" i="6"/>
  <c r="I19" i="7"/>
  <c r="J19" i="7" s="1"/>
  <c r="F71" i="7"/>
  <c r="I76" i="7"/>
  <c r="J76" i="7" s="1"/>
  <c r="I58" i="6"/>
  <c r="I35" i="7"/>
  <c r="J35" i="7" s="1"/>
  <c r="I63" i="7"/>
  <c r="J63" i="7" s="1"/>
  <c r="I54" i="7"/>
  <c r="J54" i="7" s="1"/>
  <c r="T46" i="6"/>
  <c r="U46" i="6" s="1"/>
  <c r="T32" i="6"/>
  <c r="U32" i="6" s="1"/>
  <c r="T25" i="6"/>
  <c r="U25" i="6" s="1"/>
  <c r="Q45" i="6"/>
  <c r="Q56" i="6" s="1"/>
  <c r="I41" i="7"/>
  <c r="J41" i="7" s="1"/>
  <c r="Q28" i="6"/>
  <c r="I27" i="7"/>
  <c r="J27" i="7" s="1"/>
  <c r="B13" i="15"/>
  <c r="B17" i="15" s="1"/>
  <c r="I81" i="7"/>
  <c r="J81" i="7" s="1"/>
  <c r="I30" i="6"/>
  <c r="I42" i="7"/>
  <c r="J42" i="7" s="1"/>
  <c r="I39" i="7"/>
  <c r="J39" i="7" s="1"/>
  <c r="I52" i="7"/>
  <c r="J52" i="7" s="1"/>
  <c r="I47" i="7"/>
  <c r="J47" i="7" s="1"/>
  <c r="J15" i="7"/>
  <c r="T37" i="6"/>
  <c r="U37" i="6" s="1"/>
  <c r="I20" i="6"/>
  <c r="T29" i="6"/>
  <c r="U29" i="6" s="1"/>
  <c r="I45" i="7"/>
  <c r="J45" i="7" s="1"/>
  <c r="I49" i="7"/>
  <c r="J49" i="7" s="1"/>
  <c r="I57" i="7"/>
  <c r="J57" i="7" s="1"/>
  <c r="I72" i="7"/>
  <c r="J72" i="7" s="1"/>
  <c r="I28" i="6"/>
  <c r="J28" i="6" s="1"/>
  <c r="I49" i="6"/>
  <c r="J49" i="6" s="1"/>
  <c r="I38" i="7"/>
  <c r="J38" i="7" s="1"/>
  <c r="I61" i="7"/>
  <c r="J61" i="7" s="1"/>
  <c r="I74" i="7"/>
  <c r="J74" i="7" s="1"/>
  <c r="I51" i="7"/>
  <c r="J51" i="7" s="1"/>
  <c r="I23" i="6"/>
  <c r="J23" i="6" s="1"/>
  <c r="F36" i="6"/>
  <c r="C10" i="15" s="1"/>
  <c r="J59" i="6"/>
  <c r="I59" i="7"/>
  <c r="J59" i="7" s="1"/>
  <c r="I16" i="7"/>
  <c r="J16" i="7" s="1"/>
  <c r="I62" i="7"/>
  <c r="J62" i="7" s="1"/>
  <c r="I20" i="7"/>
  <c r="J20" i="7" s="1"/>
  <c r="F27" i="6"/>
  <c r="F11" i="6"/>
  <c r="I38" i="6"/>
  <c r="I19" i="6"/>
  <c r="Q70" i="6"/>
  <c r="I39" i="6"/>
  <c r="J39" i="6" s="1"/>
  <c r="T23" i="6"/>
  <c r="U23" i="6" s="1"/>
  <c r="I77" i="7"/>
  <c r="J77" i="7" s="1"/>
  <c r="I80" i="7"/>
  <c r="J80" i="7" s="1"/>
  <c r="I78" i="7"/>
  <c r="J78" i="7" s="1"/>
  <c r="I46" i="7"/>
  <c r="J46" i="7" s="1"/>
  <c r="I37" i="7"/>
  <c r="J37" i="7" s="1"/>
  <c r="I36" i="7"/>
  <c r="J36" i="7" s="1"/>
  <c r="I40" i="7"/>
  <c r="J40" i="7" s="1"/>
  <c r="I44" i="7"/>
  <c r="J44" i="7" s="1"/>
  <c r="I50" i="7"/>
  <c r="J50" i="7" s="1"/>
  <c r="I58" i="7"/>
  <c r="J58" i="7" s="1"/>
  <c r="I53" i="7"/>
  <c r="J53" i="7" s="1"/>
  <c r="I56" i="7"/>
  <c r="J56" i="7" s="1"/>
  <c r="T53" i="6"/>
  <c r="U53" i="6" s="1"/>
  <c r="I68" i="6"/>
  <c r="I57" i="6"/>
  <c r="C48" i="6"/>
  <c r="C13" i="7"/>
  <c r="N3" i="7" s="1"/>
  <c r="N5" i="7" s="1"/>
  <c r="N70" i="6"/>
  <c r="N45" i="6"/>
  <c r="N56" i="6" s="1"/>
  <c r="I24" i="6"/>
  <c r="J24" i="6" s="1"/>
  <c r="C67" i="6"/>
  <c r="I67" i="6" s="1"/>
  <c r="B22" i="15"/>
  <c r="B23" i="15" s="1"/>
  <c r="C27" i="6"/>
  <c r="F64" i="7"/>
  <c r="I66" i="7"/>
  <c r="J66" i="7" s="1"/>
  <c r="F34" i="7"/>
  <c r="I43" i="7"/>
  <c r="J43" i="7" s="1"/>
  <c r="I55" i="7"/>
  <c r="J55" i="7" s="1"/>
  <c r="I60" i="7"/>
  <c r="J60" i="7" s="1"/>
  <c r="I93" i="7"/>
  <c r="J93" i="7" s="1"/>
  <c r="F26" i="7"/>
  <c r="T61" i="6"/>
  <c r="U61" i="6" s="1"/>
  <c r="T36" i="6"/>
  <c r="U36" i="6" s="1"/>
  <c r="T33" i="6"/>
  <c r="U33" i="6" s="1"/>
  <c r="T34" i="6"/>
  <c r="U34" i="6" s="1"/>
  <c r="T54" i="6"/>
  <c r="U54" i="6" s="1"/>
  <c r="T17" i="6"/>
  <c r="U17" i="6" s="1"/>
  <c r="C62" i="6"/>
  <c r="C36" i="6"/>
  <c r="I29" i="6"/>
  <c r="T64" i="6"/>
  <c r="U64" i="6" s="1"/>
  <c r="T62" i="6"/>
  <c r="U62" i="6" s="1"/>
  <c r="T65" i="6"/>
  <c r="U65" i="6" s="1"/>
  <c r="I12" i="6"/>
  <c r="J12" i="6" s="1"/>
  <c r="F64" i="6"/>
  <c r="I65" i="6"/>
  <c r="N6" i="7" l="1"/>
  <c r="D22" i="7"/>
  <c r="I22" i="7"/>
  <c r="J22" i="7" s="1"/>
  <c r="D29" i="7"/>
  <c r="D9" i="7"/>
  <c r="D93" i="7"/>
  <c r="D15" i="7"/>
  <c r="D11" i="7"/>
  <c r="D28" i="7"/>
  <c r="D16" i="7"/>
  <c r="D12" i="7"/>
  <c r="C17" i="7"/>
  <c r="D17" i="7" s="1"/>
  <c r="D13" i="7"/>
  <c r="D33" i="7"/>
  <c r="D32" i="7"/>
  <c r="D34" i="7"/>
  <c r="D85" i="7"/>
  <c r="D75" i="7"/>
  <c r="D26" i="7"/>
  <c r="D19" i="7"/>
  <c r="D38" i="7"/>
  <c r="D42" i="7"/>
  <c r="D45" i="7"/>
  <c r="D50" i="7"/>
  <c r="D54" i="7"/>
  <c r="D58" i="7"/>
  <c r="D62" i="7"/>
  <c r="D66" i="7"/>
  <c r="D74" i="7"/>
  <c r="D78" i="7"/>
  <c r="D87" i="7"/>
  <c r="D37" i="7"/>
  <c r="D44" i="7"/>
  <c r="D53" i="7"/>
  <c r="D65" i="7"/>
  <c r="D77" i="7"/>
  <c r="D86" i="7"/>
  <c r="D20" i="7"/>
  <c r="D30" i="7"/>
  <c r="D35" i="7"/>
  <c r="D39" i="7"/>
  <c r="D46" i="7"/>
  <c r="D51" i="7"/>
  <c r="D55" i="7"/>
  <c r="D59" i="7"/>
  <c r="D63" i="7"/>
  <c r="D67" i="7"/>
  <c r="D79" i="7"/>
  <c r="D61" i="7"/>
  <c r="D27" i="7"/>
  <c r="D31" i="7"/>
  <c r="D36" i="7"/>
  <c r="D40" i="7"/>
  <c r="D43" i="7"/>
  <c r="D47" i="7"/>
  <c r="D52" i="7"/>
  <c r="D56" i="7"/>
  <c r="D60" i="7"/>
  <c r="D72" i="7"/>
  <c r="D76" i="7"/>
  <c r="D80" i="7"/>
  <c r="D18" i="7"/>
  <c r="D41" i="7"/>
  <c r="D49" i="7"/>
  <c r="D57" i="7"/>
  <c r="D73" i="7"/>
  <c r="D81" i="7"/>
  <c r="D10" i="7"/>
  <c r="D64" i="7"/>
  <c r="D71" i="7"/>
  <c r="B10" i="15"/>
  <c r="C44" i="6"/>
  <c r="I48" i="6"/>
  <c r="J48" i="6" s="1"/>
  <c r="B21" i="15"/>
  <c r="B30" i="15" s="1"/>
  <c r="C17" i="15"/>
  <c r="I27" i="6"/>
  <c r="J27" i="6" s="1"/>
  <c r="T70" i="6"/>
  <c r="U70" i="6" s="1"/>
  <c r="T28" i="6"/>
  <c r="U28" i="6" s="1"/>
  <c r="I71" i="7"/>
  <c r="J71" i="7" s="1"/>
  <c r="T45" i="6"/>
  <c r="U45" i="6" s="1"/>
  <c r="I52" i="6"/>
  <c r="J52" i="6" s="1"/>
  <c r="I64" i="7"/>
  <c r="J64" i="7" s="1"/>
  <c r="I36" i="6"/>
  <c r="J36" i="6" s="1"/>
  <c r="D94" i="7"/>
  <c r="F44" i="6"/>
  <c r="I26" i="7"/>
  <c r="J26" i="7" s="1"/>
  <c r="I75" i="7"/>
  <c r="J75" i="7" s="1"/>
  <c r="I11" i="6"/>
  <c r="J11" i="6" s="1"/>
  <c r="B24" i="15"/>
  <c r="C61" i="6"/>
  <c r="C71" i="6" s="1"/>
  <c r="I62" i="6"/>
  <c r="Q42" i="6"/>
  <c r="T56" i="6"/>
  <c r="U56" i="6" s="1"/>
  <c r="C28" i="15"/>
  <c r="C24" i="15"/>
  <c r="F13" i="7"/>
  <c r="I34" i="7"/>
  <c r="J34" i="7" s="1"/>
  <c r="I64" i="6"/>
  <c r="F71" i="6"/>
  <c r="C15" i="15" l="1"/>
  <c r="I13" i="7"/>
  <c r="J13" i="7" s="1"/>
  <c r="G22" i="7"/>
  <c r="F98" i="7"/>
  <c r="G95" i="7"/>
  <c r="G34" i="7"/>
  <c r="G32" i="7"/>
  <c r="G33" i="7"/>
  <c r="G48" i="7"/>
  <c r="G75" i="7"/>
  <c r="G71" i="7"/>
  <c r="G10" i="7"/>
  <c r="G14" i="7"/>
  <c r="G28" i="7"/>
  <c r="G37" i="7"/>
  <c r="G41" i="7"/>
  <c r="G44" i="7"/>
  <c r="G49" i="7"/>
  <c r="G53" i="7"/>
  <c r="G57" i="7"/>
  <c r="G61" i="7"/>
  <c r="G65" i="7"/>
  <c r="G73" i="7"/>
  <c r="G77" i="7"/>
  <c r="G81" i="7"/>
  <c r="G86" i="7"/>
  <c r="G11" i="7"/>
  <c r="G19" i="7"/>
  <c r="G29" i="7"/>
  <c r="G42" i="7"/>
  <c r="G45" i="7"/>
  <c r="G54" i="7"/>
  <c r="G62" i="7"/>
  <c r="G74" i="7"/>
  <c r="G12" i="7"/>
  <c r="G16" i="7"/>
  <c r="G30" i="7"/>
  <c r="G39" i="7"/>
  <c r="G46" i="7"/>
  <c r="G51" i="7"/>
  <c r="G59" i="7"/>
  <c r="G67" i="7"/>
  <c r="G13" i="7"/>
  <c r="G27" i="7"/>
  <c r="G36" i="7"/>
  <c r="G43" i="7"/>
  <c r="G56" i="7"/>
  <c r="G72" i="7"/>
  <c r="G80" i="7"/>
  <c r="G38" i="7"/>
  <c r="G50" i="7"/>
  <c r="G58" i="7"/>
  <c r="G66" i="7"/>
  <c r="G78" i="7"/>
  <c r="G20" i="7"/>
  <c r="G35" i="7"/>
  <c r="G55" i="7"/>
  <c r="G63" i="7"/>
  <c r="G79" i="7"/>
  <c r="G9" i="7"/>
  <c r="G31" i="7"/>
  <c r="G40" i="7"/>
  <c r="G47" i="7"/>
  <c r="G52" i="7"/>
  <c r="G60" i="7"/>
  <c r="G76" i="7"/>
  <c r="G15" i="7"/>
  <c r="G64" i="7"/>
  <c r="G26" i="7"/>
  <c r="C75" i="6"/>
  <c r="B43" i="15" s="1"/>
  <c r="T24" i="6"/>
  <c r="U24" i="6" s="1"/>
  <c r="O4" i="7"/>
  <c r="U4" i="7" s="1"/>
  <c r="U5" i="7" s="1"/>
  <c r="F17" i="7"/>
  <c r="G17" i="7" s="1"/>
  <c r="C24" i="7"/>
  <c r="D24" i="7" s="1"/>
  <c r="S3" i="7"/>
  <c r="O3" i="7"/>
  <c r="O5" i="7"/>
  <c r="I44" i="6"/>
  <c r="J44" i="6" s="1"/>
  <c r="I61" i="6"/>
  <c r="I71" i="6"/>
  <c r="J71" i="6" s="1"/>
  <c r="C14" i="15"/>
  <c r="Q58" i="6"/>
  <c r="F75" i="6"/>
  <c r="G94" i="7"/>
  <c r="G93" i="7"/>
  <c r="C18" i="15" l="1"/>
  <c r="C19" i="15"/>
  <c r="D53" i="6"/>
  <c r="N13" i="7"/>
  <c r="N8" i="7"/>
  <c r="N7" i="7"/>
  <c r="G71" i="6"/>
  <c r="D12" i="6"/>
  <c r="S4" i="7"/>
  <c r="S5" i="7" s="1"/>
  <c r="T22" i="6"/>
  <c r="U22" i="6" s="1"/>
  <c r="D11" i="6"/>
  <c r="F24" i="7"/>
  <c r="G24" i="7" s="1"/>
  <c r="I17" i="7"/>
  <c r="J17" i="7" s="1"/>
  <c r="G49" i="6"/>
  <c r="G37" i="6"/>
  <c r="G30" i="6"/>
  <c r="G11" i="6"/>
  <c r="G15" i="6"/>
  <c r="G55" i="6"/>
  <c r="G38" i="6"/>
  <c r="G53" i="6"/>
  <c r="G19" i="6"/>
  <c r="G59" i="6"/>
  <c r="G67" i="6"/>
  <c r="G62" i="6"/>
  <c r="G24" i="6"/>
  <c r="G13" i="6"/>
  <c r="G58" i="6"/>
  <c r="G12" i="6"/>
  <c r="G61" i="6"/>
  <c r="G44" i="6"/>
  <c r="G68" i="6"/>
  <c r="G31" i="6"/>
  <c r="G57" i="6"/>
  <c r="G32" i="6"/>
  <c r="G75" i="6"/>
  <c r="G39" i="6"/>
  <c r="G27" i="6"/>
  <c r="G36" i="6"/>
  <c r="G20" i="6"/>
  <c r="G56" i="6"/>
  <c r="G40" i="6"/>
  <c r="G14" i="6"/>
  <c r="G52" i="6"/>
  <c r="G23" i="6"/>
  <c r="G65" i="6"/>
  <c r="G48" i="6"/>
  <c r="G28" i="6"/>
  <c r="G54" i="6"/>
  <c r="G29" i="6"/>
  <c r="G64" i="6"/>
  <c r="D71" i="6" l="1"/>
  <c r="T18" i="6"/>
  <c r="U18" i="6" s="1"/>
  <c r="I75" i="6"/>
  <c r="J75" i="6" s="1"/>
  <c r="D39" i="6"/>
  <c r="D20" i="6"/>
  <c r="D75" i="6"/>
  <c r="D29" i="6"/>
  <c r="D37" i="6"/>
  <c r="D36" i="6"/>
  <c r="D64" i="6"/>
  <c r="D31" i="6"/>
  <c r="D30" i="6"/>
  <c r="D56" i="6"/>
  <c r="D59" i="6"/>
  <c r="D55" i="6"/>
  <c r="D14" i="6"/>
  <c r="D65" i="6"/>
  <c r="D28" i="6"/>
  <c r="D15" i="6"/>
  <c r="D23" i="6"/>
  <c r="D44" i="6"/>
  <c r="D13" i="6"/>
  <c r="D57" i="6"/>
  <c r="D52" i="6"/>
  <c r="D40" i="6"/>
  <c r="D32" i="6"/>
  <c r="D54" i="6"/>
  <c r="D38" i="6"/>
  <c r="D68" i="6"/>
  <c r="D67" i="6"/>
  <c r="D27" i="6"/>
  <c r="D24" i="6"/>
  <c r="D19" i="6"/>
  <c r="D61" i="6"/>
  <c r="D49" i="6"/>
  <c r="D62" i="6"/>
  <c r="D58" i="6"/>
  <c r="D48" i="6"/>
  <c r="F69" i="7"/>
  <c r="I24" i="7"/>
  <c r="J24" i="7" s="1"/>
  <c r="G69" i="7" l="1"/>
  <c r="F83" i="7"/>
  <c r="B26" i="15"/>
  <c r="T16" i="6"/>
  <c r="U16" i="6" s="1"/>
  <c r="N42" i="6"/>
  <c r="B41" i="15" s="1"/>
  <c r="E40" i="15" s="1"/>
  <c r="B27" i="15" l="1"/>
  <c r="B28" i="15" s="1"/>
  <c r="G83" i="7"/>
  <c r="F87" i="7"/>
  <c r="N58" i="6"/>
  <c r="B15" i="15"/>
  <c r="T42" i="6"/>
  <c r="U42" i="6" s="1"/>
  <c r="B14" i="15"/>
  <c r="B19" i="15" l="1"/>
  <c r="I87" i="7"/>
  <c r="J87" i="7" s="1"/>
  <c r="F85" i="7"/>
  <c r="G87" i="7"/>
  <c r="T58" i="6"/>
  <c r="U58" i="6" s="1"/>
  <c r="B18" i="15"/>
  <c r="C43" i="15"/>
  <c r="I85" i="7" l="1"/>
  <c r="J85" i="7" s="1"/>
  <c r="G85" i="7"/>
  <c r="F89" i="7"/>
  <c r="G89" i="7" l="1"/>
  <c r="F91" i="7"/>
  <c r="F99" i="7" l="1"/>
  <c r="F96" i="7"/>
  <c r="G96" i="7" s="1"/>
  <c r="G91" i="7"/>
  <c r="D48" i="7" l="1"/>
  <c r="I48" i="7"/>
  <c r="J48" i="7" s="1"/>
  <c r="Q3" i="7"/>
  <c r="C69" i="7"/>
  <c r="C83" i="7" l="1"/>
  <c r="D83" i="7" s="1"/>
  <c r="Q4" i="7"/>
  <c r="Q5" i="7" s="1"/>
  <c r="S6" i="7"/>
  <c r="S8" i="7" s="1"/>
  <c r="I69" i="7"/>
  <c r="J69" i="7" s="1"/>
  <c r="Q6" i="7"/>
  <c r="U6" i="7" s="1"/>
  <c r="U7" i="7" s="1"/>
  <c r="D69" i="7"/>
  <c r="C89" i="7" l="1"/>
  <c r="C91" i="7" s="1"/>
  <c r="I83" i="7"/>
  <c r="J83" i="7" s="1"/>
  <c r="Q7" i="7"/>
  <c r="Q8" i="7"/>
  <c r="C96" i="7" l="1"/>
  <c r="I89" i="7"/>
  <c r="J89" i="7" s="1"/>
  <c r="D89" i="7"/>
  <c r="D91" i="7"/>
  <c r="I91" i="7"/>
  <c r="J91" i="7" s="1"/>
  <c r="I96" i="7" l="1"/>
  <c r="J96" i="7" s="1"/>
  <c r="D96" i="7"/>
  <c r="CN136" i="9" l="1"/>
  <c r="CN13" i="9"/>
  <c r="CP119" i="9"/>
  <c r="CS119" i="9" s="1"/>
  <c r="CN154" i="9"/>
  <c r="CN141" i="9"/>
  <c r="CN39" i="9"/>
  <c r="CN123" i="9"/>
  <c r="CQ119" i="9" l="1"/>
  <c r="CP118" i="9"/>
  <c r="CP32" i="9" s="1"/>
  <c r="CP134" i="9" s="1"/>
  <c r="CR32" i="9" l="1"/>
  <c r="CQ118" i="9"/>
  <c r="CV119" i="9"/>
  <c r="CW119" i="9" s="1"/>
  <c r="CS118" i="9"/>
  <c r="CT119" i="9"/>
  <c r="CV118" i="9" l="1"/>
  <c r="CW118" i="9" s="1"/>
  <c r="CS32" i="9"/>
  <c r="CQ32" i="9"/>
  <c r="C8" i="15"/>
  <c r="C11" i="15" s="1"/>
  <c r="CT118" i="9"/>
  <c r="CS134" i="9" l="1"/>
  <c r="CS152" i="9" s="1"/>
  <c r="CS158" i="9" s="1"/>
  <c r="CS160" i="9" s="1"/>
  <c r="CP152" i="9"/>
  <c r="CQ134" i="9"/>
  <c r="C6" i="15"/>
  <c r="H15" i="71"/>
  <c r="CV32" i="9"/>
  <c r="CW32" i="9" s="1"/>
  <c r="CT32" i="9"/>
  <c r="I12" i="71"/>
  <c r="E42" i="15"/>
  <c r="Q68" i="6" l="1"/>
  <c r="Q67" i="6" s="1"/>
  <c r="Q73" i="6" s="1"/>
  <c r="C37" i="15" s="1"/>
  <c r="CS171" i="9"/>
  <c r="CS168" i="9"/>
  <c r="CV134" i="9"/>
  <c r="CW134" i="9" s="1"/>
  <c r="CP158" i="9"/>
  <c r="CQ152" i="9"/>
  <c r="CV152" i="9"/>
  <c r="CW152" i="9" s="1"/>
  <c r="CT134" i="9"/>
  <c r="C32" i="15" s="1"/>
  <c r="J12" i="71"/>
  <c r="G13" i="71"/>
  <c r="E38" i="15"/>
  <c r="N67" i="6" l="1"/>
  <c r="Q75" i="6"/>
  <c r="CP160" i="9"/>
  <c r="CQ158" i="9"/>
  <c r="C7" i="15"/>
  <c r="B49" i="71"/>
  <c r="CT152" i="9"/>
  <c r="C33" i="15" s="1"/>
  <c r="H19" i="71"/>
  <c r="CP171" i="9" l="1"/>
  <c r="CP168" i="9"/>
  <c r="R73" i="6"/>
  <c r="Q84" i="6"/>
  <c r="R51" i="6"/>
  <c r="R16" i="6"/>
  <c r="R53" i="6"/>
  <c r="R46" i="6"/>
  <c r="R45" i="6"/>
  <c r="R17" i="6"/>
  <c r="R71" i="6"/>
  <c r="R39" i="6"/>
  <c r="R50" i="6"/>
  <c r="R34" i="6"/>
  <c r="R54" i="6"/>
  <c r="R65" i="6"/>
  <c r="R38" i="6"/>
  <c r="R61" i="6"/>
  <c r="R12" i="6"/>
  <c r="R32" i="6"/>
  <c r="R28" i="6"/>
  <c r="R56" i="6"/>
  <c r="R48" i="6"/>
  <c r="R58" i="6"/>
  <c r="R31" i="6"/>
  <c r="R70" i="6"/>
  <c r="R72" i="6"/>
  <c r="R64" i="6"/>
  <c r="R62" i="6"/>
  <c r="R22" i="6"/>
  <c r="R37" i="6"/>
  <c r="R25" i="6"/>
  <c r="R33" i="6"/>
  <c r="R75" i="6"/>
  <c r="R24" i="6"/>
  <c r="R26" i="6"/>
  <c r="R36" i="6"/>
  <c r="R47" i="6"/>
  <c r="R29" i="6"/>
  <c r="R42" i="6"/>
  <c r="R11" i="6"/>
  <c r="R23" i="6"/>
  <c r="R18" i="6"/>
  <c r="R13" i="6"/>
  <c r="R30" i="6"/>
  <c r="R68" i="6"/>
  <c r="R67" i="6"/>
  <c r="CQ160" i="9"/>
  <c r="T68" i="6"/>
  <c r="U68" i="6" s="1"/>
  <c r="N73" i="6"/>
  <c r="B34" i="15" s="1"/>
  <c r="T67" i="6"/>
  <c r="U67" i="6" s="1"/>
  <c r="CN20" i="9"/>
  <c r="CN134" i="9"/>
  <c r="B32" i="15" s="1"/>
  <c r="C34" i="15" l="1"/>
  <c r="CQ168" i="9"/>
  <c r="B37" i="15"/>
  <c r="E36" i="15" s="1"/>
  <c r="N75" i="6"/>
  <c r="N84" i="6" s="1"/>
  <c r="T73" i="6"/>
  <c r="U73" i="6" s="1"/>
  <c r="CN152" i="9"/>
  <c r="B33" i="15" s="1"/>
  <c r="CN158" i="9"/>
  <c r="O73" i="6" l="1"/>
  <c r="O51" i="6"/>
  <c r="O11" i="6"/>
  <c r="O39" i="6"/>
  <c r="O30" i="6"/>
  <c r="O34" i="6"/>
  <c r="O61" i="6"/>
  <c r="O56" i="6"/>
  <c r="O29" i="6"/>
  <c r="O54" i="6"/>
  <c r="O28" i="6"/>
  <c r="O38" i="6"/>
  <c r="O50" i="6"/>
  <c r="O47" i="6"/>
  <c r="O45" i="6"/>
  <c r="O18" i="6"/>
  <c r="O24" i="6"/>
  <c r="O53" i="6"/>
  <c r="O36" i="6"/>
  <c r="O12" i="6"/>
  <c r="O22" i="6"/>
  <c r="O31" i="6"/>
  <c r="O70" i="6"/>
  <c r="O64" i="6"/>
  <c r="O48" i="6"/>
  <c r="O33" i="6"/>
  <c r="O23" i="6"/>
  <c r="O25" i="6"/>
  <c r="O32" i="6"/>
  <c r="O65" i="6"/>
  <c r="O17" i="6"/>
  <c r="O75" i="6"/>
  <c r="O71" i="6"/>
  <c r="O26" i="6"/>
  <c r="O72" i="6"/>
  <c r="O46" i="6"/>
  <c r="O62" i="6"/>
  <c r="O37" i="6"/>
  <c r="O16" i="6"/>
  <c r="O13" i="6"/>
  <c r="O42" i="6"/>
  <c r="O58" i="6"/>
  <c r="T75" i="6"/>
  <c r="U75" i="6" s="1"/>
  <c r="O68" i="6"/>
  <c r="O67" i="6"/>
  <c r="CN160" i="9"/>
  <c r="CN168" i="9"/>
  <c r="C98" i="7" l="1"/>
  <c r="C99" i="7" s="1"/>
  <c r="CT155" i="9"/>
  <c r="CV156" i="9"/>
  <c r="CW156" i="9" s="1"/>
  <c r="CT156" i="9"/>
  <c r="CV154" i="9"/>
  <c r="CW154" i="9" s="1"/>
  <c r="CV155" i="9"/>
  <c r="CW155" i="9" s="1"/>
  <c r="CT154" i="9" l="1"/>
  <c r="CV158" i="9" l="1"/>
  <c r="CW158" i="9" s="1"/>
  <c r="CT158" i="9"/>
  <c r="CT160" i="9" l="1"/>
  <c r="CV160" i="9"/>
  <c r="CW160" i="9" s="1"/>
  <c r="CV168" i="9" l="1"/>
  <c r="CW168" i="9" s="1"/>
  <c r="CT168" i="9"/>
  <c r="I29" i="17" l="1"/>
  <c r="K29" i="17" s="1"/>
  <c r="K30" i="17" s="1"/>
  <c r="I31" i="17" l="1"/>
  <c r="I39" i="17" l="1"/>
  <c r="I41" i="17" s="1"/>
  <c r="I40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H1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123-T</t>
        </r>
      </text>
    </comment>
    <comment ref="H1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123-T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Especialistas CyT  S.A.S.</author>
  </authors>
  <commentList>
    <comment ref="D2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 SOCIOS (HIJOS)</t>
        </r>
      </text>
    </comment>
    <comment ref="I37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PUEDE FACTURAR ARRIENDOS Y UTILIDADES</t>
        </r>
      </text>
    </comment>
    <comment ref="I40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Especialistas CyT  S.A.S.:</t>
        </r>
        <r>
          <rPr>
            <sz val="9"/>
            <color indexed="81"/>
            <rFont val="Tahoma"/>
            <family val="2"/>
          </rPr>
          <t xml:space="preserve">
AÑO 2022 $53,484</t>
        </r>
      </text>
    </comment>
    <comment ref="J4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Especialistas CyT  S.A.S.:</t>
        </r>
        <r>
          <rPr>
            <sz val="9"/>
            <color indexed="81"/>
            <rFont val="Tahoma"/>
            <family val="2"/>
          </rPr>
          <t xml:space="preserve">
AÑO ANTERIOR 63,596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PC04</author>
    <author>Especialistas CyT  S.A.S.</author>
  </authors>
  <commentList>
    <comment ref="U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Digite las ventas proyectadas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NOV 53,8
DIC 53,4
ENE 50,5</t>
        </r>
      </text>
    </comment>
    <comment ref="B106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Especialistas CyT  S.A.S.:</t>
        </r>
        <r>
          <rPr>
            <sz val="9"/>
            <color indexed="81"/>
            <rFont val="Tahoma"/>
            <family val="2"/>
          </rPr>
          <t xml:space="preserve">
DB MENOS CR
SI DA NEGATIVO VA CERO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COMPUMAX</author>
    <author>Remoto1</author>
  </authors>
  <commentList>
    <comment ref="M9" authorId="0" shapeId="0" xr:uid="{8C2DA684-72CA-4FC0-8D4C-5FECD0DB03F9}">
      <text>
        <r>
          <rPr>
            <b/>
            <sz val="9"/>
            <color indexed="81"/>
            <rFont val="Tahoma"/>
            <family val="2"/>
          </rPr>
          <t>COMPUMAX:</t>
        </r>
        <r>
          <rPr>
            <sz val="9"/>
            <color indexed="81"/>
            <rFont val="Tahoma"/>
            <family val="2"/>
          </rPr>
          <t xml:space="preserve">
Factura de planeación a Oasis</t>
        </r>
      </text>
    </comment>
    <comment ref="Y9" authorId="0" shapeId="0" xr:uid="{DC128447-0CF2-40B6-9462-E393433CC69B}">
      <text>
        <r>
          <rPr>
            <b/>
            <sz val="9"/>
            <color indexed="81"/>
            <rFont val="Tahoma"/>
            <family val="2"/>
          </rPr>
          <t>COMPUMAX:</t>
        </r>
        <r>
          <rPr>
            <sz val="9"/>
            <color indexed="81"/>
            <rFont val="Tahoma"/>
            <family val="2"/>
          </rPr>
          <t xml:space="preserve">
Factura de planeación a Oasis</t>
        </r>
      </text>
    </comment>
    <comment ref="M10" authorId="0" shapeId="0" xr:uid="{29BBD265-D7AE-44A7-BAA6-4722D09ACE80}">
      <text>
        <r>
          <rPr>
            <b/>
            <sz val="9"/>
            <color indexed="81"/>
            <rFont val="Tahoma"/>
            <family val="2"/>
          </rPr>
          <t>COMPUMAX:</t>
        </r>
        <r>
          <rPr>
            <sz val="9"/>
            <color indexed="81"/>
            <rFont val="Tahoma"/>
            <family val="2"/>
          </rPr>
          <t xml:space="preserve">
Factura de planeación a Oasis como excluidos $ 52.000</t>
        </r>
      </text>
    </comment>
    <comment ref="Y10" authorId="0" shapeId="0" xr:uid="{558DA813-487F-4095-8C63-209FE79B5F63}">
      <text>
        <r>
          <rPr>
            <b/>
            <sz val="9"/>
            <color indexed="81"/>
            <rFont val="Tahoma"/>
            <family val="2"/>
          </rPr>
          <t>COMPUMAX:</t>
        </r>
        <r>
          <rPr>
            <sz val="9"/>
            <color indexed="81"/>
            <rFont val="Tahoma"/>
            <family val="2"/>
          </rPr>
          <t xml:space="preserve">
Factura de planeación a Oasis como excluidos $ 52.000</t>
        </r>
      </text>
    </comment>
    <comment ref="M164" authorId="1" shapeId="0" xr:uid="{31C99785-E2C8-4BFF-A17C-0A67BB701C4C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Andres Montoya $975
Fernando $1272
Rasem (Jose) $3.815</t>
        </r>
      </text>
    </comment>
    <comment ref="P164" authorId="1" shapeId="0" xr:uid="{8555601D-6D06-4D81-A4D1-7CCCB5129EA0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Fernando $115
Razrm $18</t>
        </r>
      </text>
    </comment>
    <comment ref="Q164" authorId="1" shapeId="0" xr:uid="{68CC997F-D6BF-498E-B557-D43C8AD48F08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Fernando $115
Razrm $18</t>
        </r>
      </text>
    </comment>
    <comment ref="R164" authorId="1" shapeId="0" xr:uid="{9B3C195F-4A1F-4FA7-9564-3119CD2BF649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Fernando $115
Razrm $18</t>
        </r>
      </text>
    </comment>
    <comment ref="S164" authorId="1" shapeId="0" xr:uid="{4E341CE3-C463-4AB9-9D28-AE59B99497CA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Fernando $115
Razrm $18</t>
        </r>
      </text>
    </comment>
    <comment ref="T164" authorId="1" shapeId="0" xr:uid="{98657881-9BD3-42C5-B107-C80959B11873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Fernando $115
Razrm $18</t>
        </r>
      </text>
    </comment>
    <comment ref="U164" authorId="1" shapeId="0" xr:uid="{37236D1F-1C39-4930-BD14-6CEC561F9B0D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Fernando $115
Razrm $18</t>
        </r>
      </text>
    </comment>
    <comment ref="V164" authorId="1" shapeId="0" xr:uid="{6F202656-0AAD-4CD2-B2A8-ED1AF23C1ACF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Fernando $115
Razrm $18</t>
        </r>
      </text>
    </comment>
    <comment ref="W164" authorId="1" shapeId="0" xr:uid="{5984F3DD-2AC0-42D1-8E39-3AA1CAEFFE55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Fernando $115
Razrm $18</t>
        </r>
      </text>
    </comment>
    <comment ref="X164" authorId="1" shapeId="0" xr:uid="{C4E2D5C8-E841-4C9D-8D4B-C2F4A69C0884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Fernando $115
Razrm $18</t>
        </r>
      </text>
    </comment>
    <comment ref="Y164" authorId="1" shapeId="0" xr:uid="{D99BFBF2-769E-4F31-AB7F-FBD1FE26DD41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Fernando $115
Rasem (Jose) $18</t>
        </r>
      </text>
    </comment>
    <comment ref="AB164" authorId="1" shapeId="0" xr:uid="{828036E6-3179-41E3-B37C-C0E338900EAB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Fernando $103
Razrm $351</t>
        </r>
      </text>
    </comment>
    <comment ref="AC164" authorId="1" shapeId="0" xr:uid="{7CFD63C2-E79A-49A4-B6FE-546D37036F59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Fernando $103
Razrm $351</t>
        </r>
      </text>
    </comment>
    <comment ref="AD164" authorId="1" shapeId="0" xr:uid="{FBAE4671-D8A0-4B1E-BE0B-24A9C44DC7FC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Fernando $103
Razrm $351</t>
        </r>
      </text>
    </comment>
    <comment ref="AE164" authorId="1" shapeId="0" xr:uid="{922A1A8B-A019-4DA4-9156-1A33DAF206FA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Fernando $103
Razrm $351</t>
        </r>
      </text>
    </comment>
    <comment ref="AF164" authorId="1" shapeId="0" xr:uid="{4FD566E1-4C7A-46B1-81D3-38CECB380233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Fernando $103
Razrm $351</t>
        </r>
      </text>
    </comment>
    <comment ref="AG164" authorId="1" shapeId="0" xr:uid="{94CB3C1F-B014-4966-8AB7-949DA535731D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Fernando $103
Razrm $351</t>
        </r>
      </text>
    </comment>
    <comment ref="AH164" authorId="1" shapeId="0" xr:uid="{C309D378-2838-481F-95E0-3181623C8717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Fernando $103
Razrm $351</t>
        </r>
      </text>
    </comment>
    <comment ref="AI164" authorId="1" shapeId="0" xr:uid="{6F292E33-66A7-47C4-9F62-4A1FD66260D9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Fernando $103
Razrm $351</t>
        </r>
      </text>
    </comment>
    <comment ref="AJ164" authorId="1" shapeId="0" xr:uid="{7AD38E32-E3B8-4581-93D6-47FD8E06239A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Fernando $103
Razrm $351</t>
        </r>
      </text>
    </comment>
    <comment ref="AK164" authorId="1" shapeId="0" xr:uid="{27008EEC-52B7-4004-BFC5-639E290C4141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Fernando $115
Rasem (Jose) $18</t>
        </r>
      </text>
    </comment>
    <comment ref="AN164" authorId="1" shapeId="0" xr:uid="{AC086687-8096-4BD5-AA7A-0AF0AED0145A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Andres Montoya $46
Fernando $74
Razrm $573</t>
        </r>
      </text>
    </comment>
    <comment ref="AO164" authorId="1" shapeId="0" xr:uid="{6AB693E6-0B07-4B5B-AEAE-5A1628ECEBEE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Andres Montoya $46
Fernando $74
Razrm $573</t>
        </r>
      </text>
    </comment>
    <comment ref="AP164" authorId="1" shapeId="0" xr:uid="{11AE885C-5598-4F22-ADCC-77115BC33B46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Andres Montoya $46
Fernando $74
Razrm $573</t>
        </r>
      </text>
    </comment>
    <comment ref="AQ164" authorId="1" shapeId="0" xr:uid="{34CA15FC-2DF1-4BA2-B1F9-F2E65B85B939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Andres Montoya $46
Fernando $74
Razrm $573</t>
        </r>
      </text>
    </comment>
    <comment ref="AR164" authorId="1" shapeId="0" xr:uid="{FC73D14F-187B-4959-8FC0-610FE74B51ED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Andres Montoya $46
Fernando $74
Razrm $573</t>
        </r>
      </text>
    </comment>
    <comment ref="AS164" authorId="1" shapeId="0" xr:uid="{2FED9516-66AE-4ECA-9CD5-6D419BD43728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Andres Montoya $46
Fernando $74
Razrm $573</t>
        </r>
      </text>
    </comment>
    <comment ref="AT164" authorId="1" shapeId="0" xr:uid="{18B61D13-5431-4D06-AE90-1AC661E87359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Andres Montoya $46
Fernando $74
Razrm $573</t>
        </r>
      </text>
    </comment>
    <comment ref="AU164" authorId="1" shapeId="0" xr:uid="{7C629AEC-C99F-4F11-965E-B8B55CF4C868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Fernando $103
Razrm $351</t>
        </r>
      </text>
    </comment>
    <comment ref="AV164" authorId="1" shapeId="0" xr:uid="{2D9A66C8-B818-4CB2-A681-C35F0DBF3C7E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Andres Montoya $46
Fernando $74
Razrm $573</t>
        </r>
      </text>
    </comment>
    <comment ref="AW164" authorId="1" shapeId="0" xr:uid="{C91181AD-FD0D-4CCD-8F00-0A3C764DE632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Andres Montoya $371
Fernando $591
Rasem (Jose) $4.585</t>
        </r>
      </text>
    </comment>
    <comment ref="AZ164" authorId="1" shapeId="0" xr:uid="{AA48DFE7-93E1-4217-BAC5-623239F6A6D1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Andres Montoya $0
Fernando $297
Razrm $540</t>
        </r>
      </text>
    </comment>
    <comment ref="BA164" authorId="1" shapeId="0" xr:uid="{ECAAE765-4AFB-48A5-9D04-B7CD18128F46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Andres Montoya $0
Fernando $297
Razrm $540</t>
        </r>
      </text>
    </comment>
    <comment ref="BB164" authorId="1" shapeId="0" xr:uid="{611476BC-19FC-468D-8E4B-BED904D77184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Andres Montoya $0
Fernando $297
Razrm $540</t>
        </r>
      </text>
    </comment>
    <comment ref="BC164" authorId="1" shapeId="0" xr:uid="{8A5C0AB9-8327-4CB2-9F52-B94932EFD344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Andres Montoya $0
Fernando $297
Razrm $540</t>
        </r>
      </text>
    </comment>
    <comment ref="BD164" authorId="1" shapeId="0" xr:uid="{911A3E9D-8FA9-4C0A-A944-FC04CFBE0896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Andres Montoya $0
Fernando $297
Razrm $540</t>
        </r>
      </text>
    </comment>
    <comment ref="BE164" authorId="1" shapeId="0" xr:uid="{BC42F222-4979-49A5-83D0-74004AFF67C9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Andres Montoya $0
Fernando $297
Razrm $540</t>
        </r>
      </text>
    </comment>
    <comment ref="BF164" authorId="1" shapeId="0" xr:uid="{B8024607-6963-4FFB-9039-7EEDA97CC69E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Andres Montoya $0
Fernando $297
Razrm $540</t>
        </r>
      </text>
    </comment>
    <comment ref="BG164" authorId="1" shapeId="0" xr:uid="{F62DBB91-A9AA-4CF3-A8BF-5878D37585D1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Fernando $103
Razrm $351</t>
        </r>
      </text>
    </comment>
    <comment ref="BH164" authorId="1" shapeId="0" xr:uid="{905EF577-880D-4AAC-BD44-61086693472E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Andres Montoya $0
Fernando $297
Razrm $540</t>
        </r>
      </text>
    </comment>
    <comment ref="BI164" authorId="1" shapeId="0" xr:uid="{D0424DFD-3223-4289-8EF6-9DA3747EAFC9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Andres Montoya $0
Fernando $2.376
Rasem (Jose) $4.316</t>
        </r>
      </text>
    </comment>
    <comment ref="BL164" authorId="1" shapeId="0" xr:uid="{982083E4-0A47-47B5-8070-2E20249AFFEB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Andres Montoya $1.177
Fernando $624
Razrm $1.871</t>
        </r>
      </text>
    </comment>
    <comment ref="BM164" authorId="1" shapeId="0" xr:uid="{329E32A3-ED5E-4682-B7C9-1FF77322DC4F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Andres Montoya $1.177
Fernando $624
Razrm $1.871</t>
        </r>
      </text>
    </comment>
    <comment ref="BN164" authorId="1" shapeId="0" xr:uid="{88589A68-2059-4C02-B36C-3C7113DC857E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Andres Montoya $1.177
Fernando $624
Razrm $1.871</t>
        </r>
      </text>
    </comment>
    <comment ref="BO164" authorId="1" shapeId="0" xr:uid="{B0654865-737B-45E0-93F8-E62E9E2D17A8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Andres Montoya $1.177
Fernando $624
Razrm $1.871</t>
        </r>
      </text>
    </comment>
    <comment ref="BP164" authorId="1" shapeId="0" xr:uid="{E52F1737-7130-4F5F-AA09-0CCA9471AE21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Andres Montoya $1.177
Fernando $624
Razrm $1.871</t>
        </r>
      </text>
    </comment>
    <comment ref="BQ164" authorId="1" shapeId="0" xr:uid="{A9635F8A-CA92-4DCF-836C-259EE3BA6E0A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Andres Montoya $1.177
Fernando $624
Razrm $1.871</t>
        </r>
      </text>
    </comment>
    <comment ref="BR164" authorId="1" shapeId="0" xr:uid="{BB9639A8-A322-45B3-BF24-70D5D1C2E898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Andres Montoya $1.177
Fernando $624
Razrm $1.871</t>
        </r>
      </text>
    </comment>
    <comment ref="BS164" authorId="1" shapeId="0" xr:uid="{D4515A2A-3860-42A9-8654-FEAE5AFFD651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Fernando $103
Razrm $351</t>
        </r>
      </text>
    </comment>
    <comment ref="BT164" authorId="1" shapeId="0" xr:uid="{EDDFE1C3-D888-4111-93B3-AD7F0E38F8A9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Andres Montoya $1.177
Fernando $624
Razrm $1.871</t>
        </r>
      </text>
    </comment>
    <comment ref="BU164" authorId="1" shapeId="0" xr:uid="{2D758AED-4F0A-40CE-909C-FC30A7734E8E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Andres Montoya $9.419
Fernando $4.992
Rasem (Jose) $14.976</t>
        </r>
      </text>
    </comment>
    <comment ref="BX164" authorId="1" shapeId="0" xr:uid="{EDCEC14E-BA0D-43BA-945B-AF8067299AFB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Razem </t>
        </r>
      </text>
    </comment>
    <comment ref="BY164" authorId="1" shapeId="0" xr:uid="{A6D8AE91-DDC1-4CC6-A025-46B5A98B484B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Razem </t>
        </r>
      </text>
    </comment>
    <comment ref="BZ164" authorId="1" shapeId="0" xr:uid="{F04A4EE7-E9F1-4292-8E8A-B7CE903E13AC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Razem </t>
        </r>
      </text>
    </comment>
    <comment ref="CA164" authorId="1" shapeId="0" xr:uid="{13C4728B-F11B-4061-BE68-20304408ECB5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Razem </t>
        </r>
      </text>
    </comment>
    <comment ref="CB164" authorId="1" shapeId="0" xr:uid="{13FF8D36-2E0F-4CC2-B5B5-3E09AE93E6DF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Razem </t>
        </r>
      </text>
    </comment>
    <comment ref="CC164" authorId="1" shapeId="0" xr:uid="{AC71A6D2-EEA2-4E1F-9D65-3A19FD25A54D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Razem </t>
        </r>
      </text>
    </comment>
    <comment ref="CD164" authorId="1" shapeId="0" xr:uid="{56B0423B-DDBE-4710-B96D-C22DC8AA073A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Razem </t>
        </r>
      </text>
    </comment>
    <comment ref="CF164" authorId="1" shapeId="0" xr:uid="{AE36F395-1823-4C53-B93F-2734CFBA9F3C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Razem </t>
        </r>
      </text>
    </comment>
    <comment ref="CG164" authorId="1" shapeId="0" xr:uid="{CE01AC94-1D0F-4FF7-8A33-044694677A80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Andres Montoya $9.419
Fernando $4.992
Rasem (Jose) $14.976</t>
        </r>
      </text>
    </comment>
    <comment ref="D165" authorId="0" shapeId="0" xr:uid="{0F3F01AF-FBB5-46D9-93FD-A7CB527B272B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65" authorId="0" shapeId="0" xr:uid="{8D069BEC-1DCF-48F7-BA8D-2D2244EFCEA6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65" authorId="0" shapeId="0" xr:uid="{6314D776-79A3-42F1-8ECA-66FE70B16FF2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5" authorId="0" shapeId="0" xr:uid="{90F55368-5C4E-48CE-ACC7-E794CE5A5E65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65" authorId="0" shapeId="0" xr:uid="{85521126-0F28-456D-9317-B312DFF85088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65" authorId="0" shapeId="0" xr:uid="{6782DF4C-BEE7-45AF-AA4E-F8D3CC072194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65" authorId="0" shapeId="0" xr:uid="{762C3554-21FD-4D09-B4F4-40E12EE5D442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65" authorId="0" shapeId="0" xr:uid="{25081BF3-C0F6-4AA5-9CFA-03F62B15D38A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65" authorId="0" shapeId="0" xr:uid="{9BB37863-B45A-4D6C-8460-F6B031B7CCD7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65" authorId="0" shapeId="0" xr:uid="{6AFE8C2C-13D6-43A2-B2D9-1DFF35EFEE8A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65" authorId="0" shapeId="0" xr:uid="{37F00E57-625E-4EE8-919C-92C50DAE749E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65" authorId="0" shapeId="0" xr:uid="{F5E242C8-7982-46CE-BBCB-CAA137BD35FB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65" authorId="0" shapeId="0" xr:uid="{DAB8D520-7FFF-4AC9-A8DC-26FF863EBFE3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65" authorId="0" shapeId="0" xr:uid="{316BBA39-D532-4B8B-B00C-D0D6D27E24B5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65" authorId="0" shapeId="0" xr:uid="{10A6EE2F-A3B7-4CF3-B340-9B393C5FDD1C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65" authorId="0" shapeId="0" xr:uid="{8BD77DAF-AA21-49A1-BEE1-FCD753BFB335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65" authorId="0" shapeId="0" xr:uid="{6C4907D7-3B19-48B8-9322-EDC862CD5B27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65" authorId="0" shapeId="0" xr:uid="{C487D359-B675-4F85-971B-FC2E3E32F88F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65" authorId="0" shapeId="0" xr:uid="{A03755F0-3678-4786-B904-8DBA574FBA28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65" authorId="0" shapeId="0" xr:uid="{B7D81491-C892-4489-833E-62132A1939AE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165" authorId="0" shapeId="0" xr:uid="{73720B6D-06B3-4D93-A7BA-B410C398AF69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165" authorId="0" shapeId="0" xr:uid="{2D69EAB4-9D34-4DDE-B34B-1C173B15FCB3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165" authorId="0" shapeId="0" xr:uid="{73D66225-B6B5-47F1-9946-5FA06208CDCA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165" authorId="0" shapeId="0" xr:uid="{72746339-7C75-4C48-8295-34BEBBB59B3A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65" authorId="0" shapeId="0" xr:uid="{097F06B3-4D2C-4DCC-A59C-F16580F2F442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165" authorId="0" shapeId="0" xr:uid="{C0548025-8A94-49A4-9471-C4D1CF6BEFB9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165" authorId="0" shapeId="0" xr:uid="{A7C35A13-42FC-454A-BAFE-03EA5F3B012B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165" authorId="0" shapeId="0" xr:uid="{3121B388-D70E-4AB7-9952-DCE44537C06E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65" authorId="0" shapeId="0" xr:uid="{A26F16B6-DB87-4070-BD08-BA070D9B311F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165" authorId="0" shapeId="0" xr:uid="{EA6B295A-6FA8-49FE-8E3E-142FD4A76EEF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165" authorId="0" shapeId="0" xr:uid="{AF4430FF-15D5-415D-B9CC-ECD2F56D0920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165" authorId="0" shapeId="0" xr:uid="{8EFB1D49-3DAA-4E6A-904C-A1091888DCCC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165" authorId="0" shapeId="0" xr:uid="{400C7049-6C65-49B2-8307-F34AFDFCB141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165" authorId="0" shapeId="0" xr:uid="{945523DC-C643-4F9A-81BB-C3BE6F86D781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165" authorId="0" shapeId="0" xr:uid="{2DBB3030-9F50-4A22-9760-8E26A718CB19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165" authorId="0" shapeId="0" xr:uid="{B5321297-1278-46CF-B3DB-A88482C24A77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Z165" authorId="0" shapeId="0" xr:uid="{714CAD0C-8D5E-4D0F-9244-7D8D9ECFD03E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165" authorId="0" shapeId="0" xr:uid="{1749518B-D313-48DB-B786-9259D092439E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165" authorId="0" shapeId="0" xr:uid="{253C6A0E-6E39-4A07-8176-9E602489F61D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165" authorId="0" shapeId="0" xr:uid="{31CDB5FE-C340-4E4F-AC49-CBA583B60535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D165" authorId="0" shapeId="0" xr:uid="{11AAE7D5-26B6-47BD-885C-E2BB933D5D8B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165" authorId="0" shapeId="0" xr:uid="{71DD6306-AEAF-4940-9A21-A850FBD436E6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65" authorId="0" shapeId="0" xr:uid="{D2B1364A-DD0D-4ADE-8A1B-19D748BFABAD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165" authorId="0" shapeId="0" xr:uid="{E0F5BCC4-0B6C-4F88-A519-F8E7165A8A75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H165" authorId="0" shapeId="0" xr:uid="{08999313-A544-4C78-8903-36A302308951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L165" authorId="0" shapeId="0" xr:uid="{A0C61B94-9042-4785-8467-AA18CA8960B4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M165" authorId="0" shapeId="0" xr:uid="{E5E81397-9496-4AC8-8B06-C0DCE0306A04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N165" authorId="0" shapeId="0" xr:uid="{A1AB2885-8476-4ACD-82C5-8D867BB1D27E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O165" authorId="0" shapeId="0" xr:uid="{54210470-4CA9-4D2A-9CED-176741C06C56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P165" authorId="0" shapeId="0" xr:uid="{3369C9FA-D66A-4F92-B90F-BF0AAAE24AB9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Q165" authorId="0" shapeId="0" xr:uid="{5883BAB2-3435-4C93-BACC-3319DAA6C21C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R165" authorId="0" shapeId="0" xr:uid="{1D3A1BFD-14AF-418D-8F83-CC00D8A8C235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S165" authorId="0" shapeId="0" xr:uid="{DB336F50-DDC7-4FE9-806F-3339B2B92D37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T165" authorId="0" shapeId="0" xr:uid="{ACB7E956-0832-4A2E-A163-CED5470587BE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X165" authorId="0" shapeId="0" xr:uid="{C89E8B35-FD26-46F5-818F-2F23354ED7F2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Y165" authorId="0" shapeId="0" xr:uid="{86E89289-4284-4975-AA94-66CEA6EF3C09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Z165" authorId="0" shapeId="0" xr:uid="{84C42C3E-A6BA-4838-8CCC-E342E32E7812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165" authorId="0" shapeId="0" xr:uid="{5F9D9CB4-4F0B-48CF-AD60-022A2EDCBC39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B165" authorId="0" shapeId="0" xr:uid="{21380697-58A8-4DEE-9496-8A324E041AC0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C165" authorId="0" shapeId="0" xr:uid="{BFB13964-5B95-4ACA-95AC-EB74A5557558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D165" authorId="0" shapeId="0" xr:uid="{436EDBDB-998A-46C7-839E-39EF0FACB7F5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F165" authorId="0" shapeId="0" xr:uid="{75491212-8062-44C9-839A-58D3FBBA09A4}">
      <text>
        <r>
          <rPr>
            <b/>
            <sz val="9"/>
            <color indexed="81"/>
            <rFont val="Tahoma"/>
            <family val="2"/>
          </rPr>
          <t>Intereses Socios
Cuenta 52104501
Servicios Empresariales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66" authorId="0" shapeId="0" xr:uid="{C22305D5-603F-4A19-A179-6F4D379CCDC4}">
      <text>
        <r>
          <rPr>
            <b/>
            <sz val="9"/>
            <color indexed="81"/>
            <rFont val="Tahoma"/>
            <family val="2"/>
          </rPr>
          <t>COMPUMAX:</t>
        </r>
        <r>
          <rPr>
            <sz val="9"/>
            <color indexed="81"/>
            <rFont val="Tahoma"/>
            <family val="2"/>
          </rPr>
          <t xml:space="preserve">
Factura de planeación a Oasis Urbanos DEVOLUCION </t>
        </r>
      </text>
    </comment>
    <comment ref="W166" authorId="1" shapeId="0" xr:uid="{113BEDFD-5201-4CDA-8262-9DEDBC7F2D73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Arrendamiento plaza fabricato
</t>
        </r>
      </text>
    </comment>
    <comment ref="Y166" authorId="0" shapeId="0" xr:uid="{1CEDF350-BDD1-4013-8F10-69123387564C}">
      <text>
        <r>
          <rPr>
            <b/>
            <sz val="9"/>
            <color indexed="81"/>
            <rFont val="Tahoma"/>
            <family val="2"/>
          </rPr>
          <t>COMPUMAX:</t>
        </r>
        <r>
          <rPr>
            <sz val="9"/>
            <color indexed="81"/>
            <rFont val="Tahoma"/>
            <family val="2"/>
          </rPr>
          <t xml:space="preserve">
Arrendamiento local plaza fabricato</t>
        </r>
      </text>
    </comment>
    <comment ref="AF166" authorId="1" shapeId="0" xr:uid="{A2547085-D913-415D-A7E1-2AD646EEEB36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Amortizacion mensual seguro activos correspondiente a Oasis Urbanos</t>
        </r>
      </text>
    </comment>
    <comment ref="AI166" authorId="1" shapeId="0" xr:uid="{CBD033BC-7043-4DC4-AA15-1C613769F0C7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Arrendamiento plaza fabricato
</t>
        </r>
      </text>
    </comment>
    <comment ref="AK166" authorId="0" shapeId="0" xr:uid="{81329814-F678-4109-B694-EE4E4B524A07}">
      <text>
        <r>
          <rPr>
            <b/>
            <sz val="9"/>
            <color indexed="81"/>
            <rFont val="Tahoma"/>
            <family val="2"/>
          </rPr>
          <t>COMPUMAX:</t>
        </r>
        <r>
          <rPr>
            <sz val="9"/>
            <color indexed="81"/>
            <rFont val="Tahoma"/>
            <family val="2"/>
          </rPr>
          <t xml:space="preserve">
Arrendamiento local plaza fabricato</t>
        </r>
      </text>
    </comment>
    <comment ref="AR166" authorId="1" shapeId="0" xr:uid="{29CF2938-4C73-4C0D-8BC4-BEEAE797BD7F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Amortizacion mensual seguro activos correspondiente a Oasis Urbanos</t>
        </r>
      </text>
    </comment>
    <comment ref="AU166" authorId="1" shapeId="0" xr:uid="{1C85AB2A-C084-4D18-9800-4C8960BD337E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Arrendamiento plaza fabricato
</t>
        </r>
      </text>
    </comment>
    <comment ref="AW166" authorId="0" shapeId="0" xr:uid="{79DE09EA-5122-4B8B-B9C0-27CEF9C357F0}">
      <text>
        <r>
          <rPr>
            <b/>
            <sz val="9"/>
            <color indexed="81"/>
            <rFont val="Tahoma"/>
            <family val="2"/>
          </rPr>
          <t>COMPUMAX:</t>
        </r>
        <r>
          <rPr>
            <sz val="9"/>
            <color indexed="81"/>
            <rFont val="Tahoma"/>
            <family val="2"/>
          </rPr>
          <t xml:space="preserve">
Arrendamiento local plaza fabricato</t>
        </r>
      </text>
    </comment>
    <comment ref="BG166" authorId="1" shapeId="0" xr:uid="{ACA3F628-0A4A-4557-8116-704B11C58DA9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Arrendamiento plaza fabricato
</t>
        </r>
      </text>
    </comment>
    <comment ref="BI166" authorId="0" shapeId="0" xr:uid="{B1927954-A78A-4767-A1FC-A2A9842BBB9A}">
      <text>
        <r>
          <rPr>
            <b/>
            <sz val="9"/>
            <color indexed="81"/>
            <rFont val="Tahoma"/>
            <family val="2"/>
          </rPr>
          <t>COMPUMAX:</t>
        </r>
        <r>
          <rPr>
            <sz val="9"/>
            <color indexed="81"/>
            <rFont val="Tahoma"/>
            <family val="2"/>
          </rPr>
          <t xml:space="preserve">
Arrendamiento local plaza fabricato</t>
        </r>
      </text>
    </comment>
    <comment ref="BS166" authorId="1" shapeId="0" xr:uid="{0B5D96F1-E947-4569-BB04-D5F3CD36145F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Arrendamiento plaza fabricato
</t>
        </r>
      </text>
    </comment>
    <comment ref="BU166" authorId="0" shapeId="0" xr:uid="{580D3853-3CA0-4D3C-B1FD-51D3AEC05DB1}">
      <text>
        <r>
          <rPr>
            <b/>
            <sz val="9"/>
            <color indexed="81"/>
            <rFont val="Tahoma"/>
            <family val="2"/>
          </rPr>
          <t>COMPUMAX:</t>
        </r>
        <r>
          <rPr>
            <sz val="9"/>
            <color indexed="81"/>
            <rFont val="Tahoma"/>
            <family val="2"/>
          </rPr>
          <t xml:space="preserve">
Arrendamiento local plaza fabricato</t>
        </r>
      </text>
    </comment>
    <comment ref="CE166" authorId="1" shapeId="0" xr:uid="{89F766C8-8738-4DA1-BDC3-4D29E8226E5A}">
      <text>
        <r>
          <rPr>
            <b/>
            <sz val="9"/>
            <color indexed="81"/>
            <rFont val="Tahoma"/>
            <family val="2"/>
          </rPr>
          <t>Remoto1:</t>
        </r>
        <r>
          <rPr>
            <sz val="9"/>
            <color indexed="81"/>
            <rFont val="Tahoma"/>
            <family val="2"/>
          </rPr>
          <t xml:space="preserve">
Arrendamiento plaza fabricato
</t>
        </r>
      </text>
    </comment>
    <comment ref="CG166" authorId="0" shapeId="0" xr:uid="{A2CE3DA1-7CC1-4C56-B095-44163AE8E5E9}">
      <text>
        <r>
          <rPr>
            <b/>
            <sz val="9"/>
            <color indexed="81"/>
            <rFont val="Tahoma"/>
            <family val="2"/>
          </rPr>
          <t>COMPUMAX:</t>
        </r>
        <r>
          <rPr>
            <sz val="9"/>
            <color indexed="81"/>
            <rFont val="Tahoma"/>
            <family val="2"/>
          </rPr>
          <t xml:space="preserve">
Arrendamiento local plaza fabricato</t>
        </r>
      </text>
    </comment>
    <comment ref="CM166" authorId="0" shapeId="0" xr:uid="{00000000-0006-0000-0400-00009A000000}">
      <text>
        <r>
          <rPr>
            <b/>
            <sz val="9"/>
            <color indexed="81"/>
            <rFont val="Tahoma"/>
            <family val="2"/>
          </rPr>
          <t>COMPUMAX:</t>
        </r>
        <r>
          <rPr>
            <sz val="9"/>
            <color indexed="81"/>
            <rFont val="Tahoma"/>
            <family val="2"/>
          </rPr>
          <t xml:space="preserve">
Factura de planeación a Oasis Urbanos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Impuestos </author>
  </authors>
  <commentList>
    <comment ref="B55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 xml:space="preserve">INCREMENTA UN 25% BENEFICIO 12 MESES, SI INCREMENTA MAS DE 35% BENEFICIO DE 6 MESES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COMPUMAX</author>
  </authors>
  <commentList>
    <comment ref="C30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COMPUMAX:</t>
        </r>
        <r>
          <rPr>
            <sz val="9"/>
            <color indexed="81"/>
            <rFont val="Tahoma"/>
            <family val="2"/>
          </rPr>
          <t xml:space="preserve">
Anticipo utilidades socios $ 210.339</t>
        </r>
      </text>
    </comment>
    <comment ref="C32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COMPUMAX:</t>
        </r>
        <r>
          <rPr>
            <sz val="9"/>
            <color indexed="81"/>
            <rFont val="Tahoma"/>
            <family val="2"/>
          </rPr>
          <t xml:space="preserve">
Saldos entre compañías $ 47.376</t>
        </r>
      </text>
    </comment>
    <comment ref="N48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COMPUMAX:</t>
        </r>
        <r>
          <rPr>
            <sz val="9"/>
            <color indexed="81"/>
            <rFont val="Tahoma"/>
            <family val="2"/>
          </rPr>
          <t xml:space="preserve">
Saldos entre compañías $ 13.143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PRODUCTOS INFANTILES</author>
  </authors>
  <commentList>
    <comment ref="C1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Recursos que tiene la compañía despues de cubrir sus pasivos corrientes</t>
        </r>
      </text>
    </comment>
    <comment ref="C15" authorId="1" shapeId="0" xr:uid="{00000000-0006-0000-0700-000002000000}">
      <text>
        <r>
          <rPr>
            <b/>
            <sz val="8"/>
            <color indexed="81"/>
            <rFont val="Tahoma"/>
            <family val="2"/>
          </rPr>
          <t>Capacidad que tiene la compañía para cubrir sus obligaciones a corto plazo.</t>
        </r>
      </text>
    </comment>
    <comment ref="C24" authorId="1" shapeId="0" xr:uid="{00000000-0006-0000-0700-000003000000}">
      <text>
        <r>
          <rPr>
            <b/>
            <sz val="8"/>
            <color indexed="81"/>
            <rFont val="Tahoma"/>
            <family val="2"/>
          </rPr>
          <t>EN CUANTOS DIAS LA COMPAÑÍA PAGA LAS CUENTAS DE SUS PROVEEDORES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8" authorId="1" shapeId="0" xr:uid="{00000000-0006-0000-0700-000004000000}">
      <text>
        <r>
          <rPr>
            <b/>
            <sz val="8"/>
            <color indexed="81"/>
            <rFont val="Tahoma"/>
            <family val="2"/>
          </rPr>
          <t>EN CUANTOS DIAS LA COMPAÑÍA PAGA LAS CUENTAS DE SUS PROVEEDORES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<sst xmlns="http://schemas.openxmlformats.org/spreadsheetml/2006/main" count="24320" uniqueCount="1940">
  <si>
    <t>(Cifras expresadas en Miles de pesos colombianos)</t>
  </si>
  <si>
    <t>ACTIVOS</t>
  </si>
  <si>
    <t>PASIVOS</t>
  </si>
  <si>
    <t>Pasivos Corrientes</t>
  </si>
  <si>
    <t>Efectivo y Equivalentes de Efectivo</t>
  </si>
  <si>
    <t xml:space="preserve">Caja </t>
  </si>
  <si>
    <t>Cuentas Por Pagar</t>
  </si>
  <si>
    <t>Bancos</t>
  </si>
  <si>
    <t>Proveedores</t>
  </si>
  <si>
    <t>Cuentas de ahorros</t>
  </si>
  <si>
    <t>Cuentas Por Cobrar</t>
  </si>
  <si>
    <t>Clientes</t>
  </si>
  <si>
    <t>Anticipos y avances</t>
  </si>
  <si>
    <t>Pasivo Por Impuestos</t>
  </si>
  <si>
    <t xml:space="preserve">A empleados </t>
  </si>
  <si>
    <t>Deudores varios</t>
  </si>
  <si>
    <t>Beneficios a Empleados</t>
  </si>
  <si>
    <t>Inventarios</t>
  </si>
  <si>
    <t>Materias primas</t>
  </si>
  <si>
    <t>Productos en proceso</t>
  </si>
  <si>
    <t>Total Pasivos Corrientes</t>
  </si>
  <si>
    <t>Mercancia no fabricada por la empresa</t>
  </si>
  <si>
    <t>Obligaciones Financieras</t>
  </si>
  <si>
    <t>Total Activos Corrientes</t>
  </si>
  <si>
    <t>Bancos Nacionales</t>
  </si>
  <si>
    <t>Activos No Corrientes</t>
  </si>
  <si>
    <t>Inversiones</t>
  </si>
  <si>
    <t>Propiedad Planta y Equipo</t>
  </si>
  <si>
    <t>Otros Pasivos</t>
  </si>
  <si>
    <t>Construcciones y edificaciones</t>
  </si>
  <si>
    <t>Ingresos para terceros</t>
  </si>
  <si>
    <t>Maquinaria y equipo</t>
  </si>
  <si>
    <t>Equipo de oficina</t>
  </si>
  <si>
    <t>Total Pasivo No Corriente</t>
  </si>
  <si>
    <t>Flota y equipo de transporte</t>
  </si>
  <si>
    <t>Total Pasivos</t>
  </si>
  <si>
    <t>Depreciacion acumulada</t>
  </si>
  <si>
    <t>Capital Social</t>
  </si>
  <si>
    <t>Intangibles</t>
  </si>
  <si>
    <t>Capital suscrito y pagado</t>
  </si>
  <si>
    <t>Licencias</t>
  </si>
  <si>
    <t>Reservas</t>
  </si>
  <si>
    <t>Reserva legal</t>
  </si>
  <si>
    <t>Otros activos</t>
  </si>
  <si>
    <t>Gastos pagados por anticipado</t>
  </si>
  <si>
    <t>Resultado del Ejercicio</t>
  </si>
  <si>
    <t>Utilidad del ejercicio</t>
  </si>
  <si>
    <t>Activo por impuesto</t>
  </si>
  <si>
    <t>Impuesto diferido</t>
  </si>
  <si>
    <t>Resultados Acumulados</t>
  </si>
  <si>
    <t>Utilidades acumuladas</t>
  </si>
  <si>
    <t>Impactos por transicion a NIIF</t>
  </si>
  <si>
    <t>Total Activos No Corrientes</t>
  </si>
  <si>
    <t>Total Patrimonio</t>
  </si>
  <si>
    <t>Total Activos</t>
  </si>
  <si>
    <t>Total Pasivos y Patrimonio</t>
  </si>
  <si>
    <t>Activos Corrientes</t>
  </si>
  <si>
    <t>Contador</t>
  </si>
  <si>
    <t xml:space="preserve">Equipo de computo </t>
  </si>
  <si>
    <t>(Cifras Expresadas en Miles de Pesos Colombianos)</t>
  </si>
  <si>
    <t>A.V</t>
  </si>
  <si>
    <t>Devoluciones en ventas</t>
  </si>
  <si>
    <t>Ingresos netos</t>
  </si>
  <si>
    <t>Aportes sobre la nomina</t>
  </si>
  <si>
    <t>Honorarios</t>
  </si>
  <si>
    <t>Impuestos</t>
  </si>
  <si>
    <t>Arrendamientos</t>
  </si>
  <si>
    <t>Seguros</t>
  </si>
  <si>
    <t>Gastos legales</t>
  </si>
  <si>
    <t>Otros Ingresos</t>
  </si>
  <si>
    <t>Recuperacion de costos y gastos</t>
  </si>
  <si>
    <t>Diversos</t>
  </si>
  <si>
    <t xml:space="preserve">Gastos de Ventas </t>
  </si>
  <si>
    <t>Gastos de Administracion</t>
  </si>
  <si>
    <t>Mantenimiento y reparaciones</t>
  </si>
  <si>
    <t>Reparaciones locativas</t>
  </si>
  <si>
    <t>Depreciacion</t>
  </si>
  <si>
    <t>Otros gastos</t>
  </si>
  <si>
    <t>Gastos extraordinarios</t>
  </si>
  <si>
    <t>Ingresos  Financieros</t>
  </si>
  <si>
    <t>Intereses</t>
  </si>
  <si>
    <t>Diferencia en cambio</t>
  </si>
  <si>
    <t>Costos Financieros</t>
  </si>
  <si>
    <t>Gastos bancarios</t>
  </si>
  <si>
    <t>Comisiones</t>
  </si>
  <si>
    <t>Gravamen 4 x 1000</t>
  </si>
  <si>
    <t>Impuesto a las ganancias</t>
  </si>
  <si>
    <t xml:space="preserve">Corriente </t>
  </si>
  <si>
    <t>Diferido</t>
  </si>
  <si>
    <t xml:space="preserve">GANANCIA (PERDIDA), NETA </t>
  </si>
  <si>
    <t xml:space="preserve">RESULTADO INTEGRAL TOTAL </t>
  </si>
  <si>
    <t>EMPRESA</t>
  </si>
  <si>
    <t>NIT</t>
  </si>
  <si>
    <t>FECHA DE CORTE</t>
  </si>
  <si>
    <t>MES</t>
  </si>
  <si>
    <t>FECHA E.F</t>
  </si>
  <si>
    <t>FECHA E.F COMP</t>
  </si>
  <si>
    <t>Revisor Fiscal</t>
  </si>
  <si>
    <t>Cedula Rep Legal</t>
  </si>
  <si>
    <t>VARIACION</t>
  </si>
  <si>
    <t>A.H</t>
  </si>
  <si>
    <t xml:space="preserve">ACTIVO                        </t>
  </si>
  <si>
    <t xml:space="preserve">EFECTIVO Y EQUIV. AL EFECTIVO </t>
  </si>
  <si>
    <t xml:space="preserve">CAJA                          </t>
  </si>
  <si>
    <t xml:space="preserve">BANCOS                        </t>
  </si>
  <si>
    <t xml:space="preserve">CUENTAS DE AHORROS            </t>
  </si>
  <si>
    <t xml:space="preserve">CLIENTES                      </t>
  </si>
  <si>
    <t xml:space="preserve">DEUDORES VARIOS               </t>
  </si>
  <si>
    <t xml:space="preserve">INVENTARIOS                   </t>
  </si>
  <si>
    <t xml:space="preserve">PROPIEDAD PLANTA Y EQUIPO     </t>
  </si>
  <si>
    <t xml:space="preserve">MAQUINARIA Y EQUIPO           </t>
  </si>
  <si>
    <t xml:space="preserve">EQUIPO DE OFICINA             </t>
  </si>
  <si>
    <t xml:space="preserve">ACTIVOS POR IMPUESTOS         </t>
  </si>
  <si>
    <t xml:space="preserve">PASIVO                        </t>
  </si>
  <si>
    <t xml:space="preserve">PROVEEDORES                   </t>
  </si>
  <si>
    <t xml:space="preserve">CUENTAS POR PAGAR             </t>
  </si>
  <si>
    <t xml:space="preserve">COSTOS Y GASTOS POR PAGAR     </t>
  </si>
  <si>
    <t xml:space="preserve">HONORARIOS                    </t>
  </si>
  <si>
    <t xml:space="preserve">SERVICIOS                     </t>
  </si>
  <si>
    <t xml:space="preserve">ARRENDAMIENTOS                </t>
  </si>
  <si>
    <t xml:space="preserve">SALARIOS POR PAGAR            </t>
  </si>
  <si>
    <t xml:space="preserve">ANTICIPOS Y AVANCES RECIBIDOS </t>
  </si>
  <si>
    <t xml:space="preserve">PATRIMONIO                    </t>
  </si>
  <si>
    <t xml:space="preserve">CAPITAL SOCIAL                </t>
  </si>
  <si>
    <t xml:space="preserve">RESERVAS                      </t>
  </si>
  <si>
    <t>RESULTADOS DE EJERC. ANTERIORE</t>
  </si>
  <si>
    <t xml:space="preserve">IMPACTOS POR TRANSICION       </t>
  </si>
  <si>
    <t xml:space="preserve">INGRESOS                      </t>
  </si>
  <si>
    <t xml:space="preserve">INGRESOS OPERACIONALES        </t>
  </si>
  <si>
    <t xml:space="preserve">INGRESOS NO OPERACIONALES     </t>
  </si>
  <si>
    <t xml:space="preserve">INTERESES                     </t>
  </si>
  <si>
    <t xml:space="preserve">RECUPERACIONES                </t>
  </si>
  <si>
    <t xml:space="preserve">INDEMNIZACIONES               </t>
  </si>
  <si>
    <t xml:space="preserve">DIVERSOS                      </t>
  </si>
  <si>
    <t xml:space="preserve">INGRESOS FINANCIEROS          </t>
  </si>
  <si>
    <t xml:space="preserve">GASTOS                        </t>
  </si>
  <si>
    <t xml:space="preserve">IMPUESTOS                     </t>
  </si>
  <si>
    <t xml:space="preserve">CONTRIBUCIONES Y AFILIACIONES </t>
  </si>
  <si>
    <t xml:space="preserve">SEGUROS                       </t>
  </si>
  <si>
    <t xml:space="preserve">GASTOS LEGALES                </t>
  </si>
  <si>
    <t xml:space="preserve">MANTENIMIENTO Y REPARACION    </t>
  </si>
  <si>
    <t xml:space="preserve">GASTOS DIVERSOS               </t>
  </si>
  <si>
    <t xml:space="preserve">OTROS GASTOS                  </t>
  </si>
  <si>
    <t xml:space="preserve">OPERACIONALES DE VENTA        </t>
  </si>
  <si>
    <t xml:space="preserve">GASTOS BANCARIOS              </t>
  </si>
  <si>
    <t xml:space="preserve">COSTOS DE VENTAS              </t>
  </si>
  <si>
    <t xml:space="preserve">COSTOS INDIRECTOS             </t>
  </si>
  <si>
    <t>OTROS</t>
  </si>
  <si>
    <t>DIFERENCIA EN CAMBIO</t>
  </si>
  <si>
    <t>DEPRECIACION</t>
  </si>
  <si>
    <t>AMORTIZACION</t>
  </si>
  <si>
    <t>OPERACIONALES DE ADMINISTRACION</t>
  </si>
  <si>
    <t>INDICADORES DE LIQUIDEZ</t>
  </si>
  <si>
    <t>INDICADORES DE ENDEUDAMIENTO</t>
  </si>
  <si>
    <t>INDICADORES DE ACTIVIDAD</t>
  </si>
  <si>
    <t>INDICADORES DE RENTABILIDAD AÑO</t>
  </si>
  <si>
    <t>CASH FLOW</t>
  </si>
  <si>
    <t>GASTOS  TOTALES (SIN PROVISION IMPUESTOS)</t>
  </si>
  <si>
    <t>EBITDA</t>
  </si>
  <si>
    <t>ANALISIS  GERENCIAL</t>
  </si>
  <si>
    <t>T.P:</t>
  </si>
  <si>
    <t>Inversiones a la vista</t>
  </si>
  <si>
    <t>Impuesto sobre las ventas</t>
  </si>
  <si>
    <t>Salarios por pagar</t>
  </si>
  <si>
    <t>INTANGIBLES</t>
  </si>
  <si>
    <t>CUENTAS POR COBRAR</t>
  </si>
  <si>
    <t>Pasivos No Corrientes</t>
  </si>
  <si>
    <t>Patrimonio</t>
  </si>
  <si>
    <t>OTROS ACTIVOS</t>
  </si>
  <si>
    <t>GASTOS PAGADOS POR ANTICIPADO</t>
  </si>
  <si>
    <t>IMPUESTO DIFERIDO</t>
  </si>
  <si>
    <t>ANTICIPO DE IMPUESTO  Y SALDOS A FAVOR</t>
  </si>
  <si>
    <t>OBLIGACIONES FINANCIERAS</t>
  </si>
  <si>
    <t>PASIVO POR IMPUESTOS</t>
  </si>
  <si>
    <t>IMPUESTO A LAS GANANCIAS</t>
  </si>
  <si>
    <t>BENEFICIOS A EMPLEADOS</t>
  </si>
  <si>
    <t>VACACIONES CONSOLIDADAS</t>
  </si>
  <si>
    <t>OTROS PASIVOS</t>
  </si>
  <si>
    <t>ACUMULADO</t>
  </si>
  <si>
    <t>RESULTADOS</t>
  </si>
  <si>
    <t>SERVICIOS</t>
  </si>
  <si>
    <t>TODOS LOS VALORES SE DIGITAN POSITIVOS EXEPTO DEPRECIACIONES</t>
  </si>
  <si>
    <t>DESCUENTOS</t>
  </si>
  <si>
    <t>MOD</t>
  </si>
  <si>
    <t>PUC SOLO UNA GUIA NO ES IGUAL EN TODOS</t>
  </si>
  <si>
    <t>Activos por Impuesto</t>
  </si>
  <si>
    <t>Anticipo de Impuestos</t>
  </si>
  <si>
    <t>Embargos</t>
  </si>
  <si>
    <t>Sobregiro</t>
  </si>
  <si>
    <t>Otras Ventas</t>
  </si>
  <si>
    <t>Servicios</t>
  </si>
  <si>
    <t>Gastos Legales</t>
  </si>
  <si>
    <t>Mantenimientos</t>
  </si>
  <si>
    <t>Gastos de Viaje</t>
  </si>
  <si>
    <t>Descuentos</t>
  </si>
  <si>
    <t xml:space="preserve">COSTOS FINANCIEROS </t>
  </si>
  <si>
    <t>RESULTADO ACUMULADO</t>
  </si>
  <si>
    <t>ECUACION CONTABLE</t>
  </si>
  <si>
    <t>RAZON CORRIENTE</t>
  </si>
  <si>
    <t>ENDEUDAMIENTO</t>
  </si>
  <si>
    <t>COSTO DE LA NOMINA EN LAS VENTAS</t>
  </si>
  <si>
    <t>PARTICIPACION DE GASTOS TOTALES EN LAS VENTAS</t>
  </si>
  <si>
    <t>CAPITAL DE TRABAJO</t>
  </si>
  <si>
    <t>ENDEUDAMIENTO A CORTO PLAZO</t>
  </si>
  <si>
    <t>MARGEN BRUTO</t>
  </si>
  <si>
    <t>MARGEN OPERACIONAL</t>
  </si>
  <si>
    <t>MARGEN NETO</t>
  </si>
  <si>
    <t>RENDIMIENTO DEL PATRIMONIO</t>
  </si>
  <si>
    <t xml:space="preserve">ACREEDORES OFICIALES          </t>
  </si>
  <si>
    <t>CONSTRUCCIONES Y EDIFICACIONES</t>
  </si>
  <si>
    <t>CESANTIAS CONSOLIDADAS</t>
  </si>
  <si>
    <t>Instrumentos Financieros</t>
  </si>
  <si>
    <t>Acciones</t>
  </si>
  <si>
    <t>COSTO MANUFACTURA</t>
  </si>
  <si>
    <t xml:space="preserve">Cesantias </t>
  </si>
  <si>
    <t>Intereses a Cesantias</t>
  </si>
  <si>
    <t xml:space="preserve">Vacaciones </t>
  </si>
  <si>
    <t>Prima de servicios</t>
  </si>
  <si>
    <t>Tarjetas de Crédito</t>
  </si>
  <si>
    <t xml:space="preserve">ESTADO DE RESULTADOS INTEGRAL MENSUAL  </t>
  </si>
  <si>
    <t xml:space="preserve">ESTADO DE RESULTADOS INTEGRAL ACUMULADO </t>
  </si>
  <si>
    <t>PRUEBA DEL PUNTO DE EQUILIBRIO</t>
  </si>
  <si>
    <t>VERIFICACION CON EL MES</t>
  </si>
  <si>
    <t>PROYECCION PROXIMO MES</t>
  </si>
  <si>
    <t>INGRESOS</t>
  </si>
  <si>
    <t>CMV  VARIABLE</t>
  </si>
  <si>
    <t>U.DESPUES DE GTOS VBLES</t>
  </si>
  <si>
    <t xml:space="preserve">GTOS FIJOS </t>
  </si>
  <si>
    <t>P.EQ</t>
  </si>
  <si>
    <t>RESULTADO</t>
  </si>
  <si>
    <t>RESULTADO PROYECTADO</t>
  </si>
  <si>
    <t>VENTAS PARA PTO DE.EQ</t>
  </si>
  <si>
    <t>RETENCION EN LA FUENTE</t>
  </si>
  <si>
    <t>IVA POR PAGAR</t>
  </si>
  <si>
    <t>PRIMA DE SERVICIOS</t>
  </si>
  <si>
    <t>GMF</t>
  </si>
  <si>
    <t>RESULTADO MES</t>
  </si>
  <si>
    <t>Amortizacion</t>
  </si>
  <si>
    <t>Accionistas</t>
  </si>
  <si>
    <t>Mejoras en propiedad ajena</t>
  </si>
  <si>
    <t>MOD (Mano de obra directa)</t>
  </si>
  <si>
    <t>CIF (Costos indirectos de fabricacion)</t>
  </si>
  <si>
    <t>GANANCIA BRUTA 2</t>
  </si>
  <si>
    <t>Indemnizaciones (incapacidades)</t>
  </si>
  <si>
    <t>Gasto de personal</t>
  </si>
  <si>
    <t>Gastos de personal</t>
  </si>
  <si>
    <t>MARGEN DE CONTRIBUCION 1</t>
  </si>
  <si>
    <t>TOTAL</t>
  </si>
  <si>
    <t>INGRESOS NETOS</t>
  </si>
  <si>
    <t>GANANCIA (PERDIDA) POR ACT. DE OP.</t>
  </si>
  <si>
    <t>GANANCIA (PERDIDA), ANTES DE IMP.</t>
  </si>
  <si>
    <t>RESULTADO REAL DEL MES</t>
  </si>
  <si>
    <t>ctrl</t>
  </si>
  <si>
    <t>PUNTO DE EQUILIBRIO CONTABLE</t>
  </si>
  <si>
    <t>RESULTADO REAL</t>
  </si>
  <si>
    <t>CTO DEPURADO SIN 72 Y 73 Y SIN COMERCIALIZACION</t>
  </si>
  <si>
    <t xml:space="preserve">GRUPO DE LOLITA S.A.S.        </t>
  </si>
  <si>
    <t xml:space="preserve">GRUPO ATOCHA S.A.S            </t>
  </si>
  <si>
    <t>CAJA:</t>
  </si>
  <si>
    <t>OBSERVACION</t>
  </si>
  <si>
    <t>PROVEEDOR</t>
  </si>
  <si>
    <t>INVENTARIOS</t>
  </si>
  <si>
    <t>DIFERENCIAS</t>
  </si>
  <si>
    <t>Representante Legal</t>
  </si>
  <si>
    <t xml:space="preserve">ESTADO DE SITUACIÓN FINANCIERA  </t>
  </si>
  <si>
    <t>Fideicomisos</t>
  </si>
  <si>
    <t>COSTO DE CARTERA</t>
  </si>
  <si>
    <t>COSTO DE INVENTARIO</t>
  </si>
  <si>
    <t>PROMEDIO DE  C X C</t>
  </si>
  <si>
    <t>ROTACIÓN DE PROVEEDORES EN DIAS</t>
  </si>
  <si>
    <t>ROTACIÓN DE CARTERA EN DIAS</t>
  </si>
  <si>
    <t xml:space="preserve">ROTACIÓN C X P </t>
  </si>
  <si>
    <t>ROTACION  C X C</t>
  </si>
  <si>
    <t>PROMEDIO DE C X P</t>
  </si>
  <si>
    <t xml:space="preserve">INDICADORES DE DETERIOROS PATRIMONIALES Y RIESGOS DE INSOLVENCIA </t>
  </si>
  <si>
    <t>ANALISIS</t>
  </si>
  <si>
    <t>POSICION PATRIMONIAL NEGATIVA</t>
  </si>
  <si>
    <t>Se considera que hay detrimento patrimonial si el patrimonio es inferior a 0</t>
  </si>
  <si>
    <t>PERDIDAS CONSECUTIVAS (DOS PERIODOS)</t>
  </si>
  <si>
    <t>Existe detrimento patrimonial si esta negativo en ambos periodos</t>
  </si>
  <si>
    <t>RIESGO DE INSOLVENCIA SEGÚN CAPITAL TRABAJO</t>
  </si>
  <si>
    <t>Existe riesgo de insolvencia si el indicador es menor que 0.5</t>
  </si>
  <si>
    <t>RIESGO DE INSOLVENCIA SEGÚN RESULTADO DEL EJERCICIO</t>
  </si>
  <si>
    <t>PASIVO TOTAL ACTUAL</t>
  </si>
  <si>
    <t>Existe riesgo de insolvencia si el primer factor es menor que el segundo</t>
  </si>
  <si>
    <t>SEGUROS</t>
  </si>
  <si>
    <t>La siguiente proyección es valida solo para empresas con utilidad acumulada.</t>
  </si>
  <si>
    <t>UTILIDAD CONTABLE ACUMULADA</t>
  </si>
  <si>
    <t>Gastos No Deducibles Admon</t>
  </si>
  <si>
    <t>DILIGENCIAR LOS VALORES EN GRIS</t>
  </si>
  <si>
    <t>Gastos No Deducibles Ventas</t>
  </si>
  <si>
    <t>GMF 50%</t>
  </si>
  <si>
    <t>Intereses Por Mora Fiscal</t>
  </si>
  <si>
    <t>Impuestos Asumidos</t>
  </si>
  <si>
    <t>Costos y Gastos de Ejercicios Ant</t>
  </si>
  <si>
    <t>Multas y Sanciones</t>
  </si>
  <si>
    <t>Gastos No Deducibles costos indirectos</t>
  </si>
  <si>
    <t>UTILIDAD FISCAL</t>
  </si>
  <si>
    <t>Impuesto de Renta</t>
  </si>
  <si>
    <t>Impuesto Neto de Renta Corriente</t>
  </si>
  <si>
    <t>Gasto en Estado Financiero</t>
  </si>
  <si>
    <t>Saldo a Favor Renta año anterior</t>
  </si>
  <si>
    <t>Anticipo de Renta año anterior</t>
  </si>
  <si>
    <t>Retenciones que le practicaron</t>
  </si>
  <si>
    <t>Autoretenciones</t>
  </si>
  <si>
    <t>Saldo  a Favor/ Pagar Aprox Renta</t>
  </si>
  <si>
    <t>REQUIERE PLANEACIÓN</t>
  </si>
  <si>
    <t>Cuenta</t>
  </si>
  <si>
    <t>Nombre</t>
  </si>
  <si>
    <t>Saldo Anterior</t>
  </si>
  <si>
    <t>Débitos</t>
  </si>
  <si>
    <t>Créditos</t>
  </si>
  <si>
    <t>Nuevo Saldo</t>
  </si>
  <si>
    <t xml:space="preserve">CAJA GENERAL                  </t>
  </si>
  <si>
    <t xml:space="preserve">MONEDA NACIONAL               </t>
  </si>
  <si>
    <t xml:space="preserve">CUENTAS POR COBRAR            </t>
  </si>
  <si>
    <t xml:space="preserve">NACIONALES                    </t>
  </si>
  <si>
    <t xml:space="preserve">CLIENTES NACIONALES           </t>
  </si>
  <si>
    <t>BLANCA EDILMA ECHAVARRIA MOREN</t>
  </si>
  <si>
    <t xml:space="preserve">C X C A SOCIOS Y ACCIONISTAS  </t>
  </si>
  <si>
    <t xml:space="preserve">A ACCIONISTAS                 </t>
  </si>
  <si>
    <t xml:space="preserve">ANTICIPOS Y AVANCES           </t>
  </si>
  <si>
    <t xml:space="preserve">PRESTAMOS A EMPLEADOS         </t>
  </si>
  <si>
    <t xml:space="preserve">OTROS                         </t>
  </si>
  <si>
    <t xml:space="preserve">OTROS (AJES)                  </t>
  </si>
  <si>
    <t xml:space="preserve">ECOLIMPIADORES S.A.S          </t>
  </si>
  <si>
    <t xml:space="preserve">TRASLADOS                     </t>
  </si>
  <si>
    <t xml:space="preserve">DEPRECIACION                  </t>
  </si>
  <si>
    <t xml:space="preserve">CINCO E S.A.S                 </t>
  </si>
  <si>
    <t xml:space="preserve">ACTIVO POR IMPUESTOS          </t>
  </si>
  <si>
    <t>ANTICIPO DE IMPTO DE IND Y CCI</t>
  </si>
  <si>
    <t xml:space="preserve">RETENCION EN LA FUENTE        </t>
  </si>
  <si>
    <t>DIRECCION DE IMPUESTOS Y ADUAN</t>
  </si>
  <si>
    <t xml:space="preserve">OBLIGACIONES FINANCIERAS      </t>
  </si>
  <si>
    <t xml:space="preserve">BANCOS NACIONALES             </t>
  </si>
  <si>
    <t xml:space="preserve">BANCO DAVIVIENDA S.A          </t>
  </si>
  <si>
    <t>COMFAMA CAJA DE COMPENSACION F</t>
  </si>
  <si>
    <t xml:space="preserve">COMPLEMENTOS HUMANOS S.A.     </t>
  </si>
  <si>
    <t xml:space="preserve">IDEXT S.A.S.                  </t>
  </si>
  <si>
    <t xml:space="preserve">COMPRAS                       </t>
  </si>
  <si>
    <t xml:space="preserve">PAGOS Y TRASLADOS             </t>
  </si>
  <si>
    <t xml:space="preserve">RETENCIONES  EN EL IVA        </t>
  </si>
  <si>
    <t>RETENCION DE IVA A REGIMEN SIM</t>
  </si>
  <si>
    <t xml:space="preserve">ACREEDORES VARIOS             </t>
  </si>
  <si>
    <t xml:space="preserve">IMPUESTO SOBRE LAS VENTAS POR </t>
  </si>
  <si>
    <t xml:space="preserve">IVA GENERADO                  </t>
  </si>
  <si>
    <t xml:space="preserve">IVA DESCONTABLE               </t>
  </si>
  <si>
    <t xml:space="preserve">CESANTIAS CONSOLIDADAS        </t>
  </si>
  <si>
    <t xml:space="preserve">LEY 50                        </t>
  </si>
  <si>
    <t xml:space="preserve">INTERESES SOBRE CESANTIAS     </t>
  </si>
  <si>
    <t xml:space="preserve">PRIMA DE SERVICIOS            </t>
  </si>
  <si>
    <t xml:space="preserve">VACACIONES CONSOLIDADAS       </t>
  </si>
  <si>
    <t xml:space="preserve">CESANTIAS                     </t>
  </si>
  <si>
    <t xml:space="preserve">PAGOS DE CESANTIAS            </t>
  </si>
  <si>
    <t>PAGOS DE INTERESES A LAS CESAN</t>
  </si>
  <si>
    <t xml:space="preserve">VACACIONES                    </t>
  </si>
  <si>
    <t xml:space="preserve">PAGOS DE PRIMA DE SERVICIOS   </t>
  </si>
  <si>
    <t>RETENCIONES Y APORTES DE NOMIN</t>
  </si>
  <si>
    <t>APORTES A ENTIDADES PROMOTORAS</t>
  </si>
  <si>
    <t>APORTES A ADMINISTRADORAS DE R</t>
  </si>
  <si>
    <t>FONDOS DE CESANTIAS Y PENSIONE</t>
  </si>
  <si>
    <t xml:space="preserve">PAGOS AFP                     </t>
  </si>
  <si>
    <t xml:space="preserve">CAPITAL SUSCRITO Y PAGADO     </t>
  </si>
  <si>
    <t xml:space="preserve">CAPITAL AUTORIZADO            </t>
  </si>
  <si>
    <t xml:space="preserve">RESERVAS OBLIGATORIAS         </t>
  </si>
  <si>
    <t xml:space="preserve">RESERVA LEGAL                 </t>
  </si>
  <si>
    <t xml:space="preserve">FLETES                        </t>
  </si>
  <si>
    <t xml:space="preserve">DEVOLUCIONES EN VENTAS        </t>
  </si>
  <si>
    <t xml:space="preserve">DEVOLUCIONES                  </t>
  </si>
  <si>
    <t xml:space="preserve">NO OPERACIONALES              </t>
  </si>
  <si>
    <t xml:space="preserve">RECUPERACION                  </t>
  </si>
  <si>
    <t>RECUPERACION DE COSTOS Y GASTO</t>
  </si>
  <si>
    <t xml:space="preserve">INCAPACIDADES                 </t>
  </si>
  <si>
    <t xml:space="preserve">APROVECHAMIENTOS              </t>
  </si>
  <si>
    <t xml:space="preserve">AJUSTE AL PESO                </t>
  </si>
  <si>
    <t xml:space="preserve">FINANCIEROS                   </t>
  </si>
  <si>
    <t xml:space="preserve">INTERESES POR MORA            </t>
  </si>
  <si>
    <t xml:space="preserve">APORTES A.R.P                 </t>
  </si>
  <si>
    <t xml:space="preserve">APORTES A E.P.S               </t>
  </si>
  <si>
    <t xml:space="preserve">APORTES A FONDOS DE PENSIONES </t>
  </si>
  <si>
    <t xml:space="preserve">APORTES CAJAS DE COMPENSACION </t>
  </si>
  <si>
    <t xml:space="preserve">SUELDOS                       </t>
  </si>
  <si>
    <t xml:space="preserve">AUXILIO DE TRANSPORTE         </t>
  </si>
  <si>
    <t xml:space="preserve">BONIFICACIONES                </t>
  </si>
  <si>
    <t xml:space="preserve">GASTOS MEDICOS Y DROGAS       </t>
  </si>
  <si>
    <t xml:space="preserve">ASESORIA EMPRESARIAL          </t>
  </si>
  <si>
    <t xml:space="preserve">INDUSTRIA Y COMERCIO          </t>
  </si>
  <si>
    <t xml:space="preserve">ASEO Y VIGILANCIA             </t>
  </si>
  <si>
    <t xml:space="preserve">TEMPORALES                    </t>
  </si>
  <si>
    <t>PROCESAMIENTO ELECTRONICO DE D</t>
  </si>
  <si>
    <t xml:space="preserve">ENERGIA ELECTRICA             </t>
  </si>
  <si>
    <t xml:space="preserve">OTROS SERVICIOS               </t>
  </si>
  <si>
    <t xml:space="preserve">MANTENIMIENTO Y REPARACIONES  </t>
  </si>
  <si>
    <t xml:space="preserve">REPARACIONES LOCATIVAS        </t>
  </si>
  <si>
    <t xml:space="preserve">TAXIS Y BUSES                 </t>
  </si>
  <si>
    <t xml:space="preserve">OPERACIONALES DE VENTAS       </t>
  </si>
  <si>
    <t xml:space="preserve">ACUEDUCTO Y ALCANTARILLADO    </t>
  </si>
  <si>
    <t xml:space="preserve">TRAMITES Y LICENCIAS          </t>
  </si>
  <si>
    <t xml:space="preserve">COMISIONES                    </t>
  </si>
  <si>
    <t xml:space="preserve">UTILES PAPELERIA Y FOTOCOPIAS </t>
  </si>
  <si>
    <t xml:space="preserve">GRAVAMEN 4X1000               </t>
  </si>
  <si>
    <t>DESCUENTOS COMERCIALES CONDICI</t>
  </si>
  <si>
    <t xml:space="preserve">COSTOS DE VENTAS Y PRESTACION </t>
  </si>
  <si>
    <t xml:space="preserve">UTILIDADES ACUMULADAS         </t>
  </si>
  <si>
    <t>CTRL</t>
  </si>
  <si>
    <t>CONTROL</t>
  </si>
  <si>
    <t>CONVOCAMOS SERES DE AMOR S.A.S</t>
  </si>
  <si>
    <t xml:space="preserve">PRODUCTOS LACTEOS AURA S.A.S. </t>
  </si>
  <si>
    <t xml:space="preserve">PROVISION DE CESANTIAS        </t>
  </si>
  <si>
    <t>PROVISION INTERESES A LAS CESA</t>
  </si>
  <si>
    <t xml:space="preserve">PROVISION PARA VACACIONES     </t>
  </si>
  <si>
    <t xml:space="preserve">PROVISION DE PRIMA SERVICIOS  </t>
  </si>
  <si>
    <t>HONORARIOS</t>
  </si>
  <si>
    <t>ARRENDAMIENTOS</t>
  </si>
  <si>
    <t>DIVERSOS</t>
  </si>
  <si>
    <t>IMPUESTOS</t>
  </si>
  <si>
    <t>CONTRIBUCIONES</t>
  </si>
  <si>
    <t>MANTENIMIENTOS</t>
  </si>
  <si>
    <t>ADECUACIONES</t>
  </si>
  <si>
    <t>ACTIVOS CUANTIA MENOR</t>
  </si>
  <si>
    <t>AUMENTO CIF (SIN DEPRECIACION)</t>
  </si>
  <si>
    <t>LEGALES</t>
  </si>
  <si>
    <t>OBSERVACIONES</t>
  </si>
  <si>
    <t>COMPENSACION DE PRESUNTIVA</t>
  </si>
  <si>
    <t>RENTA LIQUIDA</t>
  </si>
  <si>
    <t>ACREEDORES VARIOS</t>
  </si>
  <si>
    <t>IMPUESTO DE RENTA</t>
  </si>
  <si>
    <t>SAPHETY - TRANSACCIONES ELECTR</t>
  </si>
  <si>
    <t>SERVICIOS EMPRESARIALES CYA S.</t>
  </si>
  <si>
    <t xml:space="preserve">UTILES DE ASEO Y CAFETERIA    </t>
  </si>
  <si>
    <t xml:space="preserve">MULTAS SANCIONES Y LITIGIOS   </t>
  </si>
  <si>
    <t>cta 73</t>
  </si>
  <si>
    <t xml:space="preserve">COMERCIO AL POR MAYOR Y MENOR </t>
  </si>
  <si>
    <t xml:space="preserve">NO DEDUCIBLE                  </t>
  </si>
  <si>
    <t xml:space="preserve">ATENCION A EMPLEADOS          </t>
  </si>
  <si>
    <t>Contribuciones y afiliaciones</t>
  </si>
  <si>
    <t>PUNTO DE EQUILIBRIO DE CAJA</t>
  </si>
  <si>
    <t>DEPRECIACIONES Y AMORTIZACIONES</t>
  </si>
  <si>
    <t>ABONOS OBL FRAS</t>
  </si>
  <si>
    <t>INGRESOS EJERCICIOS ANTERIORES</t>
  </si>
  <si>
    <t xml:space="preserve">PARA OBLIGACIONES FISCALES    </t>
  </si>
  <si>
    <t>PASIVOS ESTIMADOS Y PROVISIONES</t>
  </si>
  <si>
    <t>530520-21-22</t>
  </si>
  <si>
    <t xml:space="preserve">Utilidad en venta de propiedad planta y equipo     </t>
  </si>
  <si>
    <t>PROV IND Y CCIO</t>
  </si>
  <si>
    <t>PROVISION ICA</t>
  </si>
  <si>
    <t>SANAM SANEAMIENTO AMBIENTAL S.</t>
  </si>
  <si>
    <t>Gastos diversos</t>
  </si>
  <si>
    <t xml:space="preserve">JULIETA FILEVICH GIRALDO      </t>
  </si>
  <si>
    <t>CXC SOCIOS Y ACCIONISTAS</t>
  </si>
  <si>
    <t>ANTICIPOS Y AVANCES</t>
  </si>
  <si>
    <t>NACIONALES</t>
  </si>
  <si>
    <t>SALARIOS POR PAGAR</t>
  </si>
  <si>
    <t>UTILIDADES ACUMULADAS</t>
  </si>
  <si>
    <t>PERDIDAS ACUMULADAS</t>
  </si>
  <si>
    <t xml:space="preserve">COMISIONES     </t>
  </si>
  <si>
    <t>COSTOS Y GASTOS DE EJERCICIOS ANT</t>
  </si>
  <si>
    <t>Industria manufacturera</t>
  </si>
  <si>
    <t>Ingresos por exportaciones</t>
  </si>
  <si>
    <t>Comercio al por mayor y por menor</t>
  </si>
  <si>
    <t>Ingresos ejercicios anteriores</t>
  </si>
  <si>
    <t>Comisiones fondo de garantias</t>
  </si>
  <si>
    <t>Comision Factoring</t>
  </si>
  <si>
    <t>COSTO COMERCIALIZACION</t>
  </si>
  <si>
    <t>Retención en la fuente</t>
  </si>
  <si>
    <t xml:space="preserve">DESCUENTOS EMPLEADOS VB       </t>
  </si>
  <si>
    <t>Provision Impuesto de renta</t>
  </si>
  <si>
    <t>Provision Industria y comercio</t>
  </si>
  <si>
    <t xml:space="preserve">IMPUESTO SALUDABLE            </t>
  </si>
  <si>
    <t xml:space="preserve">VIGENCIA FISCAL CORRIENTE     </t>
  </si>
  <si>
    <t xml:space="preserve">PROVISION PRESTACIONES SOCIALES  </t>
  </si>
  <si>
    <t>ANTICIPO DE RENTA</t>
  </si>
  <si>
    <t>BENEFICIO DE AUDITORIA</t>
  </si>
  <si>
    <t>APORTES SOCIALES</t>
  </si>
  <si>
    <t xml:space="preserve">RETENCIONES AÑO ANTERIOR      </t>
  </si>
  <si>
    <t>MERCANCIAS NO FABRICADAS POR L</t>
  </si>
  <si>
    <t xml:space="preserve">INSTALACIONES ELECTRICAS      </t>
  </si>
  <si>
    <t xml:space="preserve">ENVASES Y EMPAQUES            </t>
  </si>
  <si>
    <t>Materia Prima</t>
  </si>
  <si>
    <t>Costo de Materia Prima</t>
  </si>
  <si>
    <t>CMV</t>
  </si>
  <si>
    <t xml:space="preserve">CONFECCIONES EFEJOTA S.A.S.   </t>
  </si>
  <si>
    <t>DOTACION Y SUMINISTROS AL TRAB</t>
  </si>
  <si>
    <t>TASA DE MERCADO</t>
  </si>
  <si>
    <t xml:space="preserve">Descuentos comerciales </t>
  </si>
  <si>
    <t xml:space="preserve">Impuestos Asumidos            </t>
  </si>
  <si>
    <t xml:space="preserve">Sueldos                       </t>
  </si>
  <si>
    <t xml:space="preserve">Horas Extras                  </t>
  </si>
  <si>
    <t xml:space="preserve">Incapacidades                 </t>
  </si>
  <si>
    <t xml:space="preserve">Auxilio De Transporte         </t>
  </si>
  <si>
    <t xml:space="preserve">Cesantias                     </t>
  </si>
  <si>
    <t xml:space="preserve">Intereses Sobre Cesantias     </t>
  </si>
  <si>
    <t xml:space="preserve">Prima De Servicios            </t>
  </si>
  <si>
    <t xml:space="preserve">Vacaciones                    </t>
  </si>
  <si>
    <t>Dotacion Y Suministros Al Trab</t>
  </si>
  <si>
    <t xml:space="preserve">Aportes A.R.P                 </t>
  </si>
  <si>
    <t xml:space="preserve">Aportes A Fondos De Pensiones </t>
  </si>
  <si>
    <t xml:space="preserve">Aportes Cajas De Compensacion </t>
  </si>
  <si>
    <t xml:space="preserve">Gastos Medicos Y Drogas       </t>
  </si>
  <si>
    <t xml:space="preserve">Otros Gastos De Personal      </t>
  </si>
  <si>
    <t xml:space="preserve">Otros                         </t>
  </si>
  <si>
    <t xml:space="preserve">Ajuste Al Peso                </t>
  </si>
  <si>
    <t>Intereses mora</t>
  </si>
  <si>
    <t xml:space="preserve">FONDOS DE INVERSION           </t>
  </si>
  <si>
    <t xml:space="preserve">DE LOLITA RESTO CAFE S.A.S    </t>
  </si>
  <si>
    <t xml:space="preserve">ASESORIAS DF S.A.S            </t>
  </si>
  <si>
    <t xml:space="preserve">A PROVEEDORES                 </t>
  </si>
  <si>
    <t xml:space="preserve">CRUCE CUADRES DE CAJA         </t>
  </si>
  <si>
    <t xml:space="preserve">ANDRES FELIPE MONTOYA VELEZ   </t>
  </si>
  <si>
    <t xml:space="preserve">DEUDORES DE CAJA              </t>
  </si>
  <si>
    <t xml:space="preserve">NUTRIENDO ALMAS S.A.S         </t>
  </si>
  <si>
    <t xml:space="preserve">MERCANCIA NO FAB X LA EMPRESA </t>
  </si>
  <si>
    <t xml:space="preserve">COOPERATIVA COLANTA LTDA      </t>
  </si>
  <si>
    <t xml:space="preserve">MERCANCIA GRAVADA 5%          </t>
  </si>
  <si>
    <t xml:space="preserve">MERCANCIA NO GRAVADA          </t>
  </si>
  <si>
    <t xml:space="preserve">DEVOLUCION PRODUCTOS EXENTOS  </t>
  </si>
  <si>
    <t xml:space="preserve">RETEFTE AL 1.5%               </t>
  </si>
  <si>
    <t xml:space="preserve">AUTORRETENCION ESPECIAL       </t>
  </si>
  <si>
    <t>SOBRANTE EN LIQUIDACION PRIVAD</t>
  </si>
  <si>
    <t xml:space="preserve">PAGARES                       </t>
  </si>
  <si>
    <t xml:space="preserve">PROVEEDORES NACIONALES        </t>
  </si>
  <si>
    <t xml:space="preserve">EDGAR ALONSO BEDOYA GARCIA    </t>
  </si>
  <si>
    <t xml:space="preserve">INVERSIONES CARIS S.A.S       </t>
  </si>
  <si>
    <t xml:space="preserve">SERVICIOS DEL 4%              </t>
  </si>
  <si>
    <t xml:space="preserve">FLETES Y AIU 1%               </t>
  </si>
  <si>
    <t xml:space="preserve">LICENCIAMIENTO Y USO SOFTWARE </t>
  </si>
  <si>
    <t xml:space="preserve">RETENCION COMPRAS 2.5%        </t>
  </si>
  <si>
    <t xml:space="preserve">DE RENTA Y COMPLEMNETARIOS    </t>
  </si>
  <si>
    <t xml:space="preserve">IVA EN VENTAS 19%             </t>
  </si>
  <si>
    <t xml:space="preserve">DEVOLUCIONES EN COMPRA 19%    </t>
  </si>
  <si>
    <t xml:space="preserve">IVA DESCONTABLE SERVICIOS 19% </t>
  </si>
  <si>
    <t xml:space="preserve">IVA DESCONTABLE GASTOS 19%    </t>
  </si>
  <si>
    <t xml:space="preserve">IVA DESC. EN COMPRAS 5%       </t>
  </si>
  <si>
    <t xml:space="preserve">IVA DESCONTABLE COMPRA 19%    </t>
  </si>
  <si>
    <t xml:space="preserve">BENEFICIOS A LOS TRABAJADORES </t>
  </si>
  <si>
    <t>PAGO INTERESES SOBRE CESANTIAS</t>
  </si>
  <si>
    <t xml:space="preserve">RESULTADOS DEL EJERCICIO      </t>
  </si>
  <si>
    <t xml:space="preserve">UTILIDAD DEL EJERCICIO        </t>
  </si>
  <si>
    <t>RESULTADOS DE EJERCICIOS ANTER</t>
  </si>
  <si>
    <t xml:space="preserve">OPERACIONALES                 </t>
  </si>
  <si>
    <t xml:space="preserve">VENTAS DE OTROS PRODUCTOS     </t>
  </si>
  <si>
    <t xml:space="preserve">VENTAS RESTAURANTES GRAV19%   </t>
  </si>
  <si>
    <t xml:space="preserve">DED.ALIMENTACION EMPLEADOS    </t>
  </si>
  <si>
    <t xml:space="preserve">GASTOS DE PERSONAL            </t>
  </si>
  <si>
    <t xml:space="preserve">HORAS EXTRAS                  </t>
  </si>
  <si>
    <t xml:space="preserve">ASESORIA LABORAL              </t>
  </si>
  <si>
    <t xml:space="preserve">SERVICIO PLATAFORMA RAPPI     </t>
  </si>
  <si>
    <t xml:space="preserve">ADECUACION E INSTALACIONES    </t>
  </si>
  <si>
    <t xml:space="preserve">UTILES DE ASEO                </t>
  </si>
  <si>
    <t xml:space="preserve">MENAJE                        </t>
  </si>
  <si>
    <t xml:space="preserve">CAMBIO DE MENUDA              </t>
  </si>
  <si>
    <t xml:space="preserve">ACTIVOS DE MENOR CUANTIA      </t>
  </si>
  <si>
    <t xml:space="preserve">VENTAS RAPPI                  </t>
  </si>
  <si>
    <t>COMERCIO AL POR MAYOR Y AL POR</t>
  </si>
  <si>
    <t>OTROS INVENTARIOS</t>
  </si>
  <si>
    <t>Otros Inventarios</t>
  </si>
  <si>
    <t xml:space="preserve">OTRAS OBLIGACIONES            </t>
  </si>
  <si>
    <t xml:space="preserve">SERVICIOS DEL 6%              </t>
  </si>
  <si>
    <t xml:space="preserve">ADMINISTRACION NOMINA         </t>
  </si>
  <si>
    <t xml:space="preserve">Multas Sanciones Y Litigios   </t>
  </si>
  <si>
    <t>INABRE 2021 UAII  / ACTIVO TOTAL</t>
  </si>
  <si>
    <t>CLIENTE</t>
  </si>
  <si>
    <t>MODULO</t>
  </si>
  <si>
    <t>1305 CONTAB</t>
  </si>
  <si>
    <t>2205 CONTAB</t>
  </si>
  <si>
    <t>1330 CONTB</t>
  </si>
  <si>
    <t>Inventario inicial</t>
  </si>
  <si>
    <t xml:space="preserve">Compras </t>
  </si>
  <si>
    <t>Inventario final</t>
  </si>
  <si>
    <t xml:space="preserve">GANANCIA BRUTA </t>
  </si>
  <si>
    <t>DIFERENCIA</t>
  </si>
  <si>
    <t>MARIO FERNANDO FILEVICH</t>
  </si>
  <si>
    <t>C.E 274.113</t>
  </si>
  <si>
    <t xml:space="preserve">RAPPI S.A.S                   </t>
  </si>
  <si>
    <t xml:space="preserve">ANTICIPOS UTS                 </t>
  </si>
  <si>
    <t xml:space="preserve">MERCANCIA NO GRAVADA E        </t>
  </si>
  <si>
    <t xml:space="preserve">IVA MAQUINARIA Y EQUIPO       </t>
  </si>
  <si>
    <t xml:space="preserve">SERVICOMPLEMENTOS S.A.        </t>
  </si>
  <si>
    <t xml:space="preserve">COOPERATIVAS                  </t>
  </si>
  <si>
    <t xml:space="preserve">CREDITOS COMFAMA              </t>
  </si>
  <si>
    <t xml:space="preserve">VENTAS DE BODEGA              </t>
  </si>
  <si>
    <t xml:space="preserve">CAPACITACION AL PERSONAL      </t>
  </si>
  <si>
    <t xml:space="preserve">AFILIACIONES Y SOSTENIMIENTO  </t>
  </si>
  <si>
    <t xml:space="preserve">SUAREZ BERMON SOLENNYS RUTH   </t>
  </si>
  <si>
    <t xml:space="preserve">TRASLADO DE INVENTARIO        </t>
  </si>
  <si>
    <t>INTERESES  POR MORA</t>
  </si>
  <si>
    <t xml:space="preserve">Capacitacion Al Personal      </t>
  </si>
  <si>
    <t xml:space="preserve">Aportes A E.P.S               </t>
  </si>
  <si>
    <t>Donaciones</t>
  </si>
  <si>
    <t xml:space="preserve">OTROS PASIVOS                 </t>
  </si>
  <si>
    <t xml:space="preserve">DE CLIENTES                   </t>
  </si>
  <si>
    <t>DETALLE CAJAS</t>
  </si>
  <si>
    <t>SALDO</t>
  </si>
  <si>
    <t>BASE</t>
  </si>
  <si>
    <t>OASIS</t>
  </si>
  <si>
    <t xml:space="preserve">BONIFICACIONES NO SALARIALES  </t>
  </si>
  <si>
    <t xml:space="preserve">Acreedores Varios             </t>
  </si>
  <si>
    <t>otras obligaciones</t>
  </si>
  <si>
    <t>GRUPO DE LOLITA SAS</t>
  </si>
  <si>
    <t>NIT: 900.307.969-5</t>
  </si>
  <si>
    <t>MES ENERO</t>
  </si>
  <si>
    <t>GRUPO DL</t>
  </si>
  <si>
    <t>INSPIRAMOS</t>
  </si>
  <si>
    <t>CONVOCAMOS</t>
  </si>
  <si>
    <t>CANTIDAD OASIS</t>
  </si>
  <si>
    <t>VENTAS ENERO</t>
  </si>
  <si>
    <t>UTILIDAD ANTES DE IMPUESTO</t>
  </si>
  <si>
    <t>UTILIDAD DESPUES DE IMPUESTO</t>
  </si>
  <si>
    <t>VR FT SOCIOS</t>
  </si>
  <si>
    <t>UTILIDAD REEXPRESADA ANTES DE IMP</t>
  </si>
  <si>
    <t>TOTAL VENTAS ACUMULADAS</t>
  </si>
  <si>
    <t>8% PARA TODAS LAS CIAS</t>
  </si>
  <si>
    <t>UTILIDAD REEXPRESADA ANTES IMP</t>
  </si>
  <si>
    <t>UTILIDAD PLANEADA 8%</t>
  </si>
  <si>
    <t>VR A FACTURAR</t>
  </si>
  <si>
    <t>FT SOCIOS</t>
  </si>
  <si>
    <t>SOLO ANT EN CE</t>
  </si>
  <si>
    <t>ARRIENDOS</t>
  </si>
  <si>
    <t>FT-UTILIDADES</t>
  </si>
  <si>
    <t>ANT-UTILIDADES</t>
  </si>
  <si>
    <t>VALORES MES MARZO</t>
  </si>
  <si>
    <t>VR MAYO-AGTO</t>
  </si>
  <si>
    <t>ANA MARIA</t>
  </si>
  <si>
    <t>FERNANDO</t>
  </si>
  <si>
    <t>ACTUAL</t>
  </si>
  <si>
    <t>AÑO 2023  ANA</t>
  </si>
  <si>
    <t>AÑO 2023  FERNANDO</t>
  </si>
  <si>
    <t>CTOS Y DEDUCCIONES</t>
  </si>
  <si>
    <t>CTOS</t>
  </si>
  <si>
    <t>UTILIDAD</t>
  </si>
  <si>
    <t>IMP</t>
  </si>
  <si>
    <t>VENTAS X MES</t>
  </si>
  <si>
    <t>UTILIDAD PROMEDIO MES</t>
  </si>
  <si>
    <t>PLANEACION</t>
  </si>
  <si>
    <t>GRUPO DL FACTURA ABRIL 30</t>
  </si>
  <si>
    <t>FLETES</t>
  </si>
  <si>
    <t>PANES</t>
  </si>
  <si>
    <t>APROBADO Q FACTURE  ANA  A PARTIR DE MAYO</t>
  </si>
  <si>
    <t>APROBADO BALANCEAR A 8% TODOS LOS RESULTADOS</t>
  </si>
  <si>
    <t>CIFRAS EN MILES DE PESOS</t>
  </si>
  <si>
    <t>BANCOS</t>
  </si>
  <si>
    <t xml:space="preserve">CTA  B.OCCIDENTE 9426         </t>
  </si>
  <si>
    <t>Conciliada con extracto</t>
  </si>
  <si>
    <t xml:space="preserve">HELM BANK - ITAU 1190         </t>
  </si>
  <si>
    <t xml:space="preserve">CTA B.BOGOTA 3199             </t>
  </si>
  <si>
    <t xml:space="preserve">HELMBANK - ITAU 2545          </t>
  </si>
  <si>
    <t xml:space="preserve">HELMBANK - ITAU 2624          </t>
  </si>
  <si>
    <t xml:space="preserve">BANCO COLPATRIA 3358          </t>
  </si>
  <si>
    <t xml:space="preserve">CUENTA PUENTE 4451 BBIA       </t>
  </si>
  <si>
    <t xml:space="preserve">CTA BANCOLOMBIA AHO 8271      </t>
  </si>
  <si>
    <t>Conciliada con extracto.</t>
  </si>
  <si>
    <t xml:space="preserve">BANCO DAVIVIENDA 7872         </t>
  </si>
  <si>
    <t>FIDUCUENTA</t>
  </si>
  <si>
    <t>BANCO DE DAVIVIENDA CTA 3122</t>
  </si>
  <si>
    <t>CLIENTES:</t>
  </si>
  <si>
    <t>CXC A SOCIOS Y ACCIONISTAS</t>
  </si>
  <si>
    <t>ANTICIPOS A PROVEEDORES</t>
  </si>
  <si>
    <t xml:space="preserve">PAULA ANDREA ROJAS ARROYAVE   </t>
  </si>
  <si>
    <t>PRESTAMOS A EMPLEADOS</t>
  </si>
  <si>
    <t xml:space="preserve">OBSERVACION </t>
  </si>
  <si>
    <t>OTRAS CUENTAS POR COBRAR</t>
  </si>
  <si>
    <t xml:space="preserve">OASIS URBANOS S.A.S.          </t>
  </si>
  <si>
    <t xml:space="preserve">SODEXO SERVICIO DE BENEFICIOS </t>
  </si>
  <si>
    <t>PROPIEDAD, PLANTA Y EQUIPO</t>
  </si>
  <si>
    <t>Mejoras a Propiedades ajenas</t>
  </si>
  <si>
    <t>Construcciones y Edificaciones</t>
  </si>
  <si>
    <t>Maquinaria y Equipo</t>
  </si>
  <si>
    <t>Muebles y Enseres</t>
  </si>
  <si>
    <t>Equipo de Computo y Comunicación</t>
  </si>
  <si>
    <t>Depreciación Acumulada</t>
  </si>
  <si>
    <t xml:space="preserve">FRANQUICIA - THRIVE S.A.S.                 </t>
  </si>
  <si>
    <t xml:space="preserve">ACTIVOS POR  IMPUESTOS              </t>
  </si>
  <si>
    <t xml:space="preserve">OCCIDENTE CREDITO***29244     </t>
  </si>
  <si>
    <t xml:space="preserve">OCCIDENTE CREDITO***2468      </t>
  </si>
  <si>
    <t xml:space="preserve">LEASING COLPATRIA             </t>
  </si>
  <si>
    <t>PROVEEDORES</t>
  </si>
  <si>
    <t xml:space="preserve">LILLYANA MARIA MORENO ARANGO  </t>
  </si>
  <si>
    <t>COMERCIALIZADORA DE FRUTAS Y L</t>
  </si>
  <si>
    <t xml:space="preserve">MUNICIPIO DE ENVIGADO         </t>
  </si>
  <si>
    <t>UNE EPM TELECOMUNICACIONES S.A</t>
  </si>
  <si>
    <t>OBSERVACIÓN</t>
  </si>
  <si>
    <t xml:space="preserve">INSPIRAMOS EL MAÑANA S.A.S    </t>
  </si>
  <si>
    <t xml:space="preserve">IMPUESTOS  GRAVAMENES Y TASAS </t>
  </si>
  <si>
    <t>IMPUESTOS DIFERIDO</t>
  </si>
  <si>
    <t>.</t>
  </si>
  <si>
    <t>SEGURIDAD SOCIAL</t>
  </si>
  <si>
    <t>ANTICPOS Y AVANCES</t>
  </si>
  <si>
    <t>CONTABILIDAD</t>
  </si>
  <si>
    <t>GRUPO DE LOLITA S.A.S - 900.307.969-5</t>
  </si>
  <si>
    <t xml:space="preserve">CAJAS MENORES                 </t>
  </si>
  <si>
    <t xml:space="preserve">CUENTAS DE AHORRO             </t>
  </si>
  <si>
    <t xml:space="preserve">CTA AH BANCOL 8271 MOLINOS    </t>
  </si>
  <si>
    <t xml:space="preserve">EQUIVALENTES AL EFECTIVO      </t>
  </si>
  <si>
    <t xml:space="preserve">DAVIVIENDA 3122               </t>
  </si>
  <si>
    <t xml:space="preserve">BANCOLOMBIA                   </t>
  </si>
  <si>
    <t xml:space="preserve">UNIVERSIDAD EAFIT             </t>
  </si>
  <si>
    <t>CONJUNTO INMOBILIARIO CALLE 50</t>
  </si>
  <si>
    <t xml:space="preserve">CXC NUTRIENDO ALMAS           </t>
  </si>
  <si>
    <t xml:space="preserve">A TERCEROS                    </t>
  </si>
  <si>
    <t xml:space="preserve">BONOS SODEXO                  </t>
  </si>
  <si>
    <t xml:space="preserve">GASEOSAS POSADA TOBON S.A.    </t>
  </si>
  <si>
    <t>RECETTA SOLUCIONES GASTRONOMIC</t>
  </si>
  <si>
    <t xml:space="preserve">LEGUMBRES HERIBERTO           </t>
  </si>
  <si>
    <t xml:space="preserve">DEVOLUCIONES 19%              </t>
  </si>
  <si>
    <t xml:space="preserve">MEJORAS A PROPIEDADES AJENAS  </t>
  </si>
  <si>
    <t xml:space="preserve">IVA AL COSTO DEL ACTIVO       </t>
  </si>
  <si>
    <t xml:space="preserve">CONST Y EDIF EN LEASING       </t>
  </si>
  <si>
    <t xml:space="preserve">LOCAL FABRICATO               </t>
  </si>
  <si>
    <t xml:space="preserve">MUEBLES Y ENSERES             </t>
  </si>
  <si>
    <t xml:space="preserve">IVA MUEBLES Y ENSERES         </t>
  </si>
  <si>
    <t>EQUIPO DE COMPUTACION Y COMUNI</t>
  </si>
  <si>
    <t>EQUIPOS DE PROCESAMIENTO DE DA</t>
  </si>
  <si>
    <t xml:space="preserve">IVA EQUIPOS DE COMPUTO        </t>
  </si>
  <si>
    <t xml:space="preserve">EQUIPOS DE TELECOMUNICACIONES </t>
  </si>
  <si>
    <t xml:space="preserve">INTANGIBLES                   </t>
  </si>
  <si>
    <t xml:space="preserve">CONCESIONES Y FRANQUICIAS     </t>
  </si>
  <si>
    <t xml:space="preserve">FRANQUICIAS                   </t>
  </si>
  <si>
    <t xml:space="preserve">SERVICIOS 4%                  </t>
  </si>
  <si>
    <t xml:space="preserve">AUTORRETENCION ESPECIAL 1.1   </t>
  </si>
  <si>
    <t xml:space="preserve">SALDO A FAVOR RENTA           </t>
  </si>
  <si>
    <t xml:space="preserve">CRED COLPATRIA LIBERT***0472  </t>
  </si>
  <si>
    <t xml:space="preserve">CREDIPAGOS BANCOLOMBIA 2238   </t>
  </si>
  <si>
    <t xml:space="preserve">BANCO DE BOGOTA **0794        </t>
  </si>
  <si>
    <t xml:space="preserve">BANCO BOG *****4412           </t>
  </si>
  <si>
    <t xml:space="preserve">BANCO BOGOTA **5407           </t>
  </si>
  <si>
    <t>COMPAÑIAS DE FINANCIAMIENTO CO</t>
  </si>
  <si>
    <t>CONTRATOS DE ARRENDAMIENTO FIN</t>
  </si>
  <si>
    <t xml:space="preserve">PARTICULARES                  </t>
  </si>
  <si>
    <t xml:space="preserve">JOSE LUIS MEJIA VARGAS        </t>
  </si>
  <si>
    <t>COMUNICACION CELULAR S A COMCE</t>
  </si>
  <si>
    <t xml:space="preserve">ARRENDAMIENTOS 3.5%           </t>
  </si>
  <si>
    <t xml:space="preserve">RENDIMIENTOS FINANCIEROS      </t>
  </si>
  <si>
    <t xml:space="preserve">RENDIMIENTOS FROS PN4%        </t>
  </si>
  <si>
    <t xml:space="preserve">AUTORRETENCION                </t>
  </si>
  <si>
    <t xml:space="preserve">AUTORRETENCION ESPECIAL 1.1%  </t>
  </si>
  <si>
    <t xml:space="preserve">CUENTA PUENTE IMPUESTOS       </t>
  </si>
  <si>
    <t xml:space="preserve">DEDUCCION FECOMPLE            </t>
  </si>
  <si>
    <t xml:space="preserve">IMPUESTOS, GRAVAMENES Y TAS   </t>
  </si>
  <si>
    <t xml:space="preserve">IMPUESTO DIFERIDO             </t>
  </si>
  <si>
    <t xml:space="preserve">PASIVO POR IMPUESTOS          </t>
  </si>
  <si>
    <t>RETENCION EN LA FUENTE POR PAG</t>
  </si>
  <si>
    <t xml:space="preserve">IVA POR PAGAR                 </t>
  </si>
  <si>
    <t xml:space="preserve">CUANTIAS MENORES              </t>
  </si>
  <si>
    <t xml:space="preserve">CATALINA MARIA MEJIA AGUDELO  </t>
  </si>
  <si>
    <t xml:space="preserve">GOMEZ RIOS LEIDY YULIANA      </t>
  </si>
  <si>
    <t xml:space="preserve">BENEFICIOS A EMPLEADOS        </t>
  </si>
  <si>
    <t xml:space="preserve">PAGOS VACACIONES LIQUIDADAS   </t>
  </si>
  <si>
    <t xml:space="preserve">APORTES A EPS                 </t>
  </si>
  <si>
    <t xml:space="preserve">PAGOS APORTES EPS             </t>
  </si>
  <si>
    <t xml:space="preserve">APORTES A E.P.S EMPLEADOS     </t>
  </si>
  <si>
    <t xml:space="preserve">PAGOS ARL                     </t>
  </si>
  <si>
    <t xml:space="preserve">APORTES AL I.C.B.F., SENA Y   </t>
  </si>
  <si>
    <t xml:space="preserve">PAGOS CAJAS                   </t>
  </si>
  <si>
    <t xml:space="preserve">DEDUCCION PENSION EMPLEADOS   </t>
  </si>
  <si>
    <t xml:space="preserve">LIBRANZAS BANCO DAVIVIENDA    </t>
  </si>
  <si>
    <t xml:space="preserve">SEGURO DE VIDA SURA           </t>
  </si>
  <si>
    <t xml:space="preserve">UTILIDADES ACUMULADAS A 2016  </t>
  </si>
  <si>
    <t xml:space="preserve">UTILIDAD 2018                 </t>
  </si>
  <si>
    <t xml:space="preserve">UTILIDADES AÑO 2020           </t>
  </si>
  <si>
    <t xml:space="preserve">UTILIDADES AÑO 2021           </t>
  </si>
  <si>
    <t xml:space="preserve">UTILIDADES AÑO 2023           </t>
  </si>
  <si>
    <t xml:space="preserve">PERDIDAS ACUMULADAS           </t>
  </si>
  <si>
    <t xml:space="preserve">PERDIDAS ACUMULADAS 2022      </t>
  </si>
  <si>
    <t xml:space="preserve">PROPIEDAD PLAQNTA Y EQUIPO    </t>
  </si>
  <si>
    <t xml:space="preserve">DIFERIDOS                     </t>
  </si>
  <si>
    <t xml:space="preserve">SERVICIOS GRAVADOS 19%        </t>
  </si>
  <si>
    <t xml:space="preserve">OTROS (PRESTAMO DE PERSONAL)  </t>
  </si>
  <si>
    <t xml:space="preserve">SOBRANTES DE CAJA             </t>
  </si>
  <si>
    <t xml:space="preserve">APORTES SOBRE LA NOMINA       </t>
  </si>
  <si>
    <t xml:space="preserve">AUXILIOS                      </t>
  </si>
  <si>
    <t xml:space="preserve">AUXILIO CONECTIVIDAD          </t>
  </si>
  <si>
    <t xml:space="preserve">REFRIGERIOS                   </t>
  </si>
  <si>
    <t xml:space="preserve">IMPTO TELEFONICO              </t>
  </si>
  <si>
    <t xml:space="preserve">TELEFONO                      </t>
  </si>
  <si>
    <t xml:space="preserve">INTERNET                      </t>
  </si>
  <si>
    <t>SERVICIOS ADMINISTRATIVO P.TVA</t>
  </si>
  <si>
    <t xml:space="preserve">RECARGA EXTINTORES            </t>
  </si>
  <si>
    <t xml:space="preserve">EQUIPO DE COMPUTACION         </t>
  </si>
  <si>
    <t xml:space="preserve">ACTIVOS MENOR CUANTIA         </t>
  </si>
  <si>
    <t xml:space="preserve">AMG TECHNOLOGY                </t>
  </si>
  <si>
    <t>Auxilios</t>
  </si>
  <si>
    <t xml:space="preserve">ADECUACION E INSTALACION      </t>
  </si>
  <si>
    <t xml:space="preserve">VERONICA JOHANA MORENO LOPERA </t>
  </si>
  <si>
    <t xml:space="preserve">PRESTAMO DE PERSONAL          </t>
  </si>
  <si>
    <t xml:space="preserve">CANCELACION PEDIDOS           </t>
  </si>
  <si>
    <t>Descuadres</t>
  </si>
  <si>
    <t>FONDO DE INVERSIÓN COLECTIVA A</t>
  </si>
  <si>
    <t>Compañias De Financiamiento Co</t>
  </si>
  <si>
    <t xml:space="preserve">Mantenimiento Y Reparaciones  </t>
  </si>
  <si>
    <t xml:space="preserve">Adecuacion E Instalaciones    </t>
  </si>
  <si>
    <t>BANCOLOMBIA</t>
  </si>
  <si>
    <t>Intereses corrientes</t>
  </si>
  <si>
    <t xml:space="preserve">SAMUEL FILEVICH GIRALDO       </t>
  </si>
  <si>
    <t xml:space="preserve">CREDIPAGOS DAVIVIENDA 5261    </t>
  </si>
  <si>
    <t xml:space="preserve">RAPPI                         </t>
  </si>
  <si>
    <t xml:space="preserve">PARQUEADEROS                  </t>
  </si>
  <si>
    <t xml:space="preserve">Comisiones Fondo De Garantias </t>
  </si>
  <si>
    <t>AUXILIOS</t>
  </si>
  <si>
    <t xml:space="preserve">Donaciones                    </t>
  </si>
  <si>
    <t>FE SOCIOS (INTERESES)</t>
  </si>
  <si>
    <t xml:space="preserve">CAJA PUNTO CLAVE              </t>
  </si>
  <si>
    <t xml:space="preserve">CAJA LIBERTAD                 </t>
  </si>
  <si>
    <t xml:space="preserve">CAJA PLAZA FABRICATO          </t>
  </si>
  <si>
    <t xml:space="preserve">CAJA MONTERREY                </t>
  </si>
  <si>
    <t xml:space="preserve">CAJA CLINICA PRADO            </t>
  </si>
  <si>
    <t xml:space="preserve">CAJA TORRE MEDICA             </t>
  </si>
  <si>
    <t xml:space="preserve">BETANCUR VANEGAS VALENTINA    </t>
  </si>
  <si>
    <t xml:space="preserve">FONDO SOLIDARIDAD             </t>
  </si>
  <si>
    <t xml:space="preserve">CLINICA DEL PRADO             </t>
  </si>
  <si>
    <t xml:space="preserve">MAYORCA PISO 4                </t>
  </si>
  <si>
    <t xml:space="preserve">MEGAPLAZA                     </t>
  </si>
  <si>
    <t xml:space="preserve">MONTERREY                     </t>
  </si>
  <si>
    <t xml:space="preserve">PLAZA FABRICATO               </t>
  </si>
  <si>
    <t xml:space="preserve">PUNTO CLAVE                   </t>
  </si>
  <si>
    <t xml:space="preserve">TORRE MEDICA                  </t>
  </si>
  <si>
    <t>INGRESOS NETOS OPERACIONALES</t>
  </si>
  <si>
    <t>SUPERFICIE TRIBUTARIA</t>
  </si>
  <si>
    <t xml:space="preserve">ANDREA VELASQUEZ              </t>
  </si>
  <si>
    <t xml:space="preserve">MARTIN LOPERA VELASQUEZ       </t>
  </si>
  <si>
    <t xml:space="preserve">CRISTOBAL LOPERA VELAZQUEZ    </t>
  </si>
  <si>
    <t>PASIVOS ESTIMADOS Y PROVISIONE</t>
  </si>
  <si>
    <t xml:space="preserve">OBLIGACIONES FISCALES         </t>
  </si>
  <si>
    <t xml:space="preserve">DE INDUSTRIA Y COMERCIO       </t>
  </si>
  <si>
    <t>INDUSTRIA Y COMERCIO AÑO ACTUA</t>
  </si>
  <si>
    <t>PROVISION INDUSTRIA Y COMERCIO</t>
  </si>
  <si>
    <t>PROVISION INDUSTRIA Y COMERCIO MEDELLIN</t>
  </si>
  <si>
    <t xml:space="preserve">RETEIVA                       </t>
  </si>
  <si>
    <t xml:space="preserve">ASESORIAS DF                  </t>
  </si>
  <si>
    <t>ACTIVO FIJO</t>
  </si>
  <si>
    <t>NOMBRE EMPLEADO</t>
  </si>
  <si>
    <t>DEDUCCIÓN POR DISCAPACIDAD 200% (100% ADICIONAL)</t>
  </si>
  <si>
    <t>CARTAGENA ESTRADA ANLLY CAROLINA</t>
  </si>
  <si>
    <t xml:space="preserve">CXC ENTRE COMPAÑIAS           </t>
  </si>
  <si>
    <r>
      <t>FT SERV ADMON PTOS VTA (DV)-</t>
    </r>
    <r>
      <rPr>
        <b/>
        <sz val="8"/>
        <rFont val="Arial"/>
        <family val="2"/>
      </rPr>
      <t>UTILIDADES</t>
    </r>
  </si>
  <si>
    <t>Anticipos Utilidades</t>
  </si>
  <si>
    <t>IMP 1</t>
  </si>
  <si>
    <t>IMP 2</t>
  </si>
  <si>
    <t>PROM</t>
  </si>
  <si>
    <t>*75%</t>
  </si>
  <si>
    <t>RTE</t>
  </si>
  <si>
    <t>ANTICIPO</t>
  </si>
  <si>
    <t>Anticipo de Renta año siguiente</t>
  </si>
  <si>
    <t>SIN BENEFICIO DE AUDITORIA</t>
  </si>
  <si>
    <t>ACUMULADO 2025</t>
  </si>
  <si>
    <t xml:space="preserve">Otros Servicios               </t>
  </si>
  <si>
    <t xml:space="preserve">Servicio Plataforma Rappi     </t>
  </si>
  <si>
    <t>Servicios Administrativo P.Tva</t>
  </si>
  <si>
    <t>Une Epm Telecomunicaciones S.A</t>
  </si>
  <si>
    <t xml:space="preserve">Fletes             </t>
  </si>
  <si>
    <t xml:space="preserve">Telefono    </t>
  </si>
  <si>
    <t xml:space="preserve">Energia Electrica             </t>
  </si>
  <si>
    <t xml:space="preserve">Acueducto Y Alcantarillado    </t>
  </si>
  <si>
    <t>Procesamiento Electronico De D</t>
  </si>
  <si>
    <t xml:space="preserve">Aseo Y Vigilancia             </t>
  </si>
  <si>
    <t xml:space="preserve">Temporales              </t>
  </si>
  <si>
    <t xml:space="preserve">Administracion Nomina       </t>
  </si>
  <si>
    <t>Gastos De Viaje</t>
  </si>
  <si>
    <t xml:space="preserve">Utiles De Aseo Y Cafeteria    </t>
  </si>
  <si>
    <t xml:space="preserve">Utiles Papeleria Y Fotocopias </t>
  </si>
  <si>
    <t xml:space="preserve">Combustibles Y Lubricantes    </t>
  </si>
  <si>
    <t xml:space="preserve">Envases Y Empaques            </t>
  </si>
  <si>
    <t xml:space="preserve">Taxis Y Buses                 </t>
  </si>
  <si>
    <t xml:space="preserve">Parqueaderos                </t>
  </si>
  <si>
    <t xml:space="preserve">Cambio De Menuda           </t>
  </si>
  <si>
    <t xml:space="preserve">Atencion A Empleados          </t>
  </si>
  <si>
    <t xml:space="preserve">Menaje                  </t>
  </si>
  <si>
    <t xml:space="preserve">Set Salsero,Deposito        </t>
  </si>
  <si>
    <t xml:space="preserve">No Deducible                  </t>
  </si>
  <si>
    <t>Activos De Menor Cuantia</t>
  </si>
  <si>
    <t>Gastos De Administracion</t>
  </si>
  <si>
    <t>Aportes Sobre La Nomina</t>
  </si>
  <si>
    <t>Gastos De Personal</t>
  </si>
  <si>
    <t>Otros Gastos</t>
  </si>
  <si>
    <t xml:space="preserve">Costos Y Gastos De Ejercicios </t>
  </si>
  <si>
    <t xml:space="preserve">Gastos Recreativos            </t>
  </si>
  <si>
    <t>Juliana Girald Sst//Servicomple</t>
  </si>
  <si>
    <t xml:space="preserve">CAJA TRANSITORIA              </t>
  </si>
  <si>
    <t xml:space="preserve">IMPUESTO SALUDABLE 20%        </t>
  </si>
  <si>
    <t xml:space="preserve">RETEICA MEDELLIN              </t>
  </si>
  <si>
    <t xml:space="preserve">INDUSTRIA Y COMERCIO AÑO ANT  </t>
  </si>
  <si>
    <t xml:space="preserve">UTILIDADES AÑO 2024           </t>
  </si>
  <si>
    <t>SENA</t>
  </si>
  <si>
    <t>Apoyo Economino Practicante</t>
  </si>
  <si>
    <t xml:space="preserve">Recarga Extintores            </t>
  </si>
  <si>
    <t>PUBLICIDAD, PROPAGANDA Y PR</t>
  </si>
  <si>
    <t xml:space="preserve">LA LIBERTAD                   </t>
  </si>
  <si>
    <t xml:space="preserve">IMPUESTO DE RENTA AÑO ANT     </t>
  </si>
  <si>
    <t>RETENCIONES POR INDUSTRIA Y CO</t>
  </si>
  <si>
    <t xml:space="preserve">IMPO CONSUMO                  </t>
  </si>
  <si>
    <t xml:space="preserve">IVA No Deducible                  </t>
  </si>
  <si>
    <t>PERDIDA A ENE 2025</t>
  </si>
  <si>
    <t>Bonificación Salarial</t>
  </si>
  <si>
    <t>Refrigerios Al Personal</t>
  </si>
  <si>
    <t/>
  </si>
  <si>
    <t xml:space="preserve">PAGOS DE VACACIONES           </t>
  </si>
  <si>
    <t xml:space="preserve">RETENCION EN LA FUENTE </t>
  </si>
  <si>
    <t xml:space="preserve">AUTORRETENCION EN LA FUENTE </t>
  </si>
  <si>
    <t xml:space="preserve">Autoretenciones </t>
  </si>
  <si>
    <t xml:space="preserve">RETENCION ICA </t>
  </si>
  <si>
    <t>Cancelacion de pedidos</t>
  </si>
  <si>
    <t>No deducible fletes</t>
  </si>
  <si>
    <t>Costos y gastos de ejercicios ant</t>
  </si>
  <si>
    <t>Ventas Rappi</t>
  </si>
  <si>
    <t>Otros</t>
  </si>
  <si>
    <t>Plomeria</t>
  </si>
  <si>
    <t>Descuentos bancarios</t>
  </si>
  <si>
    <t>PUBLICIDAD</t>
  </si>
  <si>
    <t>Depreciación en línea recta</t>
  </si>
  <si>
    <t>28  CONTAB</t>
  </si>
  <si>
    <t xml:space="preserve">Otras obligaciones </t>
  </si>
  <si>
    <t xml:space="preserve">SERGIO BARTH                  </t>
  </si>
  <si>
    <t xml:space="preserve">CXC INSPIRAMOS EL MAÑANA      </t>
  </si>
  <si>
    <t xml:space="preserve">PRESTAMO CESANTIAS            </t>
  </si>
  <si>
    <t xml:space="preserve">ALLIANZ SEGUROS SA            </t>
  </si>
  <si>
    <t xml:space="preserve">HONORARIOS DEL 11%            </t>
  </si>
  <si>
    <t xml:space="preserve">IVA GENERADO (AJU)            </t>
  </si>
  <si>
    <t xml:space="preserve">IVA DEV VENTAS (AJU)          </t>
  </si>
  <si>
    <t xml:space="preserve">DEDUCCION OPTICA              </t>
  </si>
  <si>
    <t xml:space="preserve">VENTAS (AJU)                  </t>
  </si>
  <si>
    <t xml:space="preserve">DEV VENTAS (AJU)              </t>
  </si>
  <si>
    <t xml:space="preserve">IMPUESTO DE RENTA             </t>
  </si>
  <si>
    <t>Ingreso Ajuste Henkost</t>
  </si>
  <si>
    <t xml:space="preserve">PUBLICIDAD, PROPAGANDA Y PR   </t>
  </si>
  <si>
    <t>"""PUBLICIDAD, PROPAGANDA Y PR</t>
  </si>
  <si>
    <t>VARIACION MES 2025</t>
  </si>
  <si>
    <t>VARIACION ACUMULADO 2024-2025</t>
  </si>
  <si>
    <t xml:space="preserve">CALAMIDAD DOMESTICA           </t>
  </si>
  <si>
    <t xml:space="preserve">EMPLEADOS                     </t>
  </si>
  <si>
    <t xml:space="preserve">RETEICA SABANETA              </t>
  </si>
  <si>
    <t xml:space="preserve">VENTAS 3.5%                   </t>
  </si>
  <si>
    <t>IVA EN DEVOLUCIONES EN COMPRAS</t>
  </si>
  <si>
    <t xml:space="preserve">REGISTRO MERCANTIL            </t>
  </si>
  <si>
    <t>CONSTRUCCIONES Y ED</t>
  </si>
  <si>
    <t>EQUIPO DE OFICINA</t>
  </si>
  <si>
    <t>INTERESES CESANTIAS</t>
  </si>
  <si>
    <t>IMPUESTO SOBRE LAS VENTAS</t>
  </si>
  <si>
    <t>IVA 19%</t>
  </si>
  <si>
    <t>RETENCION Y APORTES DE NOMIN</t>
  </si>
  <si>
    <t>UTILIDAD DEL EJERCICIO</t>
  </si>
  <si>
    <t>BONIFICACIONES  NO SALARIALES</t>
  </si>
  <si>
    <t>PRESTAMO A EMPLEADOS</t>
  </si>
  <si>
    <t>GASTOS NO DEDUCIBLES</t>
  </si>
  <si>
    <t>NO DEDUCIBLE</t>
  </si>
  <si>
    <t>ok</t>
  </si>
  <si>
    <t>VENTAS DE BODEGA</t>
  </si>
  <si>
    <t>VENTAS A CREDITO</t>
  </si>
  <si>
    <t>FINANCIEROS</t>
  </si>
  <si>
    <t>VENTAS RESTAURANTE</t>
  </si>
  <si>
    <t>APORTES EPS</t>
  </si>
  <si>
    <t>GASTOS EXTRAORDINARIOS</t>
  </si>
  <si>
    <t>MULTAS Y SANCIONES</t>
  </si>
  <si>
    <t>Ded. Alimentancion empleados</t>
  </si>
  <si>
    <t>Aprovechamientos</t>
  </si>
  <si>
    <t>Sobrantes de caja</t>
  </si>
  <si>
    <t xml:space="preserve">Bonificaciones no salariales         </t>
  </si>
  <si>
    <t>tramites y licencias</t>
  </si>
  <si>
    <t>Gastos no deducibles</t>
  </si>
  <si>
    <t>UNICENTRO</t>
  </si>
  <si>
    <t>RETENCION POR PAGAR</t>
  </si>
  <si>
    <t>Publicidad, Propaganda Y Pr</t>
  </si>
  <si>
    <t>PRESION DE IVA</t>
  </si>
  <si>
    <t>ANTICIPO IMPUESTOS Y CONTRIB</t>
  </si>
  <si>
    <t>DEPRECIACION ACUMULADA</t>
  </si>
  <si>
    <t xml:space="preserve">CIUDADELA COMERCIAL UNICENTRO </t>
  </si>
  <si>
    <t>RETENCIONES EN EL IVA</t>
  </si>
  <si>
    <t>AUTORRETENCION</t>
  </si>
  <si>
    <t>ASESORIA EMPRESARIAL</t>
  </si>
  <si>
    <t>SELECCIÓN DE PERSONAL</t>
  </si>
  <si>
    <t>ASESORIA LABORAL</t>
  </si>
  <si>
    <t>INDUSTRIA Y COMERCIO</t>
  </si>
  <si>
    <t>REFRIGERIOS AL PERSONAL</t>
  </si>
  <si>
    <t>MENAJE ALIMENTACION</t>
  </si>
  <si>
    <t>VENTAS INSTITUCIONALES NO GRAVADAS</t>
  </si>
  <si>
    <t>ASESORIAS</t>
  </si>
  <si>
    <t>ASESORIA OUSORCING</t>
  </si>
  <si>
    <t>EXAMENES MICROBIOLOGICOS</t>
  </si>
  <si>
    <t>SERVICIO ADM P. TVA ARR</t>
  </si>
  <si>
    <t>Indemnizaciones</t>
  </si>
  <si>
    <t>Examenes Microbiologicos</t>
  </si>
  <si>
    <t>Servicio Adm P. TVA ARR</t>
  </si>
  <si>
    <t xml:space="preserve">CAJA UNICENTRO                </t>
  </si>
  <si>
    <t xml:space="preserve">MONTERREY  (1004)                   </t>
  </si>
  <si>
    <t>CESANTIAS</t>
  </si>
  <si>
    <t>INT CESANTIAS</t>
  </si>
  <si>
    <t>VACACIONES</t>
  </si>
  <si>
    <t xml:space="preserve">INGEMAN SOLUCIONES SAS        </t>
  </si>
  <si>
    <t xml:space="preserve">SARA ESTHER CALDERON TAVERA   </t>
  </si>
  <si>
    <t>CASTILLO YEPEZ YAMILETH COROMO</t>
  </si>
  <si>
    <t xml:space="preserve">PAULA ANDREA SERNA SERNA      </t>
  </si>
  <si>
    <t xml:space="preserve">MARIA EUGENIA VASQUEZ PALACIO </t>
  </si>
  <si>
    <t xml:space="preserve">AGUILAR PEREZ ANA MILENA      </t>
  </si>
  <si>
    <t xml:space="preserve">ERIKA YULIETH BORJA ZAPATA    </t>
  </si>
  <si>
    <t xml:space="preserve">INVERSIONES CANDANAS S.A.S    </t>
  </si>
  <si>
    <t xml:space="preserve">JAL TECH SOLUCIONES S.A.S     </t>
  </si>
  <si>
    <t xml:space="preserve">LUZ MIRIAN TIRADO CARDENAS    </t>
  </si>
  <si>
    <t xml:space="preserve">RODAS CORREA WILSON ALEXIS    </t>
  </si>
  <si>
    <t xml:space="preserve">FIWEEX S.A.S                  </t>
  </si>
  <si>
    <t xml:space="preserve">IBARRA MUÑOZ MARIA ISABEL     </t>
  </si>
  <si>
    <t>publicidad</t>
  </si>
  <si>
    <t xml:space="preserve">521515              </t>
  </si>
  <si>
    <t xml:space="preserve">A LA PROPIEDAD RAIZ           </t>
  </si>
  <si>
    <t xml:space="preserve">521575              </t>
  </si>
  <si>
    <t xml:space="preserve">521595              </t>
  </si>
  <si>
    <t xml:space="preserve">OTROS PRESTAMOS EMPLEADOS     </t>
  </si>
  <si>
    <t xml:space="preserve">CREDITO OCCIDENTE***1933      </t>
  </si>
  <si>
    <t xml:space="preserve">INVENTARIO AÑO ANTERIOR CC    </t>
  </si>
  <si>
    <t xml:space="preserve">INGRESOS EXCLUIDOS            </t>
  </si>
  <si>
    <t xml:space="preserve">IVA DEV EN SERVICIOS 19%      </t>
  </si>
  <si>
    <t xml:space="preserve">MONETIZACION SENA             </t>
  </si>
  <si>
    <t>Papeleria</t>
  </si>
  <si>
    <t xml:space="preserve">SANTIAGO ARANGO RESTREPO      </t>
  </si>
  <si>
    <t xml:space="preserve">MARIA EDILMA ARANGO ESCOBAR   </t>
  </si>
  <si>
    <t>ROCIO  DE JESUS ARANGO ESCOBAR</t>
  </si>
  <si>
    <t>ROSA VERONICA MARIA PIEDRAHITA</t>
  </si>
  <si>
    <t xml:space="preserve">ANA MARIA GIRALDO ARANGO      </t>
  </si>
  <si>
    <t xml:space="preserve">SANTIAGO GUTIERREZ MORENO     </t>
  </si>
  <si>
    <t xml:space="preserve">WILSON RAFAEL ROMERO MENDOZA  </t>
  </si>
  <si>
    <t xml:space="preserve">MARIO FERNANDO FILEVICH       </t>
  </si>
  <si>
    <t xml:space="preserve">CENTRO COMERCIAL MONTERREY    </t>
  </si>
  <si>
    <t xml:space="preserve">UNIDAD MEDICA LAS VEGAS P.H.  </t>
  </si>
  <si>
    <t xml:space="preserve">VATIA S.A. E.S.P.             </t>
  </si>
  <si>
    <t xml:space="preserve">EMPRESAS PUBLICAS DE MEDELLIN </t>
  </si>
  <si>
    <t xml:space="preserve">MAYORCA INVERSIONES S.A       </t>
  </si>
  <si>
    <t xml:space="preserve">CONINSA RAMON H S.A           </t>
  </si>
  <si>
    <t xml:space="preserve">MUNICIPIO DE SABANETA         </t>
  </si>
  <si>
    <t>CENTRO COMERCIAL PUNTO CLAVE H</t>
  </si>
  <si>
    <t xml:space="preserve">ARRENDAMIENTOS LONDOÑO GOMEZ  </t>
  </si>
  <si>
    <t xml:space="preserve">TECNIGO.CO S.A.S              </t>
  </si>
  <si>
    <t xml:space="preserve">RAZEM S.A.S                   </t>
  </si>
  <si>
    <t>PARQUE FABRICATO CENTRO COMERC</t>
  </si>
  <si>
    <t xml:space="preserve">LEIDY JULIANA GIRALDO GIRALDO </t>
  </si>
  <si>
    <t>Nombre NIT</t>
  </si>
  <si>
    <t xml:space="preserve">    71.776.741-8</t>
  </si>
  <si>
    <t xml:space="preserve">   890.901.389-5</t>
  </si>
  <si>
    <t xml:space="preserve">   900.206.485-9</t>
  </si>
  <si>
    <t xml:space="preserve">   900.843.898-9</t>
  </si>
  <si>
    <t xml:space="preserve">   901.344.877-7</t>
  </si>
  <si>
    <t xml:space="preserve">ADMINISTRACION MAYORCA S.A.S  </t>
  </si>
  <si>
    <t xml:space="preserve">   901.461.076-5</t>
  </si>
  <si>
    <t xml:space="preserve">   901.549.804-0</t>
  </si>
  <si>
    <t xml:space="preserve">   901.550.284-2</t>
  </si>
  <si>
    <t xml:space="preserve">   901.630.218-1</t>
  </si>
  <si>
    <t xml:space="preserve">    31.417.856-1</t>
  </si>
  <si>
    <t xml:space="preserve">    43.927.573-4</t>
  </si>
  <si>
    <t xml:space="preserve"> 1.070.591.915-4</t>
  </si>
  <si>
    <t xml:space="preserve">EDER JOHAN BAUTISTA           </t>
  </si>
  <si>
    <t xml:space="preserve">   900.191.090-6</t>
  </si>
  <si>
    <t xml:space="preserve">   901.094.506-6</t>
  </si>
  <si>
    <t xml:space="preserve">TECNIFRIO SOLUCIONES S.A.S    </t>
  </si>
  <si>
    <t xml:space="preserve"> 1.007.334.438-2</t>
  </si>
  <si>
    <t xml:space="preserve">RENDON RENDON JUANITA         </t>
  </si>
  <si>
    <t xml:space="preserve">     8.106.627-3</t>
  </si>
  <si>
    <t xml:space="preserve">JORGE ELIECER CANO MUÑOZ      </t>
  </si>
  <si>
    <t xml:space="preserve">     8.358.689-0</t>
  </si>
  <si>
    <t xml:space="preserve">ORLANDO CIRO VALENCIA         </t>
  </si>
  <si>
    <t xml:space="preserve">    32.297.147-5</t>
  </si>
  <si>
    <t xml:space="preserve"> 1.034.991.747-9</t>
  </si>
  <si>
    <t xml:space="preserve"> 1.034.997.467-9</t>
  </si>
  <si>
    <t xml:space="preserve"> 1.034.997.497-1</t>
  </si>
  <si>
    <t xml:space="preserve"> 1.035.007.126-1</t>
  </si>
  <si>
    <t>22.222.222.222-3</t>
  </si>
  <si>
    <t xml:space="preserve">Consumidor Final              </t>
  </si>
  <si>
    <t xml:space="preserve">   901.477.071-9</t>
  </si>
  <si>
    <t xml:space="preserve">       274.113-1</t>
  </si>
  <si>
    <t xml:space="preserve">    71.741.619-6</t>
  </si>
  <si>
    <t xml:space="preserve">JOSE RICARDO LOPERA           </t>
  </si>
  <si>
    <t xml:space="preserve">   800.219.876-9</t>
  </si>
  <si>
    <t xml:space="preserve">            99-9</t>
  </si>
  <si>
    <t xml:space="preserve">CIERRE ANUAL                  </t>
  </si>
  <si>
    <t xml:space="preserve">   890.900.608-9</t>
  </si>
  <si>
    <t xml:space="preserve">ALMACENES EXITO S.A.          </t>
  </si>
  <si>
    <t xml:space="preserve">   890.903.939-5</t>
  </si>
  <si>
    <t xml:space="preserve">   890.904.478-6</t>
  </si>
  <si>
    <t xml:space="preserve">   900.213.759-0</t>
  </si>
  <si>
    <t xml:space="preserve">   900.380.500-5</t>
  </si>
  <si>
    <t xml:space="preserve">   900.410.852-2</t>
  </si>
  <si>
    <t xml:space="preserve">   900.889.237-9</t>
  </si>
  <si>
    <t xml:space="preserve">   901.420.204-6</t>
  </si>
  <si>
    <t xml:space="preserve">LA CARETA SAS                 </t>
  </si>
  <si>
    <t xml:space="preserve">    43.610.539-1</t>
  </si>
  <si>
    <t xml:space="preserve">   811.029.525-3</t>
  </si>
  <si>
    <t xml:space="preserve">   811.033.374-3</t>
  </si>
  <si>
    <t xml:space="preserve">ANTICIPOS A PROVEEDORES       </t>
  </si>
  <si>
    <t xml:space="preserve">   900.307.969-5</t>
  </si>
  <si>
    <t xml:space="preserve">     8.028.389-0</t>
  </si>
  <si>
    <t xml:space="preserve">    71.313.205-5</t>
  </si>
  <si>
    <t xml:space="preserve">ANDRES FELIPE BONILLA ARANGO  </t>
  </si>
  <si>
    <t xml:space="preserve">    71.382.726-5</t>
  </si>
  <si>
    <t xml:space="preserve">ERLIN RAMIRO RUDA ROMAN       </t>
  </si>
  <si>
    <t xml:space="preserve">    71.685.543-5</t>
  </si>
  <si>
    <t xml:space="preserve">JHON EDISON BARRERA GOMEZ     </t>
  </si>
  <si>
    <t xml:space="preserve">    98.554.474-1</t>
  </si>
  <si>
    <t xml:space="preserve">JOSE JOAQUIN CEBALLOS OSORIO  </t>
  </si>
  <si>
    <t xml:space="preserve">    98.563.387-7</t>
  </si>
  <si>
    <t xml:space="preserve">JUAN CARLOS SERNA YEPES       </t>
  </si>
  <si>
    <t xml:space="preserve">   900.711.891-1</t>
  </si>
  <si>
    <t xml:space="preserve">PINTEHOGAR S.A.S              </t>
  </si>
  <si>
    <t xml:space="preserve">   900.984.385-7</t>
  </si>
  <si>
    <t xml:space="preserve">7 CM ARQUITECTURA S.A.S       </t>
  </si>
  <si>
    <t xml:space="preserve">   860.034.594-1</t>
  </si>
  <si>
    <t xml:space="preserve">BANCO COLPATRIA MULTIBANCA C  </t>
  </si>
  <si>
    <t xml:space="preserve">           120-6</t>
  </si>
  <si>
    <t xml:space="preserve">VARIOS                        </t>
  </si>
  <si>
    <t xml:space="preserve">     6.788.636-8</t>
  </si>
  <si>
    <t xml:space="preserve">OSCAR OSWALDO SANCHEZ PALACIO </t>
  </si>
  <si>
    <t xml:space="preserve">   800.027.374-9</t>
  </si>
  <si>
    <t>C.I. TECNOLOGIA ALIMENTARIA S.</t>
  </si>
  <si>
    <t xml:space="preserve">   860.017.005-1</t>
  </si>
  <si>
    <t xml:space="preserve">CHALLENGER S.A.S.             </t>
  </si>
  <si>
    <t xml:space="preserve">   890.317.339-2</t>
  </si>
  <si>
    <t xml:space="preserve">PALLOMARO S.A                 </t>
  </si>
  <si>
    <t xml:space="preserve">   900.104.550-1</t>
  </si>
  <si>
    <t xml:space="preserve">CAFE DEVOTION S.A.S.          </t>
  </si>
  <si>
    <t xml:space="preserve">   900.178.238-5</t>
  </si>
  <si>
    <t xml:space="preserve">A	REFCOM LTDA                 </t>
  </si>
  <si>
    <t xml:space="preserve">   900.252.083-7</t>
  </si>
  <si>
    <t xml:space="preserve">REFRIARTIC SAS                </t>
  </si>
  <si>
    <t xml:space="preserve">   900.476.145-7</t>
  </si>
  <si>
    <t>CORREA OCHOA INVERSIONES S.A.S</t>
  </si>
  <si>
    <t xml:space="preserve">   900.535.061-0</t>
  </si>
  <si>
    <t xml:space="preserve">INVERSIONES EL CIELO S.A.S.   </t>
  </si>
  <si>
    <t xml:space="preserve">   900.562.903-1</t>
  </si>
  <si>
    <t xml:space="preserve">COFFEE SOLUTIONS SAS          </t>
  </si>
  <si>
    <t xml:space="preserve">   900.685.813-5</t>
  </si>
  <si>
    <t xml:space="preserve">187 IDEAS S.A.S               </t>
  </si>
  <si>
    <t xml:space="preserve">   900.796.195-8</t>
  </si>
  <si>
    <t xml:space="preserve">GRUPO DYA S.A.S               </t>
  </si>
  <si>
    <t xml:space="preserve">   901.042.029-1</t>
  </si>
  <si>
    <t xml:space="preserve">MULTINOX S.A.S.               </t>
  </si>
  <si>
    <t xml:space="preserve">   901.398.150-3</t>
  </si>
  <si>
    <t xml:space="preserve">SOLUCIONES HVAC S.A.S         </t>
  </si>
  <si>
    <t xml:space="preserve">     8.346.928-4</t>
  </si>
  <si>
    <t xml:space="preserve">ADAN GARCIA                   </t>
  </si>
  <si>
    <t xml:space="preserve">    71.587.892-0</t>
  </si>
  <si>
    <t xml:space="preserve">JOHN JAIRO ALVAREZ ZAPATA     </t>
  </si>
  <si>
    <t xml:space="preserve">    92.525.410-5</t>
  </si>
  <si>
    <t xml:space="preserve">   800.006.332-1</t>
  </si>
  <si>
    <t xml:space="preserve">ARQUIMUEBLES S.A              </t>
  </si>
  <si>
    <t xml:space="preserve">   830.087.848-3</t>
  </si>
  <si>
    <t xml:space="preserve">TUGO S A S                    </t>
  </si>
  <si>
    <t xml:space="preserve">   890.323.667-8</t>
  </si>
  <si>
    <t xml:space="preserve">METALICAS JEP S.A.S           </t>
  </si>
  <si>
    <t xml:space="preserve">   900.059.238-5</t>
  </si>
  <si>
    <t xml:space="preserve">MAKRO SUPERMAYORISTA S.A.S    </t>
  </si>
  <si>
    <t xml:space="preserve">   900.334.064-1</t>
  </si>
  <si>
    <t xml:space="preserve">NUEVECERODOS S.A.S            </t>
  </si>
  <si>
    <t xml:space="preserve">   900.489.408-5</t>
  </si>
  <si>
    <t>COMPU ADVANCE MONTERREY DLL S.</t>
  </si>
  <si>
    <t xml:space="preserve">   900.616.678-2</t>
  </si>
  <si>
    <t xml:space="preserve">SITEC SUMINISTROS S.A.S       </t>
  </si>
  <si>
    <t xml:space="preserve">   901.375.281-0</t>
  </si>
  <si>
    <t>TECNOLOGIA E INFORMATICA MAKRO</t>
  </si>
  <si>
    <t xml:space="preserve">    43.870.502-4</t>
  </si>
  <si>
    <t>DIANA NATALIA ECHEVERRI PALACI</t>
  </si>
  <si>
    <t xml:space="preserve">   900.427.546-8</t>
  </si>
  <si>
    <t xml:space="preserve">TECNO SOLUCIONES LJ S.A.S.    </t>
  </si>
  <si>
    <t xml:space="preserve">   900.449.084-1</t>
  </si>
  <si>
    <t xml:space="preserve">NSIT S.A.S.                   </t>
  </si>
  <si>
    <t xml:space="preserve">   901.248.086-7</t>
  </si>
  <si>
    <t xml:space="preserve">UNO A TECNOLOGIA S.A.S        </t>
  </si>
  <si>
    <t xml:space="preserve">   901.336.361-5</t>
  </si>
  <si>
    <t>SOLUSOFT TECNOLOGIA CREATIVA S</t>
  </si>
  <si>
    <t xml:space="preserve">   890.900.229-0</t>
  </si>
  <si>
    <t xml:space="preserve">CODISCOS S.A.S                </t>
  </si>
  <si>
    <t xml:space="preserve">   890.900.943-1</t>
  </si>
  <si>
    <t xml:space="preserve">COLOMBIANA DE COMERCIO S.A.   </t>
  </si>
  <si>
    <t xml:space="preserve">   900.534.317-6</t>
  </si>
  <si>
    <t xml:space="preserve">THRIVE S.A.S.                 </t>
  </si>
  <si>
    <t xml:space="preserve">   890.903.938-8</t>
  </si>
  <si>
    <t xml:space="preserve">BANCOLOMBIA S.A               </t>
  </si>
  <si>
    <t xml:space="preserve">   901.038.452-9</t>
  </si>
  <si>
    <t xml:space="preserve">   860.034.313-7</t>
  </si>
  <si>
    <t xml:space="preserve">   890.300.279-4</t>
  </si>
  <si>
    <t xml:space="preserve">BANCO DE OCCIDENTE            </t>
  </si>
  <si>
    <t xml:space="preserve">   860.002.964-4</t>
  </si>
  <si>
    <t xml:space="preserve">BANCO DE BOGOTA               </t>
  </si>
  <si>
    <t xml:space="preserve">    98.669.924-9</t>
  </si>
  <si>
    <t xml:space="preserve">    21.343.711-7</t>
  </si>
  <si>
    <t xml:space="preserve">    21.378.762-3</t>
  </si>
  <si>
    <t xml:space="preserve">    42.890.751-3</t>
  </si>
  <si>
    <t xml:space="preserve">    43.869.549-8</t>
  </si>
  <si>
    <t xml:space="preserve">    43.928.655-4</t>
  </si>
  <si>
    <t xml:space="preserve">    70.326.298-2</t>
  </si>
  <si>
    <t xml:space="preserve">    70.565.831-3</t>
  </si>
  <si>
    <t xml:space="preserve">    75.085.214-7</t>
  </si>
  <si>
    <t xml:space="preserve">   611.000.686-9</t>
  </si>
  <si>
    <t xml:space="preserve">   800.021.620-9</t>
  </si>
  <si>
    <t xml:space="preserve">   800.148.845-5</t>
  </si>
  <si>
    <t xml:space="preserve">   800.153.993-7</t>
  </si>
  <si>
    <t xml:space="preserve">   811.003.948-2</t>
  </si>
  <si>
    <t xml:space="preserve">   830.501.504-1</t>
  </si>
  <si>
    <t xml:space="preserve">   890.904.996-1</t>
  </si>
  <si>
    <t xml:space="preserve">   890.905.080-3</t>
  </si>
  <si>
    <t>CAMARA DE COMERCIO DE MEDELLIN</t>
  </si>
  <si>
    <t xml:space="preserve">   890.907.106-5</t>
  </si>
  <si>
    <t xml:space="preserve">   890.907.824-5</t>
  </si>
  <si>
    <t xml:space="preserve">   890.911.431-1</t>
  </si>
  <si>
    <t xml:space="preserve">   890.928.647-8</t>
  </si>
  <si>
    <t xml:space="preserve">   890.930.022-1</t>
  </si>
  <si>
    <t xml:space="preserve">   890.980.331-6</t>
  </si>
  <si>
    <t xml:space="preserve">   900.004.830-1</t>
  </si>
  <si>
    <t xml:space="preserve">   900.092.385-9</t>
  </si>
  <si>
    <t xml:space="preserve">   900.512.935-3</t>
  </si>
  <si>
    <t xml:space="preserve">   900.585.869-8</t>
  </si>
  <si>
    <t xml:space="preserve">   900.606.963-4</t>
  </si>
  <si>
    <t xml:space="preserve">   900.814.567-2</t>
  </si>
  <si>
    <t xml:space="preserve">   900.957.350-5</t>
  </si>
  <si>
    <t xml:space="preserve">   901.156.140-1</t>
  </si>
  <si>
    <t xml:space="preserve">   901.326.929-5</t>
  </si>
  <si>
    <t xml:space="preserve">   901.623.198-1</t>
  </si>
  <si>
    <t xml:space="preserve"> 1.036.625.574-0</t>
  </si>
  <si>
    <t xml:space="preserve">MARIN QUINTERO YOHANY ALEXIS  </t>
  </si>
  <si>
    <t xml:space="preserve"> 1.036.664.748-1</t>
  </si>
  <si>
    <t xml:space="preserve">   890.905.699-1</t>
  </si>
  <si>
    <t xml:space="preserve">INVERSIONES LOS DOCE S.A.S    </t>
  </si>
  <si>
    <t xml:space="preserve">   900.306.740-1</t>
  </si>
  <si>
    <t xml:space="preserve">PERSPECTIVA URBANA S.A.S      </t>
  </si>
  <si>
    <t xml:space="preserve">   900.335.406-1</t>
  </si>
  <si>
    <t xml:space="preserve">CASAS Y COSAS S.A.S           </t>
  </si>
  <si>
    <t xml:space="preserve">DESCUADRES EMPLEADOS          </t>
  </si>
  <si>
    <t xml:space="preserve">    71.265.003-8</t>
  </si>
  <si>
    <t xml:space="preserve">JOHN VILMAR JIMENEZ TABARES   </t>
  </si>
  <si>
    <t xml:space="preserve">   800.197.268-4</t>
  </si>
  <si>
    <t xml:space="preserve">   222.222.222-7</t>
  </si>
  <si>
    <t xml:space="preserve">   830.053.812-2</t>
  </si>
  <si>
    <t>ALIANZA FIDUCIARIA S.A. FIDEIC</t>
  </si>
  <si>
    <t xml:space="preserve">   901.276.004-2</t>
  </si>
  <si>
    <t>MATRIZ SEGURIDAD INDUSTRIAL S.</t>
  </si>
  <si>
    <t xml:space="preserve">    71.142.569-6</t>
  </si>
  <si>
    <t xml:space="preserve">SANTIAGO IGNACIO CIRO VILLADA </t>
  </si>
  <si>
    <t xml:space="preserve">   800.242.106-2</t>
  </si>
  <si>
    <t xml:space="preserve">SODIMAC COLOMBIA S.A.         </t>
  </si>
  <si>
    <t xml:space="preserve">   860.001.584-4</t>
  </si>
  <si>
    <t xml:space="preserve">MECANELECTRO S.A.S            </t>
  </si>
  <si>
    <t xml:space="preserve">   860.026.182-5</t>
  </si>
  <si>
    <t xml:space="preserve">   900.178.348-7</t>
  </si>
  <si>
    <t xml:space="preserve">FRANCORP S.A.S                </t>
  </si>
  <si>
    <t xml:space="preserve">   900.323.338-5</t>
  </si>
  <si>
    <t xml:space="preserve">   900.943.243-4</t>
  </si>
  <si>
    <t xml:space="preserve">SURAMERICA COMERCIAL S.A.S    </t>
  </si>
  <si>
    <t xml:space="preserve">   901.038.182-5</t>
  </si>
  <si>
    <t xml:space="preserve">FUNDAMENTOS ALIMENTOS SAS     </t>
  </si>
  <si>
    <t xml:space="preserve">   901.524.378-6</t>
  </si>
  <si>
    <t>FERRO AVENIDA EL POBLADO S.A.S</t>
  </si>
  <si>
    <t xml:space="preserve"> 1.152.434.954-7</t>
  </si>
  <si>
    <t xml:space="preserve">CAROLINA CANO QUINCHIA        </t>
  </si>
  <si>
    <t xml:space="preserve">    43.275.709-1</t>
  </si>
  <si>
    <t xml:space="preserve">    43.848.428-5</t>
  </si>
  <si>
    <t xml:space="preserve">MONICA MARCELA ORTIZ ORTIZ    </t>
  </si>
  <si>
    <t xml:space="preserve"> 1.013.368.890-7</t>
  </si>
  <si>
    <t xml:space="preserve"> 1.020.464.007-6</t>
  </si>
  <si>
    <t>CARTAGENA ESTRADA ANLLY CAROLI</t>
  </si>
  <si>
    <t xml:space="preserve"> 1.151.477.226-4</t>
  </si>
  <si>
    <t>SEVERICHE BLANCO INGRID PAOLA_x000D_</t>
  </si>
  <si>
    <t xml:space="preserve"> 1.044.101.147-9</t>
  </si>
  <si>
    <t xml:space="preserve">   800.088.702-2</t>
  </si>
  <si>
    <t xml:space="preserve">EPS SURA                      </t>
  </si>
  <si>
    <t xml:space="preserve">   800.130.907-4</t>
  </si>
  <si>
    <t xml:space="preserve">SALUD TOTAL S.A               </t>
  </si>
  <si>
    <t xml:space="preserve">   800.251.440-6</t>
  </si>
  <si>
    <t>ENTIDAD PROMOTORA DE SALUD SAN</t>
  </si>
  <si>
    <t xml:space="preserve">   900.156.264-2</t>
  </si>
  <si>
    <t>NUEVA EMPRESA PROMOTORA DE SAL</t>
  </si>
  <si>
    <t xml:space="preserve">   900.604.350-0</t>
  </si>
  <si>
    <t>ALIANZA MEDELLIN ANTIOQUIA EPS</t>
  </si>
  <si>
    <t xml:space="preserve">   800.226.175-3</t>
  </si>
  <si>
    <t>COMPAÑIA DE SEGUROS DE VIDA CO</t>
  </si>
  <si>
    <t xml:space="preserve">   890.900.841-9</t>
  </si>
  <si>
    <t xml:space="preserve">   900.089.104-5</t>
  </si>
  <si>
    <t xml:space="preserve">ENLACE OPERATIVO SA           </t>
  </si>
  <si>
    <t xml:space="preserve">    21.431.770-9</t>
  </si>
  <si>
    <t xml:space="preserve">    21.853.973-8</t>
  </si>
  <si>
    <t xml:space="preserve">    32.109.722-6</t>
  </si>
  <si>
    <t>YESIKA MARIA PIEDRAHITA URUBUR</t>
  </si>
  <si>
    <t xml:space="preserve">    43.686.015-0</t>
  </si>
  <si>
    <t xml:space="preserve"> 1.063.293.428-5</t>
  </si>
  <si>
    <t xml:space="preserve"> 1.128.461.518-6</t>
  </si>
  <si>
    <t>ISABEL CRISTINA HIGUITA BUILES</t>
  </si>
  <si>
    <t xml:space="preserve">   800.224.808-8</t>
  </si>
  <si>
    <t>PORVENIR PENSIONES Y CESANTIAS</t>
  </si>
  <si>
    <t xml:space="preserve">   800.227.940-6</t>
  </si>
  <si>
    <t>FONDO DE PENSIONES OBLIGATORIA</t>
  </si>
  <si>
    <t xml:space="preserve">   800.229.739-0</t>
  </si>
  <si>
    <t xml:space="preserve">   900.336.004-7</t>
  </si>
  <si>
    <t xml:space="preserve">ADMINISTRADORA COLOMBIANA DE  </t>
  </si>
  <si>
    <t xml:space="preserve">   800.180.687-2</t>
  </si>
  <si>
    <t xml:space="preserve">   890.980.112-1</t>
  </si>
  <si>
    <t xml:space="preserve">ALCALDIA DE BELLO             </t>
  </si>
  <si>
    <t xml:space="preserve">   800.157.427-8</t>
  </si>
  <si>
    <t xml:space="preserve">CAMARA DE COMERCIO ABURRA SUR </t>
  </si>
  <si>
    <t xml:space="preserve">   890.941.663-1</t>
  </si>
  <si>
    <t xml:space="preserve">DISTRIBUIDORA PASTEUR S.A     </t>
  </si>
  <si>
    <t xml:space="preserve">   900.860.284-9</t>
  </si>
  <si>
    <t xml:space="preserve">BBI COLOMBIA S.A.S            </t>
  </si>
  <si>
    <t xml:space="preserve">   901.475.794-6</t>
  </si>
  <si>
    <t xml:space="preserve">   800.142.245-9</t>
  </si>
  <si>
    <t xml:space="preserve">   900.956.336-7</t>
  </si>
  <si>
    <t>SOY TU PEDIATRA INSTITUCION PR</t>
  </si>
  <si>
    <t xml:space="preserve">     5.740.264-0</t>
  </si>
  <si>
    <t xml:space="preserve">   890.905.730-2</t>
  </si>
  <si>
    <t xml:space="preserve">   890.923.668-1</t>
  </si>
  <si>
    <t>EMPRESA DE TRANSPORTE MASIVO D</t>
  </si>
  <si>
    <t xml:space="preserve">    25.776.442-3</t>
  </si>
  <si>
    <t xml:space="preserve"> 1.035.443.261-5</t>
  </si>
  <si>
    <t xml:space="preserve">    43.562.011-9</t>
  </si>
  <si>
    <t xml:space="preserve"> 1.017.182.402-0</t>
  </si>
  <si>
    <t xml:space="preserve"> 1.017.253.839-0</t>
  </si>
  <si>
    <t xml:space="preserve">   901.883.231-1</t>
  </si>
  <si>
    <t xml:space="preserve">   900.378.652-1</t>
  </si>
  <si>
    <t xml:space="preserve">AUTORRETENCION ESPECIAL 3.5 % </t>
  </si>
  <si>
    <t xml:space="preserve">    42.993.113-7</t>
  </si>
  <si>
    <t xml:space="preserve">    71.388.822-1</t>
  </si>
  <si>
    <t xml:space="preserve">   811.011.779-8</t>
  </si>
  <si>
    <t xml:space="preserve">   817.001.892-1</t>
  </si>
  <si>
    <t xml:space="preserve">   890.900.286-0</t>
  </si>
  <si>
    <t xml:space="preserve">   901.328.395-1</t>
  </si>
  <si>
    <t xml:space="preserve">   901.846.513-6</t>
  </si>
  <si>
    <t xml:space="preserve">   901.066.046-0</t>
  </si>
  <si>
    <t xml:space="preserve">CONTROL DE VARIABLES S.A.S    </t>
  </si>
  <si>
    <t xml:space="preserve">AUTORRETENCION ESPECIAL 3.5%  </t>
  </si>
  <si>
    <t xml:space="preserve">    43.610.378-2</t>
  </si>
  <si>
    <t xml:space="preserve">OTERO MEJIA MARTA CECILIA     </t>
  </si>
  <si>
    <t xml:space="preserve"> 1.020.423.647-4</t>
  </si>
  <si>
    <t>RESTREPO OCAMPO WENDY CAROLINA</t>
  </si>
  <si>
    <t xml:space="preserve">   800.133.807-1</t>
  </si>
  <si>
    <t xml:space="preserve">MEGALABS COLOMBIA SAS         </t>
  </si>
  <si>
    <t xml:space="preserve">   811.027.052-2</t>
  </si>
  <si>
    <t xml:space="preserve">DIPARCO S.A.S                 </t>
  </si>
  <si>
    <t xml:space="preserve">     8.403.972-3</t>
  </si>
  <si>
    <t xml:space="preserve">    21.895.633-9</t>
  </si>
  <si>
    <t xml:space="preserve">CLAUDIA ELENA CARDONA LOPEZ   </t>
  </si>
  <si>
    <t xml:space="preserve">    70.546.533-2</t>
  </si>
  <si>
    <t xml:space="preserve">RAMON EMILIO MONTES OCAMPO    </t>
  </si>
  <si>
    <t xml:space="preserve">    79.232.434-6</t>
  </si>
  <si>
    <t xml:space="preserve">JOSE FERNANDO RAMIREZ RAMIREZ </t>
  </si>
  <si>
    <t xml:space="preserve">   800.154.954-4</t>
  </si>
  <si>
    <t xml:space="preserve">   800.194.997-1</t>
  </si>
  <si>
    <t xml:space="preserve">DOCUPRINT SAS                 </t>
  </si>
  <si>
    <t xml:space="preserve">   811.037.682-5</t>
  </si>
  <si>
    <t xml:space="preserve">DISTRIBUIDORA MATEC S.A.      </t>
  </si>
  <si>
    <t xml:space="preserve">   830.087.099-3</t>
  </si>
  <si>
    <t xml:space="preserve">   890.900.099-1</t>
  </si>
  <si>
    <t xml:space="preserve">INDUSTRIAS ESTRA S.A          </t>
  </si>
  <si>
    <t xml:space="preserve">   890.922.113-1</t>
  </si>
  <si>
    <t xml:space="preserve">DROPOPULAR S.A                </t>
  </si>
  <si>
    <t xml:space="preserve">   890.981.683-8</t>
  </si>
  <si>
    <t xml:space="preserve">   900.212.550-4</t>
  </si>
  <si>
    <t xml:space="preserve">ALMACENES LA 13 S.A.S         </t>
  </si>
  <si>
    <t xml:space="preserve">   900.276.962-1</t>
  </si>
  <si>
    <t xml:space="preserve">KOBA COLOMBIA S.A.S.          </t>
  </si>
  <si>
    <t xml:space="preserve">   900.334.110-0</t>
  </si>
  <si>
    <t xml:space="preserve">DAYPARKING SAS                </t>
  </si>
  <si>
    <t xml:space="preserve">   900.698.570-7</t>
  </si>
  <si>
    <t xml:space="preserve">THE PARKING S.A.S             </t>
  </si>
  <si>
    <t xml:space="preserve">   901.641.550-8</t>
  </si>
  <si>
    <t xml:space="preserve">CREATOR ACRILICOS S.A.S       </t>
  </si>
  <si>
    <t xml:space="preserve">   901.803.632-1</t>
  </si>
  <si>
    <t xml:space="preserve">BLAU TECHNOLOGY SAS           </t>
  </si>
  <si>
    <t xml:space="preserve"> 1.026.153.715-1</t>
  </si>
  <si>
    <t xml:space="preserve">JUAN PABLO GOMEZ MONTOYA      </t>
  </si>
  <si>
    <t xml:space="preserve">     5.062.846-8</t>
  </si>
  <si>
    <t xml:space="preserve">CIRA ALCALA VELASQUEZ         </t>
  </si>
  <si>
    <t xml:space="preserve">     6.154.284-8</t>
  </si>
  <si>
    <t>VEGAS MIERES MARIA DE LOS ANGE</t>
  </si>
  <si>
    <t xml:space="preserve">     6.176.039-4</t>
  </si>
  <si>
    <t>CAROLAY ALEXANDRA PONCE LOZADA</t>
  </si>
  <si>
    <t xml:space="preserve">    23.178.987-2</t>
  </si>
  <si>
    <t xml:space="preserve">MEZA DIAZ MARIA MERCEDES      </t>
  </si>
  <si>
    <t xml:space="preserve">    43.252.066-3</t>
  </si>
  <si>
    <t xml:space="preserve">TAMAYO TABORDA PAOLA ANDREA   </t>
  </si>
  <si>
    <t xml:space="preserve">    46.647.885-6</t>
  </si>
  <si>
    <t xml:space="preserve">IVON MARITZA VELASQUEZ MORENO </t>
  </si>
  <si>
    <t xml:space="preserve"> 1.001.473.925-1</t>
  </si>
  <si>
    <t xml:space="preserve">TORO PEREZ JOHANNA ALEXANDRA  </t>
  </si>
  <si>
    <t xml:space="preserve"> 1.007.422.615-7</t>
  </si>
  <si>
    <t xml:space="preserve">OSORIO PADILLA DIANA CAROLINA </t>
  </si>
  <si>
    <t xml:space="preserve"> 1.015.186.551-0</t>
  </si>
  <si>
    <t xml:space="preserve">YURI MARITZA MOYA PIEDRAHITA  </t>
  </si>
  <si>
    <t xml:space="preserve"> 1.023.800.255-9</t>
  </si>
  <si>
    <t xml:space="preserve">LOPERA ORTIZ KAREN            </t>
  </si>
  <si>
    <t xml:space="preserve"> 1.064.106.283-8</t>
  </si>
  <si>
    <t xml:space="preserve">CARILYS OSNELA NAVARRO ARIAS  </t>
  </si>
  <si>
    <t xml:space="preserve"> 1.082.853.680-8</t>
  </si>
  <si>
    <t xml:space="preserve"> 1.152.189.436-2</t>
  </si>
  <si>
    <t xml:space="preserve">TORO GOMEZ PAULA ANDREA       </t>
  </si>
  <si>
    <t xml:space="preserve">     1.542.734-7</t>
  </si>
  <si>
    <t>LEON LOPEZ ELIZABETH MARGARITA</t>
  </si>
  <si>
    <t xml:space="preserve">    43.903.771-2</t>
  </si>
  <si>
    <t xml:space="preserve">MARLENY GONZALEZ RIOS         </t>
  </si>
  <si>
    <t xml:space="preserve"> 1.007.757.158-0</t>
  </si>
  <si>
    <t>LOAIZA MONSALVE MAIRA ALEJANDR</t>
  </si>
  <si>
    <t xml:space="preserve"> 1.020.443.060-7</t>
  </si>
  <si>
    <t>HINESTROZA SEPULVEDA YESSICA A</t>
  </si>
  <si>
    <t xml:space="preserve"> 1.033.180.240-3</t>
  </si>
  <si>
    <t xml:space="preserve">CASTAÑEDA URREGO SUSANA       </t>
  </si>
  <si>
    <t xml:space="preserve"> 1.074.005.314-0</t>
  </si>
  <si>
    <t xml:space="preserve">YULIETH ANDREA TABARES ARIAS  </t>
  </si>
  <si>
    <t xml:space="preserve">     5.906.886-6</t>
  </si>
  <si>
    <t>ANGIEMAR ANTONELLA PARRA GUERR</t>
  </si>
  <si>
    <t xml:space="preserve">   900.226.715-3</t>
  </si>
  <si>
    <t xml:space="preserve">COOSALUD ENTIDAD PROMOTORA DE </t>
  </si>
  <si>
    <t xml:space="preserve">   890.905.211-1</t>
  </si>
  <si>
    <t xml:space="preserve">MUNICIPIO DE MEDELLIN         </t>
  </si>
  <si>
    <t xml:space="preserve">   899.999.034-1</t>
  </si>
  <si>
    <t xml:space="preserve">SENA                          </t>
  </si>
  <si>
    <t xml:space="preserve">   860.002.445-3</t>
  </si>
  <si>
    <t xml:space="preserve">COLPATRIA                     </t>
  </si>
  <si>
    <t xml:space="preserve">    43.676.246-2</t>
  </si>
  <si>
    <t>GLORIA CECILIA BETANCUR LLANOS</t>
  </si>
  <si>
    <t xml:space="preserve">    21.509.109-7</t>
  </si>
  <si>
    <t xml:space="preserve">SANCHEZ MARIN NILSA INES      </t>
  </si>
  <si>
    <t xml:space="preserve">    71.719.228-8</t>
  </si>
  <si>
    <t xml:space="preserve">LUIS ALBERTO CORREA LONDOÑO   </t>
  </si>
  <si>
    <t xml:space="preserve">   901.881.713-0</t>
  </si>
  <si>
    <t>INVERSIONES AGUILAR CARDONA S.</t>
  </si>
  <si>
    <t xml:space="preserve"> 1.042.770.241-5</t>
  </si>
  <si>
    <t xml:space="preserve">OSPINA CORREA ERICA DILANIS   </t>
  </si>
  <si>
    <t>Mes</t>
  </si>
  <si>
    <t xml:space="preserve">   800.182.281-5</t>
  </si>
  <si>
    <t xml:space="preserve">DAVIVIENDA FIDUCIARIA         </t>
  </si>
  <si>
    <t xml:space="preserve">    32.183.359-1</t>
  </si>
  <si>
    <t xml:space="preserve">GRACIELA CORDOBA PALACIO      </t>
  </si>
  <si>
    <t xml:space="preserve"> 1.038.104.626-7</t>
  </si>
  <si>
    <t xml:space="preserve">VALENTINA MEJIA PEREZ         </t>
  </si>
  <si>
    <t xml:space="preserve">HERRAMIENTAS MENORES          </t>
  </si>
  <si>
    <t>Herramientas menores</t>
  </si>
  <si>
    <t xml:space="preserve"> 1.001.013.756-0</t>
  </si>
  <si>
    <t xml:space="preserve">MARIANA BARRERA VELEZ         </t>
  </si>
  <si>
    <t xml:space="preserve"> 1.046.907.040-7</t>
  </si>
  <si>
    <t xml:space="preserve">MARIA ISABEL HOLGUIN TAMAYO   </t>
  </si>
  <si>
    <t xml:space="preserve"> 1.214.739.146-7</t>
  </si>
  <si>
    <t xml:space="preserve">MARIA CAMILA AMAYA OCAMPO     </t>
  </si>
  <si>
    <t xml:space="preserve">AVISOS DE SEÑALIZACION        </t>
  </si>
  <si>
    <t xml:space="preserve">COMBUSTIBLES Y LUBRICANTES    </t>
  </si>
  <si>
    <t>Monetizacion SENA</t>
  </si>
  <si>
    <t>Avisos de señalización</t>
  </si>
  <si>
    <t>Fletes</t>
  </si>
  <si>
    <t>52956002</t>
  </si>
  <si>
    <t>Estudio de Suelos</t>
  </si>
  <si>
    <t xml:space="preserve">CREDITO BOGOTA 6857           </t>
  </si>
  <si>
    <t xml:space="preserve"> 1.143.400.775-6</t>
  </si>
  <si>
    <t xml:space="preserve">MARIA FERNANDA ARROYO PRASCA  </t>
  </si>
  <si>
    <t xml:space="preserve">CASINO Y RESTAURANTES         </t>
  </si>
  <si>
    <t xml:space="preserve">   890.908.822-5</t>
  </si>
  <si>
    <t>A	COMERCIALIZADORA DE HIELOS I</t>
  </si>
  <si>
    <t xml:space="preserve">Caja de ajustes </t>
  </si>
  <si>
    <t>Inventarios de acuerdo a información administrativa</t>
  </si>
  <si>
    <t>Saldos entre cias</t>
  </si>
  <si>
    <t>IVA POR PAGAR CUATRIMESTRE 3, PARCIAL</t>
  </si>
  <si>
    <t>Buenos días</t>
  </si>
  <si>
    <t>De acuerdo a la respuesta de especialistas por favor proceder con la compra de los certificados pendiente:</t>
  </si>
  <si>
    <t>* **Nro Matrícula:** 020-92673 (OASIS) SAN NICOLÁS - Proceso de cesión de derechos (Leasing Occidente)</t>
  </si>
  <si>
    <t>* **Nro Matrícula:** 1028703 MARIO FERNANDO FILEVICH (CR 025 S 001 A 155 00185)</t>
  </si>
  <si>
    <t>Matrículas adjuntas:</t>
  </si>
  <si>
    <t>* **Nro Matrícula:** 020-200488 DE LOLITA (adjunto generación sept)</t>
  </si>
  <si>
    <t>*** * Nro Matrícula: 020-253284 FABRICATO (GRUPO) (adjunto generación sept)</t>
  </si>
  <si>
    <t>* **Nro Matrícula:** 001-1257243 (MEGA PLAZA) - Proceso de escrituración (generado marzo)</t>
  </si>
  <si>
    <t>CORREO 23 DE SEPTIEMBRE PARA REALIZAR SEGUIMIENTO</t>
  </si>
  <si>
    <t>Este predial no es el de bello, es de Rionegro</t>
  </si>
  <si>
    <t>No llegó adjunto</t>
  </si>
  <si>
    <t>15163001 local Megaplaza</t>
  </si>
  <si>
    <t>16163002 Fabricato (Bello)</t>
  </si>
  <si>
    <t>Pendiente que lo envién para registrar el activo en Oasis</t>
  </si>
  <si>
    <t>LUZ AIDA HERNANDEZ GARCIA</t>
  </si>
  <si>
    <t>159803-T</t>
  </si>
  <si>
    <t>Equivalencia</t>
  </si>
  <si>
    <t xml:space="preserve">CREDITO DAVIVIENDA****5261    </t>
  </si>
  <si>
    <t xml:space="preserve">   901.490.677-5</t>
  </si>
  <si>
    <t xml:space="preserve">O.K TEC COL S.A.S             </t>
  </si>
  <si>
    <t xml:space="preserve">    43.623.117-3</t>
  </si>
  <si>
    <t xml:space="preserve">MARIA NOHELIA PUERTA Y        </t>
  </si>
  <si>
    <t>Deudores de caja -falta registrar el prestamo</t>
  </si>
  <si>
    <t>Deudores de caja -</t>
  </si>
  <si>
    <t xml:space="preserve">Cxc entre compañias            </t>
  </si>
  <si>
    <t xml:space="preserve"> Cxc entre compañias            </t>
  </si>
  <si>
    <t xml:space="preserve"> Cxc inspiramos el mañana       </t>
  </si>
  <si>
    <t xml:space="preserve"> Cxc nutriendo almas            </t>
  </si>
  <si>
    <t xml:space="preserve"> Bonos sodexo                   </t>
  </si>
  <si>
    <t>Registrada la salida el pago pero no el prestamo</t>
  </si>
  <si>
    <t>beneficio de auditoria</t>
  </si>
  <si>
    <t xml:space="preserve"> 1.038.141.701-9</t>
  </si>
  <si>
    <t xml:space="preserve">KELLY JOHANNA ROMERO ZAPATA   </t>
  </si>
  <si>
    <t xml:space="preserve">   901.304.654-0</t>
  </si>
  <si>
    <t xml:space="preserve">AVACOUNTRIB S.A.S             </t>
  </si>
  <si>
    <t xml:space="preserve">     6.804.496-2</t>
  </si>
  <si>
    <t>ANDREA GABRIALE GOMEZ MARTINEZ</t>
  </si>
  <si>
    <t>6 MESES</t>
  </si>
  <si>
    <t>12 MESES</t>
  </si>
  <si>
    <t>2025-12</t>
  </si>
  <si>
    <t xml:space="preserve">                    </t>
  </si>
  <si>
    <t xml:space="preserve">IVA DESCONTABLE PERIODOS ANT  </t>
  </si>
  <si>
    <t xml:space="preserve">   890.904.169-5</t>
  </si>
  <si>
    <t xml:space="preserve">ALBERTO ALVAREZ S.A.          </t>
  </si>
  <si>
    <t xml:space="preserve">    33.357.435-3</t>
  </si>
  <si>
    <t xml:space="preserve">DIALIDIS ESTER LORA BARRIOS   </t>
  </si>
  <si>
    <t xml:space="preserve">    43.272.260-1</t>
  </si>
  <si>
    <t xml:space="preserve">CARLA CRISTINA GAMA GOMEZ     </t>
  </si>
  <si>
    <t xml:space="preserve">    43.763.924-0</t>
  </si>
  <si>
    <t xml:space="preserve">DORA PATRICIA OSPINA MOSQUERA </t>
  </si>
  <si>
    <t xml:space="preserve"> 1.035.973.620-1</t>
  </si>
  <si>
    <t xml:space="preserve">STEFANNY LONDOÑO SUAREZ       </t>
  </si>
  <si>
    <t>NIVEL</t>
  </si>
  <si>
    <t>NIVEL CTA</t>
  </si>
  <si>
    <t>PROYECCION IMPUESTO DE RENTA AÑO GRAVABLE 2025</t>
  </si>
  <si>
    <t xml:space="preserve">Ingresos por arrendamientos </t>
  </si>
  <si>
    <t>Servicios Fletes</t>
  </si>
  <si>
    <t>2026-01</t>
  </si>
  <si>
    <t xml:space="preserve">    80.147.820-6</t>
  </si>
  <si>
    <t xml:space="preserve">YEFRY HERNANDEZ  BOHORQUEZ    </t>
  </si>
  <si>
    <t xml:space="preserve">INVENTARIO AÑO ANTERIOR       </t>
  </si>
  <si>
    <t xml:space="preserve">   901.206.440-1</t>
  </si>
  <si>
    <t xml:space="preserve">INVERSIONES DE PASO SAS       </t>
  </si>
  <si>
    <t xml:space="preserve">RENDIMIENTOS FINANCIEROS 4%   </t>
  </si>
  <si>
    <t xml:space="preserve">   901.354.257-3</t>
  </si>
  <si>
    <t xml:space="preserve">CLIMATI AIRES DE COLOMBIA SAS </t>
  </si>
  <si>
    <t xml:space="preserve">SERV. ASEO Y VIGILANCIA 2%    </t>
  </si>
  <si>
    <t xml:space="preserve">   900.136.532-6</t>
  </si>
  <si>
    <t>GHC HEALTHCARE SUCURSAL COLOMB</t>
  </si>
  <si>
    <t xml:space="preserve">IVA GENERADO DE OTROS INGRESO </t>
  </si>
  <si>
    <t xml:space="preserve">    42.687.589-7</t>
  </si>
  <si>
    <t>MONICA LILIANA CORREA SALDARRI</t>
  </si>
  <si>
    <t xml:space="preserve"> 1.000.661.776-3</t>
  </si>
  <si>
    <t xml:space="preserve">PATRICIA SIERRA URBIÑEZ       </t>
  </si>
  <si>
    <t xml:space="preserve"> 1.037.622.465-6</t>
  </si>
  <si>
    <t xml:space="preserve">LAURA BEDOYA ALVAREZ          </t>
  </si>
  <si>
    <t xml:space="preserve">UTILIDADES 2025               </t>
  </si>
  <si>
    <t xml:space="preserve">CONSTRUC Y EDIFICIOS GR 10%   </t>
  </si>
  <si>
    <t xml:space="preserve">ADMON EXPENSAS COMUNES        </t>
  </si>
  <si>
    <t xml:space="preserve">VEHICULO LEASING              </t>
  </si>
  <si>
    <t xml:space="preserve">   811.023.238-7</t>
  </si>
  <si>
    <t xml:space="preserve">PUNTO CALIENTE S.A.           </t>
  </si>
  <si>
    <t>ACUMULADO 2026</t>
  </si>
  <si>
    <t>CASINO Y RESTAURANTES</t>
  </si>
  <si>
    <t>IVA BIMESTRE 1</t>
  </si>
  <si>
    <t>IVA BIMESTRE 2</t>
  </si>
  <si>
    <t>IVA BIMESTRE 3</t>
  </si>
  <si>
    <t>IVA BIMESTRE 4</t>
  </si>
  <si>
    <t>IVA BIMESTRE 5</t>
  </si>
  <si>
    <t>SALDO A FAVOR Y RETENCIONES AÑO ANTERIOR</t>
  </si>
  <si>
    <t>SODEXO SERVICIOS DE BENEFICIOS E INCENTIVOS COLOMB</t>
  </si>
  <si>
    <t>CIUDADELA COMERCIAL UNICENTRO</t>
  </si>
  <si>
    <t>PATRIMONIO  ENE 2025</t>
  </si>
  <si>
    <t>INDICADOR A ENE 2025</t>
  </si>
  <si>
    <t>PATRIMONIO ENE 2026</t>
  </si>
  <si>
    <t>PERDIDA A ENE 2026</t>
  </si>
  <si>
    <t>INICADOR A ENE 2026</t>
  </si>
  <si>
    <t xml:space="preserve">CAJA RAPPI                    </t>
  </si>
  <si>
    <t xml:space="preserve">    42.693.012-4</t>
  </si>
  <si>
    <t xml:space="preserve">JINEY BIBIANA PEREZ GARCIA    </t>
  </si>
  <si>
    <t xml:space="preserve">    98.695.417-6</t>
  </si>
  <si>
    <t xml:space="preserve">GARCIA BUILES JORGE HERNAN    </t>
  </si>
  <si>
    <t xml:space="preserve">   900.040.299-0</t>
  </si>
  <si>
    <t xml:space="preserve">ATLANTIC FS SAS               </t>
  </si>
  <si>
    <t xml:space="preserve">GASTOS PAGADOS POR ANTICIPADO </t>
  </si>
  <si>
    <t xml:space="preserve">seguros y fianzas             </t>
  </si>
  <si>
    <t xml:space="preserve">POLIZA ALLIANZ                </t>
  </si>
  <si>
    <t xml:space="preserve">   811.027.462-9</t>
  </si>
  <si>
    <t xml:space="preserve">CENTRO DE SALUD Y BELLEZA LAS </t>
  </si>
  <si>
    <t xml:space="preserve">   811.006.789-1</t>
  </si>
  <si>
    <t>JUAN D. HOYOS DISTRIBUCIONES S</t>
  </si>
  <si>
    <t xml:space="preserve"> 1.118.292.555-7</t>
  </si>
  <si>
    <t xml:space="preserve">SERNA LONDOÑO RUBEN DARIO     </t>
  </si>
  <si>
    <t xml:space="preserve">    15.484.847-2</t>
  </si>
  <si>
    <t>JOSE ARISTIDES SEPULVEDA VARGA</t>
  </si>
  <si>
    <t xml:space="preserve"> 1.019.100.442-1</t>
  </si>
  <si>
    <t xml:space="preserve">DURAN ARIAS WILLIAM DANIEL    </t>
  </si>
  <si>
    <t xml:space="preserve">CONTRATOS DE CONSTRUCC 2%     </t>
  </si>
  <si>
    <t xml:space="preserve">LIBRANZAS                     </t>
  </si>
  <si>
    <t xml:space="preserve">   900.422.032-1</t>
  </si>
  <si>
    <t xml:space="preserve">CUSTOM APP DEVELOPMENT S.A.S. </t>
  </si>
  <si>
    <t xml:space="preserve">   900.694.424-1</t>
  </si>
  <si>
    <t>AUROBINDO PHARMA COLOMBIA S.A.</t>
  </si>
  <si>
    <t xml:space="preserve">   811.045.607-6</t>
  </si>
  <si>
    <t xml:space="preserve">INVERSIONES EURO S.A.         </t>
  </si>
  <si>
    <t xml:space="preserve">IVA DEV GASTOS 19%            </t>
  </si>
  <si>
    <t xml:space="preserve">     1.261.234-1</t>
  </si>
  <si>
    <t>MARIA JOSE ALVARADO YZAGUIRREZ</t>
  </si>
  <si>
    <t xml:space="preserve">     4.738.353-8</t>
  </si>
  <si>
    <t xml:space="preserve">VALERA CAROLINA  MANARES      </t>
  </si>
  <si>
    <t xml:space="preserve">     6.878.035-8</t>
  </si>
  <si>
    <t xml:space="preserve">LINNY ROBERSI RIVAS CALCAÑO   </t>
  </si>
  <si>
    <t xml:space="preserve"> 1.000.656.812-0</t>
  </si>
  <si>
    <t xml:space="preserve">CRISTINA MARIA VALDERRAMA     </t>
  </si>
  <si>
    <t xml:space="preserve"> 1.001.418.743-4</t>
  </si>
  <si>
    <t>JULIANA CATHERINE BARRERA ALVA</t>
  </si>
  <si>
    <t xml:space="preserve"> 1.079.095.613-0</t>
  </si>
  <si>
    <t xml:space="preserve">JESUS YERLINSON QUINTO COPETE </t>
  </si>
  <si>
    <t xml:space="preserve"> 1.236.440.000-5</t>
  </si>
  <si>
    <t>KARELYS YULIETH ROJANO VASQUEZ</t>
  </si>
  <si>
    <t xml:space="preserve">APOYO ECONOMICO PRACTICANTE   </t>
  </si>
  <si>
    <t xml:space="preserve">IMPOCONSUMO BOLSAS PLASTICAS  </t>
  </si>
  <si>
    <t xml:space="preserve">ASISTENCIA TECNICA            </t>
  </si>
  <si>
    <t xml:space="preserve">ARREGLOS ORNAMENTALES         </t>
  </si>
  <si>
    <t xml:space="preserve">OTRAS ADECUACIONES            </t>
  </si>
  <si>
    <t xml:space="preserve">PLOMERIA                      </t>
  </si>
  <si>
    <t xml:space="preserve">REFRIGERIOS AL PERSONAL       </t>
  </si>
  <si>
    <t xml:space="preserve">GASTOS NO DEDUCIBLES          </t>
  </si>
  <si>
    <t xml:space="preserve">   900.155.107-1</t>
  </si>
  <si>
    <t xml:space="preserve">CENCOSUD COLOMBIA S.A         </t>
  </si>
  <si>
    <t>2026-02</t>
  </si>
  <si>
    <t xml:space="preserve">CAJA TEMPORAL                 </t>
  </si>
  <si>
    <t xml:space="preserve">    15.518.713-2</t>
  </si>
  <si>
    <t>DAVID FERNANDO MEJIA ECHEVERRI</t>
  </si>
  <si>
    <t xml:space="preserve">    71.683.920-1</t>
  </si>
  <si>
    <t xml:space="preserve">GOMEZ CASTAÑO JOSE JAIME      </t>
  </si>
  <si>
    <t xml:space="preserve"> 1.036.644.200-2</t>
  </si>
  <si>
    <t xml:space="preserve">MARIA FERNANDA ARAQUE RAMIREZ </t>
  </si>
  <si>
    <t xml:space="preserve">PRESTAMOS A ATOCHA            </t>
  </si>
  <si>
    <t xml:space="preserve">   830.048.145-8</t>
  </si>
  <si>
    <t xml:space="preserve">SIIGO S.A.S                   </t>
  </si>
  <si>
    <t xml:space="preserve">SERVICIOS 2%                  </t>
  </si>
  <si>
    <t xml:space="preserve">    42.799.905-2</t>
  </si>
  <si>
    <t xml:space="preserve">MARITZABEL VELASQUEZ          </t>
  </si>
  <si>
    <t xml:space="preserve"> 1.015.278.379-5</t>
  </si>
  <si>
    <t xml:space="preserve">MARLLURY CARDONA ORTIZ        </t>
  </si>
  <si>
    <t xml:space="preserve">   811.009.952-1</t>
  </si>
  <si>
    <t>CUERPO DE BOMBEROS VOLUNTARIOS</t>
  </si>
  <si>
    <t xml:space="preserve">   860.007.336-1</t>
  </si>
  <si>
    <t xml:space="preserve">COLSUBSIDIO                   </t>
  </si>
  <si>
    <t xml:space="preserve">   890.900.307-7</t>
  </si>
  <si>
    <t>INDUSTRIAS METALURGICAS UNIDAS</t>
  </si>
  <si>
    <t xml:space="preserve">   900.333.743-8</t>
  </si>
  <si>
    <t>TORRE MEDICA CIUDAD DEL RIO PH</t>
  </si>
  <si>
    <t xml:space="preserve">   900.954.634-8</t>
  </si>
  <si>
    <t xml:space="preserve">SOLUCIONES TESLA S.A.S.       </t>
  </si>
  <si>
    <t xml:space="preserve">   860.032.909-7</t>
  </si>
  <si>
    <t xml:space="preserve">CREDIBANCO S A                </t>
  </si>
  <si>
    <t xml:space="preserve">CUMPLIMIENTO                  </t>
  </si>
  <si>
    <t xml:space="preserve">   901.761.827-7</t>
  </si>
  <si>
    <t xml:space="preserve">FRUTHELA TROPIJUGO S.A.S.     </t>
  </si>
  <si>
    <t xml:space="preserve"> 1.036.616.292-0</t>
  </si>
  <si>
    <t xml:space="preserve">JENNIFER CHAVARRIAGA QUIROS   </t>
  </si>
  <si>
    <t xml:space="preserve">PUBLICIDAD                    </t>
  </si>
  <si>
    <t xml:space="preserve">GASTOS EXTRAORDINARIOS        </t>
  </si>
  <si>
    <t xml:space="preserve">COSTOS Y GASTOS DE EJERCICIOS </t>
  </si>
  <si>
    <t xml:space="preserve">SODEXO SERVICIOS DE BENEFICIOS                    </t>
  </si>
  <si>
    <t xml:space="preserve">RAPPI S.A.S                                       </t>
  </si>
  <si>
    <t>SOY TU PEDIATRA INSTITUCION PRESTADORA DE SERVICIO</t>
  </si>
  <si>
    <t xml:space="preserve">NUTRIENDO ALMAS S.A.S                             </t>
  </si>
  <si>
    <t>MARIA EUGENIA VASQUEZ</t>
  </si>
  <si>
    <t>IMPUESTO EN CUENTA PUNTE BANCOLOMBIA</t>
  </si>
  <si>
    <t>ENERO</t>
  </si>
  <si>
    <t>FEBRERO</t>
  </si>
  <si>
    <t xml:space="preserve">PAULA ANDREA ROJAS ARROYAVE /FRUTY 10             </t>
  </si>
  <si>
    <t xml:space="preserve">EDGAR ALONSO BEDOYA GARCIA                        </t>
  </si>
  <si>
    <t xml:space="preserve">CAMARA DE COMERCIO ABURRA SUR                     </t>
  </si>
  <si>
    <t xml:space="preserve">RENTING COLOMBIA S.A.                             </t>
  </si>
  <si>
    <t xml:space="preserve">LEGUMBRES HERIBERTO MONTES SAS                    </t>
  </si>
  <si>
    <t xml:space="preserve">ALLIANZ SEGUROS SA                                </t>
  </si>
  <si>
    <t xml:space="preserve">POSTOBON S.A.                                     </t>
  </si>
  <si>
    <t xml:space="preserve">COOPERATIVA COLANTA LTDA                          </t>
  </si>
  <si>
    <t xml:space="preserve">CAMARA DE COMERCIO DE MEDELLIN                    </t>
  </si>
  <si>
    <t xml:space="preserve">CONFECCIONES EFEJOTA S.A.S.                       </t>
  </si>
  <si>
    <t xml:space="preserve">ATLANTIC FS SAS                                   </t>
  </si>
  <si>
    <t xml:space="preserve">UNE EPM TELECOMUNICACIONES S.A                    </t>
  </si>
  <si>
    <t xml:space="preserve">ARRENDAMIENTOS LONDOÑO GOMEZ                      </t>
  </si>
  <si>
    <t xml:space="preserve">DE LOLITA RESTO CAFE S.A.S                        </t>
  </si>
  <si>
    <t xml:space="preserve">JALTECH SOLUCIONES S.A.S                          </t>
  </si>
  <si>
    <t xml:space="preserve">GRUPO ATOCHA S.A.S                                </t>
  </si>
  <si>
    <t xml:space="preserve">ECOLIMPIADORES S.A.S                              </t>
  </si>
  <si>
    <t xml:space="preserve">SANAM SANEAMIENTO AMBIENTAL S.A.S                 </t>
  </si>
  <si>
    <t xml:space="preserve">SAPHETY - TRANSACCIONES ELECTRONICAS S A S        </t>
  </si>
  <si>
    <t xml:space="preserve">SURAMERICA COMERCIAL S.A.S                        </t>
  </si>
  <si>
    <t xml:space="preserve">INVERSIONES CARIS S.A.S                           </t>
  </si>
  <si>
    <t xml:space="preserve">AVACOUNTRIB S.A.S                                 </t>
  </si>
  <si>
    <t xml:space="preserve">CREATOR ACRILICOS S.A.S                           </t>
  </si>
  <si>
    <t xml:space="preserve">INGEMAN SOLUCIONES SAS                            </t>
  </si>
  <si>
    <t xml:space="preserve">INVERSIONES CANDANAS S.A.S                        </t>
  </si>
  <si>
    <t xml:space="preserve">MARIN QUINTERO YOHANY ALEXIS                      </t>
  </si>
  <si>
    <t xml:space="preserve">SERNA LONDOÑO RUBEN DARIO                         </t>
  </si>
  <si>
    <t>2026-03</t>
  </si>
  <si>
    <t xml:space="preserve">RENDIMIENTO FINANCIEROS 7%    </t>
  </si>
  <si>
    <t xml:space="preserve">CREDIPAGOS BANCOLOMBIA 30866  </t>
  </si>
  <si>
    <t xml:space="preserve">    70.559.764-3</t>
  </si>
  <si>
    <t xml:space="preserve">WILFER PEREZ G.               </t>
  </si>
  <si>
    <t xml:space="preserve">CXP OASIS URBANOS             </t>
  </si>
  <si>
    <t xml:space="preserve">   860.002.134-8</t>
  </si>
  <si>
    <t>ABBOTT LABORATORIES DE COLOMBI</t>
  </si>
  <si>
    <t xml:space="preserve">   900.113.592-9</t>
  </si>
  <si>
    <t xml:space="preserve">E GLOBAL TECHNOLOGY S.A.S     </t>
  </si>
  <si>
    <t xml:space="preserve">   901.997.478-3</t>
  </si>
  <si>
    <t xml:space="preserve">SERVICRÉDITO PLUS S.A.S.      </t>
  </si>
  <si>
    <t xml:space="preserve">   901.181.946-6</t>
  </si>
  <si>
    <t>CREANDO EXCLUSIVIDAD, FANTASIA</t>
  </si>
  <si>
    <t xml:space="preserve">   901.609.525-9</t>
  </si>
  <si>
    <t xml:space="preserve">BOLSAS Y PLASTICOS MR S.A.S   </t>
  </si>
  <si>
    <t xml:space="preserve"> 1.035.439.331-7</t>
  </si>
  <si>
    <t xml:space="preserve">MARIANA MONTOYA HERNANDEZ     </t>
  </si>
  <si>
    <t xml:space="preserve">SERVICIOS ADMINISTRATIVOS     </t>
  </si>
  <si>
    <t xml:space="preserve">   899.999.007-0</t>
  </si>
  <si>
    <t>OFICINA DE REGISTRO DE INSTRUM</t>
  </si>
  <si>
    <t xml:space="preserve">   860.037.013-6</t>
  </si>
  <si>
    <t xml:space="preserve">COMPAÑIA MUNDIAL DE SEGUROS S </t>
  </si>
  <si>
    <t xml:space="preserve">    32.227.644-5</t>
  </si>
  <si>
    <t xml:space="preserve">LENIS ROLDAN CLAUDIA YANETH   </t>
  </si>
  <si>
    <t xml:space="preserve">   890.910.984-6</t>
  </si>
  <si>
    <t>SOCIEDAD TRANSPORTADORA MEDELL</t>
  </si>
  <si>
    <t xml:space="preserve">   900.742.925-6</t>
  </si>
  <si>
    <t xml:space="preserve">INVERSIONES ZONAZUL S.A.S     </t>
  </si>
  <si>
    <t xml:space="preserve">VENTAS 2.5%                   </t>
  </si>
  <si>
    <t xml:space="preserve">    71.333.495-1</t>
  </si>
  <si>
    <t xml:space="preserve">YEYSON ORLEY BLANDON VALENCIA </t>
  </si>
  <si>
    <t xml:space="preserve">   901.846.729-1</t>
  </si>
  <si>
    <t>S.C CONSCIENCIA HUMANA Y ORGAN</t>
  </si>
  <si>
    <t xml:space="preserve"> 1.036.928.017-0</t>
  </si>
  <si>
    <t xml:space="preserve">KAREN ELISA GIL FRANCO        </t>
  </si>
  <si>
    <t xml:space="preserve">COMISIONES 11%                </t>
  </si>
  <si>
    <t xml:space="preserve">   900.110.569-5</t>
  </si>
  <si>
    <t xml:space="preserve">RED AGROVETERINARIA S.A.      </t>
  </si>
  <si>
    <t xml:space="preserve">   900.839.469-7</t>
  </si>
  <si>
    <t>EDIFICIO SALUD Y SERVICIOS PRO</t>
  </si>
  <si>
    <t xml:space="preserve">   901.083.448-1</t>
  </si>
  <si>
    <t xml:space="preserve">BLUE SALUD Y MOVIMIENTO S.A.S </t>
  </si>
  <si>
    <t xml:space="preserve">   901.137.699-5</t>
  </si>
  <si>
    <t xml:space="preserve">MINISO COLOMBIA S.A.S         </t>
  </si>
  <si>
    <t xml:space="preserve"> 1.017.146.687-1</t>
  </si>
  <si>
    <t>BLANDON ARISTIZABAL LEIDY JOHA</t>
  </si>
  <si>
    <t xml:space="preserve"> 1.036.607.349-3</t>
  </si>
  <si>
    <t xml:space="preserve">SELECCION DE PERSONAL         </t>
  </si>
  <si>
    <t xml:space="preserve">    25.191.705-3</t>
  </si>
  <si>
    <t xml:space="preserve">MARIA NOHELIA GIRALDO ANGEL   </t>
  </si>
  <si>
    <t xml:space="preserve">   811.044.852-1</t>
  </si>
  <si>
    <t>COMPAÑIA DE INVERSIONES Y SERV</t>
  </si>
  <si>
    <t>VERONICA MORENO</t>
  </si>
  <si>
    <t xml:space="preserve">ANDRES FELIPE MONTOYA VELEZ                       </t>
  </si>
  <si>
    <t xml:space="preserve">CINCO E S.A.S                                     </t>
  </si>
  <si>
    <t xml:space="preserve">MATRIZ SEGURIDAD INDUSTRIAL S.A.S                 </t>
  </si>
  <si>
    <t>OASIS URBANOS SAS</t>
  </si>
  <si>
    <t>INGRESOS MENOS COSTO ARRIENDO PLAZA FABRICATO</t>
  </si>
  <si>
    <t>2026-04</t>
  </si>
  <si>
    <t xml:space="preserve">   384.228.838-9</t>
  </si>
  <si>
    <t xml:space="preserve">CREALA LLC                    </t>
  </si>
  <si>
    <t xml:space="preserve">"C                            </t>
  </si>
  <si>
    <t xml:space="preserve">DEVOLUCION PROD CON IVA 19%   </t>
  </si>
  <si>
    <t xml:space="preserve">   890.937.233-0</t>
  </si>
  <si>
    <t>SOCIEDAD TELEVISION DE ANTIOQU</t>
  </si>
  <si>
    <t xml:space="preserve">FLETES 1%                     </t>
  </si>
  <si>
    <t xml:space="preserve">"A                            </t>
  </si>
  <si>
    <t xml:space="preserve">   901.563.292-8</t>
  </si>
  <si>
    <t xml:space="preserve">SM INNOVACIÓN GRÁFICA S.A.S   </t>
  </si>
  <si>
    <t xml:space="preserve">   860.010.268-1</t>
  </si>
  <si>
    <t xml:space="preserve">AJOVECO S.A.S                 </t>
  </si>
  <si>
    <t xml:space="preserve">   890.106.527-5</t>
  </si>
  <si>
    <t xml:space="preserve">PROCAPS SA                    </t>
  </si>
  <si>
    <t xml:space="preserve">   890.301.463-8</t>
  </si>
  <si>
    <t xml:space="preserve">LABORATORIO FRANCO COLOMBIANO </t>
  </si>
  <si>
    <t xml:space="preserve">   900.765.024-4</t>
  </si>
  <si>
    <t xml:space="preserve">CUIDADO INTENSIVO S.A.S.      </t>
  </si>
  <si>
    <t xml:space="preserve">   900.800.051-3</t>
  </si>
  <si>
    <t>CPA DISTRIBUCIÓN DE COLOMBIA S</t>
  </si>
  <si>
    <t xml:space="preserve">   900.842.653-7</t>
  </si>
  <si>
    <t xml:space="preserve">ISOMED PHARMA COLOMBIA S.A.S. </t>
  </si>
  <si>
    <t xml:space="preserve">   800.149.695-1</t>
  </si>
  <si>
    <t xml:space="preserve">FARMASANITAS LTDA             </t>
  </si>
  <si>
    <t xml:space="preserve">"""CORPAUL                    </t>
  </si>
  <si>
    <t xml:space="preserve">   900.439.301-2</t>
  </si>
  <si>
    <t>INVERSIONES INT COLOMBIA SOCIE</t>
  </si>
  <si>
    <t xml:space="preserve"> 1.045.019.236-1</t>
  </si>
  <si>
    <t xml:space="preserve">DUVAN FELIPE DIAZ PINEDA      </t>
  </si>
  <si>
    <t xml:space="preserve"> 1.000.189.194-3</t>
  </si>
  <si>
    <t>DIANA CAROLINA OSORIO HINCAPIE</t>
  </si>
  <si>
    <t xml:space="preserve"> 1.045.136.117-2</t>
  </si>
  <si>
    <t xml:space="preserve">SIRLEY NATALIA ORTEGA GUZMAN  </t>
  </si>
  <si>
    <t>"MONTOYA DELGADO NUBIA MARCELA</t>
  </si>
  <si>
    <t xml:space="preserve">INDUSTRIAS MANUFACTURERAS     </t>
  </si>
  <si>
    <t xml:space="preserve">PROD DE OTRAS INDUSTRIAS      </t>
  </si>
  <si>
    <t xml:space="preserve">ACTIVOS FIJOS                 </t>
  </si>
  <si>
    <t xml:space="preserve">   860.039.537-2</t>
  </si>
  <si>
    <t xml:space="preserve">FUNDACION EL PICACHO          </t>
  </si>
  <si>
    <t xml:space="preserve">ASESORIAS                     </t>
  </si>
  <si>
    <t xml:space="preserve">IMPUESTO PREDIAL              </t>
  </si>
  <si>
    <t xml:space="preserve">TELEFONIA CELULAR             </t>
  </si>
  <si>
    <t xml:space="preserve">DONACIONES                    </t>
  </si>
  <si>
    <t xml:space="preserve">    15.505.702-5</t>
  </si>
  <si>
    <t xml:space="preserve">ALVAREZ MESA HECTOR MARIO     </t>
  </si>
  <si>
    <t xml:space="preserve">    43.632.308-1</t>
  </si>
  <si>
    <t xml:space="preserve">PATIÑO CARDONA JUDY ANDREA    </t>
  </si>
  <si>
    <t xml:space="preserve">   860.062.084-4</t>
  </si>
  <si>
    <t xml:space="preserve">MESAS Y SILLAS S.A.S          </t>
  </si>
  <si>
    <t xml:space="preserve">COMP. DE MERC. NO DEDUCIBLE   </t>
  </si>
  <si>
    <t xml:space="preserve">    44.001.485-3</t>
  </si>
  <si>
    <t xml:space="preserve">SUAREZ GARCIA YENNY TATIANA   </t>
  </si>
  <si>
    <t xml:space="preserve">   901.708.030-1</t>
  </si>
  <si>
    <t xml:space="preserve">INDUGLOBALES S.A.S.           </t>
  </si>
  <si>
    <t xml:space="preserve">DEDUCCION SALUD VISUAL        </t>
  </si>
  <si>
    <t xml:space="preserve"> 1.007.110.909-8</t>
  </si>
  <si>
    <t xml:space="preserve">GRACIANO ANDREA               </t>
  </si>
  <si>
    <t xml:space="preserve"> 1.021.806.386-5</t>
  </si>
  <si>
    <t xml:space="preserve">OSPINA MONTOYA LIZ MANUELA    </t>
  </si>
  <si>
    <t xml:space="preserve"> 1.038.771.346-1</t>
  </si>
  <si>
    <t>CASTAÑEDA CASTAÑEDA ANGIE DANI</t>
  </si>
  <si>
    <t xml:space="preserve">     9.911.946-4</t>
  </si>
  <si>
    <t xml:space="preserve">RENZO DARIO BERMUDEZ TAPASCO  </t>
  </si>
  <si>
    <t xml:space="preserve">   900.338.748-7</t>
  </si>
  <si>
    <t>PAPELERIA BOLIVARIANA BELLO S.</t>
  </si>
  <si>
    <t xml:space="preserve">   900.903.544-5</t>
  </si>
  <si>
    <t xml:space="preserve">DISTRIBUIDOR ESPECIALIZADO DE </t>
  </si>
  <si>
    <t>AVISIS Y TABLEROS Y TASA BOMBE</t>
  </si>
  <si>
    <t xml:space="preserve">   800.180.330-9</t>
  </si>
  <si>
    <t xml:space="preserve">   835.000.779-8</t>
  </si>
  <si>
    <t xml:space="preserve">DARSALUD Y BIENESTAR S.A.S    </t>
  </si>
  <si>
    <t xml:space="preserve">   900.319.753-3</t>
  </si>
  <si>
    <t xml:space="preserve">PRICESMART                    </t>
  </si>
  <si>
    <t xml:space="preserve">   901.696.840-5</t>
  </si>
  <si>
    <t>DEPOSITO Y FERRETERIA MALIBU S</t>
  </si>
  <si>
    <t xml:space="preserve">PAPELERIA                     </t>
  </si>
  <si>
    <t>MARZO</t>
  </si>
  <si>
    <t>ABRIL</t>
  </si>
  <si>
    <t xml:space="preserve">INSTITUTO DE LAS HERMANAS DE JESUS REDENTOR       </t>
  </si>
  <si>
    <t>CREALA LLC</t>
  </si>
  <si>
    <t>PAULA SERNA</t>
  </si>
  <si>
    <t xml:space="preserve">NUBIA ELSY MONTOYA          "                                                                                                                                                                           </t>
  </si>
  <si>
    <t>TC ANA</t>
  </si>
  <si>
    <t xml:space="preserve">SERVICOMPLEMENTOS S.A.                            </t>
  </si>
  <si>
    <t xml:space="preserve">RAZEM S.A.S                                       </t>
  </si>
  <si>
    <t>2026-05</t>
  </si>
  <si>
    <t>MAYO</t>
  </si>
  <si>
    <t xml:space="preserve">   800.039.776-8</t>
  </si>
  <si>
    <t xml:space="preserve">A	FUNDACION INFANTIL SANTIAGO </t>
  </si>
  <si>
    <t xml:space="preserve">NUBIA ELSY MONTOYA            </t>
  </si>
  <si>
    <t xml:space="preserve">   900.872.082-1</t>
  </si>
  <si>
    <t>INNOVA SOLUCIONES Y SUMINISTRO</t>
  </si>
  <si>
    <t xml:space="preserve">   800.150.280-0</t>
  </si>
  <si>
    <t xml:space="preserve">A	FIDUCIARIA BANCOLOMBIA      </t>
  </si>
  <si>
    <t xml:space="preserve">RENTING COLOMBIA S.A.         </t>
  </si>
  <si>
    <t xml:space="preserve">   900.345.255-7</t>
  </si>
  <si>
    <t xml:space="preserve">GENTE CONFIABLE MEDELIN S.A.S </t>
  </si>
  <si>
    <t xml:space="preserve">MEGA STORAGE COLOMBIA S.A.S   </t>
  </si>
  <si>
    <t xml:space="preserve"> 1.037.640.303-8</t>
  </si>
  <si>
    <t xml:space="preserve">GAVIRIA VALENCIA EVELYN       </t>
  </si>
  <si>
    <t xml:space="preserve">   811.003.209-8</t>
  </si>
  <si>
    <t>A	CORPORACION INTERUNIVERSITAR</t>
  </si>
  <si>
    <t xml:space="preserve">   900.084.407-9</t>
  </si>
  <si>
    <t xml:space="preserve">GRAMALOTE COLOMBIA LIMITED    </t>
  </si>
  <si>
    <t xml:space="preserve">DEV EN COMPRA 5%              </t>
  </si>
  <si>
    <t xml:space="preserve">   900.770.336-7</t>
  </si>
  <si>
    <t xml:space="preserve">PAPELERIA EL PINGUINO S.A.S   </t>
  </si>
  <si>
    <t xml:space="preserve">   900.872.596-3</t>
  </si>
  <si>
    <t xml:space="preserve">SAMAN INVERSIONES S.A.S       </t>
  </si>
  <si>
    <t xml:space="preserve">   901.136.502-9</t>
  </si>
  <si>
    <t xml:space="preserve">ASOALMACENES S.A.S            </t>
  </si>
  <si>
    <t xml:space="preserve">    35.546.900-5</t>
  </si>
  <si>
    <t xml:space="preserve">DARLIN URRUTIA MOSQUERA       </t>
  </si>
  <si>
    <t xml:space="preserve">    55.232.379-1</t>
  </si>
  <si>
    <t>CRISTINA CANDELARIA CAYCEDO CO</t>
  </si>
  <si>
    <t xml:space="preserve"> 1.017.196.442-6</t>
  </si>
  <si>
    <t xml:space="preserve">CAROLINA PATIÑO GIRALDO       </t>
  </si>
  <si>
    <t xml:space="preserve"> 1.043.437.908-6</t>
  </si>
  <si>
    <t xml:space="preserve">MARIA MAGDALENA BOLIVAR SAMIA </t>
  </si>
  <si>
    <t xml:space="preserve"> 1.049.900.582-6</t>
  </si>
  <si>
    <t>KAREN CAROLINA CANTILLO RICAUR</t>
  </si>
  <si>
    <t xml:space="preserve">CAPACITACIONES                </t>
  </si>
  <si>
    <t xml:space="preserve">COMISIONES FONDO DE GARANTIAS </t>
  </si>
  <si>
    <t xml:space="preserve">DESCUENTOS RAPPI              </t>
  </si>
  <si>
    <t xml:space="preserve">POR ROBO                      </t>
  </si>
  <si>
    <t xml:space="preserve">   901.448.316-4</t>
  </si>
  <si>
    <t xml:space="preserve">SOMOS UNO RESTO CAFE SAS      </t>
  </si>
  <si>
    <t xml:space="preserve">    43.250.280-4</t>
  </si>
  <si>
    <t xml:space="preserve">OSPINA OSPINA LUZ EDITH       </t>
  </si>
  <si>
    <t xml:space="preserve"> 1.140.844.254-5</t>
  </si>
  <si>
    <t xml:space="preserve">ROMERO CARVAL ENITH JOHANA    </t>
  </si>
  <si>
    <t xml:space="preserve"> 1.046.914.021-6</t>
  </si>
  <si>
    <t xml:space="preserve">VILLA GALLEGO ESTEFANIA       </t>
  </si>
  <si>
    <t xml:space="preserve">   900.856.080-8</t>
  </si>
  <si>
    <t>SUPERMERCADOS MERCA AHORRO S.A</t>
  </si>
  <si>
    <t xml:space="preserve">   901.811.516-7</t>
  </si>
  <si>
    <t xml:space="preserve">ESISCO S.A.S                  </t>
  </si>
  <si>
    <t xml:space="preserve">COMPRAS 3.5%                  </t>
  </si>
  <si>
    <t xml:space="preserve">   830.129.327-1</t>
  </si>
  <si>
    <t xml:space="preserve">FARMATODO COLOMBIA S.A        </t>
  </si>
  <si>
    <t xml:space="preserve"> 1.001.362.700-5</t>
  </si>
  <si>
    <t>LAURA CAROLINA ESPINOZA TAMAYO</t>
  </si>
  <si>
    <t>ERIKA JULIETH BORJA ZAPATA</t>
  </si>
  <si>
    <t xml:space="preserve">RODAS CORREA WILSON ALEXIS                        </t>
  </si>
  <si>
    <t xml:space="preserve">CREALA LLC                                        </t>
  </si>
  <si>
    <t xml:space="preserve">C.I. TECNOLOGIA ALIMENTARIA S.                    </t>
  </si>
  <si>
    <t xml:space="preserve">GENTE CONFIABLE MEDELIN S.A.S                     </t>
  </si>
  <si>
    <t>2026-06</t>
  </si>
  <si>
    <t>Balance de Prueba por NIT (Miles)  Jun-30-2026</t>
  </si>
  <si>
    <t xml:space="preserve">LICENCIAS                     </t>
  </si>
  <si>
    <t xml:space="preserve">SOFTWARE CONTABLE             </t>
  </si>
  <si>
    <t xml:space="preserve">   890.319.193-3</t>
  </si>
  <si>
    <t>SISTEMAS DE INFORMACION EMPRES</t>
  </si>
  <si>
    <t xml:space="preserve">   901.101.292-6</t>
  </si>
  <si>
    <t xml:space="preserve">TECNOLOGIA PLUS S.A.S         </t>
  </si>
  <si>
    <t xml:space="preserve"> 1.128.467.176-8</t>
  </si>
  <si>
    <t>CRISTIAN ANDRES ORTIZ PULGARIN</t>
  </si>
  <si>
    <t xml:space="preserve">     2.773.588-2</t>
  </si>
  <si>
    <t xml:space="preserve">SIGIFREDO GIRALDO OROZCO      </t>
  </si>
  <si>
    <t xml:space="preserve">   900.783.574-1</t>
  </si>
  <si>
    <t>BUSINESS PROCESS &amp; TECHNOLOGIE</t>
  </si>
  <si>
    <t xml:space="preserve">     1.421.933-7</t>
  </si>
  <si>
    <t xml:space="preserve">BIRLLY  NAIROBE MOLINA        </t>
  </si>
  <si>
    <t xml:space="preserve">     5.601.421-5</t>
  </si>
  <si>
    <t xml:space="preserve">LADY FABIANA GOMEZ MARTINEZ   </t>
  </si>
  <si>
    <t xml:space="preserve">    43.265.861-9</t>
  </si>
  <si>
    <t xml:space="preserve">ANGELA OMAIRA GARCIA GIRALDO  </t>
  </si>
  <si>
    <t xml:space="preserve"> 1.017.261.425-9</t>
  </si>
  <si>
    <t>DAYANA CRISTIINA BUITRAGO ORTI</t>
  </si>
  <si>
    <t xml:space="preserve"> 1.025.640.979-2</t>
  </si>
  <si>
    <t xml:space="preserve">LISETH TATIANA ATEHORTUA MENA </t>
  </si>
  <si>
    <t xml:space="preserve"> 1.033.371.161-1</t>
  </si>
  <si>
    <t xml:space="preserve">MARIA JULIA AMADOR MALDONADO  </t>
  </si>
  <si>
    <t xml:space="preserve">CORREO PORTES Y TELEGRAMAS    </t>
  </si>
  <si>
    <t xml:space="preserve">MENSAJERIA                    </t>
  </si>
  <si>
    <t xml:space="preserve">MANTENIMIENTO                 </t>
  </si>
  <si>
    <t>CAMBIO MENUDA</t>
  </si>
  <si>
    <t>A 30 DE JUNIO DE 2026 Y 2025</t>
  </si>
  <si>
    <t>2025-06</t>
  </si>
  <si>
    <t>Balance de Prueba por NIT (Miles)  Jun-30-2025</t>
  </si>
  <si>
    <t xml:space="preserve">     8.280.895-4</t>
  </si>
  <si>
    <t xml:space="preserve">VASQUEZ ESTRADA PABLO EMILIO  </t>
  </si>
  <si>
    <t>11.408.442.545-7</t>
  </si>
  <si>
    <t xml:space="preserve">Enith Romero                  </t>
  </si>
  <si>
    <t xml:space="preserve"> 1.001.227.269-4</t>
  </si>
  <si>
    <t xml:space="preserve">NOREÑA GIL ISABELA            </t>
  </si>
  <si>
    <t xml:space="preserve">    52.805.361-9</t>
  </si>
  <si>
    <t>MENDIVERLSO FONSECA JAZMIN JUL</t>
  </si>
  <si>
    <t xml:space="preserve">   900.384.295-8</t>
  </si>
  <si>
    <t xml:space="preserve">COMPUNETWORK RENTING S.A.S    </t>
  </si>
  <si>
    <t xml:space="preserve">   901.813.274-9</t>
  </si>
  <si>
    <t>CEB CONSTELACIONES EN BIOCONSC</t>
  </si>
  <si>
    <t xml:space="preserve"> 1.037.596.357-7</t>
  </si>
  <si>
    <t>LUCAS ALEJANDRO PALACIO MONTOY</t>
  </si>
  <si>
    <t xml:space="preserve"> 1.037.623.161-7</t>
  </si>
  <si>
    <t xml:space="preserve">VELASQUEZ ECHEVERRI SIMON     </t>
  </si>
  <si>
    <t xml:space="preserve">CXP NUTRIENDO                 </t>
  </si>
  <si>
    <t xml:space="preserve">    43.462.828-1</t>
  </si>
  <si>
    <t>MARTA CECILIA OTALVARO MANRRIQ</t>
  </si>
  <si>
    <t xml:space="preserve">IMPUESTOS ASUMIDOS            </t>
  </si>
  <si>
    <t>IVA PERIODO</t>
  </si>
  <si>
    <t xml:space="preserve">EMPRESAS PUBLICAS DE MEDELLIN                     </t>
  </si>
  <si>
    <t xml:space="preserve">DIANA CAROLINA OSORIO PADILLA                     </t>
  </si>
  <si>
    <t>EMPRESAS PUBLICAS DE MEDELLIN</t>
  </si>
  <si>
    <t>ANDRES MONTOYA</t>
  </si>
  <si>
    <t xml:space="preserve">PLAZA DE LA LIBERTAD         </t>
  </si>
  <si>
    <t>JUNIO</t>
  </si>
  <si>
    <t xml:space="preserve">SISTEMAS DE INFORMACION EMPRESARIAL S.A.S.        </t>
  </si>
  <si>
    <t xml:space="preserve">TECNOLOGIA PLUS S.A.S                             </t>
  </si>
  <si>
    <t>CRUZAR ANTICIPOS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</si>
</sst>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9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#,##0;[Red]\-&quot;$&quot;#,##0"/>
    <numFmt numFmtId="165" formatCode="&quot;$&quot;#,##0.00;[Red]\-&quot;$&quot;#,##0.00"/>
    <numFmt numFmtId="166" formatCode="_-&quot;$&quot;* #,##0_-;\-&quot;$&quot;* #,##0_-;_-&quot;$&quot;* &quot;-&quot;_-;_-@_-"/>
    <numFmt numFmtId="167" formatCode="_-&quot;$&quot;* #,##0.00_-;\-&quot;$&quot;* #,##0.00_-;_-&quot;$&quot;* &quot;-&quot;??_-;_-@_-"/>
    <numFmt numFmtId="168" formatCode="#,##0\ &quot;€&quot;;\-#,##0\ &quot;€&quot;"/>
    <numFmt numFmtId="169" formatCode="#,##0.00\ &quot;€&quot;;\-#,##0.00\ &quot;€&quot;"/>
    <numFmt numFmtId="170" formatCode="_-* #,##0\ &quot;€&quot;_-;\-* #,##0\ &quot;€&quot;_-;_-* &quot;-&quot;\ &quot;€&quot;_-;_-@_-"/>
    <numFmt numFmtId="171" formatCode="_-* #,##0\ _€_-;\-* #,##0\ _€_-;_-* &quot;-&quot;\ _€_-;_-@_-"/>
    <numFmt numFmtId="172" formatCode="_-* #,##0.00\ &quot;€&quot;_-;\-* #,##0.00\ &quot;€&quot;_-;_-* &quot;-&quot;??\ &quot;€&quot;_-;_-@_-"/>
    <numFmt numFmtId="173" formatCode="_-* #,##0.00\ _€_-;\-* #,##0.00\ _€_-;_-* &quot;-&quot;??\ _€_-;_-@_-"/>
    <numFmt numFmtId="174" formatCode="_(&quot;$&quot;\ * #,##0.00_);_(&quot;$&quot;\ * \(#,##0.00\);_(&quot;$&quot;\ * &quot;-&quot;??_);_(@_)"/>
    <numFmt numFmtId="175" formatCode="_(* #,##0.00_);_(* \(#,##0.00\);_(* &quot;-&quot;??_);_(@_)"/>
    <numFmt numFmtId="176" formatCode="_(* #,##0_);_(* \(#,##0\);_(* &quot;-&quot;??_);_(@_)"/>
    <numFmt numFmtId="177" formatCode="_-* #,##0_-;\-* #,##0_-;_-* &quot;-&quot;??_-;_-@_-"/>
    <numFmt numFmtId="178" formatCode="[$-409]mmm\-yy;@"/>
    <numFmt numFmtId="179" formatCode="\ #,##0.0_);\(#,##0.0\);&quot; - &quot;_);@_)"/>
    <numFmt numFmtId="180" formatCode="_-&quot;¤&quot;* #,##0_-;\-&quot;¤&quot;* #,##0_-;_-&quot;¤&quot;* &quot;-&quot;_-;_-@_-"/>
    <numFmt numFmtId="181" formatCode="\$#,##0_);[Red]\(\$#,##0\)"/>
    <numFmt numFmtId="182" formatCode="#,##0.0"/>
    <numFmt numFmtId="183" formatCode="&quot;$&quot;#,##0_);\(&quot;$&quot;#,##0\)"/>
    <numFmt numFmtId="184" formatCode="&quot;$&quot;#,##0.0_);\(&quot;$&quot;#,##0.0\)"/>
    <numFmt numFmtId="185" formatCode="&quot;$&quot;#,##0.00_);[Red]\(&quot;$&quot;#,##0.00\)"/>
    <numFmt numFmtId="186" formatCode="&quot;$&quot;#,##0.000_);\(&quot;$&quot;#,##0.000\)"/>
    <numFmt numFmtId="187" formatCode="_(* &quot;$&quot;#,##0_);_(* \(&quot;$&quot;#,##0\);_(* &quot;-&quot;??_);_(@_)"/>
    <numFmt numFmtId="188" formatCode="\$#\ #,##0"/>
    <numFmt numFmtId="189" formatCode="\$* #,##0_-;\-* #,##0_-;"/>
    <numFmt numFmtId="190" formatCode="#,##0.0;[Red]\(#,##0.0\)"/>
    <numFmt numFmtId="191" formatCode="0.00_);\(0.00\)"/>
    <numFmt numFmtId="192" formatCode="0.00;[Red]\(0.00\);&quot;-&quot;"/>
    <numFmt numFmtId="193" formatCode="#,##0;\(#,##0\)"/>
    <numFmt numFmtId="194" formatCode="_-&quot;\&quot;* #,##0_-;\-&quot;\&quot;* #,##0_-;_-&quot;\&quot;* &quot;-&quot;_-;_-@_-"/>
    <numFmt numFmtId="195" formatCode="&quot;\&quot;#,##0.00;[Red]&quot;\&quot;\-#,##0.00"/>
    <numFmt numFmtId="196" formatCode="&quot;\&quot;#,##0;[Red]&quot;\&quot;\-#,##0"/>
    <numFmt numFmtId="197" formatCode="0.0_)\%;\(0.0\)\%;0.0_)\%;@_)_%"/>
    <numFmt numFmtId="198" formatCode="#,##0.0_)_%;\(#,##0.0\)_%;0.0_)_%;@_)_%"/>
    <numFmt numFmtId="199" formatCode="0.000000"/>
    <numFmt numFmtId="200" formatCode="#,##0.0_);\(#,##0.0\);#,##0.0_);@_)"/>
    <numFmt numFmtId="201" formatCode="#,##0.0000_);\(#,##0.0000\)"/>
    <numFmt numFmtId="202" formatCode="&quot;€&quot;_(#,##0.00_);&quot;€&quot;\(#,##0.00\);&quot;€&quot;_(0.00_);@_)"/>
    <numFmt numFmtId="203" formatCode="&quot;$&quot;_(#,##0.00_);&quot;$&quot;\(#,##0.00\);&quot;$&quot;_(0.00_);@_)"/>
    <numFmt numFmtId="204" formatCode="#,##0.00000_);\(#,##0.00000\)"/>
    <numFmt numFmtId="205" formatCode="#,##0.0\x"/>
    <numFmt numFmtId="206" formatCode="&quot;R$ &quot;_(#,##0.00_);&quot;R$ &quot;\(#,##0.00\);&quot;R$ &quot;_(0.00_);@_)"/>
    <numFmt numFmtId="207" formatCode="#,##0.00_);\(#,##0.00\);0.00_);@_)"/>
    <numFmt numFmtId="208" formatCode="#,##0.000000_);\(#,##0.000000\)"/>
    <numFmt numFmtId="209" formatCode="#,##0.00_ ;[Red]\-#,##0.00;\-"/>
    <numFmt numFmtId="210" formatCode="#,##0,,\ \ \ \ \ \ \ \ \ \ \ "/>
    <numFmt numFmtId="211" formatCode="#,##0.0000\ \ "/>
    <numFmt numFmtId="212" formatCode="#,##0.000_%_);\(#,##0.000\)_%;**;@_%_)"/>
    <numFmt numFmtId="213" formatCode="#,##0.000000"/>
    <numFmt numFmtId="214" formatCode="\€_(#,##0.00_);\€\(#,##0.00\);\€_(0.00_);@_)"/>
    <numFmt numFmtId="215" formatCode="#,##0.00\x"/>
    <numFmt numFmtId="216" formatCode="#,##0_)\x;\(#,##0\)\x;0_)\x;@_)_x"/>
    <numFmt numFmtId="217" formatCode="_(* #,##0_);_(* \(#,##0\);_(* &quot;-&quot;?_);_(@_)"/>
    <numFmt numFmtId="218" formatCode="_(&quot;R$&quot;* #,##0.00_);_(&quot;R$&quot;* \(#,##0.00\);_(&quot;R$&quot;* &quot;-&quot;??_);_(@_)"/>
    <numFmt numFmtId="219" formatCode="#,##0_)_x;\(#,##0\)_x;0_)_x;@_)_x"/>
    <numFmt numFmtId="220" formatCode="#,##0.000_);\(#,##0.000\)"/>
    <numFmt numFmtId="221" formatCode="#,##0.0\x_);\(#,##0.0\x\);#,##0.0\x_);@_)"/>
    <numFmt numFmtId="222" formatCode="#,##0.0\%_);\(#,##0.0\%\);#,##0.0\%_);@_)"/>
    <numFmt numFmtId="223" formatCode="#,##0.000_%_);\(#,##0.000\)_%;#,##0.000_%_);@_%_)"/>
    <numFmt numFmtId="224" formatCode=";;;@*."/>
    <numFmt numFmtId="225" formatCode="#,##0.0\x_);\(#,##0.0\x\)"/>
    <numFmt numFmtId="226" formatCode="#,##0.00_ ;\(#,##0.00\)"/>
    <numFmt numFmtId="227" formatCode="#,##0.0\x_);\(###0.0\x\)"/>
    <numFmt numFmtId="228" formatCode="[$£-809]#,##0.0"/>
    <numFmt numFmtId="229" formatCode="#,##0.0_x_);\(#,##0.0_x\)"/>
    <numFmt numFmtId="230" formatCode="\£\ #,##0_);[Red]\(\£\ #,##0\)"/>
    <numFmt numFmtId="231" formatCode="\¥\ #,##0_);[Red]\(\¥\ #,##0\)"/>
    <numFmt numFmtId="232" formatCode="#,##0;\(#,##0\);&quot;-&quot;"/>
    <numFmt numFmtId="233" formatCode="#,##0.0_x_);\(#,##0\)_x"/>
    <numFmt numFmtId="234" formatCode="0.0%"/>
    <numFmt numFmtId="235" formatCode="0_)"/>
    <numFmt numFmtId="236" formatCode="0.00%;[Red]\-0.00%;&quot;－&quot;"/>
    <numFmt numFmtId="237" formatCode="&quot;$&quot;#,###._;\(&quot;$&quot;###0.0\ȩ;"/>
    <numFmt numFmtId="238" formatCode="0.00\ ;\(0.00\)"/>
    <numFmt numFmtId="239" formatCode="&quot;(&quot;0%&quot;)   &quot;;[Red]\-&quot;(&quot;0%&quot;)   &quot;;&quot;－    &quot;"/>
    <numFmt numFmtId="240" formatCode="_-* #,##0.00\ &quot;$&quot;_-;\-* #,##0.00\ &quot;$&quot;_-;_-* &quot;-&quot;??\ &quot;$&quot;_-;_-@_-"/>
    <numFmt numFmtId="241" formatCode="_(&quot;$&quot;* #,##0.00_);_(&quot;$&quot;* \(#,##0.00\);_(&quot;$&quot;* &quot;-&quot;??_);_(@_)"/>
    <numFmt numFmtId="242" formatCode="_ * #,##0_)_£_ ;_ * \(#,##0\)_£_ ;_ * &quot;-&quot;_)_£_ ;_ @_ "/>
    <numFmt numFmtId="243" formatCode="_(* #,##0_);_(* \(#,##0\)"/>
    <numFmt numFmtId="244" formatCode="d\-mmm\-yyyy"/>
    <numFmt numFmtId="245" formatCode="_(&quot;$&quot;* #,##0.00_);_(&quot;$&quot;* \(#,##0.00\);_(* &quot;-&quot;_);_(@_)"/>
    <numFmt numFmtId="246" formatCode="_-&quot;‏¤‏&quot;* #,##0_-;\-&quot;‏¤‏&quot;* #,##0_-;_-&quot;‏¤‏&quot;* &quot;-&quot;_-;_-@_-"/>
    <numFmt numFmtId="247" formatCode="\ \+* #,##0\ ;\ \-* #,##0\ ;\ \±* 0\ "/>
    <numFmt numFmtId="248" formatCode="mm/dd/yy"/>
    <numFmt numFmtId="249" formatCode="_(* #,##0\ &quot;pta&quot;_);_(* \(#,##0\ &quot;pta&quot;\);_(* &quot;-&quot;??\ &quot;pta&quot;_);_(@_)"/>
    <numFmt numFmtId="250" formatCode="&quot;$&quot;#,##0.00"/>
    <numFmt numFmtId="251" formatCode="###\ ###0"/>
    <numFmt numFmtId="252" formatCode="[Blue]#,##0\ \ \ ;[Blue]\(#,##0\)\ \ "/>
    <numFmt numFmtId="253" formatCode="#,##0.0_);[Red]\(#,##0.0\)"/>
    <numFmt numFmtId="254" formatCode="&quot;$&quot;\ #,##0;&quot;$&quot;\ \-#,##0"/>
    <numFmt numFmtId="255" formatCode="\•\ \ @"/>
    <numFmt numFmtId="256" formatCode="#,##0.0;\-#,##0.0"/>
    <numFmt numFmtId="257" formatCode="&quot;$&quot;#,###.;\(&quot;$&quot;###0.00\);"/>
    <numFmt numFmtId="258" formatCode="#,##0;\-#,##0;&quot;-&quot;"/>
    <numFmt numFmtId="259" formatCode="_(* #,##0_);[Red]_(* \(#,##0\);_(* &quot;&quot;\ \-\ &quot;&quot;_);_(@_)"/>
    <numFmt numFmtId="260" formatCode="_(* #,##0_);[Red]_(* \(#,##0\);_(* &quot;&quot;&quot;&quot;\ \-\ &quot;&quot;&quot;&quot;_);_(@_)"/>
    <numFmt numFmtId="261" formatCode="_(* #,##0,_);[Red]_(* \(#,##0,\);_(* &quot;&quot;&quot;&quot;\ \-\ &quot;&quot;&quot;&quot;_);_(@_)"/>
    <numFmt numFmtId="262" formatCode="_(* #,##0,,_);_(* \(#,##0,,\);_(* &quot;-&quot;_)"/>
    <numFmt numFmtId="263" formatCode="_(* #,##0_);[Red]_(* \(#,##0\);_(* &quot;&quot;&quot;&quot;&quot;&quot;&quot;&quot;\ \-\ &quot;&quot;&quot;&quot;&quot;&quot;&quot;&quot;_);_(@_)"/>
    <numFmt numFmtId="264" formatCode="General_)"/>
    <numFmt numFmtId="265" formatCode="#,##0;[Red]\(#,##0\)"/>
    <numFmt numFmtId="266" formatCode="mmm\ d\,\y\y"/>
    <numFmt numFmtId="267" formatCode="#,##0.0_);\(#,##0.0\);&quot;  -  &quot;"/>
    <numFmt numFmtId="268" formatCode="#,##0.0_);\(#,##0.0\)"/>
    <numFmt numFmtId="269" formatCode="_ * #,##0.00_ ;_ * \-#,##0.00_ ;_ * &quot;-&quot;??_ ;_ @_ "/>
    <numFmt numFmtId="270" formatCode="#,##0;\(#,##0\);0"/>
    <numFmt numFmtId="271" formatCode="#,##0.00_%_);\(#,##0.00\)_%;**;@_%_)"/>
    <numFmt numFmtId="272" formatCode="#,##0.00_%_);\(#,##0.00\)_%;#,##0.00_%_);@_%_)"/>
    <numFmt numFmtId="273" formatCode="\£\ #,##0.0_);\(\£\ #,##0.0\)"/>
    <numFmt numFmtId="274" formatCode="#,##0.0_%_);\(#,##0.0\)_%;**;@_%_)"/>
    <numFmt numFmtId="275" formatCode="#,##0%_);\(#,##0%\);#,##0%_);@_%_)"/>
    <numFmt numFmtId="276" formatCode="_(&quot;$&quot;* #,##0_);_(&quot;$&quot;* \(#,##0\);_(&quot;$&quot;* &quot;-&quot;_);_(@_)"/>
    <numFmt numFmtId="277" formatCode="_(&quot;$&quot;* #,##0_);_(&quot;$&quot;* \(#,##0\);_(&quot;$&quot;* &quot;-&quot;??_);_(@_)"/>
    <numFmt numFmtId="278" formatCode="&quot;$&quot;#,##0.00_%_);\(&quot;$&quot;#,##0.00\)_%;**;@_%_)"/>
    <numFmt numFmtId="279" formatCode="&quot;$&quot;#,##0.000_%_);\(&quot;$&quot;#,##0.000\)_%;**;@_%_)"/>
    <numFmt numFmtId="280" formatCode="#,##0.00000000_);[Red]\(#,##0.00000000\)"/>
    <numFmt numFmtId="281" formatCode="\$#,##0.00_);\(\$#,##0.00\)"/>
    <numFmt numFmtId="282" formatCode="&quot;$&quot;#,##0.0_%_);\(&quot;$&quot;#,##0.0\)_%;**;@_%_)"/>
    <numFmt numFmtId="283" formatCode="&quot;$&quot;\ #,##0.00;&quot;$&quot;\ \-#,##0.00"/>
    <numFmt numFmtId="284" formatCode="&quot;\&quot;#,##0;&quot;\&quot;\-#,##0"/>
    <numFmt numFmtId="285" formatCode="\$#,##0\ ;\(\$#,##0\)"/>
    <numFmt numFmtId="286" formatCode="&quot;$&quot;#,##0\ ;\(&quot;$&quot;#,##0\)"/>
    <numFmt numFmtId="287" formatCode="&quot;$&quot;0.00\ ;\(&quot;$&quot;0.00\)"/>
    <numFmt numFmtId="288" formatCode="\ \ _•\–\ \ \ \ @"/>
    <numFmt numFmtId="289" formatCode="m\o\n\th\ d\,\ \y\y\y\y"/>
    <numFmt numFmtId="290" formatCode="_(* #,##0.000000_);_(* \(#,##0.000000\);_(* &quot;-&quot;??_);_(@_)"/>
    <numFmt numFmtId="291" formatCode="_(* #,##0.00_);_(* \(#,##0.00\);_(* &quot;-&quot;_);_(@_)"/>
    <numFmt numFmtId="292" formatCode="mmm\-d\-yyyy"/>
    <numFmt numFmtId="293" formatCode="mmm\-yyyy"/>
    <numFmt numFmtId="294" formatCode="yyyy_)"/>
    <numFmt numFmtId="295" formatCode="m/d/yy_%_);;**"/>
    <numFmt numFmtId="296" formatCode="m/d/yy_%_)"/>
    <numFmt numFmtId="297" formatCode="m/d/yy\ h:mm"/>
    <numFmt numFmtId="298" formatCode="d\-mmm\-yy\ \ \ h:mm"/>
    <numFmt numFmtId="299" formatCode="_(* #,###.0_);_(* \(#,###.0\);_(* &quot;-&quot;?_);_(@_)"/>
    <numFmt numFmtId="300" formatCode="m"/>
    <numFmt numFmtId="301" formatCode="#,##0_);\(#,##0\);&quot;- &quot;;&quot;  &quot;@"/>
    <numFmt numFmtId="302" formatCode="_ * #,##0_)_€_ ;_ * \(#,##0\)_€_ ;_ * &quot;-&quot;_)_€_ ;_ @_ "/>
    <numFmt numFmtId="303" formatCode="_ * #,##0.00_)_€_ ;_ * \(#,##0.00\)_€_ ;_ * &quot;-&quot;??_)_€_ ;_ @_ "/>
    <numFmt numFmtId="304" formatCode="#."/>
    <numFmt numFmtId="305" formatCode="&quot;$&quot;#,##0.0\ \ \ ;\(&quot;$&quot;#,##0.0\)\ \ "/>
    <numFmt numFmtId="306" formatCode="#,##0_);\(#,##0\);&quot; - &quot;_);@_)"/>
    <numFmt numFmtId="307" formatCode="&quot;€&quot;#,##0.0_);\(&quot;€&quot;#,##0.0\)"/>
    <numFmt numFmtId="308" formatCode="\F\R\F\ #,##0.0_%_);\(\F\R\F\ #,##0.0\)_%;\G\R\ #,##0.0_%_);@_%_)"/>
    <numFmt numFmtId="309" formatCode="_-* #,##0_)_-;\-* \(#,##0\)_-;_-* &quot;-&quot;_)_-;_-@_-"/>
    <numFmt numFmtId="310" formatCode="_-* #,##0.00\ [$€-1]_-;\-* #,##0.00\ [$€-1]_-;_-* &quot;-&quot;??\ [$€-1]_-"/>
    <numFmt numFmtId="311" formatCode="_ [$€-2]\ * #,##0.00_ ;_ [$€-2]\ * \-#,##0.00_ ;_ [$€-2]\ * &quot;-&quot;??_ "/>
    <numFmt numFmtId="312" formatCode="_(\ #,##0.0_%_);_(\ \(#,##0.0_%\);_(\ &quot; - &quot;_%_);_(@_)"/>
    <numFmt numFmtId="313" formatCode="_(* #,##0.0_%_);_(* \(#,##0.0_%\);_(* &quot; - &quot;_%_);_(@_)"/>
    <numFmt numFmtId="314" formatCode="_(\ #,##0.0%_);_(\ \(#,##0.0%\);_(\ &quot; - &quot;\%_);_(@_)"/>
    <numFmt numFmtId="315" formatCode="_(* #,##0.0%_);_(* \(#,##0.0%\);_(* &quot; - &quot;\%_);_(@_)"/>
    <numFmt numFmtId="316" formatCode="_(* #,##0_);_(* \(#,##0\);_(* &quot; - &quot;_);_(@_)"/>
    <numFmt numFmtId="317" formatCode="_(* #,##0.0_);_(* \(#,##0.0\);_(* &quot; - &quot;_);_(@_)"/>
    <numFmt numFmtId="318" formatCode="\ #,##0.00_);\(#,##0.00\);&quot; - &quot;_);@_)"/>
    <numFmt numFmtId="319" formatCode="_(* #,##0.00_);_(* \(#,##0.00\);_(* &quot; - &quot;_);_(@_)"/>
    <numFmt numFmtId="320" formatCode="\ #,##0.000_);\(#,##0.000\);&quot; - &quot;_);@_)"/>
    <numFmt numFmtId="321" formatCode="_(* #,##0.000_);_(* \(#,##0.000\);_(* &quot; - &quot;_);_(@_)"/>
    <numFmt numFmtId="322" formatCode="[Magenta]&quot;Err&quot;;[Magenta]&quot;Err&quot;;[Blue]&quot;OK&quot;"/>
    <numFmt numFmtId="323" formatCode="d\ mmmm\ yyyy"/>
    <numFmt numFmtId="324" formatCode="#,##0;[Red]\(#,##0\);0"/>
    <numFmt numFmtId="325" formatCode="General\ &quot;.&quot;"/>
    <numFmt numFmtId="326" formatCode="#,##0_);[Red]\(#,##0\);\-_)"/>
    <numFmt numFmtId="327" formatCode="0.0_)%;[Red]\(0.0%\);0.0_)%"/>
    <numFmt numFmtId="328" formatCode="_ * #,##0_ ;_ * \-#,##0_ ;_ * &quot;-&quot;_ ;_ @_ "/>
    <numFmt numFmtId="329" formatCode="[Red][&gt;1]&quot;&gt;100 %&quot;;[Red]\(0.0%\);0.0_)%"/>
    <numFmt numFmtId="330" formatCode="#,000,000"/>
    <numFmt numFmtId="331" formatCode="#,##0.0000_);\(#,##0.0000\);&quot;- &quot;;&quot;  &quot;@"/>
    <numFmt numFmtId="332" formatCode="#,##0;[Red]#,##0"/>
    <numFmt numFmtId="333" formatCode="#,#00"/>
    <numFmt numFmtId="334" formatCode="0000"/>
    <numFmt numFmtId="335" formatCode="0.0000%"/>
    <numFmt numFmtId="336" formatCode="0.0000"/>
    <numFmt numFmtId="337" formatCode="#,##0_);[Red]\(#,##0\);\-\-\ \ \ "/>
    <numFmt numFmtId="338" formatCode="#,##0&quot; $&quot;;[Red]\-#,##0&quot; $&quot;"/>
    <numFmt numFmtId="339" formatCode="_(* #,##0.0_);_(* \(#,##0.0\);_(* &quot;-&quot;??_);_(@_)"/>
    <numFmt numFmtId="340" formatCode="0.0,,"/>
    <numFmt numFmtId="341" formatCode="#,"/>
    <numFmt numFmtId="342" formatCode=";;;"/>
    <numFmt numFmtId="343" formatCode="_-&quot;¤&quot;* #,##0.00_-;\-&quot;¤&quot;* #,##0.00_-;_-&quot;¤&quot;* &quot;-&quot;??_-;_-@_-"/>
    <numFmt numFmtId="344" formatCode="&quot;N$&quot;#,##0_);\(&quot;N$&quot;#,##0\)"/>
    <numFmt numFmtId="345" formatCode="_-* #,##0.00_-;\(#,##0.00\);_-* &quot;-&quot;??_-;_-@_-"/>
    <numFmt numFmtId="346" formatCode="[Red]##,#0\:\(#,##0\)"/>
    <numFmt numFmtId="347" formatCode="0.00_)"/>
    <numFmt numFmtId="348" formatCode="0.0"/>
    <numFmt numFmtId="349" formatCode="#,##0.0\ \ "/>
    <numFmt numFmtId="350" formatCode="_-* #,##0.00\ _P_t_s_-;\-* #,##0.00\ _P_t_s_-;_-* &quot;-&quot;??\ _P_t_s_-;_-@_-"/>
    <numFmt numFmtId="351" formatCode="&quot;Cr$&quot;#,##0_);[Red]\(&quot;Cr$&quot;#,##0\)"/>
    <numFmt numFmtId="352" formatCode="_(&quot;R$ &quot;* #,##0.00_);_(&quot;R$ &quot;* \(#,##0.00\);_(&quot;R$ &quot;* &quot;-&quot;??_);_(@_)"/>
    <numFmt numFmtId="353" formatCode="mmm\-yy_)"/>
    <numFmt numFmtId="354" formatCode="&quot;$&quot;#,##0_);[Red]\(&quot;$&quot;#,##0\)"/>
    <numFmt numFmtId="355" formatCode="0.0&quot; x&quot;;\-0.0&quot; x&quot;"/>
    <numFmt numFmtId="356" formatCode="0.0\ \x\ ;&quot;NM   &quot;;0.0\ \x"/>
    <numFmt numFmtId="357" formatCode="#,##0.0_x_)_);&quot;NM&quot;_x_)_);#,##0.0_x_)_);@_x_)_)"/>
    <numFmt numFmtId="358" formatCode="&quot;$&quot;#,##0;[Red]\(&quot;$&quot;#,##0\)"/>
    <numFmt numFmtId="359" formatCode="yyyy"/>
    <numFmt numFmtId="360" formatCode="&quot;(&quot;0.00%&quot;)   &quot;;[Red]\-&quot;(&quot;0.00%&quot;)   &quot;;&quot;－    &quot;"/>
    <numFmt numFmtId="361" formatCode="[$USD]\ #,##0.0000"/>
    <numFmt numFmtId="362" formatCode="#,##0\ _€"/>
    <numFmt numFmtId="363" formatCode="#,##0_);[Red]\(#,##0\);\-"/>
    <numFmt numFmtId="364" formatCode="[$$-300A]#,##0.00;[Red][$$-300A]&quot;-&quot;#,##0.00"/>
    <numFmt numFmtId="365" formatCode="mmmm\-yy"/>
    <numFmt numFmtId="366" formatCode="#,##0.0;\(#,##0.0\)"/>
    <numFmt numFmtId="367" formatCode="0.000"/>
    <numFmt numFmtId="368" formatCode="##,###,###,###,##0.00"/>
  </numFmts>
  <fonts count="3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Trebuchet MS"/>
      <family val="2"/>
    </font>
    <font>
      <sz val="12"/>
      <color indexed="8"/>
      <name val="Arial"/>
      <family val="2"/>
    </font>
    <font>
      <b/>
      <sz val="18"/>
      <name val="Monotype Hadassah"/>
      <family val="2"/>
      <charset val="177"/>
    </font>
    <font>
      <sz val="10"/>
      <name val="Arial Narrow"/>
      <family val="2"/>
    </font>
    <font>
      <sz val="8"/>
      <color indexed="12"/>
      <name val="Arial"/>
      <family val="2"/>
    </font>
    <font>
      <sz val="10"/>
      <name val="Courier"/>
      <family val="3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Tahoma"/>
      <family val="2"/>
    </font>
    <font>
      <sz val="8"/>
      <name val="Helvetica-Narrow"/>
      <family val="2"/>
    </font>
    <font>
      <sz val="10"/>
      <color indexed="10"/>
      <name val="Helvetica-Narrow"/>
      <family val="2"/>
    </font>
    <font>
      <sz val="10"/>
      <name val="Times New Roman"/>
      <family val="1"/>
    </font>
    <font>
      <sz val="12"/>
      <name val="Times New Roman"/>
      <family val="1"/>
    </font>
    <font>
      <sz val="12"/>
      <color indexed="12"/>
      <name val="Times New Roman"/>
      <family val="1"/>
    </font>
    <font>
      <u val="singleAccounting"/>
      <sz val="10"/>
      <name val="Arial"/>
      <family val="2"/>
    </font>
    <font>
      <sz val="10"/>
      <name val="Helvetica"/>
      <family val="2"/>
    </font>
    <font>
      <sz val="8"/>
      <name val="Trebuchet MS"/>
      <family val="2"/>
    </font>
    <font>
      <sz val="13"/>
      <name val="Arial"/>
      <family val="2"/>
    </font>
    <font>
      <sz val="11"/>
      <name val="MS P????"/>
      <family val="3"/>
    </font>
    <font>
      <sz val="9"/>
      <name val="Arial"/>
      <family val="2"/>
    </font>
    <font>
      <sz val="12"/>
      <name val="System"/>
      <family val="2"/>
    </font>
    <font>
      <sz val="11"/>
      <name val="￥i￠￢￠?o"/>
      <family val="3"/>
      <charset val="255"/>
    </font>
    <font>
      <sz val="8"/>
      <name val="Times"/>
      <family val="1"/>
    </font>
    <font>
      <sz val="10"/>
      <name val="Helv"/>
    </font>
    <font>
      <b/>
      <sz val="8"/>
      <name val="Arial"/>
      <family val="2"/>
    </font>
    <font>
      <b/>
      <i/>
      <sz val="8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sz val="10"/>
      <name val="CorpoS"/>
    </font>
    <font>
      <sz val="10"/>
      <name val="Helv"/>
      <charset val="238"/>
    </font>
    <font>
      <b/>
      <sz val="22"/>
      <color indexed="18"/>
      <name val="Arial"/>
      <family val="2"/>
    </font>
    <font>
      <sz val="10"/>
      <name val="Helvetica 45 Light"/>
      <family val="2"/>
    </font>
    <font>
      <sz val="10"/>
      <color indexed="8"/>
      <name val="MS Sans Serif"/>
      <family val="2"/>
    </font>
    <font>
      <sz val="12"/>
      <name val="Palatino"/>
      <family val="1"/>
    </font>
    <font>
      <sz val="12"/>
      <name val="ⓒoUAAA¨u"/>
      <family val="1"/>
      <charset val="255"/>
    </font>
    <font>
      <sz val="10"/>
      <color indexed="9"/>
      <name val="Arial"/>
      <family val="2"/>
    </font>
    <font>
      <i/>
      <sz val="10"/>
      <color indexed="13"/>
      <name val="Arial"/>
      <family val="2"/>
    </font>
    <font>
      <sz val="10"/>
      <color indexed="13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0"/>
      <name val="Helv"/>
      <family val="2"/>
    </font>
    <font>
      <sz val="9"/>
      <name val="Book Antiqua"/>
      <family val="1"/>
    </font>
    <font>
      <u/>
      <sz val="10"/>
      <color indexed="12"/>
      <name val="Footlight MT Light"/>
      <family val="1"/>
    </font>
    <font>
      <i/>
      <sz val="10"/>
      <color indexed="32"/>
      <name val="Arial Narrow"/>
      <family val="2"/>
    </font>
    <font>
      <u/>
      <sz val="10"/>
      <color indexed="12"/>
      <name val="Arial"/>
      <family val="2"/>
    </font>
    <font>
      <u/>
      <sz val="11"/>
      <color indexed="36"/>
      <name val="lr oSVbN"/>
      <family val="3"/>
      <charset val="128"/>
    </font>
    <font>
      <u/>
      <sz val="11"/>
      <color indexed="12"/>
      <name val="lr oSVbN"/>
      <family val="3"/>
      <charset val="128"/>
    </font>
    <font>
      <sz val="13"/>
      <name val="Tms Rmn"/>
      <family val="1"/>
    </font>
    <font>
      <sz val="6"/>
      <name val="Arial"/>
      <family val="2"/>
    </font>
    <font>
      <b/>
      <sz val="6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9"/>
      <name val="Symbol"/>
      <family val="1"/>
      <charset val="2"/>
    </font>
    <font>
      <b/>
      <u/>
      <sz val="9"/>
      <name val="Arial"/>
      <family val="2"/>
    </font>
    <font>
      <b/>
      <u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u/>
      <sz val="11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u/>
      <sz val="12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u/>
      <sz val="16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u/>
      <sz val="18"/>
      <name val="Arial"/>
      <family val="2"/>
    </font>
    <font>
      <sz val="14"/>
      <name val="Tms Rmn"/>
    </font>
    <font>
      <sz val="11"/>
      <color indexed="8"/>
      <name val="Calibri"/>
      <family val="2"/>
    </font>
    <font>
      <b/>
      <sz val="24"/>
      <name val="Arial"/>
      <family val="2"/>
    </font>
    <font>
      <b/>
      <i/>
      <sz val="24"/>
      <name val="Arial"/>
      <family val="2"/>
    </font>
    <font>
      <b/>
      <u/>
      <sz val="24"/>
      <name val="Arial"/>
      <family val="2"/>
    </font>
    <font>
      <u/>
      <sz val="8.5"/>
      <color indexed="12"/>
      <name val="Arial"/>
      <family val="2"/>
    </font>
    <font>
      <sz val="12"/>
      <name val="?Ia"/>
      <family val="2"/>
      <charset val="134"/>
    </font>
    <font>
      <sz val="11"/>
      <color indexed="9"/>
      <name val="Calibri"/>
      <family val="2"/>
    </font>
    <font>
      <sz val="10"/>
      <name val="Geneva"/>
      <charset val="177"/>
    </font>
    <font>
      <sz val="12"/>
      <name val="Helv"/>
    </font>
    <font>
      <b/>
      <sz val="12"/>
      <name val="MS Sans Serif"/>
      <family val="2"/>
    </font>
    <font>
      <u/>
      <sz val="9"/>
      <color indexed="36"/>
      <name val="Times New Roman"/>
      <family val="1"/>
    </font>
    <font>
      <sz val="8"/>
      <name val="Times New Roman"/>
      <family val="1"/>
    </font>
    <font>
      <sz val="14"/>
      <color indexed="8"/>
      <name val="Arial"/>
      <family val="2"/>
    </font>
    <font>
      <sz val="8"/>
      <color indexed="12"/>
      <name val="Helv"/>
    </font>
    <font>
      <sz val="10"/>
      <name val="Geneva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10"/>
      <color indexed="9"/>
      <name val="Gill Sans MT"/>
      <family val="2"/>
    </font>
    <font>
      <b/>
      <sz val="10"/>
      <color indexed="9"/>
      <name val="Gill Sans MT"/>
      <family val="2"/>
    </font>
    <font>
      <b/>
      <sz val="24"/>
      <name val="Times New Roman"/>
      <family val="1"/>
    </font>
    <font>
      <sz val="11"/>
      <color indexed="20"/>
      <name val="Calibri"/>
      <family val="2"/>
    </font>
    <font>
      <b/>
      <sz val="9"/>
      <name val="Helv"/>
    </font>
    <font>
      <sz val="8"/>
      <color indexed="10"/>
      <name val="Arial"/>
      <family val="2"/>
    </font>
    <font>
      <b/>
      <i/>
      <u val="double"/>
      <sz val="16"/>
      <name val="Tms Rmn"/>
    </font>
    <font>
      <strike/>
      <sz val="8"/>
      <name val="Arial"/>
      <family val="2"/>
    </font>
    <font>
      <sz val="8"/>
      <color indexed="8"/>
      <name val="Arial"/>
      <family val="2"/>
    </font>
    <font>
      <sz val="10"/>
      <color indexed="12"/>
      <name val="MS Sans Serif"/>
      <family val="2"/>
    </font>
    <font>
      <b/>
      <sz val="10"/>
      <color indexed="12"/>
      <name val="MS Sans Serif"/>
      <family val="2"/>
    </font>
    <font>
      <sz val="8"/>
      <name val="Helv"/>
    </font>
    <font>
      <sz val="12"/>
      <name val="Tms Rmn"/>
    </font>
    <font>
      <b/>
      <sz val="12"/>
      <name val="Times New Roman"/>
      <family val="1"/>
    </font>
    <font>
      <b/>
      <sz val="8"/>
      <color indexed="8"/>
      <name val="Arial"/>
      <family val="2"/>
    </font>
    <font>
      <sz val="11"/>
      <color indexed="17"/>
      <name val="Calibri"/>
      <family val="2"/>
    </font>
    <font>
      <b/>
      <i/>
      <sz val="12"/>
      <name val="Times New Roman"/>
      <family val="1"/>
    </font>
    <font>
      <b/>
      <sz val="10"/>
      <color indexed="19"/>
      <name val="MS Sans Serif"/>
      <family val="2"/>
    </font>
    <font>
      <sz val="12"/>
      <name val="¹UAAA¼"/>
      <family val="1"/>
      <charset val="255"/>
    </font>
    <font>
      <sz val="12"/>
      <color indexed="10"/>
      <name val="Times New Roman"/>
      <family val="1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8"/>
      <color indexed="43"/>
      <name val="Arial"/>
      <family val="2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b/>
      <sz val="12"/>
      <name val="Helvetica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"/>
      <color indexed="8"/>
      <name val="Courier"/>
      <family val="3"/>
    </font>
    <font>
      <sz val="10"/>
      <name val="Courier New"/>
      <family val="3"/>
    </font>
    <font>
      <b/>
      <sz val="13"/>
      <name val="Tms Rmn"/>
      <family val="1"/>
    </font>
    <font>
      <sz val="10"/>
      <name val="Arial CE"/>
      <charset val="238"/>
    </font>
    <font>
      <sz val="12"/>
      <name val="Book Antiqua"/>
      <family val="1"/>
    </font>
    <font>
      <b/>
      <sz val="14.3"/>
      <color indexed="8"/>
      <name val="Times New Roman"/>
      <family val="1"/>
    </font>
    <font>
      <sz val="8"/>
      <name val="Palatino"/>
      <family val="1"/>
    </font>
    <font>
      <sz val="10"/>
      <color indexed="8"/>
      <name val="EYInterstate Light"/>
      <family val="2"/>
    </font>
    <font>
      <sz val="8"/>
      <color indexed="12"/>
      <name val="Times New Roman"/>
      <family val="1"/>
    </font>
    <font>
      <sz val="10"/>
      <name val="ＭＳ Ｐゴシック"/>
      <family val="3"/>
      <charset val="128"/>
    </font>
    <font>
      <sz val="8"/>
      <color indexed="24"/>
      <name val="Times New Roman"/>
      <family val="1"/>
    </font>
    <font>
      <sz val="10"/>
      <name val="BERNHARD"/>
    </font>
    <font>
      <sz val="10"/>
      <name val="MS Serif"/>
      <family val="1"/>
    </font>
    <font>
      <b/>
      <sz val="8"/>
      <name val="Helv"/>
    </font>
    <font>
      <sz val="10"/>
      <name val="Book Antiqua"/>
      <family val="1"/>
    </font>
    <font>
      <sz val="8"/>
      <color indexed="16"/>
      <name val="Palatino"/>
      <family val="1"/>
    </font>
    <font>
      <b/>
      <sz val="10"/>
      <color indexed="14"/>
      <name val="MS Sans Serif"/>
      <family val="2"/>
    </font>
    <font>
      <b/>
      <sz val="10"/>
      <color indexed="21"/>
      <name val="MS Sans Serif"/>
      <family val="2"/>
    </font>
    <font>
      <sz val="10"/>
      <color indexed="9"/>
      <name val="Times New Roman"/>
      <family val="1"/>
    </font>
    <font>
      <sz val="10"/>
      <color indexed="50"/>
      <name val="Arial"/>
      <family val="2"/>
    </font>
    <font>
      <b/>
      <i/>
      <strike/>
      <sz val="12"/>
      <color indexed="48"/>
      <name val="Arial"/>
      <family val="2"/>
    </font>
    <font>
      <sz val="8"/>
      <color indexed="9"/>
      <name val="Arial"/>
      <family val="2"/>
    </font>
    <font>
      <b/>
      <sz val="10"/>
      <color indexed="39"/>
      <name val="Times New Roman"/>
      <family val="1"/>
    </font>
    <font>
      <b/>
      <sz val="11"/>
      <name val="Helvetica"/>
      <family val="2"/>
    </font>
    <font>
      <u/>
      <sz val="8"/>
      <color indexed="12"/>
      <name val="Times New Roman"/>
      <family val="1"/>
    </font>
    <font>
      <u val="doubleAccounting"/>
      <sz val="10"/>
      <name val="Times New Roman"/>
      <family val="1"/>
    </font>
    <font>
      <sz val="8"/>
      <name val="CG Times (E1)"/>
    </font>
    <font>
      <sz val="7.5"/>
      <color indexed="12"/>
      <name val="Arial"/>
      <family val="2"/>
    </font>
    <font>
      <sz val="1"/>
      <color indexed="16"/>
      <name val="Courier"/>
      <family val="3"/>
    </font>
    <font>
      <sz val="12"/>
      <name val="Tms Rmn"/>
      <charset val="177"/>
    </font>
    <font>
      <b/>
      <sz val="8"/>
      <color indexed="10"/>
      <name val="Arial"/>
      <family val="2"/>
    </font>
    <font>
      <b/>
      <sz val="10"/>
      <name val="Times New Roman"/>
      <family val="1"/>
    </font>
    <font>
      <b/>
      <sz val="1"/>
      <color indexed="16"/>
      <name val="Courier"/>
      <family val="3"/>
    </font>
    <font>
      <b/>
      <sz val="11"/>
      <color indexed="56"/>
      <name val="Calibri"/>
      <family val="2"/>
    </font>
    <font>
      <sz val="12"/>
      <name val="Courier"/>
      <family val="3"/>
    </font>
    <font>
      <sz val="10"/>
      <color indexed="16"/>
      <name val="MS Serif"/>
      <family val="1"/>
    </font>
    <font>
      <i/>
      <strike/>
      <sz val="12"/>
      <color indexed="40"/>
      <name val="Arial"/>
      <family val="2"/>
    </font>
    <font>
      <sz val="11"/>
      <color indexed="62"/>
      <name val="Calibri"/>
      <family val="2"/>
    </font>
    <font>
      <sz val="9"/>
      <name val="Times New Roman"/>
      <family val="1"/>
    </font>
    <font>
      <sz val="9"/>
      <name val="Arial CE"/>
      <family val="2"/>
      <charset val="238"/>
    </font>
    <font>
      <sz val="11"/>
      <color rgb="FF000000"/>
      <name val="Calibri"/>
      <family val="2"/>
    </font>
    <font>
      <b/>
      <sz val="32"/>
      <name val="Helvetica"/>
      <family val="2"/>
    </font>
    <font>
      <i/>
      <sz val="10"/>
      <name val="Arial Narrow"/>
      <family val="2"/>
    </font>
    <font>
      <i/>
      <sz val="8"/>
      <name val="Times New Roman"/>
      <family val="1"/>
    </font>
    <font>
      <b/>
      <sz val="10"/>
      <color indexed="32"/>
      <name val="Arial Narrow"/>
      <family val="2"/>
    </font>
    <font>
      <b/>
      <sz val="8"/>
      <color indexed="12"/>
      <name val="Arial"/>
      <family val="2"/>
    </font>
    <font>
      <b/>
      <u val="singleAccounting"/>
      <sz val="10"/>
      <name val="Times New Roman"/>
      <family val="1"/>
    </font>
    <font>
      <sz val="14"/>
      <name val="Arial"/>
      <family val="2"/>
    </font>
    <font>
      <b/>
      <sz val="12"/>
      <color indexed="55"/>
      <name val="Arial"/>
      <family val="2"/>
    </font>
    <font>
      <b/>
      <sz val="12"/>
      <color indexed="8"/>
      <name val="Arial"/>
      <family val="2"/>
    </font>
    <font>
      <b/>
      <sz val="10.5"/>
      <color indexed="8"/>
      <name val="Arial"/>
      <family val="2"/>
    </font>
    <font>
      <i/>
      <sz val="10"/>
      <color indexed="8"/>
      <name val="Arial"/>
      <family val="2"/>
    </font>
    <font>
      <b/>
      <sz val="11"/>
      <name val="Times New Roman"/>
      <family val="1"/>
    </font>
    <font>
      <b/>
      <i/>
      <sz val="9.5"/>
      <name val="Times New Roman"/>
      <family val="1"/>
    </font>
    <font>
      <sz val="10"/>
      <color indexed="32"/>
      <name val="Arial Narrow"/>
      <family val="2"/>
    </font>
    <font>
      <b/>
      <sz val="14"/>
      <color indexed="32"/>
      <name val="Arial"/>
      <family val="2"/>
    </font>
    <font>
      <sz val="8"/>
      <color indexed="32"/>
      <name val="Arial Narrow"/>
      <family val="2"/>
    </font>
    <font>
      <b/>
      <sz val="10"/>
      <name val="Arial Narrow"/>
      <family val="2"/>
    </font>
    <font>
      <b/>
      <i/>
      <sz val="10"/>
      <name val="Arial Narrow"/>
      <family val="2"/>
    </font>
    <font>
      <sz val="12"/>
      <color indexed="12"/>
      <name val="Book Antiqua"/>
      <family val="1"/>
    </font>
    <font>
      <sz val="10"/>
      <color indexed="24"/>
      <name val="Arial"/>
      <family val="2"/>
    </font>
    <font>
      <b/>
      <sz val="10"/>
      <color indexed="9"/>
      <name val="Arial"/>
      <family val="2"/>
    </font>
    <font>
      <b/>
      <sz val="9"/>
      <color indexed="9"/>
      <name val="Arial"/>
      <family val="2"/>
    </font>
    <font>
      <b/>
      <sz val="9"/>
      <color indexed="26"/>
      <name val="Arial"/>
      <family val="2"/>
    </font>
    <font>
      <sz val="9"/>
      <color indexed="26"/>
      <name val="Arial"/>
      <family val="2"/>
    </font>
    <font>
      <sz val="10"/>
      <color indexed="26"/>
      <name val="Arial"/>
      <family val="2"/>
    </font>
    <font>
      <sz val="7"/>
      <name val="Palatino"/>
      <family val="1"/>
    </font>
    <font>
      <sz val="10"/>
      <color indexed="18"/>
      <name val="Arial"/>
      <family val="2"/>
    </font>
    <font>
      <b/>
      <sz val="10"/>
      <color indexed="11"/>
      <name val="MS Sans Serif"/>
      <family val="2"/>
    </font>
    <font>
      <b/>
      <sz val="10"/>
      <name val="Helv"/>
    </font>
    <font>
      <b/>
      <sz val="10"/>
      <color indexed="8"/>
      <name val="MS Sans Serif"/>
      <family val="2"/>
    </font>
    <font>
      <b/>
      <sz val="13"/>
      <name val="Arial"/>
      <family val="2"/>
    </font>
    <font>
      <b/>
      <sz val="12"/>
      <name val="Helv"/>
      <family val="2"/>
    </font>
    <font>
      <b/>
      <i/>
      <sz val="16"/>
      <color theme="1"/>
      <name val="Arial1"/>
    </font>
    <font>
      <b/>
      <sz val="16"/>
      <name val="Times New Roman"/>
      <family val="1"/>
    </font>
    <font>
      <b/>
      <sz val="1"/>
      <color indexed="8"/>
      <name val="Courier"/>
      <family val="3"/>
    </font>
    <font>
      <b/>
      <sz val="8"/>
      <name val="MS Sans Serif"/>
      <family val="2"/>
    </font>
    <font>
      <sz val="9"/>
      <name val="Helv"/>
    </font>
    <font>
      <sz val="10"/>
      <color indexed="9"/>
      <name val="Helv"/>
    </font>
    <font>
      <u/>
      <sz val="11"/>
      <color theme="10"/>
      <name val="Calibri"/>
      <family val="2"/>
    </font>
    <font>
      <u/>
      <sz val="8"/>
      <color theme="10"/>
      <name val="Calibri"/>
      <family val="2"/>
      <scheme val="minor"/>
    </font>
    <font>
      <u/>
      <sz val="10"/>
      <color indexed="20"/>
      <name val="Arial"/>
      <family val="2"/>
    </font>
    <font>
      <u/>
      <sz val="8"/>
      <color rgb="FF800080"/>
      <name val="Calibri"/>
      <family val="2"/>
      <scheme val="minor"/>
    </font>
    <font>
      <u/>
      <sz val="7.5"/>
      <color indexed="12"/>
      <name val="Arial"/>
      <family val="2"/>
    </font>
    <font>
      <u/>
      <sz val="10"/>
      <color indexed="12"/>
      <name val="Tahoma"/>
      <family val="2"/>
    </font>
    <font>
      <shadow/>
      <sz val="8"/>
      <color indexed="12"/>
      <name val="Times New Roman"/>
      <family val="1"/>
    </font>
    <font>
      <sz val="10"/>
      <color indexed="12"/>
      <name val="Times New Roman"/>
      <family val="1"/>
    </font>
    <font>
      <sz val="9"/>
      <name val="CorpoS"/>
    </font>
    <font>
      <i/>
      <sz val="10"/>
      <color indexed="8"/>
      <name val="Gill Sans MT"/>
      <family val="2"/>
    </font>
    <font>
      <sz val="10"/>
      <color indexed="8"/>
      <name val="Arial Narrow"/>
      <family val="2"/>
    </font>
    <font>
      <sz val="18"/>
      <name val="Times New Roman"/>
      <family val="1"/>
    </font>
    <font>
      <b/>
      <sz val="13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b/>
      <sz val="18"/>
      <name val="Helvetica"/>
      <family val="2"/>
    </font>
    <font>
      <u/>
      <sz val="12"/>
      <color indexed="12"/>
      <name val="Times New Roman"/>
      <family val="1"/>
    </font>
    <font>
      <u/>
      <sz val="12"/>
      <color indexed="36"/>
      <name val="Times New Roman"/>
      <family val="1"/>
    </font>
    <font>
      <sz val="10"/>
      <color indexed="14"/>
      <name val="Arial"/>
      <family val="2"/>
    </font>
    <font>
      <sz val="8"/>
      <color indexed="8"/>
      <name val="Helv"/>
    </font>
    <font>
      <sz val="14"/>
      <name val="Helvetica"/>
      <family val="2"/>
    </font>
    <font>
      <b/>
      <sz val="9.75"/>
      <name val="Helv"/>
    </font>
    <font>
      <b/>
      <sz val="11"/>
      <name val="Helv"/>
    </font>
    <font>
      <sz val="10"/>
      <name val="Univers (WN)"/>
    </font>
    <font>
      <sz val="11"/>
      <color indexed="60"/>
      <name val="Calibri"/>
      <family val="2"/>
    </font>
    <font>
      <sz val="11"/>
      <color indexed="12"/>
      <name val="David"/>
      <family val="2"/>
      <charset val="177"/>
    </font>
    <font>
      <sz val="7"/>
      <name val="Small Fonts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EYInterstate Light"/>
      <family val="2"/>
    </font>
    <font>
      <sz val="10"/>
      <name val="Palatino"/>
      <family val="1"/>
    </font>
    <font>
      <sz val="8"/>
      <name val="Helvetica"/>
      <family val="2"/>
    </font>
    <font>
      <sz val="10"/>
      <color indexed="9"/>
      <name val="MS Sans Serif"/>
      <family val="2"/>
    </font>
    <font>
      <sz val="11"/>
      <name val="‚l‚r –¾’©"/>
      <charset val="128"/>
    </font>
    <font>
      <i/>
      <strike/>
      <sz val="12"/>
      <color indexed="10"/>
      <name val="Arial"/>
      <family val="2"/>
    </font>
    <font>
      <b/>
      <sz val="10"/>
      <color indexed="72"/>
      <name val="Arial"/>
      <family val="2"/>
    </font>
    <font>
      <b/>
      <i/>
      <sz val="10"/>
      <color indexed="8"/>
      <name val="Arial"/>
      <family val="2"/>
    </font>
    <font>
      <b/>
      <sz val="10"/>
      <color indexed="16"/>
      <name val="Arial"/>
      <family val="2"/>
    </font>
    <font>
      <b/>
      <sz val="24"/>
      <color indexed="13"/>
      <name val="Times New Roman"/>
      <family val="1"/>
    </font>
    <font>
      <b/>
      <i/>
      <u/>
      <sz val="11"/>
      <color theme="1"/>
      <name val="Arial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8"/>
      <color theme="3"/>
      <name val="Cambria"/>
      <family val="2"/>
      <scheme val="major"/>
    </font>
    <font>
      <b/>
      <sz val="11"/>
      <color indexed="8"/>
      <name val="Calibri"/>
      <family val="2"/>
    </font>
    <font>
      <b/>
      <sz val="12"/>
      <color theme="1"/>
      <name val="Arial"/>
      <family val="2"/>
    </font>
    <font>
      <sz val="8"/>
      <color theme="1"/>
      <name val="MS Sans Serif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MS Sans Serif"/>
      <family val="2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MS Sans Serif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0"/>
      <color indexed="10"/>
      <name val="Arial"/>
      <family val="2"/>
    </font>
    <font>
      <sz val="12"/>
      <color indexed="8"/>
      <name val="Calibri"/>
      <family val="2"/>
    </font>
    <font>
      <sz val="12"/>
      <color indexed="9"/>
      <name val="Calibri"/>
      <family val="2"/>
    </font>
    <font>
      <sz val="12"/>
      <color indexed="14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i/>
      <sz val="12"/>
      <color indexed="23"/>
      <name val="Calibri"/>
      <family val="2"/>
    </font>
    <font>
      <sz val="12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2"/>
      <color indexed="62"/>
      <name val="Calibri"/>
      <family val="2"/>
    </font>
    <font>
      <sz val="12"/>
      <color indexed="52"/>
      <name val="Calibri"/>
      <family val="2"/>
    </font>
    <font>
      <b/>
      <sz val="12"/>
      <color indexed="63"/>
      <name val="Calibri"/>
      <family val="2"/>
    </font>
    <font>
      <b/>
      <sz val="18"/>
      <color indexed="62"/>
      <name val="Cambria"/>
      <family val="2"/>
    </font>
    <font>
      <sz val="12"/>
      <color indexed="10"/>
      <name val="Calibri"/>
      <family val="2"/>
    </font>
    <font>
      <sz val="10"/>
      <color theme="0"/>
      <name val="Arial"/>
      <family val="2"/>
    </font>
    <font>
      <sz val="12"/>
      <color theme="0" tint="-4.9989318521683403E-2"/>
      <name val="Arial"/>
      <family val="2"/>
    </font>
    <font>
      <b/>
      <sz val="10"/>
      <color theme="8" tint="0.79998168889431442"/>
      <name val="Arial"/>
      <family val="2"/>
    </font>
    <font>
      <sz val="8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0"/>
      <name val="Arial"/>
      <family val="2"/>
    </font>
    <font>
      <sz val="11"/>
      <color rgb="FFFF0000"/>
      <name val="Arial"/>
      <family val="2"/>
    </font>
    <font>
      <b/>
      <sz val="11"/>
      <color rgb="FF00B050"/>
      <name val="Arial"/>
      <family val="2"/>
    </font>
    <font>
      <b/>
      <sz val="11"/>
      <color rgb="FFFF0000"/>
      <name val="Arial"/>
      <family val="2"/>
    </font>
    <font>
      <sz val="8"/>
      <color theme="8" tint="0.79998168889431442"/>
      <name val="Arial"/>
      <family val="2"/>
    </font>
    <font>
      <b/>
      <sz val="8"/>
      <color theme="1"/>
      <name val="MS Sans Serif"/>
    </font>
    <font>
      <sz val="12"/>
      <color theme="1"/>
      <name val="Arial"/>
      <family val="2"/>
    </font>
    <font>
      <sz val="12"/>
      <color theme="8" tint="0.79998168889431442"/>
      <name val="Arial"/>
      <family val="2"/>
    </font>
    <font>
      <sz val="11"/>
      <color rgb="FF00B050"/>
      <name val="Arial"/>
      <family val="2"/>
    </font>
    <font>
      <sz val="10"/>
      <color theme="8" tint="0.79998168889431442"/>
      <name val="Arial"/>
      <family val="2"/>
    </font>
    <font>
      <b/>
      <sz val="8"/>
      <color theme="8" tint="0.79998168889431442"/>
      <name val="Arial"/>
      <family val="2"/>
    </font>
    <font>
      <b/>
      <sz val="10"/>
      <color theme="9" tint="-0.499984740745262"/>
      <name val="Arial"/>
      <family val="2"/>
    </font>
    <font>
      <sz val="10"/>
      <color rgb="FF00B050"/>
      <name val="Arial"/>
      <family val="2"/>
    </font>
    <font>
      <sz val="8"/>
      <name val="MS Sans Serif"/>
    </font>
    <font>
      <sz val="8"/>
      <color theme="1"/>
      <name val="MS Sans Serif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0"/>
      <color theme="6" tint="-0.499984740745262"/>
      <name val="Arial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Arial"/>
      <family val="2"/>
    </font>
    <font>
      <b/>
      <sz val="9"/>
      <color theme="1"/>
      <name val="Calibri"/>
      <family val="2"/>
      <scheme val="minor"/>
    </font>
    <font>
      <sz val="9"/>
      <color rgb="FFFF0000"/>
      <name val="Arial"/>
      <family val="2"/>
    </font>
    <font>
      <b/>
      <sz val="12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8"/>
      <color theme="1"/>
      <name val="Arial"/>
      <family val="2"/>
    </font>
    <font>
      <sz val="8"/>
      <color theme="8" tint="0.59999389629810485"/>
      <name val="Arial"/>
      <family val="2"/>
    </font>
    <font>
      <b/>
      <sz val="10"/>
      <color rgb="FF002060"/>
      <name val="Arial"/>
      <family val="2"/>
    </font>
    <font>
      <b/>
      <sz val="8"/>
      <color rgb="FFFF0000"/>
      <name val="Arial"/>
      <family val="2"/>
    </font>
    <font>
      <sz val="8"/>
      <color rgb="FFB5FDDB"/>
      <name val="Arial"/>
      <family val="2"/>
    </font>
    <font>
      <sz val="8"/>
      <color rgb="FFFF0000"/>
      <name val="Arial"/>
      <family val="2"/>
    </font>
    <font>
      <b/>
      <sz val="8"/>
      <color rgb="FF00B050"/>
      <name val="Arial"/>
      <family val="2"/>
    </font>
    <font>
      <sz val="8"/>
      <color rgb="FFFF0000"/>
      <name val="MS Sans Serif"/>
      <family val="2"/>
    </font>
    <font>
      <b/>
      <sz val="11"/>
      <color rgb="FF00206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8" tint="0.79998168889431442"/>
      <name val="Arial"/>
      <family val="2"/>
    </font>
    <font>
      <sz val="8"/>
      <color rgb="FFC00000"/>
      <name val="Arial"/>
      <family val="2"/>
    </font>
    <font>
      <b/>
      <sz val="9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89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13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1"/>
        <bgColor indexed="64"/>
      </patternFill>
    </fill>
    <fill>
      <patternFill patternType="lightGray">
        <fgColor indexed="15"/>
      </patternFill>
    </fill>
    <fill>
      <patternFill patternType="solid">
        <fgColor indexed="55"/>
      </patternFill>
    </fill>
    <fill>
      <patternFill patternType="solid">
        <fgColor indexed="15"/>
        <bgColor indexed="64"/>
      </patternFill>
    </fill>
    <fill>
      <patternFill patternType="gray0625"/>
    </fill>
    <fill>
      <patternFill patternType="gray125">
        <fgColor indexed="8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8"/>
        <bgColor indexed="17"/>
      </patternFill>
    </fill>
    <fill>
      <patternFill patternType="solid">
        <fgColor indexed="6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</patternFill>
    </fill>
    <fill>
      <patternFill patternType="solid">
        <fgColor indexed="20"/>
      </patternFill>
    </fill>
    <fill>
      <patternFill patternType="solid">
        <fgColor indexed="21"/>
        <bgColor indexed="64"/>
      </patternFill>
    </fill>
    <fill>
      <patternFill patternType="lightUp">
        <bgColor indexed="16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  <fill>
      <patternFill patternType="solid">
        <fgColor theme="8" tint="0.79998168889431442"/>
        <bgColor rgb="FFC0C0C0"/>
      </patternFill>
    </fill>
    <fill>
      <patternFill patternType="solid">
        <fgColor theme="2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9" tint="0.59999389629810485"/>
        <bgColor rgb="FFFFFF00"/>
      </patternFill>
    </fill>
    <fill>
      <patternFill patternType="solid">
        <fgColor theme="8" tint="0.59999389629810485"/>
        <bgColor rgb="FFFFFF00"/>
      </patternFill>
    </fill>
    <fill>
      <patternFill patternType="solid">
        <fgColor rgb="FFC0C0C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32"/>
      </top>
      <bottom style="thin">
        <color indexed="32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 diagonalUp="1" diagonalDown="1"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8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9"/>
      </top>
      <bottom style="thin">
        <color indexed="8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C0C0C0"/>
      </bottom>
      <diagonal/>
    </border>
  </borders>
  <cellStyleXfs count="2185">
    <xf numFmtId="0" fontId="0" fillId="0" borderId="0"/>
    <xf numFmtId="9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7" fillId="2" borderId="0"/>
    <xf numFmtId="0" fontId="7" fillId="2" borderId="0"/>
    <xf numFmtId="0" fontId="7" fillId="2" borderId="0"/>
    <xf numFmtId="0" fontId="8" fillId="0" borderId="0" applyNumberFormat="0">
      <alignment horizontal="right"/>
    </xf>
    <xf numFmtId="178" fontId="2" fillId="0" borderId="0"/>
    <xf numFmtId="0" fontId="8" fillId="0" borderId="0" applyNumberFormat="0">
      <alignment horizontal="right"/>
    </xf>
    <xf numFmtId="179" fontId="9" fillId="0" borderId="0">
      <alignment horizontal="right" vertical="top"/>
    </xf>
    <xf numFmtId="9" fontId="10" fillId="0" borderId="0">
      <alignment horizontal="right"/>
    </xf>
    <xf numFmtId="0" fontId="11" fillId="0" borderId="0">
      <alignment vertical="center"/>
    </xf>
    <xf numFmtId="180" fontId="2" fillId="0" borderId="0" applyFont="0" applyFill="0" applyBorder="0" applyAlignment="0" applyProtection="0"/>
    <xf numFmtId="178" fontId="1" fillId="0" borderId="0"/>
    <xf numFmtId="178" fontId="1" fillId="0" borderId="0"/>
    <xf numFmtId="178" fontId="1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13" fillId="0" borderId="0"/>
    <xf numFmtId="181" fontId="14" fillId="0" borderId="0"/>
    <xf numFmtId="39" fontId="15" fillId="0" borderId="4">
      <alignment horizontal="right"/>
    </xf>
    <xf numFmtId="37" fontId="16" fillId="0" borderId="4">
      <alignment horizontal="right"/>
    </xf>
    <xf numFmtId="0" fontId="17" fillId="0" borderId="0"/>
    <xf numFmtId="0" fontId="2" fillId="0" borderId="0" applyFont="0" applyFill="0" applyBorder="0" applyProtection="0">
      <alignment horizontal="right"/>
    </xf>
    <xf numFmtId="0" fontId="15" fillId="0" borderId="4">
      <alignment horizontal="right"/>
    </xf>
    <xf numFmtId="182" fontId="2" fillId="0" borderId="0"/>
    <xf numFmtId="182" fontId="2" fillId="0" borderId="0"/>
    <xf numFmtId="182" fontId="2" fillId="0" borderId="0"/>
    <xf numFmtId="182" fontId="2" fillId="0" borderId="0"/>
    <xf numFmtId="178" fontId="2" fillId="0" borderId="0"/>
    <xf numFmtId="178" fontId="2" fillId="0" borderId="0"/>
    <xf numFmtId="0" fontId="2" fillId="0" borderId="0" applyFont="0" applyFill="0" applyBorder="0" applyAlignment="0" applyProtection="0"/>
    <xf numFmtId="183" fontId="18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8" fillId="0" borderId="0" applyFont="0" applyFill="0" applyBorder="0" applyAlignment="0" applyProtection="0"/>
    <xf numFmtId="186" fontId="19" fillId="0" borderId="0" applyFont="0" applyFill="0" applyBorder="0" applyAlignment="0" applyProtection="0"/>
    <xf numFmtId="187" fontId="20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8" fontId="1" fillId="0" borderId="0"/>
    <xf numFmtId="189" fontId="1" fillId="0" borderId="0"/>
    <xf numFmtId="0" fontId="15" fillId="0" borderId="4">
      <alignment horizontal="right"/>
    </xf>
    <xf numFmtId="0" fontId="2" fillId="0" borderId="0"/>
    <xf numFmtId="0" fontId="21" fillId="0" borderId="0" applyFont="0" applyFill="0" applyBorder="0" applyAlignment="0" applyProtection="0">
      <alignment horizontal="right"/>
    </xf>
    <xf numFmtId="0" fontId="21" fillId="0" borderId="0" applyFont="0" applyFill="0" applyBorder="0" applyAlignment="0" applyProtection="0">
      <alignment horizontal="right"/>
    </xf>
    <xf numFmtId="0" fontId="21" fillId="0" borderId="0" applyFont="0" applyFill="0" applyBorder="0" applyAlignment="0" applyProtection="0">
      <alignment horizontal="right"/>
    </xf>
    <xf numFmtId="0" fontId="2" fillId="0" borderId="0"/>
    <xf numFmtId="0" fontId="2" fillId="0" borderId="0"/>
    <xf numFmtId="190" fontId="22" fillId="0" borderId="0" applyProtection="0"/>
    <xf numFmtId="178" fontId="2" fillId="0" borderId="0"/>
    <xf numFmtId="191" fontId="22" fillId="0" borderId="0" applyBorder="0"/>
    <xf numFmtId="178" fontId="1" fillId="0" borderId="0"/>
    <xf numFmtId="178" fontId="1" fillId="0" borderId="0"/>
    <xf numFmtId="191" fontId="2" fillId="0" borderId="0" applyFill="0" applyBorder="0" applyProtection="0"/>
    <xf numFmtId="191" fontId="2" fillId="0" borderId="0" applyFill="0" applyBorder="0" applyProtection="0"/>
    <xf numFmtId="178" fontId="1" fillId="0" borderId="0"/>
    <xf numFmtId="178" fontId="2" fillId="0" borderId="0"/>
    <xf numFmtId="178" fontId="1" fillId="0" borderId="0"/>
    <xf numFmtId="178" fontId="1" fillId="0" borderId="0"/>
    <xf numFmtId="178" fontId="2" fillId="0" borderId="0"/>
    <xf numFmtId="192" fontId="1" fillId="0" borderId="0" applyFill="0" applyBorder="0" applyProtection="0"/>
    <xf numFmtId="178" fontId="2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3" fillId="0" borderId="0"/>
    <xf numFmtId="180" fontId="2" fillId="0" borderId="0" applyFont="0" applyFill="0" applyBorder="0" applyAlignment="0" applyProtection="0"/>
    <xf numFmtId="178" fontId="2" fillId="0" borderId="0" applyNumberFormat="0" applyFont="0" applyFill="0" applyBorder="0" applyAlignment="0" applyProtection="0"/>
    <xf numFmtId="193" fontId="18" fillId="0" borderId="1" applyFont="0" applyFill="0" applyBorder="0" applyAlignment="0" applyProtection="0"/>
    <xf numFmtId="178" fontId="17" fillId="0" borderId="0" applyFont="0" applyFill="0" applyBorder="0" applyAlignment="0" applyProtection="0"/>
    <xf numFmtId="0" fontId="2" fillId="0" borderId="0" applyFont="0" applyFill="0" applyBorder="0" applyAlignment="0"/>
    <xf numFmtId="194" fontId="2" fillId="0" borderId="0" applyFont="0" applyFill="0" applyBorder="0" applyAlignment="0" applyProtection="0"/>
    <xf numFmtId="195" fontId="24" fillId="0" borderId="0" applyFont="0" applyFill="0" applyBorder="0" applyAlignment="0" applyProtection="0"/>
    <xf numFmtId="0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0" fontId="2" fillId="0" borderId="0"/>
    <xf numFmtId="40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41" fontId="18" fillId="0" borderId="0" applyFont="0" applyFill="0" applyBorder="0" applyAlignment="0" applyProtection="0"/>
    <xf numFmtId="196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178" fontId="11" fillId="0" borderId="0">
      <alignment vertical="center"/>
    </xf>
    <xf numFmtId="178" fontId="11" fillId="0" borderId="0">
      <alignment vertical="center"/>
    </xf>
    <xf numFmtId="178" fontId="11" fillId="0" borderId="0">
      <alignment vertical="center"/>
    </xf>
    <xf numFmtId="178" fontId="11" fillId="0" borderId="0">
      <alignment vertical="center"/>
    </xf>
    <xf numFmtId="3" fontId="25" fillId="0" borderId="0"/>
    <xf numFmtId="0" fontId="8" fillId="0" borderId="0" applyNumberFormat="0">
      <alignment horizontal="right"/>
    </xf>
    <xf numFmtId="0" fontId="2" fillId="0" borderId="0"/>
    <xf numFmtId="0" fontId="26" fillId="0" borderId="0"/>
    <xf numFmtId="43" fontId="27" fillId="0" borderId="0" applyFont="0" applyFill="0" applyBorder="0" applyAlignment="0" applyProtection="0"/>
    <xf numFmtId="0" fontId="2" fillId="0" borderId="0"/>
    <xf numFmtId="0" fontId="11" fillId="0" borderId="0">
      <alignment vertical="center"/>
    </xf>
    <xf numFmtId="0" fontId="2" fillId="0" borderId="0"/>
    <xf numFmtId="0" fontId="11" fillId="0" borderId="0">
      <alignment vertical="center"/>
    </xf>
    <xf numFmtId="199" fontId="2" fillId="0" borderId="0">
      <alignment horizontal="left" wrapText="1"/>
    </xf>
    <xf numFmtId="199" fontId="2" fillId="0" borderId="0">
      <alignment horizontal="left" wrapText="1"/>
    </xf>
    <xf numFmtId="178" fontId="2" fillId="0" borderId="0"/>
    <xf numFmtId="0" fontId="11" fillId="0" borderId="0">
      <alignment vertical="center"/>
    </xf>
    <xf numFmtId="0" fontId="2" fillId="0" borderId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178" fontId="2" fillId="0" borderId="0"/>
    <xf numFmtId="0" fontId="11" fillId="0" borderId="0">
      <alignment vertical="center"/>
    </xf>
    <xf numFmtId="0" fontId="11" fillId="0" borderId="0">
      <alignment vertical="center"/>
    </xf>
    <xf numFmtId="38" fontId="13" fillId="0" borderId="0" applyFont="0" applyFill="0" applyBorder="0" applyAlignment="0" applyProtection="0"/>
    <xf numFmtId="199" fontId="2" fillId="0" borderId="0">
      <alignment horizontal="left" wrapText="1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178" fontId="28" fillId="0" borderId="0"/>
    <xf numFmtId="178" fontId="1" fillId="0" borderId="0"/>
    <xf numFmtId="0" fontId="2" fillId="0" borderId="0" applyFont="0" applyFill="0" applyBorder="0" applyAlignment="0" applyProtection="0"/>
    <xf numFmtId="178" fontId="2" fillId="0" borderId="0" applyNumberFormat="0" applyFill="0" applyBorder="0" applyAlignment="0" applyProtection="0"/>
    <xf numFmtId="178" fontId="1" fillId="0" borderId="0" applyNumberFormat="0" applyFill="0" applyBorder="0" applyAlignment="0" applyProtection="0"/>
    <xf numFmtId="178" fontId="1" fillId="0" borderId="0" applyNumberFormat="0" applyFill="0" applyBorder="0" applyAlignment="0" applyProtection="0"/>
    <xf numFmtId="178" fontId="1" fillId="0" borderId="0" applyNumberFormat="0" applyFill="0" applyBorder="0" applyAlignment="0" applyProtection="0"/>
    <xf numFmtId="178" fontId="1" fillId="0" borderId="0" applyNumberFormat="0" applyFill="0" applyBorder="0" applyAlignment="0" applyProtection="0"/>
    <xf numFmtId="178" fontId="1" fillId="0" borderId="0" applyNumberFormat="0" applyFill="0" applyBorder="0" applyAlignment="0" applyProtection="0"/>
    <xf numFmtId="178" fontId="1" fillId="0" borderId="0" applyNumberFormat="0" applyFill="0" applyBorder="0" applyAlignment="0" applyProtection="0"/>
    <xf numFmtId="178" fontId="1" fillId="0" borderId="0" applyNumberForma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 applyNumberFormat="0" applyFill="0" applyBorder="0" applyAlignment="0" applyProtection="0"/>
    <xf numFmtId="178" fontId="2" fillId="0" borderId="0">
      <alignment horizontal="left" wrapText="1"/>
    </xf>
    <xf numFmtId="178" fontId="2" fillId="0" borderId="0">
      <alignment horizontal="left" wrapText="1"/>
    </xf>
    <xf numFmtId="178" fontId="2" fillId="0" borderId="0">
      <alignment horizontal="left" wrapText="1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/>
    <xf numFmtId="38" fontId="13" fillId="0" borderId="0" applyFont="0" applyFill="0" applyBorder="0" applyAlignment="0" applyProtection="0"/>
    <xf numFmtId="178" fontId="29" fillId="0" borderId="0"/>
    <xf numFmtId="3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99" fontId="2" fillId="0" borderId="0">
      <alignment horizontal="left" wrapText="1"/>
    </xf>
    <xf numFmtId="0" fontId="2" fillId="3" borderId="0"/>
    <xf numFmtId="0" fontId="2" fillId="3" borderId="0"/>
    <xf numFmtId="0" fontId="30" fillId="3" borderId="0"/>
    <xf numFmtId="0" fontId="2" fillId="3" borderId="0"/>
    <xf numFmtId="0" fontId="30" fillId="3" borderId="0"/>
    <xf numFmtId="0" fontId="2" fillId="3" borderId="0"/>
    <xf numFmtId="0" fontId="30" fillId="3" borderId="0"/>
    <xf numFmtId="0" fontId="4" fillId="3" borderId="0"/>
    <xf numFmtId="0" fontId="4" fillId="3" borderId="0"/>
    <xf numFmtId="0" fontId="31" fillId="3" borderId="0"/>
    <xf numFmtId="0" fontId="31" fillId="3" borderId="0"/>
    <xf numFmtId="0" fontId="4" fillId="3" borderId="0"/>
    <xf numFmtId="0" fontId="31" fillId="3" borderId="0"/>
    <xf numFmtId="0" fontId="32" fillId="3" borderId="0"/>
    <xf numFmtId="0" fontId="32" fillId="3" borderId="0"/>
    <xf numFmtId="0" fontId="33" fillId="3" borderId="0"/>
    <xf numFmtId="0" fontId="33" fillId="3" borderId="0"/>
    <xf numFmtId="0" fontId="32" fillId="3" borderId="0"/>
    <xf numFmtId="0" fontId="33" fillId="3" borderId="0"/>
    <xf numFmtId="0" fontId="34" fillId="3" borderId="0"/>
    <xf numFmtId="0" fontId="34" fillId="3" borderId="0"/>
    <xf numFmtId="0" fontId="35" fillId="3" borderId="0"/>
    <xf numFmtId="0" fontId="34" fillId="3" borderId="0"/>
    <xf numFmtId="0" fontId="35" fillId="3" borderId="0"/>
    <xf numFmtId="0" fontId="34" fillId="3" borderId="0"/>
    <xf numFmtId="0" fontId="35" fillId="3" borderId="0"/>
    <xf numFmtId="0" fontId="36" fillId="3" borderId="0"/>
    <xf numFmtId="0" fontId="36" fillId="3" borderId="0"/>
    <xf numFmtId="0" fontId="31" fillId="3" borderId="0"/>
    <xf numFmtId="0" fontId="31" fillId="3" borderId="0"/>
    <xf numFmtId="0" fontId="36" fillId="3" borderId="0"/>
    <xf numFmtId="0" fontId="31" fillId="3" borderId="0"/>
    <xf numFmtId="0" fontId="37" fillId="3" borderId="0"/>
    <xf numFmtId="0" fontId="37" fillId="3" borderId="0"/>
    <xf numFmtId="0" fontId="30" fillId="3" borderId="0"/>
    <xf numFmtId="0" fontId="30" fillId="3" borderId="0"/>
    <xf numFmtId="0" fontId="37" fillId="3" borderId="0"/>
    <xf numFmtId="0" fontId="30" fillId="3" borderId="0"/>
    <xf numFmtId="0" fontId="35" fillId="3" borderId="0"/>
    <xf numFmtId="0" fontId="35" fillId="3" borderId="0"/>
    <xf numFmtId="0" fontId="35" fillId="3" borderId="0"/>
    <xf numFmtId="200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199" fontId="2" fillId="0" borderId="0">
      <alignment horizontal="left" wrapText="1"/>
    </xf>
    <xf numFmtId="199" fontId="2" fillId="0" borderId="0">
      <alignment horizontal="left" wrapText="1"/>
    </xf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178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204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205" fontId="2" fillId="0" borderId="0" applyFont="0" applyFill="0" applyBorder="0" applyAlignment="0" applyProtection="0"/>
    <xf numFmtId="206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204" fontId="2" fillId="0" borderId="0" applyFont="0" applyFill="0" applyBorder="0" applyAlignment="0" applyProtection="0"/>
    <xf numFmtId="207" fontId="2" fillId="0" borderId="0" applyFont="0" applyFill="0" applyBorder="0" applyAlignment="0" applyProtection="0"/>
    <xf numFmtId="208" fontId="2" fillId="0" borderId="0" applyFont="0" applyFill="0" applyBorder="0" applyAlignment="0" applyProtection="0"/>
    <xf numFmtId="208" fontId="2" fillId="0" borderId="0" applyFont="0" applyFill="0" applyBorder="0" applyAlignment="0" applyProtection="0"/>
    <xf numFmtId="4" fontId="2" fillId="4" borderId="0"/>
    <xf numFmtId="209" fontId="2" fillId="4" borderId="5"/>
    <xf numFmtId="209" fontId="2" fillId="4" borderId="5"/>
    <xf numFmtId="210" fontId="38" fillId="4" borderId="5"/>
    <xf numFmtId="209" fontId="2" fillId="4" borderId="5"/>
    <xf numFmtId="211" fontId="39" fillId="4" borderId="5"/>
    <xf numFmtId="211" fontId="39" fillId="4" borderId="5"/>
    <xf numFmtId="211" fontId="39" fillId="4" borderId="5"/>
    <xf numFmtId="194" fontId="14" fillId="4" borderId="5"/>
    <xf numFmtId="194" fontId="14" fillId="4" borderId="5"/>
    <xf numFmtId="195" fontId="14" fillId="4" borderId="5"/>
    <xf numFmtId="195" fontId="14" fillId="4" borderId="5"/>
    <xf numFmtId="211" fontId="2" fillId="4" borderId="5"/>
    <xf numFmtId="211" fontId="2" fillId="4" borderId="5"/>
    <xf numFmtId="211" fontId="39" fillId="4" borderId="5"/>
    <xf numFmtId="211" fontId="39" fillId="4" borderId="5"/>
    <xf numFmtId="211" fontId="39" fillId="4" borderId="5"/>
    <xf numFmtId="211" fontId="39" fillId="4" borderId="5"/>
    <xf numFmtId="211" fontId="39" fillId="4" borderId="5"/>
    <xf numFmtId="39" fontId="2" fillId="4" borderId="5"/>
    <xf numFmtId="2" fontId="2" fillId="4" borderId="5"/>
    <xf numFmtId="2" fontId="2" fillId="4" borderId="5"/>
    <xf numFmtId="211" fontId="2" fillId="4" borderId="5"/>
    <xf numFmtId="212" fontId="14" fillId="5" borderId="5"/>
    <xf numFmtId="212" fontId="14" fillId="5" borderId="5"/>
    <xf numFmtId="171" fontId="2" fillId="4" borderId="5"/>
    <xf numFmtId="194" fontId="14" fillId="4" borderId="5"/>
    <xf numFmtId="194" fontId="14" fillId="4" borderId="5"/>
    <xf numFmtId="2" fontId="2" fillId="4" borderId="5"/>
    <xf numFmtId="211" fontId="2" fillId="4" borderId="5"/>
    <xf numFmtId="211" fontId="39" fillId="4" borderId="5"/>
    <xf numFmtId="211" fontId="39" fillId="4" borderId="5"/>
    <xf numFmtId="211" fontId="39" fillId="4" borderId="5"/>
    <xf numFmtId="211" fontId="39" fillId="4" borderId="5"/>
    <xf numFmtId="211" fontId="39" fillId="4" borderId="5"/>
    <xf numFmtId="213" fontId="39" fillId="4" borderId="5"/>
    <xf numFmtId="213" fontId="39" fillId="4" borderId="5"/>
    <xf numFmtId="211" fontId="2" fillId="4" borderId="5"/>
    <xf numFmtId="211" fontId="39" fillId="4" borderId="5"/>
    <xf numFmtId="211" fontId="39" fillId="4" borderId="5"/>
    <xf numFmtId="211" fontId="39" fillId="4" borderId="5"/>
    <xf numFmtId="211" fontId="39" fillId="4" borderId="5"/>
    <xf numFmtId="211" fontId="39" fillId="4" borderId="5"/>
    <xf numFmtId="40" fontId="2" fillId="4" borderId="5"/>
    <xf numFmtId="0" fontId="2" fillId="0" borderId="0"/>
    <xf numFmtId="178" fontId="2" fillId="0" borderId="0">
      <alignment horizontal="left" wrapText="1"/>
    </xf>
    <xf numFmtId="178" fontId="2" fillId="0" borderId="0">
      <alignment horizontal="left" wrapText="1"/>
    </xf>
    <xf numFmtId="178" fontId="2" fillId="0" borderId="0">
      <alignment horizontal="left" wrapText="1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178" fontId="2" fillId="0" borderId="0" applyNumberFormat="0" applyFill="0" applyBorder="0" applyAlignment="0" applyProtection="0"/>
    <xf numFmtId="178" fontId="2" fillId="0" borderId="0" applyNumberFormat="0" applyFill="0" applyBorder="0" applyAlignment="0" applyProtection="0"/>
    <xf numFmtId="178" fontId="2" fillId="0" borderId="0"/>
    <xf numFmtId="0" fontId="2" fillId="0" borderId="0"/>
    <xf numFmtId="199" fontId="2" fillId="0" borderId="0">
      <alignment horizontal="left" wrapText="1"/>
    </xf>
    <xf numFmtId="199" fontId="2" fillId="0" borderId="0">
      <alignment horizontal="left" wrapText="1"/>
    </xf>
    <xf numFmtId="178" fontId="2" fillId="0" borderId="0" applyFont="0" applyFill="0" applyBorder="0" applyAlignment="0" applyProtection="0"/>
    <xf numFmtId="178" fontId="1" fillId="0" borderId="0">
      <alignment vertical="center"/>
    </xf>
    <xf numFmtId="214" fontId="2" fillId="0" borderId="0" applyFont="0" applyFill="0" applyBorder="0" applyAlignment="0" applyProtection="0"/>
    <xf numFmtId="178" fontId="2" fillId="0" borderId="0" applyNumberFormat="0" applyFill="0" applyBorder="0" applyAlignment="0" applyProtection="0"/>
    <xf numFmtId="178" fontId="2" fillId="0" borderId="0">
      <alignment horizontal="left" wrapText="1"/>
    </xf>
    <xf numFmtId="0" fontId="40" fillId="0" borderId="0"/>
    <xf numFmtId="0" fontId="2" fillId="0" borderId="0"/>
    <xf numFmtId="0" fontId="2" fillId="0" borderId="0"/>
    <xf numFmtId="180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38" fontId="13" fillId="0" borderId="0" applyFont="0" applyFill="0" applyBorder="0" applyAlignment="0" applyProtection="0"/>
    <xf numFmtId="0" fontId="32" fillId="6" borderId="0"/>
    <xf numFmtId="0" fontId="32" fillId="4" borderId="0"/>
    <xf numFmtId="0" fontId="32" fillId="4" borderId="0"/>
    <xf numFmtId="0" fontId="32" fillId="0" borderId="0" applyBorder="0"/>
    <xf numFmtId="0" fontId="32" fillId="0" borderId="0" applyBorder="0"/>
    <xf numFmtId="0" fontId="32" fillId="4" borderId="0"/>
    <xf numFmtId="0" fontId="32" fillId="0" borderId="0" applyBorder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" fillId="7" borderId="0" applyNumberFormat="0" applyFont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78" fontId="2" fillId="0" borderId="0" applyNumberFormat="0" applyFill="0" applyBorder="0" applyAlignment="0" applyProtection="0"/>
    <xf numFmtId="178" fontId="2" fillId="0" borderId="0" applyNumberFormat="0" applyFill="0" applyBorder="0" applyAlignment="0" applyProtection="0"/>
    <xf numFmtId="3" fontId="25" fillId="0" borderId="0"/>
    <xf numFmtId="178" fontId="2" fillId="0" borderId="0" applyNumberFormat="0" applyFill="0" applyBorder="0" applyAlignment="0" applyProtection="0"/>
    <xf numFmtId="178" fontId="11" fillId="0" borderId="0">
      <alignment vertical="center"/>
    </xf>
    <xf numFmtId="178" fontId="11" fillId="0" borderId="0">
      <alignment vertical="center"/>
    </xf>
    <xf numFmtId="178" fontId="11" fillId="0" borderId="0">
      <alignment vertical="center"/>
    </xf>
    <xf numFmtId="178" fontId="11" fillId="0" borderId="0">
      <alignment vertical="center"/>
    </xf>
    <xf numFmtId="178" fontId="2" fillId="0" borderId="0">
      <alignment horizontal="left" wrapText="1"/>
    </xf>
    <xf numFmtId="178" fontId="42" fillId="0" borderId="0" applyFill="0" applyBorder="0" applyAlignment="0" applyProtection="0"/>
    <xf numFmtId="0" fontId="2" fillId="0" borderId="0"/>
    <xf numFmtId="38" fontId="13" fillId="0" borderId="0" applyFont="0" applyFill="0" applyBorder="0" applyAlignment="0" applyProtection="0"/>
    <xf numFmtId="178" fontId="11" fillId="0" borderId="0">
      <alignment vertical="center"/>
    </xf>
    <xf numFmtId="199" fontId="2" fillId="0" borderId="0">
      <alignment horizontal="left" wrapText="1"/>
    </xf>
    <xf numFmtId="0" fontId="11" fillId="0" borderId="0">
      <alignment vertical="center"/>
    </xf>
    <xf numFmtId="0" fontId="43" fillId="0" borderId="0" applyNumberFormat="0" applyFill="0" applyBorder="0" applyAlignment="0" applyProtection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199" fontId="2" fillId="0" borderId="0">
      <alignment horizontal="left" wrapText="1"/>
    </xf>
    <xf numFmtId="199" fontId="2" fillId="0" borderId="0">
      <alignment horizontal="left" wrapText="1"/>
    </xf>
    <xf numFmtId="199" fontId="2" fillId="0" borderId="0">
      <alignment horizontal="left" wrapText="1"/>
    </xf>
    <xf numFmtId="199" fontId="2" fillId="0" borderId="0">
      <alignment horizontal="left" wrapText="1"/>
    </xf>
    <xf numFmtId="38" fontId="13" fillId="0" borderId="0" applyFont="0" applyFill="0" applyBorder="0" applyAlignment="0" applyProtection="0"/>
    <xf numFmtId="199" fontId="2" fillId="0" borderId="0">
      <alignment horizontal="left" wrapText="1"/>
    </xf>
    <xf numFmtId="199" fontId="2" fillId="0" borderId="0">
      <alignment horizontal="left" wrapText="1"/>
    </xf>
    <xf numFmtId="199" fontId="2" fillId="0" borderId="0">
      <alignment horizontal="left" wrapText="1"/>
    </xf>
    <xf numFmtId="38" fontId="13" fillId="0" borderId="0" applyFont="0" applyFill="0" applyBorder="0" applyAlignment="0" applyProtection="0"/>
    <xf numFmtId="199" fontId="2" fillId="0" borderId="0">
      <alignment horizontal="left" wrapText="1"/>
    </xf>
    <xf numFmtId="199" fontId="2" fillId="0" borderId="0">
      <alignment horizontal="left" wrapText="1"/>
    </xf>
    <xf numFmtId="199" fontId="2" fillId="0" borderId="0">
      <alignment horizontal="left" wrapText="1"/>
    </xf>
    <xf numFmtId="178" fontId="11" fillId="0" borderId="0">
      <alignment vertical="center"/>
    </xf>
    <xf numFmtId="178" fontId="1" fillId="0" borderId="0"/>
    <xf numFmtId="178" fontId="2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2" fillId="0" borderId="0"/>
    <xf numFmtId="178" fontId="2" fillId="0" borderId="0" applyFont="0" applyFill="0" applyBorder="0" applyAlignment="0" applyProtection="0"/>
    <xf numFmtId="0" fontId="43" fillId="0" borderId="0" applyNumberFormat="0" applyFill="0" applyBorder="0" applyAlignment="0" applyProtection="0"/>
    <xf numFmtId="178" fontId="11" fillId="0" borderId="0">
      <alignment vertical="center"/>
    </xf>
    <xf numFmtId="178" fontId="11" fillId="0" borderId="0">
      <alignment vertical="center"/>
    </xf>
    <xf numFmtId="178" fontId="11" fillId="0" borderId="0">
      <alignment vertical="center"/>
    </xf>
    <xf numFmtId="178" fontId="11" fillId="0" borderId="0">
      <alignment vertical="center"/>
    </xf>
    <xf numFmtId="178" fontId="11" fillId="0" borderId="0">
      <alignment vertical="center"/>
    </xf>
    <xf numFmtId="38" fontId="2" fillId="0" borderId="0" applyFont="0" applyFill="0" applyBorder="0" applyAlignment="0" applyProtection="0"/>
    <xf numFmtId="3" fontId="25" fillId="0" borderId="0"/>
    <xf numFmtId="3" fontId="25" fillId="0" borderId="0"/>
    <xf numFmtId="3" fontId="25" fillId="0" borderId="0"/>
    <xf numFmtId="215" fontId="2" fillId="0" borderId="0" applyFont="0" applyFill="0" applyBorder="0" applyAlignment="0" applyProtection="0"/>
    <xf numFmtId="216" fontId="2" fillId="0" borderId="0" applyFont="0" applyFill="0" applyBorder="0" applyAlignment="0" applyProtection="0"/>
    <xf numFmtId="216" fontId="2" fillId="0" borderId="0" applyFont="0" applyFill="0" applyBorder="0" applyAlignment="0" applyProtection="0"/>
    <xf numFmtId="217" fontId="2" fillId="0" borderId="0" applyFont="0" applyFill="0" applyBorder="0" applyAlignment="0" applyProtection="0"/>
    <xf numFmtId="216" fontId="2" fillId="0" borderId="0" applyFont="0" applyFill="0" applyBorder="0" applyAlignment="0" applyProtection="0"/>
    <xf numFmtId="218" fontId="2" fillId="0" borderId="0" applyFont="0" applyFill="0" applyBorder="0" applyAlignment="0" applyProtection="0"/>
    <xf numFmtId="219" fontId="2" fillId="0" borderId="0" applyFont="0" applyFill="0" applyBorder="0" applyProtection="0">
      <alignment horizontal="right"/>
    </xf>
    <xf numFmtId="220" fontId="2" fillId="0" borderId="0" applyFont="0" applyFill="0" applyBorder="0" applyAlignment="0" applyProtection="0"/>
    <xf numFmtId="186" fontId="2" fillId="0" borderId="0" applyFont="0" applyFill="0" applyBorder="0" applyProtection="0">
      <alignment horizontal="right"/>
    </xf>
    <xf numFmtId="38" fontId="13" fillId="0" borderId="0" applyFont="0" applyFill="0" applyBorder="0" applyAlignment="0" applyProtection="0"/>
    <xf numFmtId="0" fontId="43" fillId="0" borderId="0" applyNumberFormat="0" applyFill="0" applyBorder="0" applyAlignment="0" applyProtection="0"/>
    <xf numFmtId="178" fontId="2" fillId="0" borderId="0" applyNumberFormat="0" applyFill="0" applyBorder="0" applyAlignment="0" applyProtection="0"/>
    <xf numFmtId="178" fontId="2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8" fontId="44" fillId="0" borderId="0" applyNumberFormat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8" fontId="11" fillId="0" borderId="0">
      <alignment vertical="center"/>
    </xf>
    <xf numFmtId="178" fontId="11" fillId="0" borderId="0">
      <alignment vertical="center"/>
    </xf>
    <xf numFmtId="178" fontId="11" fillId="0" borderId="0">
      <alignment vertical="center"/>
    </xf>
    <xf numFmtId="178" fontId="11" fillId="0" borderId="0">
      <alignment vertical="center"/>
    </xf>
    <xf numFmtId="0" fontId="2" fillId="0" borderId="0"/>
    <xf numFmtId="0" fontId="2" fillId="0" borderId="0"/>
    <xf numFmtId="178" fontId="2" fillId="0" borderId="0" applyNumberFormat="0" applyFill="0" applyBorder="0" applyAlignment="0" applyProtection="0"/>
    <xf numFmtId="208" fontId="2" fillId="0" borderId="0" applyFont="0" applyFill="0" applyBorder="0" applyAlignment="0" applyProtection="0"/>
    <xf numFmtId="208" fontId="14" fillId="0" borderId="0" applyFont="0" applyFill="0" applyBorder="0" applyAlignment="0" applyProtection="0"/>
    <xf numFmtId="0" fontId="40" fillId="0" borderId="0"/>
    <xf numFmtId="0" fontId="4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40" fillId="0" borderId="0"/>
    <xf numFmtId="0" fontId="45" fillId="0" borderId="0"/>
    <xf numFmtId="0" fontId="18" fillId="0" borderId="0"/>
    <xf numFmtId="0" fontId="29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3" borderId="0"/>
    <xf numFmtId="0" fontId="2" fillId="3" borderId="0"/>
    <xf numFmtId="0" fontId="2" fillId="3" borderId="0"/>
    <xf numFmtId="0" fontId="30" fillId="3" borderId="0"/>
    <xf numFmtId="0" fontId="2" fillId="3" borderId="0"/>
    <xf numFmtId="0" fontId="30" fillId="3" borderId="0"/>
    <xf numFmtId="0" fontId="2" fillId="3" borderId="0"/>
    <xf numFmtId="0" fontId="2" fillId="3" borderId="0"/>
    <xf numFmtId="0" fontId="30" fillId="3" borderId="0"/>
    <xf numFmtId="0" fontId="30" fillId="3" borderId="0"/>
    <xf numFmtId="0" fontId="46" fillId="8" borderId="0"/>
    <xf numFmtId="0" fontId="4" fillId="3" borderId="0"/>
    <xf numFmtId="0" fontId="4" fillId="3" borderId="0"/>
    <xf numFmtId="0" fontId="31" fillId="3" borderId="0"/>
    <xf numFmtId="0" fontId="31" fillId="3" borderId="0"/>
    <xf numFmtId="0" fontId="4" fillId="3" borderId="0"/>
    <xf numFmtId="0" fontId="31" fillId="3" borderId="0"/>
    <xf numFmtId="0" fontId="47" fillId="9" borderId="0"/>
    <xf numFmtId="0" fontId="32" fillId="3" borderId="0"/>
    <xf numFmtId="0" fontId="32" fillId="3" borderId="0"/>
    <xf numFmtId="0" fontId="33" fillId="3" borderId="0"/>
    <xf numFmtId="0" fontId="33" fillId="3" borderId="0"/>
    <xf numFmtId="0" fontId="32" fillId="3" borderId="0"/>
    <xf numFmtId="0" fontId="33" fillId="3" borderId="0"/>
    <xf numFmtId="0" fontId="48" fillId="10" borderId="0"/>
    <xf numFmtId="0" fontId="2" fillId="3" borderId="0"/>
    <xf numFmtId="0" fontId="2" fillId="3" borderId="0"/>
    <xf numFmtId="0" fontId="35" fillId="3" borderId="0"/>
    <xf numFmtId="0" fontId="35" fillId="3" borderId="0"/>
    <xf numFmtId="0" fontId="2" fillId="3" borderId="0"/>
    <xf numFmtId="0" fontId="2" fillId="3" borderId="0"/>
    <xf numFmtId="0" fontId="35" fillId="3" borderId="0"/>
    <xf numFmtId="0" fontId="36" fillId="0" borderId="0"/>
    <xf numFmtId="0" fontId="36" fillId="3" borderId="0"/>
    <xf numFmtId="0" fontId="36" fillId="3" borderId="0"/>
    <xf numFmtId="0" fontId="31" fillId="3" borderId="0"/>
    <xf numFmtId="0" fontId="31" fillId="3" borderId="0"/>
    <xf numFmtId="0" fontId="36" fillId="3" borderId="0"/>
    <xf numFmtId="0" fontId="31" fillId="3" borderId="0"/>
    <xf numFmtId="0" fontId="37" fillId="0" borderId="0"/>
    <xf numFmtId="0" fontId="37" fillId="3" borderId="0"/>
    <xf numFmtId="0" fontId="37" fillId="3" borderId="0"/>
    <xf numFmtId="0" fontId="30" fillId="3" borderId="0"/>
    <xf numFmtId="0" fontId="30" fillId="3" borderId="0"/>
    <xf numFmtId="0" fontId="37" fillId="3" borderId="0"/>
    <xf numFmtId="0" fontId="30" fillId="3" borderId="0"/>
    <xf numFmtId="0" fontId="35" fillId="0" borderId="0"/>
    <xf numFmtId="0" fontId="35" fillId="3" borderId="0"/>
    <xf numFmtId="0" fontId="35" fillId="3" borderId="0"/>
    <xf numFmtId="0" fontId="35" fillId="3" borderId="0"/>
    <xf numFmtId="38" fontId="13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50" fillId="0" borderId="6" applyNumberFormat="0" applyFill="0" applyAlignment="0" applyProtection="0"/>
    <xf numFmtId="0" fontId="50" fillId="0" borderId="6" applyNumberFormat="0" applyFill="0" applyAlignment="0" applyProtection="0"/>
    <xf numFmtId="0" fontId="50" fillId="0" borderId="6" applyNumberFormat="0" applyFill="0" applyAlignment="0" applyProtection="0"/>
    <xf numFmtId="0" fontId="50" fillId="0" borderId="6" applyNumberFormat="0" applyFill="0" applyAlignment="0" applyProtection="0"/>
    <xf numFmtId="0" fontId="50" fillId="0" borderId="6" applyNumberFormat="0" applyFill="0" applyAlignment="0" applyProtection="0"/>
    <xf numFmtId="0" fontId="50" fillId="0" borderId="6" applyNumberFormat="0" applyFill="0" applyAlignment="0" applyProtection="0"/>
    <xf numFmtId="0" fontId="50" fillId="0" borderId="6" applyNumberFormat="0" applyFill="0" applyAlignment="0" applyProtection="0"/>
    <xf numFmtId="0" fontId="50" fillId="0" borderId="6" applyNumberFormat="0" applyFill="0" applyAlignment="0" applyProtection="0"/>
    <xf numFmtId="0" fontId="50" fillId="0" borderId="6" applyNumberFormat="0" applyFill="0" applyAlignment="0" applyProtection="0"/>
    <xf numFmtId="0" fontId="50" fillId="0" borderId="6" applyNumberFormat="0" applyFill="0" applyAlignment="0" applyProtection="0"/>
    <xf numFmtId="0" fontId="50" fillId="0" borderId="6" applyNumberFormat="0" applyFill="0" applyAlignment="0" applyProtection="0"/>
    <xf numFmtId="0" fontId="50" fillId="0" borderId="6" applyNumberFormat="0" applyFill="0" applyAlignment="0" applyProtection="0"/>
    <xf numFmtId="0" fontId="50" fillId="0" borderId="6" applyNumberFormat="0" applyFill="0" applyAlignment="0" applyProtection="0"/>
    <xf numFmtId="0" fontId="50" fillId="0" borderId="6" applyNumberFormat="0" applyFill="0" applyAlignment="0" applyProtection="0"/>
    <xf numFmtId="0" fontId="51" fillId="0" borderId="7" applyNumberFormat="0" applyFill="0" applyProtection="0">
      <alignment horizontal="center"/>
    </xf>
    <xf numFmtId="0" fontId="51" fillId="0" borderId="7" applyNumberFormat="0" applyFill="0" applyProtection="0">
      <alignment horizontal="center"/>
    </xf>
    <xf numFmtId="0" fontId="51" fillId="0" borderId="7" applyNumberFormat="0" applyFill="0" applyProtection="0">
      <alignment horizontal="center"/>
    </xf>
    <xf numFmtId="0" fontId="51" fillId="0" borderId="7" applyNumberFormat="0" applyFill="0" applyProtection="0">
      <alignment horizontal="center"/>
    </xf>
    <xf numFmtId="0" fontId="51" fillId="0" borderId="7" applyNumberFormat="0" applyFill="0" applyProtection="0">
      <alignment horizontal="center"/>
    </xf>
    <xf numFmtId="0" fontId="51" fillId="0" borderId="7" applyNumberFormat="0" applyFill="0" applyProtection="0">
      <alignment horizontal="center"/>
    </xf>
    <xf numFmtId="0" fontId="51" fillId="0" borderId="7" applyNumberFormat="0" applyFill="0" applyProtection="0">
      <alignment horizontal="center"/>
    </xf>
    <xf numFmtId="0" fontId="51" fillId="0" borderId="7" applyNumberFormat="0" applyFill="0" applyProtection="0">
      <alignment horizontal="center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 applyNumberFormat="0">
      <alignment horizontal="right"/>
    </xf>
    <xf numFmtId="180" fontId="2" fillId="0" borderId="0" applyFont="0" applyFill="0" applyBorder="0" applyAlignment="0" applyProtection="0"/>
    <xf numFmtId="221" fontId="14" fillId="0" borderId="0" applyFill="0" applyBorder="0">
      <alignment horizontal="right"/>
    </xf>
    <xf numFmtId="222" fontId="14" fillId="0" borderId="0" applyFill="0" applyBorder="0" applyProtection="0">
      <alignment horizontal="right"/>
    </xf>
    <xf numFmtId="223" fontId="14" fillId="0" borderId="0" applyFill="0" applyBorder="0" applyProtection="0">
      <alignment horizontal="center"/>
    </xf>
    <xf numFmtId="224" fontId="14" fillId="0" borderId="0" applyFill="0" applyBorder="0" applyProtection="0">
      <alignment horizontal="center"/>
    </xf>
    <xf numFmtId="225" fontId="14" fillId="0" borderId="0" applyFill="0" applyBorder="0" applyProtection="0">
      <alignment horizontal="right"/>
    </xf>
    <xf numFmtId="226" fontId="14" fillId="0" borderId="0" applyFill="0" applyBorder="0" applyProtection="0">
      <alignment horizontal="right"/>
    </xf>
    <xf numFmtId="227" fontId="14" fillId="0" borderId="0" applyFill="0" applyBorder="0" applyProtection="0">
      <alignment horizontal="right"/>
    </xf>
    <xf numFmtId="228" fontId="14" fillId="0" borderId="0" applyFill="0" applyBorder="0" applyProtection="0">
      <alignment horizontal="right"/>
    </xf>
    <xf numFmtId="229" fontId="14" fillId="0" borderId="0" applyFill="0" applyBorder="0" applyProtection="0">
      <alignment horizontal="right"/>
    </xf>
    <xf numFmtId="230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41" fontId="54" fillId="0" borderId="0"/>
    <xf numFmtId="231" fontId="18" fillId="0" borderId="0" applyFont="0" applyFill="0" applyBorder="0" applyAlignment="0" applyProtection="0"/>
    <xf numFmtId="231" fontId="18" fillId="0" borderId="0" applyFont="0" applyFill="0" applyBorder="0" applyAlignment="0" applyProtection="0"/>
    <xf numFmtId="231" fontId="18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232" fontId="56" fillId="0" borderId="8">
      <alignment horizontal="left"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178" fontId="2" fillId="0" borderId="0"/>
    <xf numFmtId="0" fontId="2" fillId="0" borderId="0"/>
    <xf numFmtId="0" fontId="7" fillId="2" borderId="0"/>
    <xf numFmtId="0" fontId="57" fillId="0" borderId="0" applyNumberFormat="0" applyFill="0" applyBorder="0" applyAlignment="0" applyProtection="0">
      <alignment vertical="top"/>
      <protection locked="0"/>
    </xf>
    <xf numFmtId="0" fontId="8" fillId="0" borderId="0" applyNumberFormat="0">
      <alignment horizontal="right"/>
    </xf>
    <xf numFmtId="0" fontId="58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2" fillId="0" borderId="0" applyFont="0" applyFill="0" applyBorder="0" applyAlignment="0" applyProtection="0"/>
    <xf numFmtId="233" fontId="14" fillId="0" borderId="0" applyFont="0" applyFill="0" applyBorder="0" applyAlignment="0" applyProtection="0"/>
    <xf numFmtId="0" fontId="18" fillId="0" borderId="0"/>
    <xf numFmtId="0" fontId="2" fillId="0" borderId="0" applyFont="0" applyFill="0" applyBorder="0" applyAlignment="0" applyProtection="0"/>
    <xf numFmtId="234" fontId="60" fillId="0" borderId="0" applyFont="0" applyFill="0" applyBorder="0" applyAlignment="0" applyProtection="0"/>
    <xf numFmtId="40" fontId="2" fillId="0" borderId="0" applyFont="0" applyFill="0" applyBorder="0" applyAlignment="0" applyProtection="0"/>
    <xf numFmtId="10" fontId="60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35" fontId="18" fillId="0" borderId="9" applyBorder="0">
      <alignment horizontal="right"/>
    </xf>
    <xf numFmtId="3" fontId="61" fillId="0" borderId="10" applyNumberFormat="0" applyFill="0" applyBorder="0" applyAlignment="0" applyProtection="0"/>
    <xf numFmtId="3" fontId="62" fillId="0" borderId="10" applyNumberFormat="0" applyFill="0" applyBorder="0" applyAlignment="0" applyProtection="0"/>
    <xf numFmtId="3" fontId="63" fillId="0" borderId="10" applyNumberFormat="0" applyFill="0" applyBorder="0" applyAlignment="0" applyProtection="0"/>
    <xf numFmtId="3" fontId="64" fillId="0" borderId="10" applyNumberFormat="0" applyFill="0" applyBorder="0" applyAlignment="0" applyProtection="0"/>
    <xf numFmtId="3" fontId="35" fillId="0" borderId="11" applyNumberFormat="0" applyFill="0" applyBorder="0" applyProtection="0"/>
    <xf numFmtId="3" fontId="30" fillId="0" borderId="10" applyNumberFormat="0" applyFill="0" applyBorder="0" applyAlignment="0" applyProtection="0"/>
    <xf numFmtId="3" fontId="31" fillId="0" borderId="10" applyNumberFormat="0" applyFill="0" applyBorder="0" applyAlignment="0" applyProtection="0"/>
    <xf numFmtId="0" fontId="33" fillId="0" borderId="0" applyNumberFormat="0" applyFill="0" applyBorder="0" applyAlignment="0" applyProtection="0"/>
    <xf numFmtId="3" fontId="25" fillId="0" borderId="10" applyNumberFormat="0" applyFill="0" applyBorder="0" applyAlignment="0" applyProtection="0"/>
    <xf numFmtId="3" fontId="37" fillId="0" borderId="10" applyNumberFormat="0" applyFill="0" applyBorder="0" applyAlignment="0" applyProtection="0"/>
    <xf numFmtId="3" fontId="36" fillId="0" borderId="10" applyNumberFormat="0" applyFill="0" applyBorder="0" applyAlignment="0" applyProtection="0"/>
    <xf numFmtId="234" fontId="65" fillId="0" borderId="12" applyNumberFormat="0" applyFill="0" applyBorder="0" applyProtection="0">
      <alignment horizontal="center"/>
    </xf>
    <xf numFmtId="3" fontId="66" fillId="0" borderId="10" applyNumberFormat="0" applyFill="0" applyBorder="0" applyAlignment="0" applyProtection="0"/>
    <xf numFmtId="236" fontId="2" fillId="0" borderId="0">
      <alignment horizontal="right"/>
    </xf>
    <xf numFmtId="235" fontId="18" fillId="9" borderId="13"/>
    <xf numFmtId="232" fontId="2" fillId="0" borderId="0" applyFont="0" applyFill="0" applyBorder="0" applyAlignment="0" applyProtection="0"/>
    <xf numFmtId="237" fontId="14" fillId="0" borderId="0">
      <alignment horizontal="right"/>
    </xf>
    <xf numFmtId="237" fontId="14" fillId="0" borderId="0">
      <alignment horizontal="right"/>
    </xf>
    <xf numFmtId="236" fontId="2" fillId="0" borderId="0">
      <alignment horizontal="right"/>
    </xf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3" fontId="34" fillId="0" borderId="10" applyNumberFormat="0" applyFill="0" applyBorder="0" applyAlignment="0" applyProtection="0"/>
    <xf numFmtId="0" fontId="67" fillId="0" borderId="0" applyNumberFormat="0" applyFill="0" applyBorder="0" applyAlignment="0" applyProtection="0"/>
    <xf numFmtId="222" fontId="2" fillId="0" borderId="9" applyFont="0" applyFill="0" applyBorder="0" applyAlignment="0" applyProtection="0"/>
    <xf numFmtId="0" fontId="4" fillId="0" borderId="0" applyNumberFormat="0" applyFill="0" applyBorder="0" applyAlignment="0" applyProtection="0"/>
    <xf numFmtId="3" fontId="68" fillId="0" borderId="10" applyNumberFormat="0" applyFill="0" applyBorder="0" applyAlignment="0" applyProtection="0"/>
    <xf numFmtId="3" fontId="69" fillId="0" borderId="10" applyNumberFormat="0" applyFill="0" applyBorder="0" applyAlignment="0" applyProtection="0"/>
    <xf numFmtId="3" fontId="70" fillId="0" borderId="10" applyNumberFormat="0" applyFill="0" applyBorder="0" applyAlignment="0" applyProtection="0"/>
    <xf numFmtId="3" fontId="71" fillId="0" borderId="10" applyNumberFormat="0" applyFill="0" applyBorder="0" applyAlignment="0" applyProtection="0"/>
    <xf numFmtId="3" fontId="38" fillId="0" borderId="10" applyNumberFormat="0" applyFill="0" applyBorder="0" applyAlignment="0" applyProtection="0"/>
    <xf numFmtId="0" fontId="72" fillId="0" borderId="0" applyNumberFormat="0" applyFill="0" applyBorder="0" applyAlignment="0" applyProtection="0"/>
    <xf numFmtId="3" fontId="73" fillId="0" borderId="10" applyNumberFormat="0" applyFill="0" applyBorder="0" applyAlignment="0" applyProtection="0"/>
    <xf numFmtId="0" fontId="74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3" fontId="76" fillId="0" borderId="10" applyNumberFormat="0" applyFill="0" applyBorder="0" applyAlignment="0" applyProtection="0"/>
    <xf numFmtId="0" fontId="77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3" fontId="79" fillId="0" borderId="1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3" fontId="82" fillId="0" borderId="10" applyNumberFormat="0" applyFill="0" applyBorder="0" applyAlignment="0" applyProtection="0"/>
    <xf numFmtId="0" fontId="83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37" fontId="18" fillId="0" borderId="0"/>
    <xf numFmtId="238" fontId="84" fillId="0" borderId="0"/>
    <xf numFmtId="0" fontId="85" fillId="11" borderId="0" applyNumberFormat="0" applyBorder="0" applyAlignment="0" applyProtection="0"/>
    <xf numFmtId="0" fontId="85" fillId="11" borderId="0" applyNumberFormat="0" applyBorder="0" applyAlignment="0" applyProtection="0"/>
    <xf numFmtId="0" fontId="85" fillId="12" borderId="0" applyNumberFormat="0" applyBorder="0" applyAlignment="0" applyProtection="0"/>
    <xf numFmtId="0" fontId="85" fillId="12" borderId="0" applyNumberFormat="0" applyBorder="0" applyAlignment="0" applyProtection="0"/>
    <xf numFmtId="0" fontId="85" fillId="13" borderId="0" applyNumberFormat="0" applyBorder="0" applyAlignment="0" applyProtection="0"/>
    <xf numFmtId="0" fontId="85" fillId="13" borderId="0" applyNumberFormat="0" applyBorder="0" applyAlignment="0" applyProtection="0"/>
    <xf numFmtId="0" fontId="85" fillId="14" borderId="0" applyNumberFormat="0" applyBorder="0" applyAlignment="0" applyProtection="0"/>
    <xf numFmtId="0" fontId="85" fillId="14" borderId="0" applyNumberFormat="0" applyBorder="0" applyAlignment="0" applyProtection="0"/>
    <xf numFmtId="0" fontId="85" fillId="15" borderId="0" applyNumberFormat="0" applyBorder="0" applyAlignment="0" applyProtection="0"/>
    <xf numFmtId="0" fontId="85" fillId="15" borderId="0" applyNumberFormat="0" applyBorder="0" applyAlignment="0" applyProtection="0"/>
    <xf numFmtId="0" fontId="85" fillId="16" borderId="0" applyNumberFormat="0" applyBorder="0" applyAlignment="0" applyProtection="0"/>
    <xf numFmtId="0" fontId="85" fillId="16" borderId="0" applyNumberFormat="0" applyBorder="0" applyAlignment="0" applyProtection="0"/>
    <xf numFmtId="0" fontId="85" fillId="11" borderId="0" applyNumberFormat="0" applyBorder="0" applyAlignment="0" applyProtection="0"/>
    <xf numFmtId="0" fontId="85" fillId="12" borderId="0" applyNumberFormat="0" applyBorder="0" applyAlignment="0" applyProtection="0"/>
    <xf numFmtId="0" fontId="85" fillId="13" borderId="0" applyNumberFormat="0" applyBorder="0" applyAlignment="0" applyProtection="0"/>
    <xf numFmtId="0" fontId="85" fillId="14" borderId="0" applyNumberFormat="0" applyBorder="0" applyAlignment="0" applyProtection="0"/>
    <xf numFmtId="0" fontId="85" fillId="15" borderId="0" applyNumberFormat="0" applyBorder="0" applyAlignment="0" applyProtection="0"/>
    <xf numFmtId="0" fontId="85" fillId="16" borderId="0" applyNumberFormat="0" applyBorder="0" applyAlignment="0" applyProtection="0"/>
    <xf numFmtId="0" fontId="85" fillId="11" borderId="0" applyNumberFormat="0" applyBorder="0" applyAlignment="0" applyProtection="0"/>
    <xf numFmtId="0" fontId="85" fillId="11" borderId="0" applyNumberFormat="0" applyBorder="0" applyAlignment="0" applyProtection="0"/>
    <xf numFmtId="0" fontId="85" fillId="11" borderId="0" applyNumberFormat="0" applyBorder="0" applyAlignment="0" applyProtection="0"/>
    <xf numFmtId="0" fontId="85" fillId="11" borderId="0" applyNumberFormat="0" applyBorder="0" applyAlignment="0" applyProtection="0"/>
    <xf numFmtId="0" fontId="85" fillId="11" borderId="0" applyNumberFormat="0" applyBorder="0" applyAlignment="0" applyProtection="0"/>
    <xf numFmtId="0" fontId="85" fillId="11" borderId="0" applyNumberFormat="0" applyBorder="0" applyAlignment="0" applyProtection="0"/>
    <xf numFmtId="0" fontId="85" fillId="11" borderId="0" applyNumberFormat="0" applyBorder="0" applyAlignment="0" applyProtection="0"/>
    <xf numFmtId="0" fontId="85" fillId="11" borderId="0" applyNumberFormat="0" applyBorder="0" applyAlignment="0" applyProtection="0"/>
    <xf numFmtId="0" fontId="85" fillId="12" borderId="0" applyNumberFormat="0" applyBorder="0" applyAlignment="0" applyProtection="0"/>
    <xf numFmtId="0" fontId="85" fillId="12" borderId="0" applyNumberFormat="0" applyBorder="0" applyAlignment="0" applyProtection="0"/>
    <xf numFmtId="0" fontId="85" fillId="12" borderId="0" applyNumberFormat="0" applyBorder="0" applyAlignment="0" applyProtection="0"/>
    <xf numFmtId="0" fontId="85" fillId="12" borderId="0" applyNumberFormat="0" applyBorder="0" applyAlignment="0" applyProtection="0"/>
    <xf numFmtId="0" fontId="85" fillId="12" borderId="0" applyNumberFormat="0" applyBorder="0" applyAlignment="0" applyProtection="0"/>
    <xf numFmtId="0" fontId="85" fillId="12" borderId="0" applyNumberFormat="0" applyBorder="0" applyAlignment="0" applyProtection="0"/>
    <xf numFmtId="0" fontId="85" fillId="12" borderId="0" applyNumberFormat="0" applyBorder="0" applyAlignment="0" applyProtection="0"/>
    <xf numFmtId="0" fontId="85" fillId="12" borderId="0" applyNumberFormat="0" applyBorder="0" applyAlignment="0" applyProtection="0"/>
    <xf numFmtId="0" fontId="85" fillId="13" borderId="0" applyNumberFormat="0" applyBorder="0" applyAlignment="0" applyProtection="0"/>
    <xf numFmtId="0" fontId="85" fillId="13" borderId="0" applyNumberFormat="0" applyBorder="0" applyAlignment="0" applyProtection="0"/>
    <xf numFmtId="0" fontId="85" fillId="13" borderId="0" applyNumberFormat="0" applyBorder="0" applyAlignment="0" applyProtection="0"/>
    <xf numFmtId="0" fontId="85" fillId="13" borderId="0" applyNumberFormat="0" applyBorder="0" applyAlignment="0" applyProtection="0"/>
    <xf numFmtId="0" fontId="85" fillId="13" borderId="0" applyNumberFormat="0" applyBorder="0" applyAlignment="0" applyProtection="0"/>
    <xf numFmtId="0" fontId="85" fillId="13" borderId="0" applyNumberFormat="0" applyBorder="0" applyAlignment="0" applyProtection="0"/>
    <xf numFmtId="0" fontId="85" fillId="13" borderId="0" applyNumberFormat="0" applyBorder="0" applyAlignment="0" applyProtection="0"/>
    <xf numFmtId="0" fontId="85" fillId="13" borderId="0" applyNumberFormat="0" applyBorder="0" applyAlignment="0" applyProtection="0"/>
    <xf numFmtId="0" fontId="85" fillId="14" borderId="0" applyNumberFormat="0" applyBorder="0" applyAlignment="0" applyProtection="0"/>
    <xf numFmtId="0" fontId="85" fillId="14" borderId="0" applyNumberFormat="0" applyBorder="0" applyAlignment="0" applyProtection="0"/>
    <xf numFmtId="0" fontId="85" fillId="14" borderId="0" applyNumberFormat="0" applyBorder="0" applyAlignment="0" applyProtection="0"/>
    <xf numFmtId="0" fontId="85" fillId="14" borderId="0" applyNumberFormat="0" applyBorder="0" applyAlignment="0" applyProtection="0"/>
    <xf numFmtId="0" fontId="85" fillId="14" borderId="0" applyNumberFormat="0" applyBorder="0" applyAlignment="0" applyProtection="0"/>
    <xf numFmtId="0" fontId="85" fillId="14" borderId="0" applyNumberFormat="0" applyBorder="0" applyAlignment="0" applyProtection="0"/>
    <xf numFmtId="0" fontId="85" fillId="14" borderId="0" applyNumberFormat="0" applyBorder="0" applyAlignment="0" applyProtection="0"/>
    <xf numFmtId="0" fontId="85" fillId="14" borderId="0" applyNumberFormat="0" applyBorder="0" applyAlignment="0" applyProtection="0"/>
    <xf numFmtId="0" fontId="85" fillId="15" borderId="0" applyNumberFormat="0" applyBorder="0" applyAlignment="0" applyProtection="0"/>
    <xf numFmtId="0" fontId="85" fillId="15" borderId="0" applyNumberFormat="0" applyBorder="0" applyAlignment="0" applyProtection="0"/>
    <xf numFmtId="0" fontId="85" fillId="15" borderId="0" applyNumberFormat="0" applyBorder="0" applyAlignment="0" applyProtection="0"/>
    <xf numFmtId="0" fontId="85" fillId="15" borderId="0" applyNumberFormat="0" applyBorder="0" applyAlignment="0" applyProtection="0"/>
    <xf numFmtId="0" fontId="85" fillId="15" borderId="0" applyNumberFormat="0" applyBorder="0" applyAlignment="0" applyProtection="0"/>
    <xf numFmtId="0" fontId="85" fillId="15" borderId="0" applyNumberFormat="0" applyBorder="0" applyAlignment="0" applyProtection="0"/>
    <xf numFmtId="0" fontId="85" fillId="15" borderId="0" applyNumberFormat="0" applyBorder="0" applyAlignment="0" applyProtection="0"/>
    <xf numFmtId="0" fontId="85" fillId="15" borderId="0" applyNumberFormat="0" applyBorder="0" applyAlignment="0" applyProtection="0"/>
    <xf numFmtId="0" fontId="85" fillId="16" borderId="0" applyNumberFormat="0" applyBorder="0" applyAlignment="0" applyProtection="0"/>
    <xf numFmtId="0" fontId="85" fillId="16" borderId="0" applyNumberFormat="0" applyBorder="0" applyAlignment="0" applyProtection="0"/>
    <xf numFmtId="0" fontId="85" fillId="16" borderId="0" applyNumberFormat="0" applyBorder="0" applyAlignment="0" applyProtection="0"/>
    <xf numFmtId="0" fontId="85" fillId="16" borderId="0" applyNumberFormat="0" applyBorder="0" applyAlignment="0" applyProtection="0"/>
    <xf numFmtId="0" fontId="85" fillId="16" borderId="0" applyNumberFormat="0" applyBorder="0" applyAlignment="0" applyProtection="0"/>
    <xf numFmtId="0" fontId="85" fillId="16" borderId="0" applyNumberFormat="0" applyBorder="0" applyAlignment="0" applyProtection="0"/>
    <xf numFmtId="0" fontId="85" fillId="16" borderId="0" applyNumberFormat="0" applyBorder="0" applyAlignment="0" applyProtection="0"/>
    <xf numFmtId="0" fontId="85" fillId="16" borderId="0" applyNumberFormat="0" applyBorder="0" applyAlignment="0" applyProtection="0"/>
    <xf numFmtId="0" fontId="86" fillId="0" borderId="0" applyNumberFormat="0" applyFill="0" applyBorder="0" applyAlignment="0" applyProtection="0"/>
    <xf numFmtId="3" fontId="87" fillId="0" borderId="10" applyNumberFormat="0" applyFill="0" applyBorder="0" applyAlignment="0" applyProtection="0"/>
    <xf numFmtId="0" fontId="88" fillId="0" borderId="0" applyNumberFormat="0" applyFill="0" applyBorder="0" applyAlignment="0" applyProtection="0"/>
    <xf numFmtId="239" fontId="2" fillId="0" borderId="14" applyBorder="0">
      <alignment horizontal="right"/>
    </xf>
    <xf numFmtId="232" fontId="56" fillId="0" borderId="8">
      <alignment horizontal="left" vertical="center"/>
    </xf>
    <xf numFmtId="0" fontId="89" fillId="0" borderId="0" applyNumberFormat="0" applyFill="0" applyBorder="0" applyAlignment="0" applyProtection="0">
      <alignment vertical="top"/>
      <protection locked="0"/>
    </xf>
    <xf numFmtId="0" fontId="90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5" fillId="17" borderId="0" applyNumberFormat="0" applyBorder="0" applyAlignment="0" applyProtection="0"/>
    <xf numFmtId="0" fontId="85" fillId="17" borderId="0" applyNumberFormat="0" applyBorder="0" applyAlignment="0" applyProtection="0"/>
    <xf numFmtId="0" fontId="85" fillId="18" borderId="0" applyNumberFormat="0" applyBorder="0" applyAlignment="0" applyProtection="0"/>
    <xf numFmtId="0" fontId="85" fillId="18" borderId="0" applyNumberFormat="0" applyBorder="0" applyAlignment="0" applyProtection="0"/>
    <xf numFmtId="0" fontId="85" fillId="19" borderId="0" applyNumberFormat="0" applyBorder="0" applyAlignment="0" applyProtection="0"/>
    <xf numFmtId="0" fontId="85" fillId="19" borderId="0" applyNumberFormat="0" applyBorder="0" applyAlignment="0" applyProtection="0"/>
    <xf numFmtId="0" fontId="85" fillId="14" borderId="0" applyNumberFormat="0" applyBorder="0" applyAlignment="0" applyProtection="0"/>
    <xf numFmtId="0" fontId="85" fillId="14" borderId="0" applyNumberFormat="0" applyBorder="0" applyAlignment="0" applyProtection="0"/>
    <xf numFmtId="0" fontId="85" fillId="17" borderId="0" applyNumberFormat="0" applyBorder="0" applyAlignment="0" applyProtection="0"/>
    <xf numFmtId="0" fontId="85" fillId="17" borderId="0" applyNumberFormat="0" applyBorder="0" applyAlignment="0" applyProtection="0"/>
    <xf numFmtId="0" fontId="85" fillId="20" borderId="0" applyNumberFormat="0" applyBorder="0" applyAlignment="0" applyProtection="0"/>
    <xf numFmtId="0" fontId="85" fillId="20" borderId="0" applyNumberFormat="0" applyBorder="0" applyAlignment="0" applyProtection="0"/>
    <xf numFmtId="0" fontId="85" fillId="17" borderId="0" applyNumberFormat="0" applyBorder="0" applyAlignment="0" applyProtection="0"/>
    <xf numFmtId="0" fontId="85" fillId="18" borderId="0" applyNumberFormat="0" applyBorder="0" applyAlignment="0" applyProtection="0"/>
    <xf numFmtId="0" fontId="85" fillId="19" borderId="0" applyNumberFormat="0" applyBorder="0" applyAlignment="0" applyProtection="0"/>
    <xf numFmtId="0" fontId="85" fillId="14" borderId="0" applyNumberFormat="0" applyBorder="0" applyAlignment="0" applyProtection="0"/>
    <xf numFmtId="0" fontId="85" fillId="17" borderId="0" applyNumberFormat="0" applyBorder="0" applyAlignment="0" applyProtection="0"/>
    <xf numFmtId="0" fontId="85" fillId="20" borderId="0" applyNumberFormat="0" applyBorder="0" applyAlignment="0" applyProtection="0"/>
    <xf numFmtId="0" fontId="85" fillId="17" borderId="0" applyNumberFormat="0" applyBorder="0" applyAlignment="0" applyProtection="0"/>
    <xf numFmtId="0" fontId="85" fillId="17" borderId="0" applyNumberFormat="0" applyBorder="0" applyAlignment="0" applyProtection="0"/>
    <xf numFmtId="0" fontId="85" fillId="17" borderId="0" applyNumberFormat="0" applyBorder="0" applyAlignment="0" applyProtection="0"/>
    <xf numFmtId="0" fontId="85" fillId="17" borderId="0" applyNumberFormat="0" applyBorder="0" applyAlignment="0" applyProtection="0"/>
    <xf numFmtId="0" fontId="85" fillId="17" borderId="0" applyNumberFormat="0" applyBorder="0" applyAlignment="0" applyProtection="0"/>
    <xf numFmtId="0" fontId="85" fillId="17" borderId="0" applyNumberFormat="0" applyBorder="0" applyAlignment="0" applyProtection="0"/>
    <xf numFmtId="0" fontId="85" fillId="17" borderId="0" applyNumberFormat="0" applyBorder="0" applyAlignment="0" applyProtection="0"/>
    <xf numFmtId="0" fontId="85" fillId="17" borderId="0" applyNumberFormat="0" applyBorder="0" applyAlignment="0" applyProtection="0"/>
    <xf numFmtId="0" fontId="85" fillId="18" borderId="0" applyNumberFormat="0" applyBorder="0" applyAlignment="0" applyProtection="0"/>
    <xf numFmtId="0" fontId="85" fillId="18" borderId="0" applyNumberFormat="0" applyBorder="0" applyAlignment="0" applyProtection="0"/>
    <xf numFmtId="0" fontId="85" fillId="18" borderId="0" applyNumberFormat="0" applyBorder="0" applyAlignment="0" applyProtection="0"/>
    <xf numFmtId="0" fontId="85" fillId="18" borderId="0" applyNumberFormat="0" applyBorder="0" applyAlignment="0" applyProtection="0"/>
    <xf numFmtId="0" fontId="85" fillId="18" borderId="0" applyNumberFormat="0" applyBorder="0" applyAlignment="0" applyProtection="0"/>
    <xf numFmtId="0" fontId="85" fillId="18" borderId="0" applyNumberFormat="0" applyBorder="0" applyAlignment="0" applyProtection="0"/>
    <xf numFmtId="0" fontId="85" fillId="18" borderId="0" applyNumberFormat="0" applyBorder="0" applyAlignment="0" applyProtection="0"/>
    <xf numFmtId="0" fontId="85" fillId="18" borderId="0" applyNumberFormat="0" applyBorder="0" applyAlignment="0" applyProtection="0"/>
    <xf numFmtId="0" fontId="85" fillId="19" borderId="0" applyNumberFormat="0" applyBorder="0" applyAlignment="0" applyProtection="0"/>
    <xf numFmtId="0" fontId="85" fillId="19" borderId="0" applyNumberFormat="0" applyBorder="0" applyAlignment="0" applyProtection="0"/>
    <xf numFmtId="0" fontId="85" fillId="19" borderId="0" applyNumberFormat="0" applyBorder="0" applyAlignment="0" applyProtection="0"/>
    <xf numFmtId="0" fontId="85" fillId="19" borderId="0" applyNumberFormat="0" applyBorder="0" applyAlignment="0" applyProtection="0"/>
    <xf numFmtId="0" fontId="85" fillId="19" borderId="0" applyNumberFormat="0" applyBorder="0" applyAlignment="0" applyProtection="0"/>
    <xf numFmtId="0" fontId="85" fillId="19" borderId="0" applyNumberFormat="0" applyBorder="0" applyAlignment="0" applyProtection="0"/>
    <xf numFmtId="0" fontId="85" fillId="19" borderId="0" applyNumberFormat="0" applyBorder="0" applyAlignment="0" applyProtection="0"/>
    <xf numFmtId="0" fontId="85" fillId="19" borderId="0" applyNumberFormat="0" applyBorder="0" applyAlignment="0" applyProtection="0"/>
    <xf numFmtId="0" fontId="85" fillId="14" borderId="0" applyNumberFormat="0" applyBorder="0" applyAlignment="0" applyProtection="0"/>
    <xf numFmtId="0" fontId="85" fillId="14" borderId="0" applyNumberFormat="0" applyBorder="0" applyAlignment="0" applyProtection="0"/>
    <xf numFmtId="0" fontId="85" fillId="14" borderId="0" applyNumberFormat="0" applyBorder="0" applyAlignment="0" applyProtection="0"/>
    <xf numFmtId="0" fontId="85" fillId="14" borderId="0" applyNumberFormat="0" applyBorder="0" applyAlignment="0" applyProtection="0"/>
    <xf numFmtId="0" fontId="85" fillId="14" borderId="0" applyNumberFormat="0" applyBorder="0" applyAlignment="0" applyProtection="0"/>
    <xf numFmtId="0" fontId="85" fillId="14" borderId="0" applyNumberFormat="0" applyBorder="0" applyAlignment="0" applyProtection="0"/>
    <xf numFmtId="0" fontId="85" fillId="14" borderId="0" applyNumberFormat="0" applyBorder="0" applyAlignment="0" applyProtection="0"/>
    <xf numFmtId="0" fontId="85" fillId="14" borderId="0" applyNumberFormat="0" applyBorder="0" applyAlignment="0" applyProtection="0"/>
    <xf numFmtId="0" fontId="85" fillId="17" borderId="0" applyNumberFormat="0" applyBorder="0" applyAlignment="0" applyProtection="0"/>
    <xf numFmtId="0" fontId="85" fillId="17" borderId="0" applyNumberFormat="0" applyBorder="0" applyAlignment="0" applyProtection="0"/>
    <xf numFmtId="0" fontId="85" fillId="17" borderId="0" applyNumberFormat="0" applyBorder="0" applyAlignment="0" applyProtection="0"/>
    <xf numFmtId="0" fontId="85" fillId="17" borderId="0" applyNumberFormat="0" applyBorder="0" applyAlignment="0" applyProtection="0"/>
    <xf numFmtId="0" fontId="85" fillId="17" borderId="0" applyNumberFormat="0" applyBorder="0" applyAlignment="0" applyProtection="0"/>
    <xf numFmtId="0" fontId="85" fillId="17" borderId="0" applyNumberFormat="0" applyBorder="0" applyAlignment="0" applyProtection="0"/>
    <xf numFmtId="0" fontId="85" fillId="17" borderId="0" applyNumberFormat="0" applyBorder="0" applyAlignment="0" applyProtection="0"/>
    <xf numFmtId="0" fontId="85" fillId="17" borderId="0" applyNumberFormat="0" applyBorder="0" applyAlignment="0" applyProtection="0"/>
    <xf numFmtId="0" fontId="85" fillId="20" borderId="0" applyNumberFormat="0" applyBorder="0" applyAlignment="0" applyProtection="0"/>
    <xf numFmtId="0" fontId="85" fillId="20" borderId="0" applyNumberFormat="0" applyBorder="0" applyAlignment="0" applyProtection="0"/>
    <xf numFmtId="0" fontId="85" fillId="20" borderId="0" applyNumberFormat="0" applyBorder="0" applyAlignment="0" applyProtection="0"/>
    <xf numFmtId="0" fontId="85" fillId="20" borderId="0" applyNumberFormat="0" applyBorder="0" applyAlignment="0" applyProtection="0"/>
    <xf numFmtId="0" fontId="85" fillId="20" borderId="0" applyNumberFormat="0" applyBorder="0" applyAlignment="0" applyProtection="0"/>
    <xf numFmtId="0" fontId="85" fillId="20" borderId="0" applyNumberFormat="0" applyBorder="0" applyAlignment="0" applyProtection="0"/>
    <xf numFmtId="0" fontId="85" fillId="20" borderId="0" applyNumberFormat="0" applyBorder="0" applyAlignment="0" applyProtection="0"/>
    <xf numFmtId="0" fontId="85" fillId="20" borderId="0" applyNumberFormat="0" applyBorder="0" applyAlignment="0" applyProtection="0"/>
    <xf numFmtId="240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91" fillId="21" borderId="0" applyNumberFormat="0" applyBorder="0" applyAlignment="0" applyProtection="0"/>
    <xf numFmtId="0" fontId="91" fillId="21" borderId="0" applyNumberFormat="0" applyBorder="0" applyAlignment="0" applyProtection="0"/>
    <xf numFmtId="0" fontId="91" fillId="18" borderId="0" applyNumberFormat="0" applyBorder="0" applyAlignment="0" applyProtection="0"/>
    <xf numFmtId="0" fontId="91" fillId="18" borderId="0" applyNumberFormat="0" applyBorder="0" applyAlignment="0" applyProtection="0"/>
    <xf numFmtId="0" fontId="91" fillId="19" borderId="0" applyNumberFormat="0" applyBorder="0" applyAlignment="0" applyProtection="0"/>
    <xf numFmtId="0" fontId="91" fillId="19" borderId="0" applyNumberFormat="0" applyBorder="0" applyAlignment="0" applyProtection="0"/>
    <xf numFmtId="0" fontId="91" fillId="22" borderId="0" applyNumberFormat="0" applyBorder="0" applyAlignment="0" applyProtection="0"/>
    <xf numFmtId="0" fontId="91" fillId="22" borderId="0" applyNumberFormat="0" applyBorder="0" applyAlignment="0" applyProtection="0"/>
    <xf numFmtId="0" fontId="91" fillId="23" borderId="0" applyNumberFormat="0" applyBorder="0" applyAlignment="0" applyProtection="0"/>
    <xf numFmtId="0" fontId="91" fillId="23" borderId="0" applyNumberFormat="0" applyBorder="0" applyAlignment="0" applyProtection="0"/>
    <xf numFmtId="0" fontId="91" fillId="24" borderId="0" applyNumberFormat="0" applyBorder="0" applyAlignment="0" applyProtection="0"/>
    <xf numFmtId="0" fontId="91" fillId="24" borderId="0" applyNumberFormat="0" applyBorder="0" applyAlignment="0" applyProtection="0"/>
    <xf numFmtId="0" fontId="91" fillId="21" borderId="0" applyNumberFormat="0" applyBorder="0" applyAlignment="0" applyProtection="0"/>
    <xf numFmtId="0" fontId="91" fillId="18" borderId="0" applyNumberFormat="0" applyBorder="0" applyAlignment="0" applyProtection="0"/>
    <xf numFmtId="0" fontId="91" fillId="19" borderId="0" applyNumberFormat="0" applyBorder="0" applyAlignment="0" applyProtection="0"/>
    <xf numFmtId="0" fontId="91" fillId="22" borderId="0" applyNumberFormat="0" applyBorder="0" applyAlignment="0" applyProtection="0"/>
    <xf numFmtId="0" fontId="91" fillId="23" borderId="0" applyNumberFormat="0" applyBorder="0" applyAlignment="0" applyProtection="0"/>
    <xf numFmtId="0" fontId="91" fillId="24" borderId="0" applyNumberFormat="0" applyBorder="0" applyAlignment="0" applyProtection="0"/>
    <xf numFmtId="0" fontId="91" fillId="21" borderId="0" applyNumberFormat="0" applyBorder="0" applyAlignment="0" applyProtection="0"/>
    <xf numFmtId="0" fontId="91" fillId="21" borderId="0" applyNumberFormat="0" applyBorder="0" applyAlignment="0" applyProtection="0"/>
    <xf numFmtId="0" fontId="91" fillId="21" borderId="0" applyNumberFormat="0" applyBorder="0" applyAlignment="0" applyProtection="0"/>
    <xf numFmtId="0" fontId="91" fillId="21" borderId="0" applyNumberFormat="0" applyBorder="0" applyAlignment="0" applyProtection="0"/>
    <xf numFmtId="0" fontId="91" fillId="21" borderId="0" applyNumberFormat="0" applyBorder="0" applyAlignment="0" applyProtection="0"/>
    <xf numFmtId="0" fontId="91" fillId="21" borderId="0" applyNumberFormat="0" applyBorder="0" applyAlignment="0" applyProtection="0"/>
    <xf numFmtId="0" fontId="91" fillId="21" borderId="0" applyNumberFormat="0" applyBorder="0" applyAlignment="0" applyProtection="0"/>
    <xf numFmtId="0" fontId="91" fillId="21" borderId="0" applyNumberFormat="0" applyBorder="0" applyAlignment="0" applyProtection="0"/>
    <xf numFmtId="0" fontId="91" fillId="18" borderId="0" applyNumberFormat="0" applyBorder="0" applyAlignment="0" applyProtection="0"/>
    <xf numFmtId="0" fontId="91" fillId="18" borderId="0" applyNumberFormat="0" applyBorder="0" applyAlignment="0" applyProtection="0"/>
    <xf numFmtId="0" fontId="91" fillId="18" borderId="0" applyNumberFormat="0" applyBorder="0" applyAlignment="0" applyProtection="0"/>
    <xf numFmtId="0" fontId="91" fillId="18" borderId="0" applyNumberFormat="0" applyBorder="0" applyAlignment="0" applyProtection="0"/>
    <xf numFmtId="0" fontId="91" fillId="18" borderId="0" applyNumberFormat="0" applyBorder="0" applyAlignment="0" applyProtection="0"/>
    <xf numFmtId="0" fontId="91" fillId="18" borderId="0" applyNumberFormat="0" applyBorder="0" applyAlignment="0" applyProtection="0"/>
    <xf numFmtId="0" fontId="91" fillId="18" borderId="0" applyNumberFormat="0" applyBorder="0" applyAlignment="0" applyProtection="0"/>
    <xf numFmtId="0" fontId="91" fillId="18" borderId="0" applyNumberFormat="0" applyBorder="0" applyAlignment="0" applyProtection="0"/>
    <xf numFmtId="0" fontId="91" fillId="19" borderId="0" applyNumberFormat="0" applyBorder="0" applyAlignment="0" applyProtection="0"/>
    <xf numFmtId="0" fontId="91" fillId="19" borderId="0" applyNumberFormat="0" applyBorder="0" applyAlignment="0" applyProtection="0"/>
    <xf numFmtId="0" fontId="91" fillId="19" borderId="0" applyNumberFormat="0" applyBorder="0" applyAlignment="0" applyProtection="0"/>
    <xf numFmtId="0" fontId="91" fillId="19" borderId="0" applyNumberFormat="0" applyBorder="0" applyAlignment="0" applyProtection="0"/>
    <xf numFmtId="0" fontId="91" fillId="19" borderId="0" applyNumberFormat="0" applyBorder="0" applyAlignment="0" applyProtection="0"/>
    <xf numFmtId="0" fontId="91" fillId="19" borderId="0" applyNumberFormat="0" applyBorder="0" applyAlignment="0" applyProtection="0"/>
    <xf numFmtId="0" fontId="91" fillId="19" borderId="0" applyNumberFormat="0" applyBorder="0" applyAlignment="0" applyProtection="0"/>
    <xf numFmtId="0" fontId="91" fillId="19" borderId="0" applyNumberFormat="0" applyBorder="0" applyAlignment="0" applyProtection="0"/>
    <xf numFmtId="0" fontId="91" fillId="22" borderId="0" applyNumberFormat="0" applyBorder="0" applyAlignment="0" applyProtection="0"/>
    <xf numFmtId="0" fontId="91" fillId="22" borderId="0" applyNumberFormat="0" applyBorder="0" applyAlignment="0" applyProtection="0"/>
    <xf numFmtId="0" fontId="91" fillId="22" borderId="0" applyNumberFormat="0" applyBorder="0" applyAlignment="0" applyProtection="0"/>
    <xf numFmtId="0" fontId="91" fillId="22" borderId="0" applyNumberFormat="0" applyBorder="0" applyAlignment="0" applyProtection="0"/>
    <xf numFmtId="0" fontId="91" fillId="22" borderId="0" applyNumberFormat="0" applyBorder="0" applyAlignment="0" applyProtection="0"/>
    <xf numFmtId="0" fontId="91" fillId="22" borderId="0" applyNumberFormat="0" applyBorder="0" applyAlignment="0" applyProtection="0"/>
    <xf numFmtId="0" fontId="91" fillId="22" borderId="0" applyNumberFormat="0" applyBorder="0" applyAlignment="0" applyProtection="0"/>
    <xf numFmtId="0" fontId="91" fillId="22" borderId="0" applyNumberFormat="0" applyBorder="0" applyAlignment="0" applyProtection="0"/>
    <xf numFmtId="0" fontId="91" fillId="23" borderId="0" applyNumberFormat="0" applyBorder="0" applyAlignment="0" applyProtection="0"/>
    <xf numFmtId="0" fontId="91" fillId="23" borderId="0" applyNumberFormat="0" applyBorder="0" applyAlignment="0" applyProtection="0"/>
    <xf numFmtId="0" fontId="91" fillId="23" borderId="0" applyNumberFormat="0" applyBorder="0" applyAlignment="0" applyProtection="0"/>
    <xf numFmtId="0" fontId="91" fillId="23" borderId="0" applyNumberFormat="0" applyBorder="0" applyAlignment="0" applyProtection="0"/>
    <xf numFmtId="0" fontId="91" fillId="23" borderId="0" applyNumberFormat="0" applyBorder="0" applyAlignment="0" applyProtection="0"/>
    <xf numFmtId="0" fontId="91" fillId="23" borderId="0" applyNumberFormat="0" applyBorder="0" applyAlignment="0" applyProtection="0"/>
    <xf numFmtId="0" fontId="91" fillId="23" borderId="0" applyNumberFormat="0" applyBorder="0" applyAlignment="0" applyProtection="0"/>
    <xf numFmtId="0" fontId="91" fillId="23" borderId="0" applyNumberFormat="0" applyBorder="0" applyAlignment="0" applyProtection="0"/>
    <xf numFmtId="0" fontId="91" fillId="24" borderId="0" applyNumberFormat="0" applyBorder="0" applyAlignment="0" applyProtection="0"/>
    <xf numFmtId="0" fontId="91" fillId="24" borderId="0" applyNumberFormat="0" applyBorder="0" applyAlignment="0" applyProtection="0"/>
    <xf numFmtId="0" fontId="91" fillId="24" borderId="0" applyNumberFormat="0" applyBorder="0" applyAlignment="0" applyProtection="0"/>
    <xf numFmtId="0" fontId="91" fillId="24" borderId="0" applyNumberFormat="0" applyBorder="0" applyAlignment="0" applyProtection="0"/>
    <xf numFmtId="0" fontId="91" fillId="24" borderId="0" applyNumberFormat="0" applyBorder="0" applyAlignment="0" applyProtection="0"/>
    <xf numFmtId="0" fontId="91" fillId="24" borderId="0" applyNumberFormat="0" applyBorder="0" applyAlignment="0" applyProtection="0"/>
    <xf numFmtId="0" fontId="91" fillId="24" borderId="0" applyNumberFormat="0" applyBorder="0" applyAlignment="0" applyProtection="0"/>
    <xf numFmtId="0" fontId="91" fillId="24" borderId="0" applyNumberFormat="0" applyBorder="0" applyAlignment="0" applyProtection="0"/>
    <xf numFmtId="0" fontId="8" fillId="0" borderId="0" applyNumberFormat="0">
      <alignment horizontal="right"/>
    </xf>
    <xf numFmtId="241" fontId="92" fillId="0" borderId="0" applyFont="0" applyFill="0" applyBorder="0" applyAlignment="0" applyProtection="0"/>
    <xf numFmtId="0" fontId="35" fillId="0" borderId="4" applyNumberFormat="0" applyBorder="0"/>
    <xf numFmtId="0" fontId="23" fillId="0" borderId="0"/>
    <xf numFmtId="180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27" fillId="0" borderId="0" applyFont="0" applyFill="0" applyBorder="0" applyAlignment="0" applyProtection="0"/>
    <xf numFmtId="37" fontId="2" fillId="0" borderId="0"/>
    <xf numFmtId="0" fontId="2" fillId="0" borderId="15" applyNumberFormat="0">
      <alignment horizontal="center" vertical="top" wrapText="1"/>
    </xf>
    <xf numFmtId="0" fontId="2" fillId="0" borderId="16">
      <alignment vertical="top"/>
    </xf>
    <xf numFmtId="0" fontId="93" fillId="0" borderId="1" applyBorder="0"/>
    <xf numFmtId="0" fontId="91" fillId="25" borderId="0" applyNumberFormat="0" applyBorder="0" applyAlignment="0" applyProtection="0"/>
    <xf numFmtId="0" fontId="91" fillId="25" borderId="0" applyNumberFormat="0" applyBorder="0" applyAlignment="0" applyProtection="0"/>
    <xf numFmtId="0" fontId="91" fillId="26" borderId="0" applyNumberFormat="0" applyBorder="0" applyAlignment="0" applyProtection="0"/>
    <xf numFmtId="0" fontId="91" fillId="26" borderId="0" applyNumberFormat="0" applyBorder="0" applyAlignment="0" applyProtection="0"/>
    <xf numFmtId="0" fontId="91" fillId="27" borderId="0" applyNumberFormat="0" applyBorder="0" applyAlignment="0" applyProtection="0"/>
    <xf numFmtId="0" fontId="91" fillId="27" borderId="0" applyNumberFormat="0" applyBorder="0" applyAlignment="0" applyProtection="0"/>
    <xf numFmtId="0" fontId="91" fillId="22" borderId="0" applyNumberFormat="0" applyBorder="0" applyAlignment="0" applyProtection="0"/>
    <xf numFmtId="0" fontId="91" fillId="22" borderId="0" applyNumberFormat="0" applyBorder="0" applyAlignment="0" applyProtection="0"/>
    <xf numFmtId="0" fontId="91" fillId="23" borderId="0" applyNumberFormat="0" applyBorder="0" applyAlignment="0" applyProtection="0"/>
    <xf numFmtId="0" fontId="91" fillId="23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4" fillId="0" borderId="0" applyFont="0" applyFill="0" applyBorder="0" applyAlignment="0" applyProtection="0"/>
    <xf numFmtId="0" fontId="35" fillId="0" borderId="0" applyNumberFormat="0" applyAlignment="0"/>
    <xf numFmtId="242" fontId="2" fillId="29" borderId="17">
      <alignment horizontal="center" vertical="center"/>
    </xf>
    <xf numFmtId="0" fontId="2" fillId="30" borderId="0" applyNumberFormat="0" applyProtection="0">
      <alignment horizontal="center"/>
      <protection locked="0" hidden="1"/>
    </xf>
    <xf numFmtId="0" fontId="2" fillId="0" borderId="0"/>
    <xf numFmtId="0" fontId="11" fillId="0" borderId="0">
      <alignment vertical="center"/>
    </xf>
    <xf numFmtId="0" fontId="11" fillId="0" borderId="0">
      <alignment vertical="center"/>
    </xf>
    <xf numFmtId="0" fontId="95" fillId="0" borderId="0" applyNumberFormat="0" applyFill="0" applyBorder="0" applyAlignment="0" applyProtection="0">
      <alignment vertical="top"/>
      <protection locked="0"/>
    </xf>
    <xf numFmtId="185" fontId="92" fillId="0" borderId="0" applyFont="0" applyFill="0" applyBorder="0" applyAlignment="0" applyProtection="0"/>
    <xf numFmtId="0" fontId="38" fillId="0" borderId="0" applyAlignment="0"/>
    <xf numFmtId="0" fontId="96" fillId="0" borderId="0">
      <alignment horizontal="center" wrapText="1"/>
      <protection locked="0"/>
    </xf>
    <xf numFmtId="0" fontId="96" fillId="0" borderId="0">
      <alignment horizontal="center" wrapText="1"/>
      <protection locked="0"/>
    </xf>
    <xf numFmtId="0" fontId="96" fillId="0" borderId="0">
      <alignment horizontal="center" wrapText="1"/>
      <protection locked="0"/>
    </xf>
    <xf numFmtId="0" fontId="35" fillId="31" borderId="0"/>
    <xf numFmtId="0" fontId="30" fillId="0" borderId="0"/>
    <xf numFmtId="0" fontId="2" fillId="0" borderId="0"/>
    <xf numFmtId="0" fontId="4" fillId="0" borderId="0"/>
    <xf numFmtId="0" fontId="72" fillId="0" borderId="0"/>
    <xf numFmtId="1" fontId="63" fillId="0" borderId="0" applyBorder="0">
      <protection locked="0"/>
    </xf>
    <xf numFmtId="3" fontId="7" fillId="0" borderId="0" applyNumberFormat="0" applyFill="0" applyBorder="0" applyAlignment="0" applyProtection="0"/>
    <xf numFmtId="3" fontId="97" fillId="0" borderId="0" applyNumberFormat="0" applyFill="0" applyBorder="0" applyAlignment="0" applyProtection="0"/>
    <xf numFmtId="0" fontId="98" fillId="0" borderId="10">
      <protection hidden="1"/>
    </xf>
    <xf numFmtId="0" fontId="99" fillId="32" borderId="10" applyNumberFormat="0" applyFont="0" applyBorder="0" applyAlignment="0" applyProtection="0">
      <protection hidden="1"/>
    </xf>
    <xf numFmtId="0" fontId="100" fillId="33" borderId="13"/>
    <xf numFmtId="234" fontId="13" fillId="0" borderId="0" applyFont="0" applyFill="0" applyBorder="0" applyAlignment="0" applyProtection="0"/>
    <xf numFmtId="243" fontId="101" fillId="33" borderId="13" applyBorder="0"/>
    <xf numFmtId="244" fontId="100" fillId="33" borderId="13">
      <alignment horizontal="center"/>
      <protection locked="0"/>
    </xf>
    <xf numFmtId="245" fontId="2" fillId="0" borderId="0" applyFont="0" applyFill="0" applyBorder="0" applyAlignment="0" applyProtection="0"/>
    <xf numFmtId="246" fontId="2" fillId="0" borderId="0" applyFont="0" applyFill="0" applyBorder="0" applyAlignment="0" applyProtection="0"/>
    <xf numFmtId="2" fontId="102" fillId="34" borderId="0">
      <alignment vertical="center"/>
    </xf>
    <xf numFmtId="2" fontId="103" fillId="34" borderId="0">
      <alignment vertical="center"/>
    </xf>
    <xf numFmtId="9" fontId="2" fillId="0" borderId="18" applyNumberFormat="0" applyFont="0" applyFill="0" applyAlignment="0" applyProtection="0"/>
    <xf numFmtId="9" fontId="2" fillId="0" borderId="1" applyNumberFormat="0" applyFont="0" applyFill="0" applyAlignment="0" applyProtection="0"/>
    <xf numFmtId="9" fontId="2" fillId="0" borderId="1" applyNumberFormat="0" applyFont="0" applyFill="0" applyAlignment="0" applyProtection="0"/>
    <xf numFmtId="9" fontId="2" fillId="0" borderId="1" applyNumberFormat="0" applyFont="0" applyFill="0" applyAlignment="0" applyProtection="0"/>
    <xf numFmtId="37" fontId="104" fillId="0" borderId="19" applyNumberFormat="0" applyFont="0" applyFill="0" applyAlignment="0" applyProtection="0">
      <alignment horizontal="centerContinuous"/>
    </xf>
    <xf numFmtId="9" fontId="2" fillId="0" borderId="20" applyNumberFormat="0" applyFont="0" applyFill="0" applyAlignment="0" applyProtection="0"/>
    <xf numFmtId="9" fontId="2" fillId="0" borderId="21" applyNumberFormat="0" applyFont="0" applyFill="0" applyAlignment="0" applyProtection="0"/>
    <xf numFmtId="0" fontId="105" fillId="12" borderId="0" applyNumberFormat="0" applyBorder="0" applyAlignment="0" applyProtection="0"/>
    <xf numFmtId="0" fontId="105" fillId="12" borderId="0" applyNumberFormat="0" applyBorder="0" applyAlignment="0" applyProtection="0"/>
    <xf numFmtId="247" fontId="106" fillId="0" borderId="4" applyFill="0" applyBorder="0" applyProtection="0"/>
    <xf numFmtId="0" fontId="30" fillId="35" borderId="13" applyNumberFormat="0" applyBorder="0" applyAlignment="0">
      <alignment horizontal="center" vertical="center"/>
      <protection locked="0"/>
    </xf>
    <xf numFmtId="182" fontId="2" fillId="0" borderId="15">
      <alignment vertical="top"/>
      <protection locked="0"/>
    </xf>
    <xf numFmtId="182" fontId="32" fillId="0" borderId="15">
      <alignment vertical="top"/>
    </xf>
    <xf numFmtId="182" fontId="107" fillId="0" borderId="12" applyFont="0" applyFill="0" applyBorder="0" applyAlignment="0">
      <alignment vertical="top"/>
      <protection hidden="1"/>
    </xf>
    <xf numFmtId="0" fontId="43" fillId="0" borderId="0" applyBorder="0">
      <alignment horizontal="left" vertical="top" wrapText="1"/>
      <protection locked="0"/>
    </xf>
    <xf numFmtId="0" fontId="43" fillId="0" borderId="0" applyBorder="0">
      <alignment vertical="top"/>
      <protection locked="0"/>
    </xf>
    <xf numFmtId="248" fontId="14" fillId="0" borderId="0" applyBorder="0">
      <alignment vertical="top"/>
      <protection locked="0"/>
    </xf>
    <xf numFmtId="1" fontId="43" fillId="32" borderId="0" applyBorder="0">
      <alignment vertical="top"/>
    </xf>
    <xf numFmtId="0" fontId="2" fillId="0" borderId="15" applyNumberFormat="0">
      <alignment horizontal="left" vertical="top" wrapText="1"/>
    </xf>
    <xf numFmtId="0" fontId="13" fillId="0" borderId="0" applyNumberFormat="0" applyFill="0" applyBorder="0" applyAlignment="0" applyProtection="0">
      <alignment horizontal="center"/>
    </xf>
    <xf numFmtId="0" fontId="108" fillId="0" borderId="0"/>
    <xf numFmtId="0" fontId="109" fillId="0" borderId="0" applyNumberFormat="0" applyFill="0" applyBorder="0" applyAlignment="0" applyProtection="0"/>
    <xf numFmtId="0" fontId="110" fillId="36" borderId="0" applyNumberFormat="0" applyFill="0" applyBorder="0" applyAlignment="0" applyProtection="0">
      <protection locked="0"/>
    </xf>
    <xf numFmtId="245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35" fontId="17" fillId="0" borderId="0" applyFont="0" applyFill="0" applyBorder="0" applyAlignment="0" applyProtection="0"/>
    <xf numFmtId="249" fontId="2" fillId="0" borderId="0" applyFont="0" applyFill="0" applyBorder="0" applyAlignment="0" applyProtection="0"/>
    <xf numFmtId="235" fontId="17" fillId="0" borderId="0" applyFont="0" applyFill="0" applyBorder="0" applyAlignment="0" applyProtection="0"/>
    <xf numFmtId="248" fontId="2" fillId="0" borderId="0" applyFont="0" applyFill="0" applyBorder="0" applyAlignment="0" applyProtection="0"/>
    <xf numFmtId="250" fontId="14" fillId="0" borderId="0" applyFont="0" applyFill="0" applyBorder="0" applyAlignment="0" applyProtection="0"/>
    <xf numFmtId="251" fontId="2" fillId="0" borderId="0" applyFont="0" applyFill="0" applyBorder="0" applyAlignment="0" applyProtection="0"/>
    <xf numFmtId="205" fontId="14" fillId="0" borderId="0" applyFont="0" applyFill="0" applyBorder="0" applyAlignment="0" applyProtection="0"/>
    <xf numFmtId="0" fontId="111" fillId="0" borderId="0"/>
    <xf numFmtId="0" fontId="112" fillId="0" borderId="0"/>
    <xf numFmtId="252" fontId="113" fillId="0" borderId="0" applyBorder="0" applyProtection="0"/>
    <xf numFmtId="0" fontId="17" fillId="0" borderId="0"/>
    <xf numFmtId="0" fontId="114" fillId="0" borderId="0" applyNumberFormat="0" applyFill="0" applyBorder="0" applyAlignment="0" applyProtection="0"/>
    <xf numFmtId="253" fontId="69" fillId="0" borderId="0" applyNumberFormat="0" applyFill="0" applyBorder="0" applyAlignment="0"/>
    <xf numFmtId="0" fontId="115" fillId="0" borderId="1" applyNumberFormat="0" applyFill="0" applyAlignment="0" applyProtection="0"/>
    <xf numFmtId="0" fontId="115" fillId="0" borderId="1" applyNumberFormat="0" applyFill="0" applyAlignment="0" applyProtection="0"/>
    <xf numFmtId="0" fontId="116" fillId="36" borderId="16" applyNumberFormat="0" applyFill="0" applyBorder="0" applyAlignment="0" applyProtection="0">
      <protection locked="0"/>
    </xf>
    <xf numFmtId="0" fontId="2" fillId="0" borderId="0" applyFont="0" applyFill="0" applyBorder="0" applyProtection="0">
      <alignment horizontal="right"/>
    </xf>
    <xf numFmtId="0" fontId="117" fillId="13" borderId="0" applyNumberFormat="0" applyBorder="0" applyAlignment="0" applyProtection="0"/>
    <xf numFmtId="183" fontId="12" fillId="0" borderId="3" applyAlignment="0" applyProtection="0"/>
    <xf numFmtId="0" fontId="96" fillId="0" borderId="22" applyNumberFormat="0" applyFont="0" applyFill="0" applyAlignment="0" applyProtection="0"/>
    <xf numFmtId="0" fontId="96" fillId="0" borderId="23" applyNumberFormat="0" applyFont="0" applyFill="0" applyAlignment="0" applyProtection="0"/>
    <xf numFmtId="254" fontId="12" fillId="0" borderId="3" applyAlignment="0" applyProtection="0"/>
    <xf numFmtId="0" fontId="2" fillId="0" borderId="24" applyNumberFormat="0" applyFont="0" applyFill="0" applyAlignment="0" applyProtection="0">
      <alignment horizontal="center" wrapText="1"/>
    </xf>
    <xf numFmtId="0" fontId="118" fillId="0" borderId="25" applyFill="0" applyProtection="0">
      <alignment horizontal="right"/>
    </xf>
    <xf numFmtId="0" fontId="119" fillId="0" borderId="0"/>
    <xf numFmtId="0" fontId="117" fillId="13" borderId="0" applyNumberFormat="0" applyBorder="0" applyAlignment="0" applyProtection="0"/>
    <xf numFmtId="0" fontId="117" fillId="13" borderId="0" applyNumberFormat="0" applyBorder="0" applyAlignment="0" applyProtection="0"/>
    <xf numFmtId="0" fontId="117" fillId="13" borderId="0" applyNumberFormat="0" applyBorder="0" applyAlignment="0" applyProtection="0"/>
    <xf numFmtId="0" fontId="117" fillId="13" borderId="0" applyNumberFormat="0" applyBorder="0" applyAlignment="0" applyProtection="0"/>
    <xf numFmtId="0" fontId="117" fillId="13" borderId="0" applyNumberFormat="0" applyBorder="0" applyAlignment="0" applyProtection="0"/>
    <xf numFmtId="0" fontId="117" fillId="13" borderId="0" applyNumberFormat="0" applyBorder="0" applyAlignment="0" applyProtection="0"/>
    <xf numFmtId="0" fontId="117" fillId="13" borderId="0" applyNumberFormat="0" applyBorder="0" applyAlignment="0" applyProtection="0"/>
    <xf numFmtId="0" fontId="117" fillId="13" borderId="0" applyNumberFormat="0" applyBorder="0" applyAlignment="0" applyProtection="0"/>
    <xf numFmtId="255" fontId="18" fillId="0" borderId="0" applyFont="0" applyFill="0" applyBorder="0" applyAlignment="0" applyProtection="0"/>
    <xf numFmtId="255" fontId="18" fillId="0" borderId="0" applyFont="0" applyFill="0" applyBorder="0" applyAlignment="0" applyProtection="0"/>
    <xf numFmtId="255" fontId="18" fillId="0" borderId="0" applyFont="0" applyFill="0" applyBorder="0" applyAlignment="0" applyProtection="0"/>
    <xf numFmtId="235" fontId="18" fillId="9" borderId="0"/>
    <xf numFmtId="0" fontId="2" fillId="0" borderId="26" quotePrefix="1">
      <alignment horizontal="justify" vertical="justify" textRotation="127" wrapText="1" justifyLastLine="1"/>
      <protection hidden="1"/>
    </xf>
    <xf numFmtId="0" fontId="2" fillId="0" borderId="0"/>
    <xf numFmtId="0" fontId="2" fillId="0" borderId="0"/>
    <xf numFmtId="0" fontId="120" fillId="0" borderId="0"/>
    <xf numFmtId="245" fontId="14" fillId="0" borderId="0" applyFont="0" applyFill="0" applyBorder="0" applyAlignment="0" applyProtection="0">
      <alignment horizontal="right"/>
    </xf>
    <xf numFmtId="235" fontId="18" fillId="0" borderId="0"/>
    <xf numFmtId="256" fontId="2" fillId="0" borderId="0" applyNumberFormat="0"/>
    <xf numFmtId="235" fontId="121" fillId="0" borderId="0"/>
    <xf numFmtId="257" fontId="14" fillId="0" borderId="0" applyNumberFormat="0"/>
    <xf numFmtId="245" fontId="14" fillId="3" borderId="27" applyNumberFormat="0" applyFont="0" applyBorder="0">
      <alignment horizontal="right"/>
    </xf>
    <xf numFmtId="249" fontId="2" fillId="0" borderId="0" applyFont="0" applyFill="0" applyBorder="0" applyAlignment="0" applyProtection="0"/>
    <xf numFmtId="250" fontId="14" fillId="0" borderId="0" applyFont="0" applyFill="0" applyBorder="0" applyAlignment="0" applyProtection="0"/>
    <xf numFmtId="235" fontId="18" fillId="9" borderId="0"/>
    <xf numFmtId="37" fontId="18" fillId="0" borderId="0"/>
    <xf numFmtId="184" fontId="2" fillId="0" borderId="0" applyFon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37" fontId="124" fillId="5" borderId="0" applyNumberFormat="0" applyFont="0" applyBorder="0" applyAlignment="0"/>
    <xf numFmtId="37" fontId="2" fillId="37" borderId="0" applyNumberFormat="0" applyFont="0" applyBorder="0" applyAlignment="0"/>
    <xf numFmtId="37" fontId="35" fillId="5" borderId="28" applyNumberFormat="0" applyBorder="0" applyAlignment="0"/>
    <xf numFmtId="168" fontId="35" fillId="0" borderId="29" applyNumberFormat="0" applyFont="0" applyFill="0" applyBorder="0" applyAlignment="0" applyProtection="0"/>
    <xf numFmtId="37" fontId="63" fillId="36" borderId="1" applyFill="0" applyBorder="0"/>
    <xf numFmtId="258" fontId="125" fillId="0" borderId="0" applyFill="0" applyBorder="0" applyAlignment="0"/>
    <xf numFmtId="0" fontId="125" fillId="0" borderId="0" applyFill="0" applyBorder="0" applyAlignment="0"/>
    <xf numFmtId="0" fontId="125" fillId="0" borderId="0" applyFill="0" applyBorder="0" applyAlignment="0"/>
    <xf numFmtId="259" fontId="96" fillId="0" borderId="0" applyFill="0" applyBorder="0" applyAlignment="0"/>
    <xf numFmtId="260" fontId="96" fillId="0" borderId="0" applyFill="0" applyBorder="0" applyAlignment="0"/>
    <xf numFmtId="261" fontId="96" fillId="0" borderId="0" applyFill="0" applyBorder="0" applyAlignment="0"/>
    <xf numFmtId="262" fontId="96" fillId="0" borderId="0" applyFill="0" applyBorder="0" applyAlignment="0"/>
    <xf numFmtId="258" fontId="125" fillId="0" borderId="0" applyFill="0" applyBorder="0" applyAlignment="0"/>
    <xf numFmtId="263" fontId="96" fillId="0" borderId="0" applyFill="0" applyBorder="0" applyAlignment="0"/>
    <xf numFmtId="259" fontId="96" fillId="0" borderId="0" applyFill="0" applyBorder="0" applyAlignment="0"/>
    <xf numFmtId="38" fontId="2" fillId="38" borderId="30"/>
    <xf numFmtId="0" fontId="126" fillId="32" borderId="31" applyNumberFormat="0" applyAlignment="0" applyProtection="0"/>
    <xf numFmtId="0" fontId="126" fillId="32" borderId="31" applyNumberFormat="0" applyAlignment="0" applyProtection="0"/>
    <xf numFmtId="0" fontId="126" fillId="32" borderId="31" applyNumberFormat="0" applyAlignment="0" applyProtection="0"/>
    <xf numFmtId="0" fontId="126" fillId="32" borderId="31" applyNumberFormat="0" applyAlignment="0" applyProtection="0"/>
    <xf numFmtId="0" fontId="126" fillId="32" borderId="31" applyNumberFormat="0" applyAlignment="0" applyProtection="0"/>
    <xf numFmtId="0" fontId="126" fillId="32" borderId="31" applyNumberFormat="0" applyAlignment="0" applyProtection="0"/>
    <xf numFmtId="0" fontId="126" fillId="32" borderId="31" applyNumberFormat="0" applyAlignment="0" applyProtection="0"/>
    <xf numFmtId="0" fontId="126" fillId="32" borderId="31" applyNumberFormat="0" applyAlignment="0" applyProtection="0"/>
    <xf numFmtId="0" fontId="126" fillId="32" borderId="31" applyNumberFormat="0" applyAlignment="0" applyProtection="0"/>
    <xf numFmtId="0" fontId="126" fillId="32" borderId="31" applyNumberFormat="0" applyAlignment="0" applyProtection="0"/>
    <xf numFmtId="0" fontId="127" fillId="38" borderId="32" applyBorder="0"/>
    <xf numFmtId="0" fontId="13" fillId="0" borderId="0"/>
    <xf numFmtId="0" fontId="2" fillId="0" borderId="0"/>
    <xf numFmtId="0" fontId="2" fillId="0" borderId="0"/>
    <xf numFmtId="0" fontId="13" fillId="0" borderId="0"/>
    <xf numFmtId="40" fontId="13" fillId="0" borderId="0" applyFont="0" applyFill="0" applyBorder="0" applyAlignment="0" applyProtection="0"/>
    <xf numFmtId="264" fontId="96" fillId="39" borderId="0" applyNumberFormat="0" applyFont="0" applyBorder="0" applyAlignment="0"/>
    <xf numFmtId="0" fontId="128" fillId="0" borderId="0"/>
    <xf numFmtId="0" fontId="129" fillId="40" borderId="33" applyNumberFormat="0" applyAlignment="0" applyProtection="0"/>
    <xf numFmtId="0" fontId="129" fillId="40" borderId="33" applyNumberFormat="0" applyAlignment="0" applyProtection="0"/>
    <xf numFmtId="0" fontId="129" fillId="40" borderId="33" applyNumberFormat="0" applyAlignment="0" applyProtection="0"/>
    <xf numFmtId="0" fontId="129" fillId="40" borderId="33" applyNumberFormat="0" applyAlignment="0" applyProtection="0"/>
    <xf numFmtId="0" fontId="129" fillId="40" borderId="33" applyNumberFormat="0" applyAlignment="0" applyProtection="0"/>
    <xf numFmtId="0" fontId="129" fillId="40" borderId="33" applyNumberFormat="0" applyAlignment="0" applyProtection="0"/>
    <xf numFmtId="0" fontId="129" fillId="40" borderId="33" applyNumberFormat="0" applyAlignment="0" applyProtection="0"/>
    <xf numFmtId="0" fontId="129" fillId="40" borderId="33" applyNumberFormat="0" applyAlignment="0" applyProtection="0"/>
    <xf numFmtId="0" fontId="130" fillId="0" borderId="34" applyNumberFormat="0" applyFill="0" applyAlignment="0" applyProtection="0"/>
    <xf numFmtId="0" fontId="130" fillId="0" borderId="34" applyNumberFormat="0" applyFill="0" applyAlignment="0" applyProtection="0"/>
    <xf numFmtId="0" fontId="130" fillId="0" borderId="34" applyNumberFormat="0" applyFill="0" applyAlignment="0" applyProtection="0"/>
    <xf numFmtId="0" fontId="130" fillId="0" borderId="34" applyNumberFormat="0" applyFill="0" applyAlignment="0" applyProtection="0"/>
    <xf numFmtId="0" fontId="130" fillId="0" borderId="34" applyNumberFormat="0" applyFill="0" applyAlignment="0" applyProtection="0"/>
    <xf numFmtId="0" fontId="130" fillId="0" borderId="34" applyNumberFormat="0" applyFill="0" applyAlignment="0" applyProtection="0"/>
    <xf numFmtId="0" fontId="130" fillId="0" borderId="34" applyNumberFormat="0" applyFill="0" applyAlignment="0" applyProtection="0"/>
    <xf numFmtId="0" fontId="130" fillId="0" borderId="34" applyNumberFormat="0" applyFill="0" applyAlignment="0" applyProtection="0"/>
    <xf numFmtId="0" fontId="129" fillId="40" borderId="33" applyNumberFormat="0" applyAlignment="0" applyProtection="0"/>
    <xf numFmtId="0" fontId="130" fillId="0" borderId="34" applyNumberFormat="0" applyFill="0" applyAlignment="0" applyProtection="0"/>
    <xf numFmtId="185" fontId="2" fillId="0" borderId="35" applyFont="0" applyFill="0" applyBorder="0" applyProtection="0">
      <alignment horizontal="right"/>
    </xf>
    <xf numFmtId="185" fontId="2" fillId="0" borderId="35" applyFont="0" applyFill="0" applyBorder="0" applyProtection="0">
      <alignment horizontal="right"/>
    </xf>
    <xf numFmtId="185" fontId="2" fillId="0" borderId="35" applyFont="0" applyFill="0" applyBorder="0" applyProtection="0">
      <alignment horizontal="right"/>
    </xf>
    <xf numFmtId="38" fontId="2" fillId="0" borderId="36"/>
    <xf numFmtId="38" fontId="2" fillId="0" borderId="36"/>
    <xf numFmtId="0" fontId="129" fillId="40" borderId="33" applyNumberFormat="0" applyAlignment="0" applyProtection="0"/>
    <xf numFmtId="0" fontId="129" fillId="40" borderId="33" applyNumberFormat="0" applyAlignment="0" applyProtection="0"/>
    <xf numFmtId="0" fontId="131" fillId="0" borderId="0">
      <alignment horizontal="center"/>
      <protection locked="0"/>
    </xf>
    <xf numFmtId="236" fontId="2" fillId="9" borderId="0"/>
    <xf numFmtId="0" fontId="132" fillId="0" borderId="0" applyNumberFormat="0" applyFill="0" applyBorder="0" applyAlignment="0" applyProtection="0"/>
    <xf numFmtId="0" fontId="133" fillId="0" borderId="1" applyNumberFormat="0" applyFill="0" applyProtection="0">
      <alignment horizontal="center"/>
    </xf>
    <xf numFmtId="0" fontId="57" fillId="0" borderId="0" applyNumberFormat="0" applyFill="0" applyBorder="0" applyAlignment="0" applyProtection="0">
      <alignment vertical="top"/>
      <protection locked="0"/>
    </xf>
    <xf numFmtId="265" fontId="134" fillId="29" borderId="0" applyNumberFormat="0" applyFont="0" applyBorder="0" applyAlignment="0" applyProtection="0"/>
    <xf numFmtId="0" fontId="135" fillId="0" borderId="0"/>
    <xf numFmtId="266" fontId="18" fillId="0" borderId="0"/>
    <xf numFmtId="266" fontId="18" fillId="0" borderId="0"/>
    <xf numFmtId="0" fontId="135" fillId="0" borderId="0"/>
    <xf numFmtId="266" fontId="18" fillId="0" borderId="0"/>
    <xf numFmtId="266" fontId="18" fillId="0" borderId="0"/>
    <xf numFmtId="0" fontId="135" fillId="0" borderId="0"/>
    <xf numFmtId="266" fontId="18" fillId="0" borderId="0"/>
    <xf numFmtId="266" fontId="18" fillId="0" borderId="0"/>
    <xf numFmtId="0" fontId="135" fillId="0" borderId="0"/>
    <xf numFmtId="266" fontId="18" fillId="0" borderId="0"/>
    <xf numFmtId="266" fontId="18" fillId="0" borderId="0"/>
    <xf numFmtId="0" fontId="135" fillId="0" borderId="0"/>
    <xf numFmtId="266" fontId="18" fillId="0" borderId="0"/>
    <xf numFmtId="266" fontId="18" fillId="0" borderId="0"/>
    <xf numFmtId="0" fontId="135" fillId="0" borderId="0"/>
    <xf numFmtId="266" fontId="18" fillId="0" borderId="0"/>
    <xf numFmtId="266" fontId="18" fillId="0" borderId="0"/>
    <xf numFmtId="267" fontId="14" fillId="0" borderId="0"/>
    <xf numFmtId="266" fontId="18" fillId="0" borderId="0"/>
    <xf numFmtId="266" fontId="18" fillId="0" borderId="0"/>
    <xf numFmtId="267" fontId="14" fillId="0" borderId="0"/>
    <xf numFmtId="266" fontId="18" fillId="0" borderId="0"/>
    <xf numFmtId="266" fontId="18" fillId="0" borderId="0"/>
    <xf numFmtId="0" fontId="37" fillId="0" borderId="0" applyFont="0" applyFill="0" applyBorder="0" applyAlignment="0" applyProtection="0">
      <alignment horizontal="centerContinuous"/>
    </xf>
    <xf numFmtId="0" fontId="37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37" fillId="0" borderId="0" applyFont="0" applyFill="0" applyBorder="0" applyAlignment="0" applyProtection="0">
      <alignment horizontal="centerContinuous"/>
    </xf>
    <xf numFmtId="0" fontId="37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37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37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40" fontId="2" fillId="0" borderId="0" applyFont="0" applyFill="0" applyBorder="0" applyAlignment="0" applyProtection="0"/>
    <xf numFmtId="0" fontId="37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184" fontId="14" fillId="0" borderId="0"/>
    <xf numFmtId="258" fontId="2" fillId="0" borderId="0" applyFont="0" applyFill="0" applyBorder="0" applyAlignment="0" applyProtection="0"/>
    <xf numFmtId="268" fontId="17" fillId="0" borderId="0" applyFont="0" applyFill="0" applyBorder="0" applyAlignment="0" applyProtection="0"/>
    <xf numFmtId="39" fontId="2" fillId="0" borderId="0"/>
    <xf numFmtId="39" fontId="2" fillId="0" borderId="0"/>
    <xf numFmtId="39" fontId="2" fillId="0" borderId="0"/>
    <xf numFmtId="0" fontId="2" fillId="0" borderId="0" applyFont="0" applyFill="0" applyBorder="0" applyAlignment="0" applyProtection="0"/>
    <xf numFmtId="0" fontId="17" fillId="0" borderId="0" applyFont="0" applyFill="0" applyBorder="0" applyAlignment="0" applyProtection="0">
      <alignment horizontal="right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>
      <alignment horizontal="right"/>
    </xf>
    <xf numFmtId="269" fontId="3" fillId="0" borderId="0" applyFont="0" applyFill="0" applyBorder="0" applyAlignment="0" applyProtection="0"/>
    <xf numFmtId="269" fontId="3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136" fillId="0" borderId="0" applyFont="0" applyFill="0" applyBorder="0" applyAlignment="0" applyProtection="0"/>
    <xf numFmtId="175" fontId="136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270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270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269" fontId="125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269" fontId="3" fillId="0" borderId="0" applyFont="0" applyFill="0" applyBorder="0" applyAlignment="0" applyProtection="0"/>
    <xf numFmtId="269" fontId="3" fillId="0" borderId="0" applyFont="0" applyFill="0" applyBorder="0" applyAlignment="0" applyProtection="0"/>
    <xf numFmtId="271" fontId="137" fillId="0" borderId="0" applyFont="0" applyFill="0" applyBorder="0" applyAlignment="0" applyProtection="0"/>
    <xf numFmtId="272" fontId="137" fillId="0" borderId="0" applyFont="0" applyFill="0" applyBorder="0" applyAlignment="0" applyProtection="0">
      <alignment horizontal="right"/>
    </xf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269" fontId="38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1" fillId="0" borderId="0" applyFont="0" applyFill="0" applyBorder="0" applyAlignment="0" applyProtection="0"/>
    <xf numFmtId="269" fontId="14" fillId="0" borderId="0" applyFont="0" applyFill="0" applyBorder="0" applyAlignment="0" applyProtection="0"/>
    <xf numFmtId="175" fontId="2" fillId="0" borderId="0" applyFont="0" applyFill="0" applyBorder="0" applyAlignment="0" applyProtection="0"/>
    <xf numFmtId="269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212" fontId="137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13" fillId="0" borderId="0" applyFont="0" applyFill="0" applyBorder="0" applyAlignment="0" applyProtection="0"/>
    <xf numFmtId="269" fontId="2" fillId="0" borderId="0" applyFont="0" applyFill="0" applyBorder="0" applyAlignment="0" applyProtection="0"/>
    <xf numFmtId="175" fontId="138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85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269" fontId="2" fillId="0" borderId="0" applyFont="0" applyFill="0" applyBorder="0" applyAlignment="0" applyProtection="0"/>
    <xf numFmtId="40" fontId="2" fillId="0" borderId="0" applyFont="0" applyFill="0" applyBorder="0" applyProtection="0">
      <alignment horizontal="right"/>
    </xf>
    <xf numFmtId="40" fontId="2" fillId="0" borderId="0" applyFont="0" applyFill="0" applyBorder="0" applyProtection="0">
      <alignment horizontal="right"/>
    </xf>
    <xf numFmtId="40" fontId="2" fillId="0" borderId="0" applyFont="0" applyFill="0" applyBorder="0" applyProtection="0">
      <alignment horizontal="right"/>
    </xf>
    <xf numFmtId="273" fontId="14" fillId="0" borderId="0"/>
    <xf numFmtId="274" fontId="137" fillId="0" borderId="0" applyFont="0" applyFill="0" applyBorder="0" applyAlignment="0" applyProtection="0"/>
    <xf numFmtId="267" fontId="139" fillId="0" borderId="0" applyFont="0" applyFill="0" applyBorder="0" applyAlignment="0" applyProtection="0"/>
    <xf numFmtId="37" fontId="60" fillId="0" borderId="0" applyFont="0" applyFill="0" applyBorder="0" applyAlignment="0" applyProtection="0"/>
    <xf numFmtId="268" fontId="60" fillId="0" borderId="0" applyFont="0" applyFill="0" applyBorder="0" applyAlignment="0" applyProtection="0"/>
    <xf numFmtId="39" fontId="60" fillId="0" borderId="0" applyFont="0" applyFill="0" applyBorder="0" applyAlignment="0" applyProtection="0"/>
    <xf numFmtId="37" fontId="140" fillId="0" borderId="0" applyFont="0" applyFill="0" applyBorder="0" applyAlignment="0" applyProtection="0"/>
    <xf numFmtId="39" fontId="140" fillId="0" borderId="0" applyFont="0" applyFill="0" applyBorder="0" applyAlignment="0" applyProtection="0"/>
    <xf numFmtId="3" fontId="141" fillId="0" borderId="0" applyFont="0" applyFill="0" applyBorder="0" applyAlignment="0" applyProtection="0"/>
    <xf numFmtId="0" fontId="93" fillId="0" borderId="0"/>
    <xf numFmtId="0" fontId="142" fillId="0" borderId="0"/>
    <xf numFmtId="0" fontId="29" fillId="0" borderId="0"/>
    <xf numFmtId="0" fontId="53" fillId="0" borderId="0"/>
    <xf numFmtId="0" fontId="29" fillId="0" borderId="0"/>
    <xf numFmtId="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0" fontId="142" fillId="0" borderId="0"/>
    <xf numFmtId="0" fontId="53" fillId="0" borderId="0"/>
    <xf numFmtId="0" fontId="29" fillId="0" borderId="0"/>
    <xf numFmtId="265" fontId="2" fillId="0" borderId="0"/>
    <xf numFmtId="0" fontId="75" fillId="0" borderId="0" applyFill="0" applyBorder="0" applyAlignment="0" applyProtection="0">
      <protection locked="0"/>
    </xf>
    <xf numFmtId="257" fontId="2" fillId="0" borderId="0" applyFont="0" applyFill="0" applyBorder="0" applyAlignment="0" applyProtection="0"/>
    <xf numFmtId="237" fontId="2" fillId="0" borderId="0" applyFont="0" applyFill="0" applyBorder="0" applyAlignment="0" applyProtection="0"/>
    <xf numFmtId="0" fontId="143" fillId="0" borderId="0" applyNumberFormat="0" applyAlignment="0">
      <alignment horizontal="left"/>
    </xf>
    <xf numFmtId="0" fontId="143" fillId="0" borderId="0" applyNumberFormat="0" applyAlignment="0">
      <alignment horizontal="left"/>
    </xf>
    <xf numFmtId="0" fontId="143" fillId="0" borderId="0" applyNumberFormat="0" applyAlignment="0">
      <alignment horizontal="left"/>
    </xf>
    <xf numFmtId="268" fontId="144" fillId="0" borderId="0" applyFill="0" applyBorder="0" applyAlignment="0" applyProtection="0">
      <alignment horizontal="left"/>
    </xf>
    <xf numFmtId="268" fontId="113" fillId="0" borderId="0" applyFill="0" applyBorder="0" applyAlignment="0" applyProtection="0">
      <alignment horizontal="left"/>
    </xf>
    <xf numFmtId="0" fontId="29" fillId="0" borderId="37"/>
    <xf numFmtId="0" fontId="53" fillId="0" borderId="0"/>
    <xf numFmtId="275" fontId="2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37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37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165" fontId="13" fillId="0" borderId="0" applyFont="0" applyFill="0" applyBorder="0" applyAlignment="0" applyProtection="0"/>
    <xf numFmtId="0" fontId="37" fillId="0" borderId="0" applyFont="0" applyFill="0" applyBorder="0" applyAlignment="0" applyProtection="0">
      <alignment horizontal="centerContinuous"/>
    </xf>
    <xf numFmtId="0" fontId="37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37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0" fontId="2" fillId="0" borderId="0" applyFont="0" applyFill="0" applyBorder="0" applyAlignment="0" applyProtection="0">
      <alignment horizontal="centerContinuous"/>
    </xf>
    <xf numFmtId="276" fontId="92" fillId="0" borderId="0" applyFont="0" applyFill="0" applyBorder="0" applyAlignment="0" applyProtection="0"/>
    <xf numFmtId="246" fontId="2" fillId="0" borderId="0" applyFont="0" applyFill="0" applyBorder="0" applyAlignment="0" applyProtection="0"/>
    <xf numFmtId="239" fontId="14" fillId="0" borderId="0"/>
    <xf numFmtId="259" fontId="96" fillId="0" borderId="0" applyFont="0" applyFill="0" applyBorder="0" applyAlignment="0" applyProtection="0"/>
    <xf numFmtId="256" fontId="14" fillId="0" borderId="0" applyFont="0" applyFill="0" applyBorder="0" applyAlignment="0" applyProtection="0"/>
    <xf numFmtId="185" fontId="145" fillId="0" borderId="0" applyBorder="0"/>
    <xf numFmtId="277" fontId="14" fillId="0" borderId="0" applyFont="0" applyFill="0" applyBorder="0" applyAlignment="0" applyProtection="0"/>
    <xf numFmtId="0" fontId="17" fillId="0" borderId="0" applyFont="0" applyFill="0" applyBorder="0" applyAlignment="0" applyProtection="0">
      <alignment horizontal="right"/>
    </xf>
    <xf numFmtId="174" fontId="136" fillId="0" borderId="0" applyFont="0" applyFill="0" applyBorder="0" applyAlignment="0" applyProtection="0"/>
    <xf numFmtId="278" fontId="146" fillId="0" borderId="0" applyFont="0" applyFill="0" applyBorder="0" applyAlignment="0" applyProtection="0"/>
    <xf numFmtId="0" fontId="137" fillId="0" borderId="0" applyFont="0" applyFill="0" applyBorder="0" applyAlignment="0" applyProtection="0">
      <alignment horizontal="right"/>
    </xf>
    <xf numFmtId="241" fontId="2" fillId="0" borderId="0" applyFont="0" applyFill="0" applyBorder="0" applyAlignment="0" applyProtection="0"/>
    <xf numFmtId="279" fontId="146" fillId="0" borderId="0" applyFont="0" applyFill="0" applyBorder="0" applyAlignment="0" applyProtection="0"/>
    <xf numFmtId="174" fontId="1" fillId="0" borderId="0" applyFont="0" applyFill="0" applyBorder="0" applyAlignment="0" applyProtection="0"/>
    <xf numFmtId="241" fontId="2" fillId="0" borderId="0" applyFont="0" applyFill="0" applyBorder="0" applyAlignment="0" applyProtection="0"/>
    <xf numFmtId="280" fontId="2" fillId="3" borderId="13"/>
    <xf numFmtId="181" fontId="140" fillId="0" borderId="0" applyFont="0" applyFill="0" applyBorder="0" applyAlignment="0" applyProtection="0"/>
    <xf numFmtId="281" fontId="140" fillId="0" borderId="0" applyFont="0" applyFill="0" applyBorder="0" applyAlignment="0" applyProtection="0"/>
    <xf numFmtId="282" fontId="137" fillId="0" borderId="0" applyFont="0" applyFill="0" applyBorder="0" applyAlignment="0" applyProtection="0"/>
    <xf numFmtId="254" fontId="60" fillId="0" borderId="0" applyFont="0" applyFill="0" applyBorder="0" applyAlignment="0" applyProtection="0"/>
    <xf numFmtId="283" fontId="60" fillId="0" borderId="0" applyFont="0" applyFill="0" applyBorder="0" applyAlignment="0" applyProtection="0"/>
    <xf numFmtId="284" fontId="140" fillId="0" borderId="0" applyFont="0" applyFill="0" applyBorder="0" applyAlignment="0" applyProtection="0"/>
    <xf numFmtId="285" fontId="141" fillId="0" borderId="0" applyFont="0" applyFill="0" applyBorder="0" applyAlignment="0" applyProtection="0"/>
    <xf numFmtId="286" fontId="2" fillId="0" borderId="0" applyFont="0" applyFill="0" applyBorder="0" applyAlignment="0" applyProtection="0"/>
    <xf numFmtId="286" fontId="2" fillId="0" borderId="0" applyFont="0" applyFill="0" applyBorder="0" applyAlignment="0" applyProtection="0"/>
    <xf numFmtId="183" fontId="113" fillId="0" borderId="0"/>
    <xf numFmtId="287" fontId="84" fillId="0" borderId="0" applyFill="0" applyBorder="0" applyProtection="0">
      <alignment horizontal="right"/>
    </xf>
    <xf numFmtId="0" fontId="147" fillId="0" borderId="0" applyNumberFormat="0"/>
    <xf numFmtId="0" fontId="148" fillId="0" borderId="0" applyNumberFormat="0"/>
    <xf numFmtId="0" fontId="4" fillId="3" borderId="0" applyNumberFormat="0" applyFont="0" applyFill="0" applyBorder="0" applyProtection="0">
      <alignment horizontal="left"/>
    </xf>
    <xf numFmtId="4" fontId="149" fillId="34" borderId="0" applyFill="0" applyBorder="0" applyProtection="0">
      <alignment horizontal="center"/>
    </xf>
    <xf numFmtId="288" fontId="18" fillId="0" borderId="0" applyFont="0" applyFill="0" applyBorder="0" applyAlignment="0" applyProtection="0"/>
    <xf numFmtId="288" fontId="18" fillId="0" borderId="0" applyFont="0" applyFill="0" applyBorder="0" applyAlignment="0" applyProtection="0"/>
    <xf numFmtId="288" fontId="18" fillId="0" borderId="0" applyFont="0" applyFill="0" applyBorder="0" applyAlignment="0" applyProtection="0"/>
    <xf numFmtId="37" fontId="2" fillId="3" borderId="0" applyNumberFormat="0" applyFont="0" applyBorder="0" applyAlignment="0"/>
    <xf numFmtId="37" fontId="2" fillId="41" borderId="0" applyNumberFormat="0" applyFont="0" applyBorder="0" applyAlignment="0"/>
    <xf numFmtId="168" fontId="2" fillId="3" borderId="0" applyFont="0" applyAlignment="0"/>
    <xf numFmtId="168" fontId="2" fillId="41" borderId="0" applyFont="0" applyBorder="0" applyAlignment="0"/>
    <xf numFmtId="38" fontId="150" fillId="33" borderId="38"/>
    <xf numFmtId="0" fontId="151" fillId="0" borderId="0"/>
    <xf numFmtId="0" fontId="152" fillId="0" borderId="0" applyNumberFormat="0" applyAlignment="0"/>
    <xf numFmtId="289" fontId="131" fillId="0" borderId="0">
      <protection locked="0"/>
    </xf>
    <xf numFmtId="0" fontId="29" fillId="0" borderId="0"/>
    <xf numFmtId="290" fontId="2" fillId="0" borderId="0" applyFont="0" applyFill="0" applyBorder="0" applyAlignment="0" applyProtection="0"/>
    <xf numFmtId="242" fontId="14" fillId="0" borderId="0" applyFont="0" applyFill="0" applyBorder="0" applyAlignment="0" applyProtection="0"/>
    <xf numFmtId="291" fontId="14" fillId="0" borderId="0" applyFont="0" applyFill="0" applyBorder="0" applyAlignment="0" applyProtection="0"/>
    <xf numFmtId="292" fontId="35" fillId="4" borderId="0" applyFont="0" applyFill="0" applyBorder="0" applyAlignment="0" applyProtection="0"/>
    <xf numFmtId="194" fontId="2" fillId="0" borderId="0" applyFont="0" applyFill="0" applyBorder="0" applyAlignment="0" applyProtection="0"/>
    <xf numFmtId="293" fontId="30" fillId="0" borderId="1"/>
    <xf numFmtId="279" fontId="2" fillId="0" borderId="1" applyFont="0" applyFill="0" applyBorder="0" applyAlignment="0" applyProtection="0">
      <alignment horizontal="right"/>
    </xf>
    <xf numFmtId="294" fontId="153" fillId="0" borderId="1" applyFont="0" applyFill="0" applyBorder="0" applyAlignment="0" applyProtection="0">
      <alignment horizontal="right"/>
    </xf>
    <xf numFmtId="294" fontId="153" fillId="0" borderId="1" applyFont="0" applyFill="0" applyBorder="0" applyAlignment="0" applyProtection="0">
      <alignment horizontal="right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7" fillId="0" borderId="0" applyFont="0" applyFill="0" applyBorder="0" applyAlignment="0" applyProtection="0"/>
    <xf numFmtId="295" fontId="137" fillId="0" borderId="0" applyFont="0" applyFill="0" applyBorder="0" applyAlignment="0" applyProtection="0"/>
    <xf numFmtId="296" fontId="137" fillId="0" borderId="0" applyFont="0" applyFill="0" applyBorder="0" applyAlignment="0" applyProtection="0"/>
    <xf numFmtId="0" fontId="154" fillId="0" borderId="1"/>
    <xf numFmtId="14" fontId="125" fillId="0" borderId="0" applyFill="0" applyBorder="0" applyAlignment="0"/>
    <xf numFmtId="289" fontId="131" fillId="0" borderId="0">
      <protection locked="0"/>
    </xf>
    <xf numFmtId="14" fontId="155" fillId="0" borderId="0">
      <alignment horizontal="right"/>
      <protection locked="0"/>
    </xf>
    <xf numFmtId="253" fontId="35" fillId="0" borderId="0" applyFill="0" applyBorder="0">
      <alignment horizontal="right"/>
    </xf>
    <xf numFmtId="297" fontId="2" fillId="0" borderId="0" applyFont="0" applyFill="0" applyBorder="0" applyAlignment="0" applyProtection="0">
      <alignment wrapText="1"/>
    </xf>
    <xf numFmtId="298" fontId="13" fillId="0" borderId="0" applyFont="0" applyFill="0" applyBorder="0" applyProtection="0">
      <alignment horizontal="left"/>
    </xf>
    <xf numFmtId="170" fontId="156" fillId="0" borderId="0"/>
    <xf numFmtId="299" fontId="156" fillId="0" borderId="0"/>
    <xf numFmtId="2" fontId="114" fillId="0" borderId="39"/>
    <xf numFmtId="268" fontId="157" fillId="0" borderId="0" applyFont="0" applyFill="0" applyBorder="0" applyAlignment="0" applyProtection="0">
      <protection locked="0"/>
    </xf>
    <xf numFmtId="39" fontId="29" fillId="0" borderId="0" applyFont="0" applyFill="0" applyBorder="0" applyAlignment="0" applyProtection="0"/>
    <xf numFmtId="220" fontId="96" fillId="0" borderId="0" applyFont="0" applyFill="0" applyBorder="0" applyAlignment="0"/>
    <xf numFmtId="0" fontId="13" fillId="0" borderId="40" applyFont="0" applyFill="0" applyBorder="0" applyAlignment="0" applyProtection="0"/>
    <xf numFmtId="300" fontId="2" fillId="0" borderId="41">
      <alignment vertical="center"/>
    </xf>
    <xf numFmtId="0" fontId="158" fillId="3" borderId="42" applyNumberFormat="0" applyBorder="0" applyAlignment="0">
      <alignment horizontal="center"/>
    </xf>
    <xf numFmtId="37" fontId="115" fillId="42" borderId="43" applyNumberFormat="0" applyAlignment="0">
      <alignment horizontal="left"/>
    </xf>
    <xf numFmtId="301" fontId="2" fillId="37" borderId="0" applyNumberFormat="0" applyFont="0" applyBorder="0" applyAlignment="0" applyProtection="0"/>
    <xf numFmtId="302" fontId="2" fillId="0" borderId="0" applyFont="0" applyFill="0" applyBorder="0" applyAlignment="0" applyProtection="0"/>
    <xf numFmtId="303" fontId="2" fillId="0" borderId="0" applyFont="0" applyFill="0" applyBorder="0" applyAlignment="0" applyProtection="0"/>
    <xf numFmtId="304" fontId="159" fillId="0" borderId="0">
      <protection locked="0"/>
    </xf>
    <xf numFmtId="0" fontId="2" fillId="0" borderId="0"/>
    <xf numFmtId="0" fontId="2" fillId="0" borderId="0"/>
    <xf numFmtId="0" fontId="2" fillId="0" borderId="0"/>
    <xf numFmtId="305" fontId="113" fillId="0" borderId="0" applyBorder="0" applyProtection="0"/>
    <xf numFmtId="306" fontId="2" fillId="0" borderId="0"/>
    <xf numFmtId="307" fontId="96" fillId="0" borderId="0"/>
    <xf numFmtId="307" fontId="139" fillId="0" borderId="0">
      <protection locked="0"/>
    </xf>
    <xf numFmtId="169" fontId="96" fillId="0" borderId="0"/>
    <xf numFmtId="170" fontId="17" fillId="0" borderId="0"/>
    <xf numFmtId="308" fontId="96" fillId="0" borderId="0" applyFont="0" applyFill="0" applyBorder="0" applyAlignment="0" applyProtection="0"/>
    <xf numFmtId="0" fontId="17" fillId="0" borderId="44" applyNumberFormat="0" applyFont="0" applyFill="0" applyAlignment="0" applyProtection="0"/>
    <xf numFmtId="43" fontId="2" fillId="0" borderId="0" applyFont="0" applyFill="0" applyBorder="0" applyAlignment="0" applyProtection="0"/>
    <xf numFmtId="0" fontId="160" fillId="0" borderId="0" applyNumberFormat="0" applyFill="0" applyBorder="0" applyAlignment="0" applyProtection="0"/>
    <xf numFmtId="3" fontId="107" fillId="33" borderId="10">
      <protection locked="0"/>
    </xf>
    <xf numFmtId="3" fontId="2" fillId="43" borderId="4" applyNumberFormat="0" applyBorder="0">
      <protection locked="0"/>
    </xf>
    <xf numFmtId="3" fontId="161" fillId="44" borderId="10"/>
    <xf numFmtId="3" fontId="162" fillId="36" borderId="0" applyFont="0" applyAlignment="0"/>
    <xf numFmtId="304" fontId="163" fillId="0" borderId="0">
      <protection locked="0"/>
    </xf>
    <xf numFmtId="304" fontId="163" fillId="0" borderId="0">
      <protection locked="0"/>
    </xf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91" fillId="25" borderId="0" applyNumberFormat="0" applyBorder="0" applyAlignment="0" applyProtection="0"/>
    <xf numFmtId="0" fontId="91" fillId="26" borderId="0" applyNumberFormat="0" applyBorder="0" applyAlignment="0" applyProtection="0"/>
    <xf numFmtId="0" fontId="91" fillId="27" borderId="0" applyNumberFormat="0" applyBorder="0" applyAlignment="0" applyProtection="0"/>
    <xf numFmtId="0" fontId="91" fillId="22" borderId="0" applyNumberFormat="0" applyBorder="0" applyAlignment="0" applyProtection="0"/>
    <xf numFmtId="0" fontId="91" fillId="23" borderId="0" applyNumberFormat="0" applyBorder="0" applyAlignment="0" applyProtection="0"/>
    <xf numFmtId="0" fontId="91" fillId="28" borderId="0" applyNumberFormat="0" applyBorder="0" applyAlignment="0" applyProtection="0"/>
    <xf numFmtId="0" fontId="91" fillId="25" borderId="0" applyNumberFormat="0" applyBorder="0" applyAlignment="0" applyProtection="0"/>
    <xf numFmtId="0" fontId="91" fillId="25" borderId="0" applyNumberFormat="0" applyBorder="0" applyAlignment="0" applyProtection="0"/>
    <xf numFmtId="0" fontId="91" fillId="25" borderId="0" applyNumberFormat="0" applyBorder="0" applyAlignment="0" applyProtection="0"/>
    <xf numFmtId="0" fontId="91" fillId="25" borderId="0" applyNumberFormat="0" applyBorder="0" applyAlignment="0" applyProtection="0"/>
    <xf numFmtId="0" fontId="91" fillId="25" borderId="0" applyNumberFormat="0" applyBorder="0" applyAlignment="0" applyProtection="0"/>
    <xf numFmtId="0" fontId="91" fillId="25" borderId="0" applyNumberFormat="0" applyBorder="0" applyAlignment="0" applyProtection="0"/>
    <xf numFmtId="0" fontId="91" fillId="25" borderId="0" applyNumberFormat="0" applyBorder="0" applyAlignment="0" applyProtection="0"/>
    <xf numFmtId="0" fontId="91" fillId="25" borderId="0" applyNumberFormat="0" applyBorder="0" applyAlignment="0" applyProtection="0"/>
    <xf numFmtId="0" fontId="91" fillId="26" borderId="0" applyNumberFormat="0" applyBorder="0" applyAlignment="0" applyProtection="0"/>
    <xf numFmtId="0" fontId="91" fillId="26" borderId="0" applyNumberFormat="0" applyBorder="0" applyAlignment="0" applyProtection="0"/>
    <xf numFmtId="0" fontId="91" fillId="26" borderId="0" applyNumberFormat="0" applyBorder="0" applyAlignment="0" applyProtection="0"/>
    <xf numFmtId="0" fontId="91" fillId="26" borderId="0" applyNumberFormat="0" applyBorder="0" applyAlignment="0" applyProtection="0"/>
    <xf numFmtId="0" fontId="91" fillId="26" borderId="0" applyNumberFormat="0" applyBorder="0" applyAlignment="0" applyProtection="0"/>
    <xf numFmtId="0" fontId="91" fillId="26" borderId="0" applyNumberFormat="0" applyBorder="0" applyAlignment="0" applyProtection="0"/>
    <xf numFmtId="0" fontId="91" fillId="26" borderId="0" applyNumberFormat="0" applyBorder="0" applyAlignment="0" applyProtection="0"/>
    <xf numFmtId="0" fontId="91" fillId="26" borderId="0" applyNumberFormat="0" applyBorder="0" applyAlignment="0" applyProtection="0"/>
    <xf numFmtId="0" fontId="91" fillId="27" borderId="0" applyNumberFormat="0" applyBorder="0" applyAlignment="0" applyProtection="0"/>
    <xf numFmtId="0" fontId="91" fillId="27" borderId="0" applyNumberFormat="0" applyBorder="0" applyAlignment="0" applyProtection="0"/>
    <xf numFmtId="0" fontId="91" fillId="27" borderId="0" applyNumberFormat="0" applyBorder="0" applyAlignment="0" applyProtection="0"/>
    <xf numFmtId="0" fontId="91" fillId="27" borderId="0" applyNumberFormat="0" applyBorder="0" applyAlignment="0" applyProtection="0"/>
    <xf numFmtId="0" fontId="91" fillId="27" borderId="0" applyNumberFormat="0" applyBorder="0" applyAlignment="0" applyProtection="0"/>
    <xf numFmtId="0" fontId="91" fillId="27" borderId="0" applyNumberFormat="0" applyBorder="0" applyAlignment="0" applyProtection="0"/>
    <xf numFmtId="0" fontId="91" fillId="27" borderId="0" applyNumberFormat="0" applyBorder="0" applyAlignment="0" applyProtection="0"/>
    <xf numFmtId="0" fontId="91" fillId="27" borderId="0" applyNumberFormat="0" applyBorder="0" applyAlignment="0" applyProtection="0"/>
    <xf numFmtId="0" fontId="91" fillId="22" borderId="0" applyNumberFormat="0" applyBorder="0" applyAlignment="0" applyProtection="0"/>
    <xf numFmtId="0" fontId="91" fillId="22" borderId="0" applyNumberFormat="0" applyBorder="0" applyAlignment="0" applyProtection="0"/>
    <xf numFmtId="0" fontId="91" fillId="22" borderId="0" applyNumberFormat="0" applyBorder="0" applyAlignment="0" applyProtection="0"/>
    <xf numFmtId="0" fontId="91" fillId="22" borderId="0" applyNumberFormat="0" applyBorder="0" applyAlignment="0" applyProtection="0"/>
    <xf numFmtId="0" fontId="91" fillId="22" borderId="0" applyNumberFormat="0" applyBorder="0" applyAlignment="0" applyProtection="0"/>
    <xf numFmtId="0" fontId="91" fillId="22" borderId="0" applyNumberFormat="0" applyBorder="0" applyAlignment="0" applyProtection="0"/>
    <xf numFmtId="0" fontId="91" fillId="22" borderId="0" applyNumberFormat="0" applyBorder="0" applyAlignment="0" applyProtection="0"/>
    <xf numFmtId="0" fontId="91" fillId="22" borderId="0" applyNumberFormat="0" applyBorder="0" applyAlignment="0" applyProtection="0"/>
    <xf numFmtId="0" fontId="91" fillId="23" borderId="0" applyNumberFormat="0" applyBorder="0" applyAlignment="0" applyProtection="0"/>
    <xf numFmtId="0" fontId="91" fillId="23" borderId="0" applyNumberFormat="0" applyBorder="0" applyAlignment="0" applyProtection="0"/>
    <xf numFmtId="0" fontId="91" fillId="23" borderId="0" applyNumberFormat="0" applyBorder="0" applyAlignment="0" applyProtection="0"/>
    <xf numFmtId="0" fontId="91" fillId="23" borderId="0" applyNumberFormat="0" applyBorder="0" applyAlignment="0" applyProtection="0"/>
    <xf numFmtId="0" fontId="91" fillId="23" borderId="0" applyNumberFormat="0" applyBorder="0" applyAlignment="0" applyProtection="0"/>
    <xf numFmtId="0" fontId="91" fillId="23" borderId="0" applyNumberFormat="0" applyBorder="0" applyAlignment="0" applyProtection="0"/>
    <xf numFmtId="0" fontId="91" fillId="23" borderId="0" applyNumberFormat="0" applyBorder="0" applyAlignment="0" applyProtection="0"/>
    <xf numFmtId="0" fontId="91" fillId="23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0" fontId="91" fillId="28" borderId="0" applyNumberFormat="0" applyBorder="0" applyAlignment="0" applyProtection="0"/>
    <xf numFmtId="264" fontId="165" fillId="0" borderId="0"/>
    <xf numFmtId="258" fontId="100" fillId="0" borderId="0" applyFill="0" applyBorder="0" applyAlignment="0"/>
    <xf numFmtId="259" fontId="96" fillId="0" borderId="0" applyFill="0" applyBorder="0" applyAlignment="0"/>
    <xf numFmtId="258" fontId="100" fillId="0" borderId="0" applyFill="0" applyBorder="0" applyAlignment="0"/>
    <xf numFmtId="263" fontId="96" fillId="0" borderId="0" applyFill="0" applyBorder="0" applyAlignment="0"/>
    <xf numFmtId="259" fontId="96" fillId="0" borderId="0" applyFill="0" applyBorder="0" applyAlignment="0"/>
    <xf numFmtId="0" fontId="166" fillId="0" borderId="0" applyNumberFormat="0" applyAlignment="0">
      <alignment horizontal="left"/>
    </xf>
    <xf numFmtId="0" fontId="166" fillId="0" borderId="0" applyNumberFormat="0" applyAlignment="0">
      <alignment horizontal="left"/>
    </xf>
    <xf numFmtId="0" fontId="166" fillId="0" borderId="0" applyNumberFormat="0" applyAlignment="0">
      <alignment horizontal="left"/>
    </xf>
    <xf numFmtId="0" fontId="167" fillId="0" borderId="0"/>
    <xf numFmtId="0" fontId="168" fillId="16" borderId="31" applyNumberFormat="0" applyAlignment="0" applyProtection="0"/>
    <xf numFmtId="0" fontId="168" fillId="16" borderId="31" applyNumberFormat="0" applyAlignment="0" applyProtection="0"/>
    <xf numFmtId="0" fontId="168" fillId="16" borderId="31" applyNumberFormat="0" applyAlignment="0" applyProtection="0"/>
    <xf numFmtId="0" fontId="168" fillId="16" borderId="31" applyNumberFormat="0" applyAlignment="0" applyProtection="0"/>
    <xf numFmtId="0" fontId="168" fillId="16" borderId="31" applyNumberFormat="0" applyAlignment="0" applyProtection="0"/>
    <xf numFmtId="0" fontId="168" fillId="16" borderId="31" applyNumberFormat="0" applyAlignment="0" applyProtection="0"/>
    <xf numFmtId="0" fontId="168" fillId="16" borderId="31" applyNumberFormat="0" applyAlignment="0" applyProtection="0"/>
    <xf numFmtId="0" fontId="168" fillId="16" borderId="31" applyNumberFormat="0" applyAlignment="0" applyProtection="0"/>
    <xf numFmtId="0" fontId="169" fillId="0" borderId="0">
      <alignment horizontal="left"/>
    </xf>
    <xf numFmtId="0" fontId="35" fillId="44" borderId="24"/>
    <xf numFmtId="0" fontId="2" fillId="0" borderId="0"/>
    <xf numFmtId="0" fontId="2" fillId="0" borderId="0"/>
    <xf numFmtId="265" fontId="170" fillId="0" borderId="0">
      <alignment horizontal="right"/>
    </xf>
    <xf numFmtId="196" fontId="14" fillId="0" borderId="0">
      <alignment horizontal="right"/>
    </xf>
    <xf numFmtId="309" fontId="9" fillId="0" borderId="0"/>
    <xf numFmtId="309" fontId="9" fillId="0" borderId="0"/>
    <xf numFmtId="310" fontId="2" fillId="0" borderId="0" applyFont="0" applyFill="0" applyBorder="0" applyAlignment="0" applyProtection="0"/>
    <xf numFmtId="310" fontId="2" fillId="0" borderId="0" applyFont="0" applyFill="0" applyBorder="0" applyAlignment="0" applyProtection="0"/>
    <xf numFmtId="311" fontId="2" fillId="0" borderId="0" applyFont="0" applyFill="0" applyBorder="0" applyAlignment="0" applyProtection="0"/>
    <xf numFmtId="0" fontId="171" fillId="0" borderId="0"/>
    <xf numFmtId="9" fontId="171" fillId="0" borderId="0"/>
    <xf numFmtId="264" fontId="93" fillId="0" borderId="0"/>
    <xf numFmtId="0" fontId="172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9" fontId="9" fillId="0" borderId="0" applyNumberFormat="0" applyFill="0" applyBorder="0" applyProtection="0">
      <alignment horizontal="center" vertical="top"/>
    </xf>
    <xf numFmtId="312" fontId="173" fillId="0" borderId="0" applyBorder="0">
      <alignment horizontal="right" vertical="top"/>
    </xf>
    <xf numFmtId="313" fontId="174" fillId="0" borderId="0">
      <alignment horizontal="right" vertical="top"/>
    </xf>
    <xf numFmtId="313" fontId="174" fillId="0" borderId="0">
      <alignment horizontal="right" vertical="top"/>
    </xf>
    <xf numFmtId="314" fontId="9" fillId="0" borderId="0" applyBorder="0">
      <alignment horizontal="right" vertical="top"/>
    </xf>
    <xf numFmtId="315" fontId="169" fillId="0" borderId="0">
      <alignment horizontal="right" vertical="top"/>
    </xf>
    <xf numFmtId="315" fontId="169" fillId="0" borderId="0">
      <alignment horizontal="right" vertical="top"/>
    </xf>
    <xf numFmtId="314" fontId="173" fillId="0" borderId="0" applyBorder="0">
      <alignment horizontal="right" vertical="top"/>
    </xf>
    <xf numFmtId="315" fontId="174" fillId="0" borderId="0">
      <alignment horizontal="right" vertical="top"/>
    </xf>
    <xf numFmtId="315" fontId="174" fillId="0" borderId="0">
      <alignment horizontal="right" vertical="top"/>
    </xf>
    <xf numFmtId="316" fontId="17" fillId="0" borderId="0" applyFill="0" applyBorder="0">
      <alignment horizontal="right" vertical="top"/>
    </xf>
    <xf numFmtId="179" fontId="9" fillId="0" borderId="0" applyFill="0" applyBorder="0">
      <alignment horizontal="right" vertical="top"/>
    </xf>
    <xf numFmtId="317" fontId="169" fillId="0" borderId="0" applyFill="0" applyBorder="0">
      <alignment horizontal="right" vertical="top"/>
    </xf>
    <xf numFmtId="317" fontId="169" fillId="0" borderId="0" applyFill="0" applyBorder="0">
      <alignment horizontal="right" vertical="top"/>
    </xf>
    <xf numFmtId="318" fontId="9" fillId="0" borderId="0" applyFill="0" applyBorder="0">
      <alignment horizontal="right" vertical="top"/>
    </xf>
    <xf numFmtId="319" fontId="169" fillId="0" borderId="0" applyFill="0" applyBorder="0">
      <alignment horizontal="right" vertical="top"/>
    </xf>
    <xf numFmtId="319" fontId="169" fillId="0" borderId="0" applyFill="0" applyBorder="0">
      <alignment horizontal="right" vertical="top"/>
    </xf>
    <xf numFmtId="320" fontId="9" fillId="0" borderId="0" applyFill="0" applyBorder="0">
      <alignment horizontal="right" vertical="top"/>
    </xf>
    <xf numFmtId="321" fontId="169" fillId="0" borderId="0" applyFill="0" applyBorder="0">
      <alignment horizontal="right" vertical="top"/>
    </xf>
    <xf numFmtId="321" fontId="169" fillId="0" borderId="0" applyFill="0" applyBorder="0">
      <alignment horizontal="right" vertical="top"/>
    </xf>
    <xf numFmtId="0" fontId="18" fillId="40" borderId="0" applyNumberFormat="0" applyFont="0" applyBorder="0" applyAlignment="0" applyProtection="0"/>
    <xf numFmtId="0" fontId="101" fillId="0" borderId="0" applyNumberFormat="0" applyFill="0" applyBorder="0" applyAlignment="0" applyProtection="0"/>
    <xf numFmtId="0" fontId="175" fillId="0" borderId="0">
      <alignment horizontal="left"/>
    </xf>
    <xf numFmtId="322" fontId="176" fillId="0" borderId="0" applyFill="0" applyBorder="0"/>
    <xf numFmtId="0" fontId="177" fillId="0" borderId="0">
      <alignment horizontal="center" wrapText="1"/>
    </xf>
    <xf numFmtId="0" fontId="175" fillId="0" borderId="8">
      <alignment horizontal="right" wrapText="1"/>
    </xf>
    <xf numFmtId="232" fontId="56" fillId="0" borderId="8">
      <alignment horizontal="left"/>
    </xf>
    <xf numFmtId="0" fontId="178" fillId="0" borderId="0">
      <alignment vertical="center"/>
    </xf>
    <xf numFmtId="323" fontId="178" fillId="0" borderId="0">
      <alignment horizontal="left" vertical="center"/>
    </xf>
    <xf numFmtId="324" fontId="179" fillId="0" borderId="0">
      <alignment vertical="center"/>
    </xf>
    <xf numFmtId="0" fontId="75" fillId="0" borderId="0">
      <alignment vertical="center"/>
    </xf>
    <xf numFmtId="0" fontId="56" fillId="0" borderId="8">
      <alignment horizontal="left"/>
    </xf>
    <xf numFmtId="15" fontId="125" fillId="0" borderId="0" applyFill="0" applyBorder="0" applyProtection="0">
      <alignment horizontal="center"/>
    </xf>
    <xf numFmtId="15" fontId="125" fillId="0" borderId="0" applyFill="0" applyBorder="0" applyProtection="0">
      <alignment horizontal="center"/>
    </xf>
    <xf numFmtId="0" fontId="18" fillId="12" borderId="0" applyNumberFormat="0" applyFont="0" applyBorder="0" applyAlignment="0" applyProtection="0"/>
    <xf numFmtId="325" fontId="180" fillId="32" borderId="39" applyAlignment="0" applyProtection="0"/>
    <xf numFmtId="326" fontId="181" fillId="0" borderId="0" applyNumberFormat="0" applyFill="0" applyBorder="0" applyAlignment="0" applyProtection="0"/>
    <xf numFmtId="326" fontId="182" fillId="0" borderId="0" applyNumberFormat="0" applyFill="0" applyBorder="0" applyAlignment="0" applyProtection="0"/>
    <xf numFmtId="232" fontId="183" fillId="0" borderId="0" applyFill="0" applyBorder="0">
      <alignment vertical="top"/>
    </xf>
    <xf numFmtId="232" fontId="162" fillId="0" borderId="0" applyFill="0" applyBorder="0" applyProtection="0">
      <alignment vertical="top"/>
    </xf>
    <xf numFmtId="232" fontId="184" fillId="0" borderId="0">
      <alignment vertical="top"/>
    </xf>
    <xf numFmtId="15" fontId="100" fillId="7" borderId="13">
      <alignment horizontal="center"/>
      <protection locked="0"/>
    </xf>
    <xf numFmtId="326" fontId="18" fillId="33" borderId="13" applyFont="0" applyAlignment="0"/>
    <xf numFmtId="327" fontId="100" fillId="7" borderId="13" applyAlignment="0">
      <protection locked="0"/>
    </xf>
    <xf numFmtId="326" fontId="100" fillId="7" borderId="13" applyAlignment="0">
      <protection locked="0"/>
    </xf>
    <xf numFmtId="326" fontId="125" fillId="0" borderId="0" applyFill="0" applyBorder="0" applyAlignment="0" applyProtection="0"/>
    <xf numFmtId="326" fontId="125" fillId="0" borderId="0" applyFill="0" applyBorder="0" applyAlignment="0" applyProtection="0"/>
    <xf numFmtId="232" fontId="9" fillId="0" borderId="0">
      <alignment horizontal="center"/>
    </xf>
    <xf numFmtId="232" fontId="185" fillId="0" borderId="8">
      <alignment horizontal="center"/>
    </xf>
    <xf numFmtId="41" fontId="9" fillId="0" borderId="8" applyFill="0" applyBorder="0" applyProtection="0">
      <alignment horizontal="right" vertical="top"/>
    </xf>
    <xf numFmtId="328" fontId="169" fillId="0" borderId="0" applyFill="0" applyBorder="0" applyAlignment="0" applyProtection="0">
      <alignment horizontal="right" vertical="top"/>
    </xf>
    <xf numFmtId="328" fontId="169" fillId="0" borderId="0" applyFill="0" applyBorder="0" applyAlignment="0" applyProtection="0">
      <alignment horizontal="right" vertical="top"/>
    </xf>
    <xf numFmtId="327" fontId="125" fillId="0" borderId="0" applyFill="0" applyBorder="0" applyAlignment="0" applyProtection="0"/>
    <xf numFmtId="327" fontId="125" fillId="0" borderId="0" applyFill="0" applyBorder="0" applyAlignment="0" applyProtection="0"/>
    <xf numFmtId="329" fontId="125" fillId="0" borderId="0" applyFill="0" applyBorder="0" applyAlignment="0" applyProtection="0"/>
    <xf numFmtId="329" fontId="125" fillId="0" borderId="0" applyFill="0" applyBorder="0" applyAlignment="0" applyProtection="0"/>
    <xf numFmtId="323" fontId="38" fillId="0" borderId="0">
      <alignment horizontal="left" vertical="center"/>
    </xf>
    <xf numFmtId="232" fontId="38" fillId="0" borderId="0"/>
    <xf numFmtId="232" fontId="78" fillId="0" borderId="0"/>
    <xf numFmtId="232" fontId="186" fillId="0" borderId="0"/>
    <xf numFmtId="232" fontId="2" fillId="0" borderId="0"/>
    <xf numFmtId="232" fontId="187" fillId="0" borderId="0">
      <alignment horizontal="left" vertical="top"/>
    </xf>
    <xf numFmtId="0" fontId="18" fillId="0" borderId="45" applyNumberFormat="0" applyFont="0" applyAlignment="0" applyProtection="0"/>
    <xf numFmtId="0" fontId="9" fillId="0" borderId="0" applyFill="0" applyBorder="0">
      <alignment horizontal="left" vertical="top" wrapText="1"/>
    </xf>
    <xf numFmtId="0" fontId="169" fillId="0" borderId="0" applyFill="0" applyBorder="0">
      <alignment horizontal="left" vertical="top"/>
    </xf>
    <xf numFmtId="0" fontId="169" fillId="0" borderId="0" applyFill="0" applyBorder="0">
      <alignment horizontal="left" vertical="top"/>
    </xf>
    <xf numFmtId="0" fontId="188" fillId="0" borderId="0">
      <alignment horizontal="left" vertical="top" wrapText="1"/>
    </xf>
    <xf numFmtId="0" fontId="189" fillId="0" borderId="0">
      <alignment horizontal="left" vertical="top" wrapText="1"/>
    </xf>
    <xf numFmtId="0" fontId="173" fillId="0" borderId="0">
      <alignment horizontal="left" vertical="top" wrapText="1"/>
    </xf>
    <xf numFmtId="0" fontId="18" fillId="0" borderId="46" applyNumberFormat="0" applyFont="0" applyAlignment="0" applyProtection="0"/>
    <xf numFmtId="0" fontId="18" fillId="19" borderId="0" applyNumberFormat="0" applyFont="0" applyBorder="0" applyAlignment="0" applyProtection="0"/>
    <xf numFmtId="330" fontId="131" fillId="0" borderId="0">
      <protection locked="0"/>
    </xf>
    <xf numFmtId="0" fontId="11" fillId="0" borderId="0"/>
    <xf numFmtId="330" fontId="131" fillId="0" borderId="0">
      <protection locked="0"/>
    </xf>
    <xf numFmtId="330" fontId="131" fillId="0" borderId="0">
      <protection locked="0"/>
    </xf>
    <xf numFmtId="0" fontId="131" fillId="0" borderId="0">
      <protection locked="0"/>
    </xf>
    <xf numFmtId="330" fontId="131" fillId="0" borderId="0">
      <protection locked="0"/>
    </xf>
    <xf numFmtId="0" fontId="11" fillId="0" borderId="0"/>
    <xf numFmtId="330" fontId="131" fillId="0" borderId="0">
      <protection locked="0"/>
    </xf>
    <xf numFmtId="330" fontId="131" fillId="0" borderId="0">
      <protection locked="0"/>
    </xf>
    <xf numFmtId="0" fontId="131" fillId="0" borderId="0">
      <protection locked="0"/>
    </xf>
    <xf numFmtId="330" fontId="131" fillId="0" borderId="0">
      <protection locked="0"/>
    </xf>
    <xf numFmtId="0" fontId="11" fillId="0" borderId="0"/>
    <xf numFmtId="330" fontId="131" fillId="0" borderId="0">
      <protection locked="0"/>
    </xf>
    <xf numFmtId="330" fontId="131" fillId="0" borderId="0">
      <protection locked="0"/>
    </xf>
    <xf numFmtId="0" fontId="131" fillId="0" borderId="0">
      <protection locked="0"/>
    </xf>
    <xf numFmtId="330" fontId="131" fillId="0" borderId="0">
      <protection locked="0"/>
    </xf>
    <xf numFmtId="0" fontId="11" fillId="0" borderId="0"/>
    <xf numFmtId="330" fontId="131" fillId="0" borderId="0">
      <protection locked="0"/>
    </xf>
    <xf numFmtId="330" fontId="131" fillId="0" borderId="0">
      <protection locked="0"/>
    </xf>
    <xf numFmtId="0" fontId="131" fillId="0" borderId="0">
      <protection locked="0"/>
    </xf>
    <xf numFmtId="330" fontId="131" fillId="0" borderId="0">
      <protection locked="0"/>
    </xf>
    <xf numFmtId="0" fontId="11" fillId="0" borderId="0"/>
    <xf numFmtId="330" fontId="131" fillId="0" borderId="0">
      <protection locked="0"/>
    </xf>
    <xf numFmtId="330" fontId="131" fillId="0" borderId="0">
      <protection locked="0"/>
    </xf>
    <xf numFmtId="0" fontId="131" fillId="0" borderId="0">
      <protection locked="0"/>
    </xf>
    <xf numFmtId="330" fontId="131" fillId="0" borderId="0">
      <protection locked="0"/>
    </xf>
    <xf numFmtId="0" fontId="11" fillId="0" borderId="0"/>
    <xf numFmtId="330" fontId="131" fillId="0" borderId="0">
      <protection locked="0"/>
    </xf>
    <xf numFmtId="330" fontId="131" fillId="0" borderId="0">
      <protection locked="0"/>
    </xf>
    <xf numFmtId="0" fontId="131" fillId="0" borderId="0">
      <protection locked="0"/>
    </xf>
    <xf numFmtId="330" fontId="131" fillId="0" borderId="0">
      <protection locked="0"/>
    </xf>
    <xf numFmtId="0" fontId="93" fillId="0" borderId="0"/>
    <xf numFmtId="330" fontId="131" fillId="0" borderId="0">
      <protection locked="0"/>
    </xf>
    <xf numFmtId="330" fontId="131" fillId="0" borderId="0">
      <protection locked="0"/>
    </xf>
    <xf numFmtId="0" fontId="131" fillId="0" borderId="0">
      <protection locked="0"/>
    </xf>
    <xf numFmtId="40" fontId="190" fillId="0" borderId="0"/>
    <xf numFmtId="331" fontId="2" fillId="0" borderId="0" applyFont="0" applyFill="0" applyBorder="0" applyAlignment="0" applyProtection="0"/>
    <xf numFmtId="0" fontId="191" fillId="0" borderId="0" applyFont="0" applyFill="0" applyBorder="0" applyAlignment="0" applyProtection="0"/>
    <xf numFmtId="0" fontId="191" fillId="0" borderId="0" applyFont="0" applyFill="0" applyBorder="0" applyAlignment="0" applyProtection="0"/>
    <xf numFmtId="0" fontId="191" fillId="0" borderId="0" applyFont="0" applyFill="0" applyBorder="0" applyAlignment="0" applyProtection="0"/>
    <xf numFmtId="332" fontId="2" fillId="0" borderId="47">
      <alignment horizontal="left"/>
      <protection locked="0"/>
    </xf>
    <xf numFmtId="2" fontId="191" fillId="0" borderId="0" applyFont="0" applyFill="0" applyBorder="0" applyAlignment="0" applyProtection="0"/>
    <xf numFmtId="2" fontId="191" fillId="0" borderId="0" applyFont="0" applyFill="0" applyBorder="0" applyAlignment="0" applyProtection="0"/>
    <xf numFmtId="2" fontId="191" fillId="0" borderId="0" applyFont="0" applyFill="0" applyBorder="0" applyAlignment="0" applyProtection="0"/>
    <xf numFmtId="40" fontId="2" fillId="0" borderId="0" applyNumberFormat="0">
      <alignment horizontal="right"/>
    </xf>
    <xf numFmtId="38" fontId="2" fillId="0" borderId="0" applyFont="0" applyBorder="0" applyAlignment="0"/>
    <xf numFmtId="234" fontId="2" fillId="0" borderId="0" applyFont="0" applyBorder="0" applyAlignment="0"/>
    <xf numFmtId="253" fontId="2" fillId="0" borderId="0" applyFill="0" applyBorder="0"/>
    <xf numFmtId="304" fontId="159" fillId="0" borderId="0">
      <protection locked="0"/>
    </xf>
    <xf numFmtId="0" fontId="21" fillId="0" borderId="0" applyNumberFormat="0" applyFill="0" applyBorder="0" applyAlignment="0" applyProtection="0"/>
    <xf numFmtId="333" fontId="131" fillId="0" borderId="0">
      <protection locked="0"/>
    </xf>
    <xf numFmtId="2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37" fontId="2" fillId="33" borderId="0"/>
    <xf numFmtId="37" fontId="2" fillId="45" borderId="0"/>
    <xf numFmtId="37" fontId="2" fillId="46" borderId="0"/>
    <xf numFmtId="38" fontId="37" fillId="3" borderId="48" applyNumberFormat="0" applyFont="0" applyAlignment="0"/>
    <xf numFmtId="37" fontId="192" fillId="47" borderId="0" applyNumberFormat="0">
      <alignment horizontal="center" wrapText="1"/>
    </xf>
    <xf numFmtId="334" fontId="2" fillId="3" borderId="0"/>
    <xf numFmtId="334" fontId="193" fillId="47" borderId="0" applyNumberFormat="0">
      <alignment wrapText="1"/>
    </xf>
    <xf numFmtId="37" fontId="2" fillId="3" borderId="38"/>
    <xf numFmtId="10" fontId="2" fillId="3" borderId="0"/>
    <xf numFmtId="335" fontId="2" fillId="3" borderId="0"/>
    <xf numFmtId="37" fontId="2" fillId="3" borderId="0" applyNumberFormat="0" applyFont="0">
      <alignment wrapText="1"/>
    </xf>
    <xf numFmtId="336" fontId="2" fillId="3" borderId="0"/>
    <xf numFmtId="37" fontId="193" fillId="47" borderId="0" applyNumberFormat="0">
      <alignment horizontal="center" vertical="center" wrapText="1"/>
    </xf>
    <xf numFmtId="37" fontId="192" fillId="48" borderId="0" applyNumberFormat="0">
      <alignment wrapText="1"/>
    </xf>
    <xf numFmtId="37" fontId="194" fillId="48" borderId="0">
      <alignment wrapText="1"/>
    </xf>
    <xf numFmtId="37" fontId="46" fillId="45" borderId="0"/>
    <xf numFmtId="37" fontId="195" fillId="46" borderId="0"/>
    <xf numFmtId="168" fontId="196" fillId="46" borderId="0">
      <alignment wrapText="1"/>
    </xf>
    <xf numFmtId="37" fontId="194" fillId="49" borderId="49"/>
    <xf numFmtId="168" fontId="194" fillId="49" borderId="49"/>
    <xf numFmtId="168" fontId="2" fillId="3" borderId="0"/>
    <xf numFmtId="0" fontId="55" fillId="0" borderId="0" applyNumberFormat="0" applyFill="0" applyBorder="0" applyAlignment="0" applyProtection="0">
      <alignment vertical="top"/>
      <protection locked="0"/>
    </xf>
    <xf numFmtId="251" fontId="2" fillId="0" borderId="0">
      <alignment horizontal="center"/>
    </xf>
    <xf numFmtId="251" fontId="2" fillId="0" borderId="0">
      <alignment horizontal="center"/>
    </xf>
    <xf numFmtId="251" fontId="2" fillId="0" borderId="0">
      <alignment horizontal="center"/>
    </xf>
    <xf numFmtId="0" fontId="197" fillId="0" borderId="0" applyFill="0" applyBorder="0" applyProtection="0">
      <alignment horizontal="left"/>
    </xf>
    <xf numFmtId="38" fontId="54" fillId="0" borderId="0" applyNumberFormat="0" applyProtection="0"/>
    <xf numFmtId="37" fontId="35" fillId="36" borderId="0"/>
    <xf numFmtId="253" fontId="35" fillId="36" borderId="24" applyFont="0" applyBorder="0" applyAlignment="0" applyProtection="0">
      <alignment vertical="top"/>
    </xf>
    <xf numFmtId="337" fontId="14" fillId="0" borderId="0" applyFont="0" applyFill="0" applyBorder="0" applyAlignment="0" applyProtection="0"/>
    <xf numFmtId="181" fontId="2" fillId="0" borderId="0" applyFont="0" applyFill="0" applyBorder="0" applyAlignment="0" applyProtection="0"/>
    <xf numFmtId="338" fontId="14" fillId="0" borderId="0" applyFont="0" applyFill="0" applyBorder="0" applyAlignment="0" applyProtection="0"/>
    <xf numFmtId="301" fontId="198" fillId="0" borderId="0" applyNumberFormat="0" applyFill="0" applyBorder="0" applyAlignment="0" applyProtection="0"/>
    <xf numFmtId="339" fontId="2" fillId="0" borderId="0" applyFont="0" applyFill="0" applyBorder="0" applyAlignment="0" applyProtection="0">
      <alignment horizontal="left"/>
    </xf>
    <xf numFmtId="212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2" fontId="92" fillId="0" borderId="0">
      <alignment horizontal="left"/>
    </xf>
    <xf numFmtId="38" fontId="17" fillId="0" borderId="0"/>
    <xf numFmtId="0" fontId="13" fillId="0" borderId="0" applyFont="0" applyFill="0" applyBorder="0" applyProtection="0"/>
    <xf numFmtId="0" fontId="2" fillId="0" borderId="15" applyNumberFormat="0">
      <alignment horizontal="center" vertical="top"/>
    </xf>
    <xf numFmtId="0" fontId="43" fillId="32" borderId="0" applyBorder="0">
      <alignment vertical="top"/>
      <protection locked="0"/>
    </xf>
    <xf numFmtId="38" fontId="4" fillId="0" borderId="2"/>
    <xf numFmtId="3" fontId="199" fillId="0" borderId="0" applyNumberFormat="0"/>
    <xf numFmtId="38" fontId="35" fillId="3" borderId="0" applyNumberFormat="0" applyBorder="0" applyAlignment="0" applyProtection="0"/>
    <xf numFmtId="38" fontId="35" fillId="3" borderId="0" applyNumberFormat="0" applyBorder="0" applyAlignment="0" applyProtection="0"/>
    <xf numFmtId="38" fontId="35" fillId="3" borderId="0" applyNumberFormat="0" applyBorder="0" applyAlignment="0" applyProtection="0"/>
    <xf numFmtId="340" fontId="200" fillId="0" borderId="0"/>
    <xf numFmtId="0" fontId="2" fillId="0" borderId="1" applyFill="0" applyProtection="0">
      <alignment horizontal="centerContinuous"/>
    </xf>
    <xf numFmtId="0" fontId="2" fillId="0" borderId="1" applyFill="0" applyProtection="0">
      <alignment horizontal="centerContinuous"/>
    </xf>
    <xf numFmtId="0" fontId="2" fillId="0" borderId="1" applyFill="0" applyProtection="0">
      <alignment horizontal="centerContinuous"/>
    </xf>
    <xf numFmtId="0" fontId="2" fillId="0" borderId="0"/>
    <xf numFmtId="246" fontId="2" fillId="0" borderId="0" applyFont="0" applyFill="0" applyBorder="0" applyAlignment="0" applyProtection="0"/>
    <xf numFmtId="0" fontId="17" fillId="0" borderId="0" applyFont="0" applyFill="0" applyBorder="0" applyAlignment="0" applyProtection="0">
      <alignment horizontal="right"/>
    </xf>
    <xf numFmtId="0" fontId="201" fillId="32" borderId="0" applyBorder="0">
      <alignment horizontal="left" vertical="top" wrapText="1"/>
    </xf>
    <xf numFmtId="0" fontId="202" fillId="0" borderId="0" applyNumberFormat="0" applyFill="0" applyBorder="0" applyAlignment="0" applyProtection="0"/>
    <xf numFmtId="0" fontId="13" fillId="0" borderId="0" applyNumberFormat="0" applyFill="0" applyBorder="0" applyProtection="0"/>
    <xf numFmtId="0" fontId="200" fillId="0" borderId="1"/>
    <xf numFmtId="0" fontId="203" fillId="0" borderId="0">
      <alignment horizontal="left"/>
    </xf>
    <xf numFmtId="0" fontId="203" fillId="0" borderId="0">
      <alignment horizontal="left"/>
    </xf>
    <xf numFmtId="0" fontId="72" fillId="0" borderId="50" applyNumberFormat="0" applyAlignment="0" applyProtection="0">
      <alignment horizontal="left" vertical="center"/>
    </xf>
    <xf numFmtId="0" fontId="72" fillId="0" borderId="39">
      <alignment horizontal="left" vertical="center"/>
    </xf>
    <xf numFmtId="0" fontId="204" fillId="0" borderId="0">
      <alignment horizontal="center"/>
    </xf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37" fillId="0" borderId="0" applyFill="0" applyBorder="0" applyProtection="0">
      <alignment horizontal="right"/>
    </xf>
    <xf numFmtId="0" fontId="37" fillId="0" borderId="0" applyFill="0" applyBorder="0" applyProtection="0">
      <alignment horizontal="right"/>
    </xf>
    <xf numFmtId="264" fontId="205" fillId="0" borderId="0">
      <alignment horizontal="right"/>
    </xf>
    <xf numFmtId="0" fontId="72" fillId="0" borderId="0" applyFill="0" applyAlignment="0" applyProtection="0">
      <protection locked="0"/>
    </xf>
    <xf numFmtId="264" fontId="205" fillId="0" borderId="0">
      <alignment horizontal="left"/>
    </xf>
    <xf numFmtId="0" fontId="72" fillId="0" borderId="1" applyFill="0" applyAlignment="0" applyProtection="0">
      <protection locked="0"/>
    </xf>
    <xf numFmtId="0" fontId="204" fillId="0" borderId="0">
      <alignment horizontal="center" textRotation="90"/>
    </xf>
    <xf numFmtId="304" fontId="206" fillId="0" borderId="0">
      <protection locked="0"/>
    </xf>
    <xf numFmtId="304" fontId="206" fillId="0" borderId="0">
      <protection locked="0"/>
    </xf>
    <xf numFmtId="341" fontId="206" fillId="0" borderId="0">
      <protection locked="0"/>
    </xf>
    <xf numFmtId="304" fontId="206" fillId="0" borderId="0">
      <protection locked="0"/>
    </xf>
    <xf numFmtId="304" fontId="206" fillId="0" borderId="0">
      <protection locked="0"/>
    </xf>
    <xf numFmtId="0" fontId="207" fillId="0" borderId="22">
      <alignment horizontal="center"/>
    </xf>
    <xf numFmtId="0" fontId="207" fillId="0" borderId="22">
      <alignment horizontal="center"/>
    </xf>
    <xf numFmtId="0" fontId="207" fillId="0" borderId="22">
      <alignment horizontal="center"/>
    </xf>
    <xf numFmtId="0" fontId="207" fillId="0" borderId="0">
      <alignment horizontal="center"/>
    </xf>
    <xf numFmtId="0" fontId="207" fillId="0" borderId="0">
      <alignment horizontal="center"/>
    </xf>
    <xf numFmtId="0" fontId="207" fillId="0" borderId="0">
      <alignment horizontal="center"/>
    </xf>
    <xf numFmtId="0" fontId="208" fillId="0" borderId="0"/>
    <xf numFmtId="0" fontId="13" fillId="0" borderId="0" applyNumberFormat="0" applyFill="0" applyBorder="0" applyAlignment="0" applyProtection="0">
      <alignment horizontal="left"/>
    </xf>
    <xf numFmtId="342" fontId="209" fillId="0" borderId="0" applyFill="0" applyBorder="0" applyAlignment="0" applyProtection="0"/>
    <xf numFmtId="0" fontId="100" fillId="0" borderId="51" applyNumberFormat="0" applyFill="0" applyAlignment="0" applyProtection="0"/>
    <xf numFmtId="0" fontId="210" fillId="0" borderId="0" applyNumberFormat="0" applyFill="0" applyBorder="0" applyAlignment="0" applyProtection="0">
      <alignment vertical="top"/>
      <protection locked="0"/>
    </xf>
    <xf numFmtId="0" fontId="210" fillId="0" borderId="0" applyNumberFormat="0" applyFill="0" applyBorder="0" applyAlignment="0" applyProtection="0">
      <alignment vertical="top"/>
      <protection locked="0"/>
    </xf>
    <xf numFmtId="0" fontId="211" fillId="0" borderId="0" applyNumberFormat="0" applyFill="0" applyBorder="0" applyAlignment="0" applyProtection="0"/>
    <xf numFmtId="0" fontId="212" fillId="0" borderId="0" applyNumberFormat="0" applyFill="0" applyBorder="0" applyAlignment="0" applyProtection="0">
      <alignment vertical="top"/>
      <protection locked="0"/>
    </xf>
    <xf numFmtId="0" fontId="213" fillId="0" borderId="0" applyNumberFormat="0" applyFill="0" applyBorder="0" applyAlignment="0" applyProtection="0"/>
    <xf numFmtId="0" fontId="214" fillId="0" borderId="0" applyNumberFormat="0" applyFill="0" applyBorder="0" applyAlignment="0" applyProtection="0">
      <alignment vertical="top"/>
      <protection locked="0"/>
    </xf>
    <xf numFmtId="0" fontId="2" fillId="0" borderId="0" applyNumberFormat="0" applyFont="0" applyFill="0" applyBorder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0" fontId="215" fillId="0" borderId="0" applyNumberFormat="0" applyFill="0" applyBorder="0" applyAlignment="0" applyProtection="0">
      <alignment vertical="top"/>
      <protection locked="0"/>
    </xf>
    <xf numFmtId="0" fontId="215" fillId="0" borderId="0" applyNumberFormat="0" applyFill="0" applyBorder="0" applyAlignment="0" applyProtection="0">
      <alignment vertical="top"/>
      <protection locked="0"/>
    </xf>
    <xf numFmtId="343" fontId="2" fillId="0" borderId="0" applyFont="0" applyFill="0" applyBorder="0" applyAlignment="0" applyProtection="0"/>
    <xf numFmtId="344" fontId="2" fillId="0" borderId="0" applyBorder="0" applyAlignment="0" applyProtection="0"/>
    <xf numFmtId="0" fontId="105" fillId="12" borderId="0" applyNumberFormat="0" applyBorder="0" applyAlignment="0" applyProtection="0"/>
    <xf numFmtId="0" fontId="105" fillId="12" borderId="0" applyNumberFormat="0" applyBorder="0" applyAlignment="0" applyProtection="0"/>
    <xf numFmtId="0" fontId="14" fillId="4" borderId="0">
      <alignment horizontal="left" wrapText="1" indent="2"/>
    </xf>
    <xf numFmtId="37" fontId="198" fillId="4" borderId="52" applyNumberFormat="0" applyAlignment="0"/>
    <xf numFmtId="37" fontId="198" fillId="4" borderId="52" applyNumberFormat="0" applyAlignment="0"/>
    <xf numFmtId="336" fontId="2" fillId="4" borderId="52" applyFont="0" applyAlignment="0">
      <protection locked="0"/>
    </xf>
    <xf numFmtId="336" fontId="2" fillId="4" borderId="52" applyFont="0" applyAlignment="0">
      <protection locked="0"/>
    </xf>
    <xf numFmtId="37" fontId="2" fillId="4" borderId="52" applyNumberFormat="0" applyFont="0" applyBorder="0" applyAlignment="0">
      <protection locked="0"/>
    </xf>
    <xf numFmtId="37" fontId="2" fillId="4" borderId="52" applyNumberFormat="0" applyFont="0" applyBorder="0" applyAlignment="0">
      <protection locked="0"/>
    </xf>
    <xf numFmtId="37" fontId="2" fillId="4" borderId="52" applyNumberFormat="0" applyFont="0" applyBorder="0" applyAlignment="0">
      <protection locked="0"/>
    </xf>
    <xf numFmtId="37" fontId="2" fillId="4" borderId="52" applyNumberFormat="0" applyFont="0" applyBorder="0" applyAlignment="0">
      <protection locked="0"/>
    </xf>
    <xf numFmtId="10" fontId="2" fillId="50" borderId="0" applyFont="0" applyBorder="0" applyAlignment="0">
      <protection locked="0"/>
    </xf>
    <xf numFmtId="37" fontId="2" fillId="3" borderId="1" applyNumberFormat="0" applyBorder="0" applyAlignment="0"/>
    <xf numFmtId="168" fontId="2" fillId="4" borderId="52" applyFont="0" applyAlignment="0">
      <protection locked="0"/>
    </xf>
    <xf numFmtId="168" fontId="2" fillId="4" borderId="52" applyFont="0" applyAlignment="0">
      <protection locked="0"/>
    </xf>
    <xf numFmtId="37" fontId="2" fillId="4" borderId="52" applyNumberFormat="0" applyFont="0" applyAlignment="0">
      <protection locked="0"/>
    </xf>
    <xf numFmtId="37" fontId="2" fillId="4" borderId="52" applyNumberFormat="0" applyFont="0" applyAlignment="0">
      <protection locked="0"/>
    </xf>
    <xf numFmtId="234" fontId="216" fillId="0" borderId="4" applyFill="0" applyBorder="0" applyAlignment="0">
      <alignment horizontal="center"/>
      <protection locked="0"/>
    </xf>
    <xf numFmtId="345" fontId="217" fillId="33" borderId="53"/>
    <xf numFmtId="345" fontId="217" fillId="33" borderId="53"/>
    <xf numFmtId="10" fontId="35" fillId="4" borderId="24" applyNumberFormat="0" applyBorder="0" applyAlignment="0" applyProtection="0"/>
    <xf numFmtId="10" fontId="35" fillId="4" borderId="24" applyNumberFormat="0" applyBorder="0" applyAlignment="0" applyProtection="0"/>
    <xf numFmtId="10" fontId="35" fillId="4" borderId="24" applyNumberFormat="0" applyBorder="0" applyAlignment="0" applyProtection="0"/>
    <xf numFmtId="268" fontId="216" fillId="0" borderId="0" applyFill="0" applyBorder="0" applyAlignment="0">
      <protection locked="0"/>
    </xf>
    <xf numFmtId="0" fontId="2" fillId="17" borderId="0" applyNumberFormat="0" applyFont="0" applyBorder="0" applyAlignment="0"/>
    <xf numFmtId="220" fontId="216" fillId="0" borderId="0" applyFill="0" applyBorder="0" applyAlignment="0" applyProtection="0">
      <protection locked="0"/>
    </xf>
    <xf numFmtId="0" fontId="2" fillId="17" borderId="0" applyNumberFormat="0" applyFont="0" applyBorder="0" applyAlignment="0"/>
    <xf numFmtId="226" fontId="17" fillId="33" borderId="24" applyNumberFormat="0" applyFont="0" applyBorder="0" applyAlignment="0" applyProtection="0"/>
    <xf numFmtId="0" fontId="17" fillId="0" borderId="0" applyFill="0" applyBorder="0" applyProtection="0"/>
    <xf numFmtId="0" fontId="146" fillId="0" borderId="0" applyFill="0" applyBorder="0" applyProtection="0"/>
    <xf numFmtId="280" fontId="2" fillId="33" borderId="30"/>
    <xf numFmtId="0" fontId="17" fillId="0" borderId="0" applyFill="0" applyBorder="0" applyProtection="0"/>
    <xf numFmtId="14" fontId="217" fillId="44" borderId="0">
      <alignment horizontal="center"/>
    </xf>
    <xf numFmtId="0" fontId="17" fillId="0" borderId="0" applyFill="0" applyBorder="0" applyProtection="0"/>
    <xf numFmtId="0" fontId="19" fillId="33" borderId="0">
      <alignment horizontal="center"/>
    </xf>
    <xf numFmtId="0" fontId="17" fillId="0" borderId="0" applyFill="0" applyBorder="0" applyProtection="0"/>
    <xf numFmtId="249" fontId="14" fillId="4" borderId="0" applyNumberFormat="0" applyFont="0" applyBorder="0" applyAlignment="0" applyProtection="0">
      <alignment horizontal="center"/>
      <protection locked="0"/>
    </xf>
    <xf numFmtId="234" fontId="35" fillId="4" borderId="1" applyNumberFormat="0" applyFont="0" applyAlignment="0" applyProtection="0">
      <alignment horizontal="center"/>
      <protection locked="0"/>
    </xf>
    <xf numFmtId="234" fontId="35" fillId="4" borderId="1" applyNumberFormat="0" applyFont="0" applyAlignment="0" applyProtection="0">
      <alignment horizontal="center"/>
      <protection locked="0"/>
    </xf>
    <xf numFmtId="234" fontId="35" fillId="4" borderId="1" applyNumberFormat="0" applyFont="0" applyAlignment="0" applyProtection="0">
      <alignment horizontal="center"/>
      <protection locked="0"/>
    </xf>
    <xf numFmtId="0" fontId="100" fillId="0" borderId="0" applyNumberFormat="0" applyFill="0" applyBorder="0" applyAlignment="0">
      <protection locked="0"/>
    </xf>
    <xf numFmtId="0" fontId="19" fillId="33" borderId="0">
      <alignment horizontal="center"/>
    </xf>
    <xf numFmtId="0" fontId="218" fillId="3" borderId="24">
      <alignment horizontal="center"/>
      <protection locked="0"/>
    </xf>
    <xf numFmtId="0" fontId="219" fillId="0" borderId="0"/>
    <xf numFmtId="0" fontId="220" fillId="0" borderId="0" applyNumberFormat="0" applyFill="0" applyBorder="0" applyProtection="0">
      <alignment horizontal="left"/>
    </xf>
    <xf numFmtId="346" fontId="2" fillId="0" borderId="10" applyFont="0" applyFill="0" applyBorder="0" applyAlignment="0" applyProtection="0">
      <alignment horizontal="right"/>
    </xf>
    <xf numFmtId="0" fontId="2" fillId="0" borderId="0">
      <alignment horizontal="center"/>
    </xf>
    <xf numFmtId="184" fontId="17" fillId="0" borderId="0" applyFont="0" applyFill="0" applyBorder="0" applyAlignment="0" applyProtection="0"/>
    <xf numFmtId="277" fontId="2" fillId="0" borderId="0" applyFont="0" applyFill="0" applyBorder="0" applyAlignment="0" applyProtection="0">
      <alignment horizontal="center" vertical="top"/>
    </xf>
    <xf numFmtId="339" fontId="18" fillId="0" borderId="0" applyFont="0" applyFill="0" applyBorder="0" applyAlignment="0" applyProtection="0">
      <alignment horizontal="right"/>
    </xf>
    <xf numFmtId="225" fontId="17" fillId="0" borderId="0" applyFont="0" applyFill="0" applyBorder="0" applyAlignment="0" applyProtection="0"/>
    <xf numFmtId="229" fontId="17" fillId="0" borderId="0" applyFont="0" applyFill="0" applyBorder="0" applyAlignment="0" applyProtection="0"/>
    <xf numFmtId="208" fontId="2" fillId="0" borderId="0" applyFont="0" applyFill="0" applyBorder="0" applyAlignment="0" applyProtection="0"/>
    <xf numFmtId="337" fontId="11" fillId="0" borderId="0" applyFont="0" applyFill="0" applyBorder="0" applyAlignment="0" applyProtection="0"/>
    <xf numFmtId="337" fontId="11" fillId="0" borderId="0" applyFont="0" applyFill="0" applyBorder="0" applyAlignment="0" applyProtection="0"/>
    <xf numFmtId="1" fontId="2" fillId="0" borderId="15">
      <alignment horizontal="center" vertical="top"/>
    </xf>
    <xf numFmtId="38" fontId="221" fillId="0" borderId="0"/>
    <xf numFmtId="38" fontId="222" fillId="0" borderId="0"/>
    <xf numFmtId="38" fontId="118" fillId="0" borderId="0"/>
    <xf numFmtId="38" fontId="223" fillId="0" borderId="0"/>
    <xf numFmtId="0" fontId="224" fillId="0" borderId="0"/>
    <xf numFmtId="0" fontId="224" fillId="0" borderId="0"/>
    <xf numFmtId="0" fontId="2" fillId="0" borderId="0"/>
    <xf numFmtId="0" fontId="4" fillId="51" borderId="0"/>
    <xf numFmtId="347" fontId="96" fillId="0" borderId="0">
      <alignment horizontal="left"/>
    </xf>
    <xf numFmtId="0" fontId="225" fillId="0" borderId="0" applyNumberFormat="0" applyFill="0" applyBorder="0" applyAlignment="0" applyProtection="0"/>
    <xf numFmtId="0" fontId="2" fillId="0" borderId="0" applyNumberFormat="0" applyFill="0" applyBorder="0" applyAlignment="0">
      <protection hidden="1"/>
    </xf>
    <xf numFmtId="348" fontId="2" fillId="0" borderId="10" applyNumberFormat="0" applyFill="0" applyBorder="0" applyAlignment="0"/>
    <xf numFmtId="0" fontId="226" fillId="0" borderId="0" applyNumberFormat="0" applyFill="0" applyBorder="0" applyAlignment="0" applyProtection="0">
      <alignment vertical="top"/>
      <protection locked="0"/>
    </xf>
    <xf numFmtId="0" fontId="227" fillId="0" borderId="0" applyNumberFormat="0" applyFill="0" applyBorder="0" applyAlignment="0" applyProtection="0">
      <alignment vertical="top"/>
      <protection locked="0"/>
    </xf>
    <xf numFmtId="0" fontId="155" fillId="0" borderId="0" applyNumberFormat="0" applyFill="0" applyBorder="0" applyAlignment="0" applyProtection="0">
      <alignment vertical="top"/>
      <protection locked="0"/>
    </xf>
    <xf numFmtId="2" fontId="32" fillId="0" borderId="24"/>
    <xf numFmtId="224" fontId="96" fillId="0" borderId="0" applyFont="0" applyFill="0" applyBorder="0" applyAlignment="0" applyProtection="0"/>
    <xf numFmtId="0" fontId="99" fillId="0" borderId="1" applyNumberFormat="0" applyFont="0" applyFill="0" applyAlignment="0" applyProtection="0"/>
    <xf numFmtId="0" fontId="99" fillId="0" borderId="1" applyNumberFormat="0" applyFont="0" applyFill="0" applyAlignment="0" applyProtection="0"/>
    <xf numFmtId="0" fontId="99" fillId="0" borderId="1" applyNumberFormat="0" applyFont="0" applyFill="0" applyAlignment="0" applyProtection="0"/>
    <xf numFmtId="258" fontId="228" fillId="0" borderId="0" applyFill="0" applyBorder="0" applyAlignment="0"/>
    <xf numFmtId="259" fontId="96" fillId="0" borderId="0" applyFill="0" applyBorder="0" applyAlignment="0"/>
    <xf numFmtId="258" fontId="228" fillId="0" borderId="0" applyFill="0" applyBorder="0" applyAlignment="0"/>
    <xf numFmtId="263" fontId="96" fillId="0" borderId="0" applyFill="0" applyBorder="0" applyAlignment="0"/>
    <xf numFmtId="259" fontId="96" fillId="0" borderId="0" applyFill="0" applyBorder="0" applyAlignment="0"/>
    <xf numFmtId="241" fontId="18" fillId="0" borderId="0">
      <alignment horizontal="justify"/>
    </xf>
    <xf numFmtId="268" fontId="2" fillId="0" borderId="0" applyNumberFormat="0" applyFont="0" applyFill="0" applyBorder="0" applyAlignment="0"/>
    <xf numFmtId="268" fontId="2" fillId="0" borderId="0" applyNumberFormat="0" applyFont="0" applyFill="0" applyBorder="0" applyAlignment="0"/>
    <xf numFmtId="268" fontId="2" fillId="0" borderId="0" applyNumberFormat="0" applyFont="0" applyFill="0" applyBorder="0" applyAlignment="0"/>
    <xf numFmtId="0" fontId="2" fillId="3" borderId="0"/>
    <xf numFmtId="0" fontId="229" fillId="0" borderId="10">
      <alignment horizontal="left"/>
      <protection locked="0"/>
    </xf>
    <xf numFmtId="0" fontId="147" fillId="0" borderId="0"/>
    <xf numFmtId="349" fontId="2" fillId="0" borderId="0" applyFont="0" applyFill="0" applyBorder="0" applyAlignment="0" applyProtection="0"/>
    <xf numFmtId="0" fontId="230" fillId="0" borderId="0" applyNumberFormat="0" applyFill="0" applyBorder="0" applyAlignment="0" applyProtection="0"/>
    <xf numFmtId="0" fontId="2" fillId="47" borderId="0" applyNumberFormat="0" applyFont="0" applyBorder="0" applyAlignment="0"/>
    <xf numFmtId="340" fontId="208" fillId="0" borderId="0"/>
    <xf numFmtId="1" fontId="231" fillId="0" borderId="0" applyNumberFormat="0" applyFill="0" applyBorder="0" applyAlignment="0" applyProtection="0">
      <alignment horizontal="center"/>
    </xf>
    <xf numFmtId="328" fontId="2" fillId="0" borderId="0" applyFont="0" applyFill="0" applyBorder="0" applyAlignment="0" applyProtection="0"/>
    <xf numFmtId="269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2" fillId="0" borderId="0" applyFont="0" applyFill="0" applyBorder="0" applyAlignment="0" applyProtection="0"/>
    <xf numFmtId="195" fontId="2" fillId="0" borderId="0" applyFont="0" applyFill="0" applyBorder="0" applyAlignment="0" applyProtection="0"/>
    <xf numFmtId="350" fontId="2" fillId="0" borderId="0" applyFont="0" applyFill="0" applyBorder="0" applyAlignment="0" applyProtection="0"/>
    <xf numFmtId="17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2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69" fontId="2" fillId="0" borderId="0" applyFont="0" applyFill="0" applyBorder="0" applyAlignment="0" applyProtection="0"/>
    <xf numFmtId="175" fontId="1" fillId="0" borderId="0" applyFont="0" applyFill="0" applyBorder="0" applyAlignment="0" applyProtection="0"/>
    <xf numFmtId="269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69" fontId="2" fillId="0" borderId="0" applyFont="0" applyFill="0" applyBorder="0" applyAlignment="0" applyProtection="0"/>
    <xf numFmtId="173" fontId="1" fillId="0" borderId="0" applyFont="0" applyFill="0" applyBorder="0" applyAlignment="0" applyProtection="0"/>
    <xf numFmtId="269" fontId="2" fillId="0" borderId="0" applyFont="0" applyFill="0" applyBorder="0" applyAlignment="0" applyProtection="0"/>
    <xf numFmtId="175" fontId="85" fillId="0" borderId="0" applyFont="0" applyFill="0" applyBorder="0" applyAlignment="0" applyProtection="0"/>
    <xf numFmtId="175" fontId="85" fillId="0" borderId="0" applyFont="0" applyFill="0" applyBorder="0" applyAlignment="0" applyProtection="0"/>
    <xf numFmtId="175" fontId="85" fillId="0" borderId="0" applyFont="0" applyFill="0" applyBorder="0" applyAlignment="0" applyProtection="0"/>
    <xf numFmtId="38" fontId="13" fillId="0" borderId="0" applyFont="0" applyFill="0" applyBorder="0" applyAlignment="0" applyProtection="0"/>
    <xf numFmtId="175" fontId="2" fillId="0" borderId="0" applyFont="0" applyFill="0" applyBorder="0" applyAlignment="0" applyProtection="0"/>
    <xf numFmtId="38" fontId="38" fillId="0" borderId="0"/>
    <xf numFmtId="0" fontId="50" fillId="52" borderId="0" applyBorder="0" applyAlignment="0">
      <alignment horizontal="center"/>
    </xf>
    <xf numFmtId="343" fontId="2" fillId="0" borderId="0" applyFont="0" applyFill="0" applyBorder="0" applyAlignment="0" applyProtection="0"/>
    <xf numFmtId="343" fontId="2" fillId="0" borderId="0" applyFont="0" applyFill="0" applyBorder="0" applyAlignment="0" applyProtection="0"/>
    <xf numFmtId="0" fontId="232" fillId="0" borderId="22"/>
    <xf numFmtId="351" fontId="13" fillId="0" borderId="0" applyFont="0" applyFill="0" applyBorder="0" applyAlignment="0" applyProtection="0"/>
    <xf numFmtId="352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241" fontId="2" fillId="0" borderId="0" applyFont="0" applyFill="0" applyBorder="0" applyAlignment="0" applyProtection="0">
      <alignment wrapText="1"/>
    </xf>
    <xf numFmtId="174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241" fontId="1" fillId="0" borderId="0" applyFont="0" applyFill="0" applyBorder="0" applyAlignment="0" applyProtection="0"/>
    <xf numFmtId="240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241" fontId="2" fillId="0" borderId="0" applyFont="0" applyFill="0" applyBorder="0" applyAlignment="0" applyProtection="0"/>
    <xf numFmtId="304" fontId="159" fillId="0" borderId="0">
      <protection locked="0"/>
    </xf>
    <xf numFmtId="286" fontId="191" fillId="0" borderId="0" applyFont="0" applyFill="0" applyBorder="0" applyAlignment="0" applyProtection="0"/>
    <xf numFmtId="286" fontId="191" fillId="0" borderId="0" applyFont="0" applyFill="0" applyBorder="0" applyAlignment="0" applyProtection="0"/>
    <xf numFmtId="286" fontId="191" fillId="0" borderId="0" applyFont="0" applyFill="0" applyBorder="0" applyAlignment="0" applyProtection="0"/>
    <xf numFmtId="353" fontId="233" fillId="0" borderId="0" applyFont="0" applyFill="0" applyBorder="0" applyAlignment="0" applyProtection="0"/>
    <xf numFmtId="354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0" fontId="13" fillId="0" borderId="0" applyNumberFormat="0">
      <alignment horizontal="left"/>
    </xf>
    <xf numFmtId="221" fontId="137" fillId="0" borderId="0" applyFont="0" applyFill="0" applyBorder="0" applyProtection="0">
      <alignment horizontal="right"/>
    </xf>
    <xf numFmtId="355" fontId="2" fillId="0" borderId="1" applyFont="0" applyFill="0" applyBorder="0" applyAlignment="0" applyProtection="0">
      <alignment horizontal="centerContinuous"/>
    </xf>
    <xf numFmtId="355" fontId="2" fillId="0" borderId="1" applyFont="0" applyFill="0" applyBorder="0" applyAlignment="0" applyProtection="0">
      <alignment horizontal="centerContinuous"/>
    </xf>
    <xf numFmtId="356" fontId="113" fillId="0" borderId="0"/>
    <xf numFmtId="357" fontId="137" fillId="0" borderId="0" applyFont="0" applyFill="0" applyBorder="0" applyAlignment="0" applyProtection="0">
      <alignment horizontal="right"/>
    </xf>
    <xf numFmtId="358" fontId="2" fillId="0" borderId="0"/>
    <xf numFmtId="235" fontId="18" fillId="9" borderId="0"/>
    <xf numFmtId="256" fontId="2" fillId="0" borderId="0" applyNumberFormat="0" applyFill="0" applyBorder="0"/>
    <xf numFmtId="236" fontId="2" fillId="0" borderId="54">
      <alignment horizontal="right"/>
    </xf>
    <xf numFmtId="236" fontId="2" fillId="0" borderId="54">
      <alignment horizontal="right"/>
    </xf>
    <xf numFmtId="257" fontId="14" fillId="0" borderId="0" applyNumberFormat="0" applyFill="0" applyBorder="0"/>
    <xf numFmtId="256" fontId="2" fillId="0" borderId="0" applyFont="0" applyFill="0" applyBorder="0" applyAlignment="0" applyProtection="0"/>
    <xf numFmtId="236" fontId="2" fillId="9" borderId="10">
      <alignment horizontal="right" vertical="center"/>
    </xf>
    <xf numFmtId="245" fontId="14" fillId="0" borderId="0" applyNumberFormat="0" applyFont="0" applyAlignment="0">
      <alignment horizontal="right"/>
    </xf>
    <xf numFmtId="257" fontId="14" fillId="0" borderId="0" applyFont="0" applyFill="0" applyBorder="0" applyAlignment="0" applyProtection="0"/>
    <xf numFmtId="237" fontId="14" fillId="9" borderId="10">
      <alignment horizontal="right" vertical="center"/>
    </xf>
    <xf numFmtId="235" fontId="18" fillId="9" borderId="55"/>
    <xf numFmtId="235" fontId="18" fillId="9" borderId="55"/>
    <xf numFmtId="256" fontId="2" fillId="0" borderId="0"/>
    <xf numFmtId="37" fontId="18" fillId="0" borderId="0">
      <alignment horizontal="center"/>
    </xf>
    <xf numFmtId="359" fontId="2" fillId="0" borderId="0" applyFont="0" applyFill="0" applyBorder="0" applyAlignment="0" applyProtection="0"/>
    <xf numFmtId="236" fontId="2" fillId="9" borderId="10">
      <alignment horizontal="right"/>
    </xf>
    <xf numFmtId="293" fontId="2" fillId="0" borderId="0" applyFont="0" applyFill="0" applyBorder="0" applyAlignment="0" applyProtection="0"/>
    <xf numFmtId="239" fontId="2" fillId="0" borderId="0" applyFont="0" applyFill="0" applyBorder="0" applyAlignment="0" applyProtection="0"/>
    <xf numFmtId="225" fontId="224" fillId="0" borderId="0"/>
    <xf numFmtId="277" fontId="2" fillId="0" borderId="0" applyFont="0" applyFill="0" applyBorder="0" applyAlignment="0" applyProtection="0"/>
    <xf numFmtId="235" fontId="17" fillId="0" borderId="0"/>
    <xf numFmtId="279" fontId="14" fillId="0" borderId="0" applyFont="0" applyFill="0" applyBorder="0" applyAlignment="0" applyProtection="0"/>
    <xf numFmtId="360" fontId="2" fillId="9" borderId="0"/>
    <xf numFmtId="235" fontId="18" fillId="0" borderId="0"/>
    <xf numFmtId="185" fontId="92" fillId="0" borderId="0" applyFont="0" applyFill="0" applyBorder="0" applyAlignment="0" applyProtection="0"/>
    <xf numFmtId="0" fontId="234" fillId="7" borderId="0" applyNumberFormat="0" applyBorder="0" applyAlignment="0" applyProtection="0"/>
    <xf numFmtId="0" fontId="234" fillId="7" borderId="0" applyNumberFormat="0" applyBorder="0" applyAlignment="0" applyProtection="0"/>
    <xf numFmtId="0" fontId="235" fillId="0" borderId="0">
      <alignment horizontal="right" wrapText="1"/>
    </xf>
    <xf numFmtId="236" fontId="2" fillId="0" borderId="0" applyNumberFormat="0" applyFont="0" applyAlignment="0">
      <alignment horizontal="center"/>
    </xf>
    <xf numFmtId="37" fontId="2" fillId="0" borderId="0" applyFont="0" applyFill="0" applyBorder="0" applyAlignment="0" applyProtection="0"/>
    <xf numFmtId="235" fontId="223" fillId="9" borderId="0"/>
    <xf numFmtId="236" fontId="2" fillId="0" borderId="0">
      <alignment horizontal="right"/>
    </xf>
    <xf numFmtId="37" fontId="236" fillId="0" borderId="0"/>
    <xf numFmtId="37" fontId="236" fillId="0" borderId="0"/>
    <xf numFmtId="37" fontId="236" fillId="0" borderId="0"/>
    <xf numFmtId="237" fontId="14" fillId="0" borderId="0">
      <alignment horizontal="right"/>
    </xf>
    <xf numFmtId="0" fontId="38" fillId="0" borderId="0"/>
    <xf numFmtId="37" fontId="35" fillId="0" borderId="1" applyNumberFormat="0" applyFont="0" applyFill="0" applyBorder="0" applyAlignment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39" fontId="38" fillId="0" borderId="0"/>
    <xf numFmtId="0" fontId="1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0" fontId="85" fillId="0" borderId="0"/>
    <xf numFmtId="0" fontId="2" fillId="0" borderId="0"/>
    <xf numFmtId="0" fontId="4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85" fillId="0" borderId="0"/>
    <xf numFmtId="0" fontId="2" fillId="0" borderId="0"/>
    <xf numFmtId="0" fontId="85" fillId="0" borderId="0"/>
    <xf numFmtId="0" fontId="2" fillId="0" borderId="0"/>
    <xf numFmtId="0" fontId="85" fillId="0" borderId="0"/>
    <xf numFmtId="0" fontId="2" fillId="0" borderId="0"/>
    <xf numFmtId="0" fontId="2" fillId="0" borderId="0"/>
    <xf numFmtId="0" fontId="2" fillId="0" borderId="0"/>
    <xf numFmtId="0" fontId="237" fillId="0" borderId="0"/>
    <xf numFmtId="0" fontId="3" fillId="0" borderId="0"/>
    <xf numFmtId="0" fontId="3" fillId="0" borderId="0"/>
    <xf numFmtId="0" fontId="238" fillId="0" borderId="0"/>
    <xf numFmtId="0" fontId="2" fillId="0" borderId="0"/>
    <xf numFmtId="361" fontId="2" fillId="0" borderId="0"/>
    <xf numFmtId="0" fontId="2" fillId="0" borderId="0"/>
    <xf numFmtId="0" fontId="2" fillId="0" borderId="0"/>
    <xf numFmtId="0" fontId="38" fillId="0" borderId="0"/>
    <xf numFmtId="0" fontId="2" fillId="0" borderId="0"/>
    <xf numFmtId="0" fontId="1" fillId="0" borderId="0"/>
    <xf numFmtId="178" fontId="2" fillId="0" borderId="0"/>
    <xf numFmtId="0" fontId="3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3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8" fillId="0" borderId="0"/>
    <xf numFmtId="0" fontId="3" fillId="0" borderId="0"/>
    <xf numFmtId="0" fontId="3" fillId="0" borderId="0"/>
    <xf numFmtId="0" fontId="85" fillId="0" borderId="0"/>
    <xf numFmtId="0" fontId="2" fillId="0" borderId="0"/>
    <xf numFmtId="0" fontId="2" fillId="0" borderId="0"/>
    <xf numFmtId="354" fontId="85" fillId="0" borderId="0"/>
    <xf numFmtId="362" fontId="1" fillId="0" borderId="0"/>
    <xf numFmtId="0" fontId="2" fillId="0" borderId="0">
      <alignment wrapText="1"/>
    </xf>
    <xf numFmtId="0" fontId="238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7" fillId="0" borderId="0"/>
    <xf numFmtId="0" fontId="1" fillId="0" borderId="0"/>
    <xf numFmtId="39" fontId="11" fillId="0" borderId="0"/>
    <xf numFmtId="0" fontId="238" fillId="0" borderId="0"/>
    <xf numFmtId="0" fontId="2" fillId="0" borderId="0"/>
    <xf numFmtId="0" fontId="2" fillId="0" borderId="0"/>
    <xf numFmtId="0" fontId="1" fillId="0" borderId="0"/>
    <xf numFmtId="0" fontId="237" fillId="0" borderId="0"/>
    <xf numFmtId="0" fontId="14" fillId="0" borderId="0"/>
    <xf numFmtId="0" fontId="1" fillId="0" borderId="0"/>
    <xf numFmtId="0" fontId="1" fillId="0" borderId="0"/>
    <xf numFmtId="0" fontId="2" fillId="0" borderId="0"/>
    <xf numFmtId="0" fontId="14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4" fillId="0" borderId="0"/>
    <xf numFmtId="0" fontId="43" fillId="0" borderId="0"/>
    <xf numFmtId="0" fontId="43" fillId="0" borderId="0"/>
    <xf numFmtId="0" fontId="2" fillId="0" borderId="0"/>
    <xf numFmtId="0" fontId="200" fillId="0" borderId="1" applyFill="0" applyAlignment="0" applyProtection="0"/>
    <xf numFmtId="0" fontId="200" fillId="0" borderId="1" applyFill="0" applyAlignment="0" applyProtection="0"/>
    <xf numFmtId="0" fontId="200" fillId="0" borderId="1" applyFill="0" applyAlignment="0" applyProtection="0"/>
    <xf numFmtId="0" fontId="2" fillId="3" borderId="0"/>
    <xf numFmtId="264" fontId="11" fillId="0" borderId="0"/>
    <xf numFmtId="37" fontId="35" fillId="36" borderId="39" applyNumberFormat="0" applyFont="0" applyFill="0" applyBorder="0" applyAlignment="0" applyProtection="0"/>
    <xf numFmtId="0" fontId="35" fillId="0" borderId="0"/>
    <xf numFmtId="0" fontId="240" fillId="0" borderId="0"/>
    <xf numFmtId="0" fontId="241" fillId="0" borderId="0" applyFill="0" applyBorder="0" applyAlignment="0" applyProtection="0"/>
    <xf numFmtId="253" fontId="35" fillId="0" borderId="0"/>
    <xf numFmtId="0" fontId="2" fillId="0" borderId="0"/>
    <xf numFmtId="0" fontId="2" fillId="0" borderId="0"/>
    <xf numFmtId="0" fontId="2" fillId="7" borderId="56" applyNumberFormat="0" applyFont="0" applyAlignment="0" applyProtection="0"/>
    <xf numFmtId="0" fontId="2" fillId="53" borderId="56" applyNumberFormat="0" applyFont="0" applyAlignment="0" applyProtection="0"/>
    <xf numFmtId="334" fontId="2" fillId="0" borderId="55">
      <alignment vertical="top"/>
    </xf>
    <xf numFmtId="334" fontId="2" fillId="0" borderId="55">
      <alignment vertical="top"/>
    </xf>
    <xf numFmtId="1" fontId="30" fillId="0" borderId="0" applyFont="0" applyFill="0" applyBorder="0" applyAlignment="0" applyProtection="0">
      <protection locked="0"/>
    </xf>
    <xf numFmtId="363" fontId="2" fillId="0" borderId="30"/>
    <xf numFmtId="243" fontId="50" fillId="0" borderId="30" applyBorder="0"/>
    <xf numFmtId="39" fontId="35" fillId="0" borderId="0"/>
    <xf numFmtId="39" fontId="10" fillId="3" borderId="24"/>
    <xf numFmtId="37" fontId="18" fillId="0" borderId="0">
      <alignment horizontal="center"/>
    </xf>
    <xf numFmtId="0" fontId="242" fillId="54" borderId="0" applyBorder="0">
      <alignment horizontal="left" vertical="top" wrapText="1"/>
    </xf>
    <xf numFmtId="40" fontId="243" fillId="0" borderId="0" applyFont="0" applyFill="0" applyBorder="0" applyAlignment="0" applyProtection="0"/>
    <xf numFmtId="38" fontId="243" fillId="0" borderId="0" applyFont="0" applyFill="0" applyBorder="0" applyAlignment="0" applyProtection="0"/>
    <xf numFmtId="0" fontId="75" fillId="4" borderId="32" applyNumberFormat="0">
      <alignment horizontal="left" vertical="center"/>
    </xf>
    <xf numFmtId="0" fontId="244" fillId="0" borderId="0"/>
    <xf numFmtId="0" fontId="245" fillId="0" borderId="0">
      <alignment horizontal="left" vertical="top"/>
      <protection locked="0"/>
    </xf>
    <xf numFmtId="40" fontId="125" fillId="36" borderId="0">
      <alignment horizontal="right"/>
    </xf>
    <xf numFmtId="40" fontId="125" fillId="36" borderId="0">
      <alignment horizontal="right"/>
    </xf>
    <xf numFmtId="0" fontId="246" fillId="44" borderId="0">
      <alignment horizontal="center"/>
    </xf>
    <xf numFmtId="0" fontId="192" fillId="55" borderId="16"/>
    <xf numFmtId="0" fontId="247" fillId="0" borderId="0" applyBorder="0">
      <alignment horizontal="centerContinuous"/>
    </xf>
    <xf numFmtId="0" fontId="248" fillId="56" borderId="0" applyBorder="0">
      <alignment horizontal="centerContinuous"/>
    </xf>
    <xf numFmtId="9" fontId="13" fillId="0" borderId="0" applyFont="0" applyFill="0" applyBorder="0" applyAlignment="0" applyProtection="0"/>
    <xf numFmtId="9" fontId="1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wrapText="1"/>
    </xf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9" fillId="0" borderId="0"/>
    <xf numFmtId="364" fontId="249" fillId="0" borderId="0"/>
    <xf numFmtId="0" fontId="250" fillId="32" borderId="57" applyNumberFormat="0" applyAlignment="0" applyProtection="0"/>
    <xf numFmtId="0" fontId="251" fillId="0" borderId="0" applyNumberFormat="0" applyFill="0" applyBorder="0" applyAlignment="0" applyProtection="0"/>
    <xf numFmtId="0" fontId="252" fillId="0" borderId="0" applyNumberFormat="0" applyFill="0" applyBorder="0" applyAlignment="0" applyProtection="0"/>
    <xf numFmtId="0" fontId="253" fillId="0" borderId="58" applyNumberFormat="0" applyFill="0" applyAlignment="0" applyProtection="0"/>
    <xf numFmtId="0" fontId="254" fillId="0" borderId="59" applyNumberFormat="0" applyFill="0" applyAlignment="0" applyProtection="0"/>
    <xf numFmtId="0" fontId="164" fillId="0" borderId="60" applyNumberFormat="0" applyFill="0" applyAlignment="0" applyProtection="0"/>
    <xf numFmtId="0" fontId="255" fillId="0" borderId="0" applyNumberFormat="0" applyFill="0" applyBorder="0" applyAlignment="0" applyProtection="0"/>
    <xf numFmtId="0" fontId="256" fillId="0" borderId="61" applyNumberFormat="0" applyFill="0" applyAlignment="0" applyProtection="0"/>
    <xf numFmtId="175" fontId="1" fillId="0" borderId="0" applyFont="0" applyFill="0" applyBorder="0" applyAlignment="0" applyProtection="0"/>
    <xf numFmtId="0" fontId="6" fillId="0" borderId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1" fillId="0" borderId="0"/>
    <xf numFmtId="0" fontId="2" fillId="0" borderId="0">
      <alignment wrapText="1"/>
    </xf>
    <xf numFmtId="17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274" fillId="0" borderId="0" applyFont="0" applyFill="0" applyBorder="0" applyAlignment="0" applyProtection="0"/>
    <xf numFmtId="0" fontId="275" fillId="31" borderId="0" applyNumberFormat="0" applyBorder="0" applyAlignment="0" applyProtection="0"/>
    <xf numFmtId="0" fontId="275" fillId="16" borderId="0" applyNumberFormat="0" applyBorder="0" applyAlignment="0" applyProtection="0"/>
    <xf numFmtId="0" fontId="275" fillId="53" borderId="0" applyNumberFormat="0" applyBorder="0" applyAlignment="0" applyProtection="0"/>
    <xf numFmtId="0" fontId="275" fillId="31" borderId="0" applyNumberFormat="0" applyBorder="0" applyAlignment="0" applyProtection="0"/>
    <xf numFmtId="0" fontId="275" fillId="15" borderId="0" applyNumberFormat="0" applyBorder="0" applyAlignment="0" applyProtection="0"/>
    <xf numFmtId="0" fontId="275" fillId="16" borderId="0" applyNumberFormat="0" applyBorder="0" applyAlignment="0" applyProtection="0"/>
    <xf numFmtId="0" fontId="275" fillId="32" borderId="0" applyNumberFormat="0" applyBorder="0" applyAlignment="0" applyProtection="0"/>
    <xf numFmtId="0" fontId="275" fillId="18" borderId="0" applyNumberFormat="0" applyBorder="0" applyAlignment="0" applyProtection="0"/>
    <xf numFmtId="0" fontId="275" fillId="7" borderId="0" applyNumberFormat="0" applyBorder="0" applyAlignment="0" applyProtection="0"/>
    <xf numFmtId="0" fontId="275" fillId="32" borderId="0" applyNumberFormat="0" applyBorder="0" applyAlignment="0" applyProtection="0"/>
    <xf numFmtId="0" fontId="275" fillId="17" borderId="0" applyNumberFormat="0" applyBorder="0" applyAlignment="0" applyProtection="0"/>
    <xf numFmtId="0" fontId="275" fillId="16" borderId="0" applyNumberFormat="0" applyBorder="0" applyAlignment="0" applyProtection="0"/>
    <xf numFmtId="0" fontId="276" fillId="23" borderId="0" applyNumberFormat="0" applyBorder="0" applyAlignment="0" applyProtection="0"/>
    <xf numFmtId="0" fontId="276" fillId="18" borderId="0" applyNumberFormat="0" applyBorder="0" applyAlignment="0" applyProtection="0"/>
    <xf numFmtId="0" fontId="276" fillId="7" borderId="0" applyNumberFormat="0" applyBorder="0" applyAlignment="0" applyProtection="0"/>
    <xf numFmtId="0" fontId="276" fillId="32" borderId="0" applyNumberFormat="0" applyBorder="0" applyAlignment="0" applyProtection="0"/>
    <xf numFmtId="0" fontId="276" fillId="23" borderId="0" applyNumberFormat="0" applyBorder="0" applyAlignment="0" applyProtection="0"/>
    <xf numFmtId="0" fontId="276" fillId="16" borderId="0" applyNumberFormat="0" applyBorder="0" applyAlignment="0" applyProtection="0"/>
    <xf numFmtId="0" fontId="276" fillId="23" borderId="0" applyNumberFormat="0" applyBorder="0" applyAlignment="0" applyProtection="0"/>
    <xf numFmtId="0" fontId="276" fillId="70" borderId="0" applyNumberFormat="0" applyBorder="0" applyAlignment="0" applyProtection="0"/>
    <xf numFmtId="0" fontId="276" fillId="70" borderId="0" applyNumberFormat="0" applyBorder="0" applyAlignment="0" applyProtection="0"/>
    <xf numFmtId="0" fontId="276" fillId="71" borderId="0" applyNumberFormat="0" applyBorder="0" applyAlignment="0" applyProtection="0"/>
    <xf numFmtId="0" fontId="276" fillId="23" borderId="0" applyNumberFormat="0" applyBorder="0" applyAlignment="0" applyProtection="0"/>
    <xf numFmtId="0" fontId="276" fillId="28" borderId="0" applyNumberFormat="0" applyBorder="0" applyAlignment="0" applyProtection="0"/>
    <xf numFmtId="0" fontId="277" fillId="12" borderId="0" applyNumberFormat="0" applyBorder="0" applyAlignment="0" applyProtection="0"/>
    <xf numFmtId="0" fontId="278" fillId="31" borderId="31" applyNumberFormat="0" applyAlignment="0" applyProtection="0"/>
    <xf numFmtId="0" fontId="279" fillId="40" borderId="33" applyNumberFormat="0" applyAlignment="0" applyProtection="0"/>
    <xf numFmtId="43" fontId="85" fillId="0" borderId="0" applyFont="0" applyFill="0" applyBorder="0" applyAlignment="0" applyProtection="0"/>
    <xf numFmtId="175" fontId="136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80" fillId="0" borderId="0" applyNumberFormat="0" applyFill="0" applyBorder="0" applyAlignment="0" applyProtection="0"/>
    <xf numFmtId="0" fontId="281" fillId="13" borderId="0" applyNumberFormat="0" applyBorder="0" applyAlignment="0" applyProtection="0"/>
    <xf numFmtId="0" fontId="282" fillId="0" borderId="70" applyNumberFormat="0" applyFill="0" applyAlignment="0" applyProtection="0"/>
    <xf numFmtId="0" fontId="283" fillId="0" borderId="59" applyNumberFormat="0" applyFill="0" applyAlignment="0" applyProtection="0"/>
    <xf numFmtId="0" fontId="284" fillId="0" borderId="71" applyNumberFormat="0" applyFill="0" applyAlignment="0" applyProtection="0"/>
    <xf numFmtId="0" fontId="284" fillId="0" borderId="0" applyNumberFormat="0" applyFill="0" applyBorder="0" applyAlignment="0" applyProtection="0"/>
    <xf numFmtId="0" fontId="285" fillId="16" borderId="31" applyNumberFormat="0" applyAlignment="0" applyProtection="0"/>
    <xf numFmtId="0" fontId="286" fillId="0" borderId="34" applyNumberFormat="0" applyFill="0" applyAlignment="0" applyProtection="0"/>
    <xf numFmtId="41" fontId="85" fillId="0" borderId="0" applyFont="0" applyFill="0" applyBorder="0" applyAlignment="0" applyProtection="0"/>
    <xf numFmtId="350" fontId="2" fillId="0" borderId="0" applyFont="0" applyFill="0" applyBorder="0" applyAlignment="0" applyProtection="0"/>
    <xf numFmtId="175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4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53" borderId="56" applyNumberFormat="0" applyFont="0" applyAlignment="0" applyProtection="0"/>
    <xf numFmtId="0" fontId="287" fillId="31" borderId="57" applyNumberFormat="0" applyAlignment="0" applyProtection="0"/>
    <xf numFmtId="0" fontId="288" fillId="0" borderId="0" applyNumberFormat="0" applyFill="0" applyBorder="0" applyAlignment="0" applyProtection="0"/>
    <xf numFmtId="0" fontId="289" fillId="0" borderId="0" applyNumberForma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0" fontId="294" fillId="0" borderId="0"/>
    <xf numFmtId="41" fontId="294" fillId="0" borderId="0" applyFont="0" applyFill="0" applyBorder="0" applyAlignment="0" applyProtection="0"/>
    <xf numFmtId="0" fontId="294" fillId="0" borderId="0"/>
    <xf numFmtId="0" fontId="294" fillId="0" borderId="0"/>
    <xf numFmtId="43" fontId="294" fillId="0" borderId="0" applyFont="0" applyFill="0" applyBorder="0" applyAlignment="0" applyProtection="0"/>
  </cellStyleXfs>
  <cellXfs count="1184">
    <xf numFmtId="0" fontId="0" fillId="0" borderId="0" xfId="0"/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0" fontId="2" fillId="0" borderId="0" xfId="0" applyFont="1" applyAlignment="1">
      <alignment horizontal="left"/>
    </xf>
    <xf numFmtId="173" fontId="2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34" fontId="25" fillId="0" borderId="0" xfId="1" applyNumberFormat="1" applyFont="1" applyFill="1" applyAlignment="1">
      <alignment horizontal="center"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9" fontId="4" fillId="0" borderId="0" xfId="1" applyFont="1" applyFill="1" applyBorder="1" applyAlignment="1">
      <alignment horizontal="center" vertical="center" wrapText="1"/>
    </xf>
    <xf numFmtId="0" fontId="38" fillId="0" borderId="0" xfId="0" applyFont="1"/>
    <xf numFmtId="0" fontId="262" fillId="0" borderId="0" xfId="0" applyFont="1" applyProtection="1">
      <protection locked="0"/>
    </xf>
    <xf numFmtId="176" fontId="262" fillId="57" borderId="24" xfId="2112" applyNumberFormat="1" applyFont="1" applyFill="1" applyBorder="1" applyProtection="1"/>
    <xf numFmtId="176" fontId="262" fillId="62" borderId="12" xfId="2112" applyNumberFormat="1" applyFont="1" applyFill="1" applyBorder="1" applyProtection="1"/>
    <xf numFmtId="176" fontId="262" fillId="62" borderId="24" xfId="2112" applyNumberFormat="1" applyFont="1" applyFill="1" applyBorder="1" applyProtection="1"/>
    <xf numFmtId="176" fontId="262" fillId="58" borderId="24" xfId="2112" applyNumberFormat="1" applyFont="1" applyFill="1" applyBorder="1" applyProtection="1"/>
    <xf numFmtId="0" fontId="0" fillId="0" borderId="0" xfId="0" applyProtection="1">
      <protection locked="0"/>
    </xf>
    <xf numFmtId="0" fontId="262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176" fontId="0" fillId="0" borderId="0" xfId="2112" applyNumberFormat="1" applyFont="1" applyProtection="1">
      <protection locked="0"/>
    </xf>
    <xf numFmtId="0" fontId="261" fillId="59" borderId="0" xfId="0" applyFont="1" applyFill="1" applyAlignment="1" applyProtection="1">
      <alignment horizontal="left"/>
      <protection locked="0"/>
    </xf>
    <xf numFmtId="49" fontId="258" fillId="63" borderId="24" xfId="0" applyNumberFormat="1" applyFont="1" applyFill="1" applyBorder="1" applyAlignment="1" applyProtection="1">
      <alignment horizontal="left"/>
      <protection locked="0"/>
    </xf>
    <xf numFmtId="176" fontId="0" fillId="63" borderId="24" xfId="2112" applyNumberFormat="1" applyFont="1" applyFill="1" applyBorder="1" applyProtection="1">
      <protection locked="0"/>
    </xf>
    <xf numFmtId="0" fontId="270" fillId="59" borderId="0" xfId="0" applyFont="1" applyFill="1" applyAlignment="1" applyProtection="1">
      <alignment horizontal="left"/>
      <protection locked="0"/>
    </xf>
    <xf numFmtId="0" fontId="264" fillId="0" borderId="0" xfId="0" applyFont="1" applyProtection="1">
      <protection locked="0"/>
    </xf>
    <xf numFmtId="49" fontId="267" fillId="63" borderId="24" xfId="0" applyNumberFormat="1" applyFont="1" applyFill="1" applyBorder="1" applyAlignment="1" applyProtection="1">
      <alignment horizontal="left"/>
      <protection locked="0"/>
    </xf>
    <xf numFmtId="176" fontId="268" fillId="63" borderId="24" xfId="2112" applyNumberFormat="1" applyFont="1" applyFill="1" applyBorder="1" applyProtection="1">
      <protection locked="0"/>
    </xf>
    <xf numFmtId="0" fontId="268" fillId="0" borderId="0" xfId="0" applyFont="1" applyProtection="1">
      <protection locked="0"/>
    </xf>
    <xf numFmtId="49" fontId="258" fillId="60" borderId="24" xfId="0" applyNumberFormat="1" applyFont="1" applyFill="1" applyBorder="1" applyAlignment="1" applyProtection="1">
      <alignment horizontal="left"/>
      <protection locked="0"/>
    </xf>
    <xf numFmtId="176" fontId="1" fillId="60" borderId="24" xfId="2112" applyNumberFormat="1" applyFont="1" applyFill="1" applyBorder="1" applyProtection="1">
      <protection locked="0"/>
    </xf>
    <xf numFmtId="176" fontId="0" fillId="60" borderId="24" xfId="2112" applyNumberFormat="1" applyFont="1" applyFill="1" applyBorder="1" applyProtection="1">
      <protection locked="0"/>
    </xf>
    <xf numFmtId="49" fontId="258" fillId="57" borderId="24" xfId="0" applyNumberFormat="1" applyFont="1" applyFill="1" applyBorder="1" applyAlignment="1" applyProtection="1">
      <alignment horizontal="left"/>
      <protection locked="0"/>
    </xf>
    <xf numFmtId="176" fontId="0" fillId="57" borderId="24" xfId="2112" applyNumberFormat="1" applyFont="1" applyFill="1" applyBorder="1" applyProtection="1">
      <protection locked="0"/>
    </xf>
    <xf numFmtId="49" fontId="258" fillId="62" borderId="32" xfId="0" applyNumberFormat="1" applyFont="1" applyFill="1" applyBorder="1" applyAlignment="1" applyProtection="1">
      <alignment horizontal="left"/>
      <protection locked="0"/>
    </xf>
    <xf numFmtId="176" fontId="0" fillId="62" borderId="24" xfId="2112" applyNumberFormat="1" applyFont="1" applyFill="1" applyBorder="1" applyProtection="1">
      <protection locked="0"/>
    </xf>
    <xf numFmtId="49" fontId="258" fillId="58" borderId="32" xfId="0" applyNumberFormat="1" applyFont="1" applyFill="1" applyBorder="1" applyAlignment="1" applyProtection="1">
      <alignment horizontal="left"/>
      <protection locked="0"/>
    </xf>
    <xf numFmtId="176" fontId="0" fillId="58" borderId="24" xfId="2112" applyNumberFormat="1" applyFont="1" applyFill="1" applyBorder="1" applyProtection="1">
      <protection locked="0"/>
    </xf>
    <xf numFmtId="49" fontId="258" fillId="59" borderId="32" xfId="0" applyNumberFormat="1" applyFont="1" applyFill="1" applyBorder="1" applyAlignment="1" applyProtection="1">
      <alignment horizontal="left"/>
      <protection locked="0"/>
    </xf>
    <xf numFmtId="49" fontId="258" fillId="60" borderId="32" xfId="0" applyNumberFormat="1" applyFont="1" applyFill="1" applyBorder="1" applyAlignment="1" applyProtection="1">
      <alignment horizontal="left"/>
      <protection locked="0"/>
    </xf>
    <xf numFmtId="49" fontId="258" fillId="61" borderId="32" xfId="0" applyNumberFormat="1" applyFont="1" applyFill="1" applyBorder="1" applyAlignment="1" applyProtection="1">
      <alignment horizontal="left"/>
      <protection locked="0"/>
    </xf>
    <xf numFmtId="176" fontId="0" fillId="61" borderId="24" xfId="2112" applyNumberFormat="1" applyFont="1" applyFill="1" applyBorder="1" applyProtection="1">
      <protection locked="0"/>
    </xf>
    <xf numFmtId="49" fontId="258" fillId="67" borderId="32" xfId="0" applyNumberFormat="1" applyFont="1" applyFill="1" applyBorder="1" applyAlignment="1" applyProtection="1">
      <alignment horizontal="left"/>
      <protection locked="0"/>
    </xf>
    <xf numFmtId="176" fontId="0" fillId="67" borderId="24" xfId="2112" applyNumberFormat="1" applyFont="1" applyFill="1" applyBorder="1" applyProtection="1">
      <protection locked="0"/>
    </xf>
    <xf numFmtId="176" fontId="262" fillId="67" borderId="24" xfId="2112" applyNumberFormat="1" applyFont="1" applyFill="1" applyBorder="1" applyProtection="1"/>
    <xf numFmtId="176" fontId="262" fillId="0" borderId="24" xfId="2112" applyNumberFormat="1" applyFont="1" applyFill="1" applyBorder="1" applyAlignment="1" applyProtection="1">
      <alignment horizontal="center"/>
    </xf>
    <xf numFmtId="176" fontId="0" fillId="0" borderId="0" xfId="0" applyNumberFormat="1" applyProtection="1">
      <protection locked="0"/>
    </xf>
    <xf numFmtId="0" fontId="271" fillId="0" borderId="0" xfId="0" applyFont="1" applyProtection="1">
      <protection locked="0"/>
    </xf>
    <xf numFmtId="0" fontId="2" fillId="0" borderId="0" xfId="0" applyFont="1" applyProtection="1">
      <protection locked="0"/>
    </xf>
    <xf numFmtId="9" fontId="2" fillId="0" borderId="0" xfId="1" applyFont="1" applyFill="1" applyBorder="1" applyAlignment="1">
      <alignment horizontal="center" vertical="center" wrapText="1"/>
    </xf>
    <xf numFmtId="0" fontId="3" fillId="0" borderId="0" xfId="0" applyFont="1"/>
    <xf numFmtId="264" fontId="4" fillId="0" borderId="62" xfId="2061" applyFont="1" applyBorder="1"/>
    <xf numFmtId="264" fontId="2" fillId="0" borderId="62" xfId="2061" applyFont="1" applyBorder="1"/>
    <xf numFmtId="264" fontId="3" fillId="0" borderId="62" xfId="2061" applyFont="1" applyBorder="1"/>
    <xf numFmtId="0" fontId="2" fillId="0" borderId="62" xfId="0" applyFont="1" applyBorder="1"/>
    <xf numFmtId="0" fontId="2" fillId="0" borderId="4" xfId="0" applyFont="1" applyBorder="1"/>
    <xf numFmtId="176" fontId="2" fillId="0" borderId="0" xfId="2112" applyNumberFormat="1" applyFont="1" applyBorder="1" applyAlignment="1">
      <alignment horizontal="right"/>
    </xf>
    <xf numFmtId="9" fontId="2" fillId="0" borderId="16" xfId="1" applyFont="1" applyBorder="1" applyAlignment="1">
      <alignment horizontal="right"/>
    </xf>
    <xf numFmtId="176" fontId="2" fillId="0" borderId="16" xfId="0" applyNumberFormat="1" applyFont="1" applyBorder="1"/>
    <xf numFmtId="176" fontId="2" fillId="0" borderId="16" xfId="2112" applyNumberFormat="1" applyFont="1" applyBorder="1"/>
    <xf numFmtId="176" fontId="4" fillId="0" borderId="0" xfId="2112" applyNumberFormat="1" applyFont="1" applyBorder="1" applyAlignment="1">
      <alignment horizontal="right"/>
    </xf>
    <xf numFmtId="9" fontId="4" fillId="0" borderId="16" xfId="1" applyFont="1" applyBorder="1" applyAlignment="1">
      <alignment horizontal="right"/>
    </xf>
    <xf numFmtId="176" fontId="4" fillId="0" borderId="16" xfId="0" applyNumberFormat="1" applyFont="1" applyBorder="1"/>
    <xf numFmtId="176" fontId="4" fillId="0" borderId="16" xfId="2112" applyNumberFormat="1" applyFont="1" applyBorder="1"/>
    <xf numFmtId="193" fontId="2" fillId="0" borderId="4" xfId="0" applyNumberFormat="1" applyFont="1" applyBorder="1"/>
    <xf numFmtId="49" fontId="207" fillId="57" borderId="32" xfId="0" applyNumberFormat="1" applyFont="1" applyFill="1" applyBorder="1" applyAlignment="1" applyProtection="1">
      <alignment horizontal="left"/>
      <protection locked="0"/>
    </xf>
    <xf numFmtId="176" fontId="269" fillId="57" borderId="24" xfId="2112" applyNumberFormat="1" applyFont="1" applyFill="1" applyBorder="1" applyProtection="1">
      <protection locked="0"/>
    </xf>
    <xf numFmtId="0" fontId="269" fillId="0" borderId="0" xfId="0" applyFont="1" applyProtection="1">
      <protection locked="0"/>
    </xf>
    <xf numFmtId="176" fontId="269" fillId="65" borderId="24" xfId="2112" applyNumberFormat="1" applyFont="1" applyFill="1" applyBorder="1" applyProtection="1"/>
    <xf numFmtId="49" fontId="263" fillId="60" borderId="24" xfId="0" applyNumberFormat="1" applyFont="1" applyFill="1" applyBorder="1" applyAlignment="1" applyProtection="1">
      <alignment horizontal="left"/>
      <protection locked="0"/>
    </xf>
    <xf numFmtId="176" fontId="2" fillId="0" borderId="0" xfId="2112" applyNumberFormat="1" applyFont="1" applyFill="1"/>
    <xf numFmtId="0" fontId="3" fillId="64" borderId="0" xfId="0" applyFont="1" applyFill="1"/>
    <xf numFmtId="9" fontId="2" fillId="0" borderId="0" xfId="1" applyFont="1" applyBorder="1"/>
    <xf numFmtId="0" fontId="2" fillId="0" borderId="16" xfId="0" applyFont="1" applyBorder="1"/>
    <xf numFmtId="0" fontId="262" fillId="0" borderId="0" xfId="0" applyFont="1"/>
    <xf numFmtId="176" fontId="262" fillId="0" borderId="0" xfId="2112" applyNumberFormat="1" applyFont="1" applyAlignment="1" applyProtection="1">
      <alignment horizontal="left"/>
    </xf>
    <xf numFmtId="0" fontId="30" fillId="0" borderId="4" xfId="0" applyFont="1" applyBorder="1"/>
    <xf numFmtId="176" fontId="0" fillId="64" borderId="24" xfId="2112" applyNumberFormat="1" applyFont="1" applyFill="1" applyBorder="1" applyProtection="1">
      <protection locked="0"/>
    </xf>
    <xf numFmtId="0" fontId="0" fillId="64" borderId="0" xfId="0" applyFill="1" applyProtection="1">
      <protection locked="0"/>
    </xf>
    <xf numFmtId="176" fontId="0" fillId="64" borderId="0" xfId="2112" applyNumberFormat="1" applyFont="1" applyFill="1" applyBorder="1" applyProtection="1">
      <protection locked="0"/>
    </xf>
    <xf numFmtId="49" fontId="258" fillId="64" borderId="24" xfId="0" applyNumberFormat="1" applyFont="1" applyFill="1" applyBorder="1" applyAlignment="1" applyProtection="1">
      <alignment horizontal="left"/>
      <protection locked="0"/>
    </xf>
    <xf numFmtId="176" fontId="262" fillId="61" borderId="12" xfId="2112" applyNumberFormat="1" applyFont="1" applyFill="1" applyBorder="1" applyProtection="1"/>
    <xf numFmtId="9" fontId="2" fillId="0" borderId="0" xfId="1" applyFont="1" applyFill="1" applyBorder="1" applyAlignment="1" applyProtection="1">
      <alignment horizontal="left"/>
      <protection locked="0"/>
    </xf>
    <xf numFmtId="234" fontId="2" fillId="0" borderId="0" xfId="1" applyNumberFormat="1" applyFont="1" applyBorder="1"/>
    <xf numFmtId="234" fontId="4" fillId="0" borderId="0" xfId="1" applyNumberFormat="1" applyFont="1" applyBorder="1"/>
    <xf numFmtId="234" fontId="2" fillId="0" borderId="0" xfId="1" applyNumberFormat="1" applyFont="1" applyFill="1" applyBorder="1"/>
    <xf numFmtId="9" fontId="2" fillId="0" borderId="0" xfId="1" applyFont="1" applyBorder="1" applyAlignment="1">
      <alignment horizontal="center" vertical="center"/>
    </xf>
    <xf numFmtId="9" fontId="2" fillId="0" borderId="0" xfId="1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center"/>
    </xf>
    <xf numFmtId="0" fontId="237" fillId="0" borderId="0" xfId="0" applyFont="1" applyAlignment="1">
      <alignment horizontal="center" vertical="center" wrapText="1"/>
    </xf>
    <xf numFmtId="0" fontId="258" fillId="63" borderId="24" xfId="0" applyFont="1" applyFill="1" applyBorder="1" applyAlignment="1" applyProtection="1">
      <alignment horizontal="left"/>
      <protection locked="0"/>
    </xf>
    <xf numFmtId="0" fontId="0" fillId="59" borderId="0" xfId="0" applyFill="1"/>
    <xf numFmtId="0" fontId="262" fillId="59" borderId="0" xfId="0" applyFont="1" applyFill="1"/>
    <xf numFmtId="0" fontId="269" fillId="0" borderId="0" xfId="0" applyFont="1"/>
    <xf numFmtId="0" fontId="267" fillId="63" borderId="24" xfId="0" applyFont="1" applyFill="1" applyBorder="1" applyAlignment="1" applyProtection="1">
      <alignment horizontal="left"/>
      <protection locked="0"/>
    </xf>
    <xf numFmtId="0" fontId="271" fillId="0" borderId="0" xfId="0" applyFont="1"/>
    <xf numFmtId="0" fontId="263" fillId="60" borderId="24" xfId="0" applyFont="1" applyFill="1" applyBorder="1" applyAlignment="1">
      <alignment horizontal="left"/>
    </xf>
    <xf numFmtId="0" fontId="258" fillId="60" borderId="24" xfId="0" applyFont="1" applyFill="1" applyBorder="1" applyAlignment="1" applyProtection="1">
      <alignment horizontal="left"/>
      <protection locked="0"/>
    </xf>
    <xf numFmtId="176" fontId="262" fillId="0" borderId="0" xfId="0" applyNumberFormat="1" applyFont="1"/>
    <xf numFmtId="0" fontId="263" fillId="57" borderId="24" xfId="0" applyFont="1" applyFill="1" applyBorder="1" applyAlignment="1">
      <alignment horizontal="left"/>
    </xf>
    <xf numFmtId="49" fontId="263" fillId="57" borderId="24" xfId="0" applyNumberFormat="1" applyFont="1" applyFill="1" applyBorder="1" applyAlignment="1">
      <alignment horizontal="left"/>
    </xf>
    <xf numFmtId="0" fontId="258" fillId="57" borderId="24" xfId="0" applyFont="1" applyFill="1" applyBorder="1" applyAlignment="1" applyProtection="1">
      <alignment horizontal="left"/>
      <protection locked="0"/>
    </xf>
    <xf numFmtId="49" fontId="263" fillId="69" borderId="0" xfId="0" applyNumberFormat="1" applyFont="1" applyFill="1" applyAlignment="1">
      <alignment horizontal="left"/>
    </xf>
    <xf numFmtId="49" fontId="258" fillId="0" borderId="0" xfId="0" applyNumberFormat="1" applyFont="1" applyAlignment="1" applyProtection="1">
      <alignment horizontal="left"/>
      <protection locked="0"/>
    </xf>
    <xf numFmtId="49" fontId="258" fillId="0" borderId="24" xfId="0" applyNumberFormat="1" applyFont="1" applyBorder="1" applyAlignment="1">
      <alignment horizontal="left"/>
    </xf>
    <xf numFmtId="49" fontId="263" fillId="0" borderId="24" xfId="0" applyNumberFormat="1" applyFont="1" applyBorder="1" applyAlignment="1">
      <alignment horizontal="center"/>
    </xf>
    <xf numFmtId="0" fontId="262" fillId="0" borderId="24" xfId="0" applyFont="1" applyBorder="1" applyAlignment="1">
      <alignment horizontal="center"/>
    </xf>
    <xf numFmtId="0" fontId="263" fillId="62" borderId="12" xfId="0" applyFont="1" applyFill="1" applyBorder="1" applyAlignment="1">
      <alignment horizontal="left"/>
    </xf>
    <xf numFmtId="49" fontId="263" fillId="62" borderId="64" xfId="0" applyNumberFormat="1" applyFont="1" applyFill="1" applyBorder="1" applyAlignment="1">
      <alignment horizontal="left"/>
    </xf>
    <xf numFmtId="0" fontId="263" fillId="62" borderId="24" xfId="0" applyFont="1" applyFill="1" applyBorder="1" applyAlignment="1">
      <alignment horizontal="left"/>
    </xf>
    <xf numFmtId="49" fontId="263" fillId="62" borderId="32" xfId="0" applyNumberFormat="1" applyFont="1" applyFill="1" applyBorder="1" applyAlignment="1">
      <alignment horizontal="left"/>
    </xf>
    <xf numFmtId="0" fontId="258" fillId="62" borderId="24" xfId="0" applyFont="1" applyFill="1" applyBorder="1" applyAlignment="1" applyProtection="1">
      <alignment horizontal="left"/>
      <protection locked="0"/>
    </xf>
    <xf numFmtId="0" fontId="258" fillId="67" borderId="24" xfId="0" applyFont="1" applyFill="1" applyBorder="1" applyAlignment="1" applyProtection="1">
      <alignment horizontal="left"/>
      <protection locked="0"/>
    </xf>
    <xf numFmtId="0" fontId="263" fillId="67" borderId="24" xfId="0" applyFont="1" applyFill="1" applyBorder="1" applyAlignment="1">
      <alignment horizontal="left"/>
    </xf>
    <xf numFmtId="49" fontId="263" fillId="67" borderId="32" xfId="0" applyNumberFormat="1" applyFont="1" applyFill="1" applyBorder="1" applyAlignment="1">
      <alignment horizontal="left"/>
    </xf>
    <xf numFmtId="0" fontId="258" fillId="64" borderId="0" xfId="0" applyFont="1" applyFill="1" applyAlignment="1" applyProtection="1">
      <alignment horizontal="left"/>
      <protection locked="0"/>
    </xf>
    <xf numFmtId="49" fontId="258" fillId="64" borderId="0" xfId="0" applyNumberFormat="1" applyFont="1" applyFill="1" applyAlignment="1" applyProtection="1">
      <alignment horizontal="left"/>
      <protection locked="0"/>
    </xf>
    <xf numFmtId="0" fontId="263" fillId="58" borderId="24" xfId="0" applyFont="1" applyFill="1" applyBorder="1" applyAlignment="1">
      <alignment horizontal="left"/>
    </xf>
    <xf numFmtId="49" fontId="263" fillId="58" borderId="32" xfId="0" applyNumberFormat="1" applyFont="1" applyFill="1" applyBorder="1" applyAlignment="1">
      <alignment horizontal="left"/>
    </xf>
    <xf numFmtId="0" fontId="258" fillId="58" borderId="24" xfId="0" applyFont="1" applyFill="1" applyBorder="1" applyAlignment="1" applyProtection="1">
      <alignment horizontal="left"/>
      <protection locked="0"/>
    </xf>
    <xf numFmtId="0" fontId="263" fillId="59" borderId="24" xfId="0" applyFont="1" applyFill="1" applyBorder="1" applyAlignment="1">
      <alignment horizontal="left"/>
    </xf>
    <xf numFmtId="49" fontId="263" fillId="59" borderId="32" xfId="0" applyNumberFormat="1" applyFont="1" applyFill="1" applyBorder="1" applyAlignment="1">
      <alignment horizontal="left"/>
    </xf>
    <xf numFmtId="0" fontId="258" fillId="59" borderId="24" xfId="0" applyFont="1" applyFill="1" applyBorder="1" applyAlignment="1" applyProtection="1">
      <alignment horizontal="left"/>
      <protection locked="0"/>
    </xf>
    <xf numFmtId="0" fontId="263" fillId="66" borderId="24" xfId="0" applyFont="1" applyFill="1" applyBorder="1" applyAlignment="1">
      <alignment horizontal="left"/>
    </xf>
    <xf numFmtId="49" fontId="263" fillId="66" borderId="32" xfId="0" applyNumberFormat="1" applyFont="1" applyFill="1" applyBorder="1" applyAlignment="1">
      <alignment horizontal="left"/>
    </xf>
    <xf numFmtId="49" fontId="263" fillId="60" borderId="32" xfId="0" applyNumberFormat="1" applyFont="1" applyFill="1" applyBorder="1" applyAlignment="1">
      <alignment horizontal="left"/>
    </xf>
    <xf numFmtId="0" fontId="258" fillId="64" borderId="24" xfId="0" applyFont="1" applyFill="1" applyBorder="1" applyAlignment="1" applyProtection="1">
      <alignment horizontal="left"/>
      <protection locked="0"/>
    </xf>
    <xf numFmtId="0" fontId="263" fillId="61" borderId="12" xfId="0" applyFont="1" applyFill="1" applyBorder="1" applyAlignment="1">
      <alignment horizontal="left"/>
    </xf>
    <xf numFmtId="49" fontId="263" fillId="61" borderId="64" xfId="0" applyNumberFormat="1" applyFont="1" applyFill="1" applyBorder="1" applyAlignment="1">
      <alignment horizontal="left"/>
    </xf>
    <xf numFmtId="0" fontId="258" fillId="61" borderId="24" xfId="0" applyFont="1" applyFill="1" applyBorder="1" applyAlignment="1" applyProtection="1">
      <alignment horizontal="left"/>
      <protection locked="0"/>
    </xf>
    <xf numFmtId="0" fontId="207" fillId="57" borderId="24" xfId="0" applyFont="1" applyFill="1" applyBorder="1" applyAlignment="1" applyProtection="1">
      <alignment horizontal="left"/>
      <protection locked="0"/>
    </xf>
    <xf numFmtId="0" fontId="207" fillId="65" borderId="24" xfId="0" applyFont="1" applyFill="1" applyBorder="1" applyAlignment="1">
      <alignment horizontal="left"/>
    </xf>
    <xf numFmtId="49" fontId="207" fillId="65" borderId="32" xfId="0" applyNumberFormat="1" applyFont="1" applyFill="1" applyBorder="1" applyAlignment="1">
      <alignment horizontal="left"/>
    </xf>
    <xf numFmtId="176" fontId="269" fillId="59" borderId="24" xfId="2112" applyNumberFormat="1" applyFont="1" applyFill="1" applyBorder="1" applyProtection="1"/>
    <xf numFmtId="176" fontId="269" fillId="60" borderId="24" xfId="2112" applyNumberFormat="1" applyFont="1" applyFill="1" applyBorder="1" applyProtection="1"/>
    <xf numFmtId="41" fontId="262" fillId="69" borderId="0" xfId="2178" applyFont="1" applyFill="1" applyBorder="1" applyProtection="1"/>
    <xf numFmtId="0" fontId="262" fillId="0" borderId="24" xfId="0" applyFont="1" applyBorder="1" applyProtection="1">
      <protection locked="0"/>
    </xf>
    <xf numFmtId="176" fontId="264" fillId="0" borderId="0" xfId="0" applyNumberFormat="1" applyFont="1" applyProtection="1">
      <protection locked="0"/>
    </xf>
    <xf numFmtId="0" fontId="207" fillId="64" borderId="0" xfId="0" applyFont="1" applyFill="1" applyAlignment="1">
      <alignment horizontal="left"/>
    </xf>
    <xf numFmtId="49" fontId="207" fillId="64" borderId="0" xfId="0" applyNumberFormat="1" applyFont="1" applyFill="1" applyAlignment="1">
      <alignment horizontal="left"/>
    </xf>
    <xf numFmtId="176" fontId="269" fillId="64" borderId="0" xfId="2112" applyNumberFormat="1" applyFont="1" applyFill="1" applyBorder="1" applyProtection="1"/>
    <xf numFmtId="49" fontId="207" fillId="65" borderId="24" xfId="0" applyNumberFormat="1" applyFont="1" applyFill="1" applyBorder="1" applyAlignment="1">
      <alignment horizontal="left"/>
    </xf>
    <xf numFmtId="176" fontId="1" fillId="65" borderId="24" xfId="2112" applyNumberFormat="1" applyFill="1" applyBorder="1" applyProtection="1">
      <protection locked="0"/>
    </xf>
    <xf numFmtId="0" fontId="72" fillId="0" borderId="0" xfId="0" applyFont="1"/>
    <xf numFmtId="9" fontId="72" fillId="0" borderId="0" xfId="1" applyFont="1" applyFill="1" applyBorder="1" applyAlignment="1">
      <alignment horizontal="center" vertical="center" wrapText="1"/>
    </xf>
    <xf numFmtId="176" fontId="291" fillId="64" borderId="0" xfId="2112" applyNumberFormat="1" applyFont="1" applyFill="1" applyBorder="1" applyAlignment="1">
      <alignment horizontal="center" vertical="center"/>
    </xf>
    <xf numFmtId="9" fontId="72" fillId="64" borderId="0" xfId="1" applyFont="1" applyFill="1" applyBorder="1" applyAlignment="1">
      <alignment horizontal="center" vertical="center" wrapText="1"/>
    </xf>
    <xf numFmtId="234" fontId="72" fillId="0" borderId="0" xfId="1" applyNumberFormat="1" applyFont="1" applyBorder="1"/>
    <xf numFmtId="9" fontId="38" fillId="0" borderId="0" xfId="1" applyFont="1" applyBorder="1" applyAlignment="1">
      <alignment horizontal="center"/>
    </xf>
    <xf numFmtId="0" fontId="2" fillId="0" borderId="0" xfId="0" applyFont="1" applyAlignment="1">
      <alignment horizontal="center"/>
    </xf>
    <xf numFmtId="193" fontId="2" fillId="0" borderId="62" xfId="2061" applyNumberFormat="1" applyFont="1" applyBorder="1" applyAlignment="1">
      <alignment horizontal="right"/>
    </xf>
    <xf numFmtId="193" fontId="4" fillId="0" borderId="73" xfId="1959" applyNumberFormat="1" applyFont="1" applyBorder="1" applyAlignment="1">
      <alignment horizontal="right"/>
    </xf>
    <xf numFmtId="193" fontId="2" fillId="0" borderId="62" xfId="0" applyNumberFormat="1" applyFont="1" applyBorder="1" applyAlignment="1">
      <alignment horizontal="right"/>
    </xf>
    <xf numFmtId="193" fontId="4" fillId="0" borderId="62" xfId="1959" applyNumberFormat="1" applyFont="1" applyBorder="1" applyAlignment="1">
      <alignment horizontal="right"/>
    </xf>
    <xf numFmtId="0" fontId="2" fillId="0" borderId="62" xfId="0" applyFont="1" applyBorder="1" applyAlignment="1">
      <alignment horizontal="right"/>
    </xf>
    <xf numFmtId="193" fontId="4" fillId="0" borderId="62" xfId="0" applyNumberFormat="1" applyFont="1" applyBorder="1" applyAlignment="1">
      <alignment horizontal="right"/>
    </xf>
    <xf numFmtId="193" fontId="4" fillId="0" borderId="62" xfId="2061" applyNumberFormat="1" applyFont="1" applyBorder="1" applyAlignment="1">
      <alignment horizontal="right"/>
    </xf>
    <xf numFmtId="176" fontId="0" fillId="0" borderId="0" xfId="0" applyNumberFormat="1"/>
    <xf numFmtId="0" fontId="68" fillId="0" borderId="0" xfId="0" applyFont="1"/>
    <xf numFmtId="1" fontId="5" fillId="75" borderId="84" xfId="0" applyNumberFormat="1" applyFont="1" applyFill="1" applyBorder="1" applyAlignment="1">
      <alignment horizontal="center"/>
    </xf>
    <xf numFmtId="365" fontId="5" fillId="75" borderId="24" xfId="0" applyNumberFormat="1" applyFont="1" applyFill="1" applyBorder="1" applyAlignment="1">
      <alignment horizontal="center"/>
    </xf>
    <xf numFmtId="365" fontId="5" fillId="75" borderId="32" xfId="0" applyNumberFormat="1" applyFont="1" applyFill="1" applyBorder="1" applyAlignment="1">
      <alignment horizontal="center"/>
    </xf>
    <xf numFmtId="0" fontId="5" fillId="75" borderId="32" xfId="0" applyFont="1" applyFill="1" applyBorder="1" applyAlignment="1">
      <alignment horizontal="center"/>
    </xf>
    <xf numFmtId="0" fontId="5" fillId="75" borderId="24" xfId="0" applyFont="1" applyFill="1" applyBorder="1" applyAlignment="1">
      <alignment horizontal="center"/>
    </xf>
    <xf numFmtId="365" fontId="5" fillId="76" borderId="24" xfId="0" applyNumberFormat="1" applyFont="1" applyFill="1" applyBorder="1" applyAlignment="1">
      <alignment horizontal="center"/>
    </xf>
    <xf numFmtId="193" fontId="3" fillId="73" borderId="24" xfId="0" applyNumberFormat="1" applyFont="1" applyFill="1" applyBorder="1" applyAlignment="1">
      <alignment horizontal="center"/>
    </xf>
    <xf numFmtId="193" fontId="5" fillId="68" borderId="24" xfId="0" applyNumberFormat="1" applyFont="1" applyFill="1" applyBorder="1" applyAlignment="1">
      <alignment horizontal="center"/>
    </xf>
    <xf numFmtId="193" fontId="3" fillId="68" borderId="24" xfId="0" applyNumberFormat="1" applyFont="1" applyFill="1" applyBorder="1" applyAlignment="1">
      <alignment horizontal="center"/>
    </xf>
    <xf numFmtId="366" fontId="5" fillId="73" borderId="24" xfId="0" applyNumberFormat="1" applyFont="1" applyFill="1" applyBorder="1" applyAlignment="1">
      <alignment horizontal="center"/>
    </xf>
    <xf numFmtId="193" fontId="5" fillId="73" borderId="24" xfId="0" applyNumberFormat="1" applyFont="1" applyFill="1" applyBorder="1" applyAlignment="1">
      <alignment horizontal="center"/>
    </xf>
    <xf numFmtId="2" fontId="3" fillId="73" borderId="75" xfId="2112" applyNumberFormat="1" applyFont="1" applyFill="1" applyBorder="1" applyAlignment="1">
      <alignment horizontal="center"/>
    </xf>
    <xf numFmtId="0" fontId="5" fillId="68" borderId="24" xfId="2112" applyNumberFormat="1" applyFont="1" applyFill="1" applyBorder="1" applyAlignment="1">
      <alignment horizontal="center"/>
    </xf>
    <xf numFmtId="2" fontId="3" fillId="77" borderId="24" xfId="2112" applyNumberFormat="1" applyFont="1" applyFill="1" applyBorder="1" applyAlignment="1">
      <alignment horizontal="center"/>
    </xf>
    <xf numFmtId="0" fontId="294" fillId="0" borderId="0" xfId="0" applyFont="1"/>
    <xf numFmtId="1" fontId="4" fillId="3" borderId="24" xfId="2113" applyNumberFormat="1" applyFont="1" applyFill="1" applyBorder="1" applyAlignment="1" applyProtection="1">
      <alignment horizontal="center"/>
      <protection locked="0"/>
    </xf>
    <xf numFmtId="365" fontId="4" fillId="3" borderId="24" xfId="2" applyNumberFormat="1" applyFont="1" applyFill="1" applyBorder="1" applyAlignment="1" applyProtection="1">
      <alignment horizontal="center"/>
      <protection locked="0"/>
    </xf>
    <xf numFmtId="3" fontId="2" fillId="0" borderId="24" xfId="2113" applyNumberFormat="1" applyFont="1" applyBorder="1" applyAlignment="1" applyProtection="1">
      <alignment horizontal="center"/>
      <protection locked="0"/>
    </xf>
    <xf numFmtId="234" fontId="2" fillId="0" borderId="24" xfId="2099" applyNumberFormat="1" applyFont="1" applyBorder="1" applyAlignment="1" applyProtection="1">
      <alignment horizontal="center"/>
      <protection locked="0"/>
    </xf>
    <xf numFmtId="2" fontId="2" fillId="0" borderId="24" xfId="2112" applyNumberFormat="1" applyFont="1" applyBorder="1" applyAlignment="1" applyProtection="1">
      <alignment horizontal="center"/>
      <protection locked="0"/>
    </xf>
    <xf numFmtId="1" fontId="4" fillId="0" borderId="4" xfId="2113" applyNumberFormat="1" applyFont="1" applyBorder="1" applyAlignment="1" applyProtection="1">
      <alignment horizontal="center"/>
      <protection locked="0"/>
    </xf>
    <xf numFmtId="1" fontId="4" fillId="0" borderId="0" xfId="2113" applyNumberFormat="1" applyFont="1" applyAlignment="1" applyProtection="1">
      <alignment horizontal="center"/>
      <protection locked="0"/>
    </xf>
    <xf numFmtId="1" fontId="4" fillId="0" borderId="16" xfId="2113" applyNumberFormat="1" applyFont="1" applyBorder="1" applyAlignment="1" applyProtection="1">
      <alignment horizontal="center"/>
      <protection locked="0"/>
    </xf>
    <xf numFmtId="9" fontId="2" fillId="0" borderId="24" xfId="1" applyFont="1" applyBorder="1" applyAlignment="1" applyProtection="1">
      <alignment horizontal="center"/>
      <protection locked="0"/>
    </xf>
    <xf numFmtId="1" fontId="4" fillId="0" borderId="32" xfId="2113" applyNumberFormat="1" applyFont="1" applyBorder="1" applyAlignment="1" applyProtection="1">
      <alignment horizontal="center"/>
      <protection locked="0"/>
    </xf>
    <xf numFmtId="1" fontId="4" fillId="0" borderId="39" xfId="2113" applyNumberFormat="1" applyFont="1" applyBorder="1" applyAlignment="1" applyProtection="1">
      <alignment horizontal="center"/>
      <protection locked="0"/>
    </xf>
    <xf numFmtId="1" fontId="4" fillId="0" borderId="66" xfId="2113" applyNumberFormat="1" applyFont="1" applyBorder="1" applyAlignment="1" applyProtection="1">
      <alignment horizontal="center"/>
      <protection locked="0"/>
    </xf>
    <xf numFmtId="0" fontId="2" fillId="64" borderId="24" xfId="2113" applyFont="1" applyFill="1" applyBorder="1" applyAlignment="1" applyProtection="1">
      <alignment horizontal="center"/>
      <protection locked="0"/>
    </xf>
    <xf numFmtId="4" fontId="2" fillId="0" borderId="24" xfId="2113" applyNumberFormat="1" applyFont="1" applyBorder="1" applyAlignment="1" applyProtection="1">
      <alignment horizontal="center"/>
      <protection locked="0"/>
    </xf>
    <xf numFmtId="3" fontId="2" fillId="59" borderId="24" xfId="2113" applyNumberFormat="1" applyFont="1" applyFill="1" applyBorder="1" applyAlignment="1" applyProtection="1">
      <alignment horizontal="center"/>
      <protection locked="0"/>
    </xf>
    <xf numFmtId="193" fontId="2" fillId="59" borderId="32" xfId="2" applyNumberFormat="1" applyFont="1" applyFill="1" applyBorder="1" applyAlignment="1" applyProtection="1">
      <alignment horizontal="center"/>
      <protection locked="0"/>
    </xf>
    <xf numFmtId="193" fontId="2" fillId="59" borderId="24" xfId="2" applyNumberFormat="1" applyFont="1" applyFill="1" applyBorder="1" applyAlignment="1" applyProtection="1">
      <alignment horizontal="center"/>
      <protection locked="0"/>
    </xf>
    <xf numFmtId="3" fontId="2" fillId="64" borderId="12" xfId="2113" applyNumberFormat="1" applyFont="1" applyFill="1" applyBorder="1" applyAlignment="1" applyProtection="1">
      <alignment horizontal="center"/>
      <protection locked="0"/>
    </xf>
    <xf numFmtId="3" fontId="2" fillId="64" borderId="24" xfId="2113" applyNumberFormat="1" applyFont="1" applyFill="1" applyBorder="1" applyAlignment="1" applyProtection="1">
      <alignment horizontal="center"/>
      <protection locked="0"/>
    </xf>
    <xf numFmtId="2" fontId="2" fillId="0" borderId="24" xfId="2178" applyNumberFormat="1" applyFont="1" applyFill="1" applyBorder="1" applyAlignment="1" applyProtection="1">
      <alignment horizontal="center"/>
      <protection locked="0"/>
    </xf>
    <xf numFmtId="193" fontId="2" fillId="59" borderId="65" xfId="2" applyNumberFormat="1" applyFont="1" applyFill="1" applyBorder="1" applyAlignment="1" applyProtection="1">
      <alignment horizontal="center"/>
      <protection locked="0"/>
    </xf>
    <xf numFmtId="193" fontId="2" fillId="0" borderId="24" xfId="2" applyNumberFormat="1" applyFont="1" applyFill="1" applyBorder="1" applyAlignment="1" applyProtection="1">
      <alignment horizontal="center"/>
      <protection locked="0"/>
    </xf>
    <xf numFmtId="234" fontId="2" fillId="0" borderId="24" xfId="1" applyNumberFormat="1" applyFont="1" applyBorder="1" applyAlignment="1" applyProtection="1">
      <alignment horizontal="center"/>
      <protection locked="0"/>
    </xf>
    <xf numFmtId="174" fontId="294" fillId="0" borderId="0" xfId="1897" applyFont="1"/>
    <xf numFmtId="42" fontId="294" fillId="0" borderId="0" xfId="1897" applyNumberFormat="1" applyFont="1"/>
    <xf numFmtId="3" fontId="294" fillId="0" borderId="0" xfId="0" applyNumberFormat="1" applyFont="1"/>
    <xf numFmtId="367" fontId="3" fillId="77" borderId="24" xfId="2112" applyNumberFormat="1" applyFont="1" applyFill="1" applyBorder="1" applyAlignment="1">
      <alignment horizontal="center"/>
    </xf>
    <xf numFmtId="0" fontId="290" fillId="0" borderId="0" xfId="0" applyFont="1"/>
    <xf numFmtId="0" fontId="296" fillId="0" borderId="0" xfId="0" applyFont="1"/>
    <xf numFmtId="0" fontId="69" fillId="72" borderId="64" xfId="0" applyFont="1" applyFill="1" applyBorder="1" applyAlignment="1">
      <alignment vertical="center"/>
    </xf>
    <xf numFmtId="176" fontId="69" fillId="72" borderId="1" xfId="2112" applyNumberFormat="1" applyFont="1" applyFill="1" applyBorder="1" applyAlignment="1">
      <alignment horizontal="right" vertical="center"/>
    </xf>
    <xf numFmtId="9" fontId="69" fillId="72" borderId="29" xfId="1" applyFont="1" applyFill="1" applyBorder="1" applyAlignment="1">
      <alignment horizontal="right" vertical="center"/>
    </xf>
    <xf numFmtId="176" fontId="69" fillId="72" borderId="29" xfId="0" applyNumberFormat="1" applyFont="1" applyFill="1" applyBorder="1" applyAlignment="1">
      <alignment vertical="center"/>
    </xf>
    <xf numFmtId="176" fontId="69" fillId="72" borderId="29" xfId="2112" applyNumberFormat="1" applyFont="1" applyFill="1" applyBorder="1" applyAlignment="1">
      <alignment vertical="center"/>
    </xf>
    <xf numFmtId="0" fontId="294" fillId="0" borderId="0" xfId="2182"/>
    <xf numFmtId="0" fontId="294" fillId="0" borderId="80" xfId="2182" applyBorder="1"/>
    <xf numFmtId="0" fontId="294" fillId="0" borderId="63" xfId="2182" applyBorder="1"/>
    <xf numFmtId="0" fontId="294" fillId="0" borderId="62" xfId="2182" applyBorder="1"/>
    <xf numFmtId="0" fontId="295" fillId="0" borderId="62" xfId="2182" applyFont="1" applyBorder="1"/>
    <xf numFmtId="193" fontId="295" fillId="0" borderId="0" xfId="2182" applyNumberFormat="1" applyFont="1" applyAlignment="1">
      <alignment horizontal="right"/>
    </xf>
    <xf numFmtId="193" fontId="294" fillId="0" borderId="0" xfId="2182" applyNumberFormat="1" applyAlignment="1">
      <alignment horizontal="right"/>
    </xf>
    <xf numFmtId="176" fontId="294" fillId="0" borderId="63" xfId="2182" applyNumberFormat="1" applyBorder="1"/>
    <xf numFmtId="176" fontId="295" fillId="0" borderId="63" xfId="2182" applyNumberFormat="1" applyFont="1" applyBorder="1"/>
    <xf numFmtId="0" fontId="294" fillId="79" borderId="62" xfId="2182" applyFill="1" applyBorder="1"/>
    <xf numFmtId="193" fontId="297" fillId="79" borderId="0" xfId="2182" applyNumberFormat="1" applyFont="1" applyFill="1" applyAlignment="1">
      <alignment horizontal="right"/>
    </xf>
    <xf numFmtId="176" fontId="294" fillId="79" borderId="63" xfId="2182" applyNumberFormat="1" applyFill="1" applyBorder="1"/>
    <xf numFmtId="193" fontId="294" fillId="78" borderId="0" xfId="2182" applyNumberFormat="1" applyFill="1" applyAlignment="1">
      <alignment horizontal="right"/>
    </xf>
    <xf numFmtId="193" fontId="69" fillId="0" borderId="0" xfId="2061" applyNumberFormat="1" applyFont="1" applyAlignment="1">
      <alignment horizontal="right"/>
    </xf>
    <xf numFmtId="0" fontId="295" fillId="80" borderId="63" xfId="2182" applyFont="1" applyFill="1" applyBorder="1" applyAlignment="1">
      <alignment horizontal="center"/>
    </xf>
    <xf numFmtId="193" fontId="294" fillId="64" borderId="22" xfId="2182" applyNumberFormat="1" applyFill="1" applyBorder="1"/>
    <xf numFmtId="193" fontId="294" fillId="0" borderId="77" xfId="2182" applyNumberFormat="1" applyBorder="1"/>
    <xf numFmtId="0" fontId="300" fillId="0" borderId="0" xfId="0" applyFont="1"/>
    <xf numFmtId="9" fontId="300" fillId="0" borderId="0" xfId="1" applyFont="1" applyFill="1" applyBorder="1" applyAlignment="1">
      <alignment horizontal="center" vertical="center"/>
    </xf>
    <xf numFmtId="0" fontId="300" fillId="0" borderId="0" xfId="0" applyFont="1" applyAlignment="1">
      <alignment horizontal="center"/>
    </xf>
    <xf numFmtId="234" fontId="300" fillId="0" borderId="0" xfId="1" applyNumberFormat="1" applyFont="1" applyFill="1" applyBorder="1"/>
    <xf numFmtId="176" fontId="3" fillId="0" borderId="0" xfId="2112" applyNumberFormat="1" applyFont="1" applyBorder="1" applyAlignment="1">
      <alignment horizontal="right"/>
    </xf>
    <xf numFmtId="176" fontId="302" fillId="64" borderId="0" xfId="2112" applyNumberFormat="1" applyFont="1" applyFill="1" applyBorder="1" applyAlignment="1">
      <alignment horizontal="center" vertical="center"/>
    </xf>
    <xf numFmtId="0" fontId="302" fillId="0" borderId="0" xfId="0" applyFont="1" applyAlignment="1">
      <alignment horizontal="center" vertical="center"/>
    </xf>
    <xf numFmtId="9" fontId="3" fillId="0" borderId="0" xfId="1" applyFont="1" applyBorder="1" applyAlignment="1">
      <alignment horizontal="center" vertical="center"/>
    </xf>
    <xf numFmtId="0" fontId="302" fillId="0" borderId="0" xfId="0" applyFont="1" applyAlignment="1">
      <alignment horizontal="center"/>
    </xf>
    <xf numFmtId="0" fontId="5" fillId="0" borderId="62" xfId="1959" applyFont="1" applyBorder="1" applyAlignment="1">
      <alignment horizontal="center"/>
    </xf>
    <xf numFmtId="176" fontId="5" fillId="0" borderId="0" xfId="2112" applyNumberFormat="1" applyFont="1" applyFill="1" applyBorder="1" applyAlignment="1">
      <alignment horizontal="center"/>
    </xf>
    <xf numFmtId="9" fontId="5" fillId="0" borderId="0" xfId="1" applyFont="1" applyFill="1" applyBorder="1" applyAlignment="1">
      <alignment horizontal="center"/>
    </xf>
    <xf numFmtId="176" fontId="5" fillId="0" borderId="0" xfId="2112" applyNumberFormat="1" applyFont="1" applyFill="1" applyBorder="1" applyAlignment="1">
      <alignment horizontal="right"/>
    </xf>
    <xf numFmtId="9" fontId="257" fillId="64" borderId="0" xfId="1" applyFont="1" applyFill="1" applyBorder="1" applyAlignment="1">
      <alignment horizontal="center"/>
    </xf>
    <xf numFmtId="0" fontId="5" fillId="0" borderId="0" xfId="0" applyFont="1"/>
    <xf numFmtId="176" fontId="5" fillId="0" borderId="0" xfId="2112" applyNumberFormat="1" applyFont="1" applyFill="1" applyBorder="1" applyAlignment="1">
      <alignment horizontal="center" vertical="center"/>
    </xf>
    <xf numFmtId="176" fontId="3" fillId="0" borderId="0" xfId="2112" applyNumberFormat="1" applyFont="1" applyFill="1" applyBorder="1" applyAlignment="1" applyProtection="1">
      <alignment horizontal="center"/>
    </xf>
    <xf numFmtId="264" fontId="5" fillId="0" borderId="73" xfId="2061" applyFont="1" applyBorder="1"/>
    <xf numFmtId="264" fontId="3" fillId="64" borderId="62" xfId="2061" applyFont="1" applyFill="1" applyBorder="1"/>
    <xf numFmtId="264" fontId="5" fillId="64" borderId="62" xfId="2061" applyFont="1" applyFill="1" applyBorder="1"/>
    <xf numFmtId="264" fontId="5" fillId="0" borderId="62" xfId="2061" applyFont="1" applyBorder="1"/>
    <xf numFmtId="176" fontId="2" fillId="0" borderId="0" xfId="2112" applyNumberFormat="1" applyFont="1" applyFill="1" applyBorder="1" applyAlignment="1" applyProtection="1">
      <alignment horizontal="center"/>
    </xf>
    <xf numFmtId="0" fontId="299" fillId="0" borderId="0" xfId="2182" applyFont="1" applyAlignment="1">
      <alignment horizontal="center" vertical="center"/>
    </xf>
    <xf numFmtId="0" fontId="295" fillId="80" borderId="0" xfId="2182" applyFont="1" applyFill="1" applyAlignment="1">
      <alignment horizontal="center"/>
    </xf>
    <xf numFmtId="0" fontId="298" fillId="0" borderId="67" xfId="2182" applyFont="1" applyBorder="1"/>
    <xf numFmtId="0" fontId="294" fillId="0" borderId="68" xfId="2182" applyBorder="1"/>
    <xf numFmtId="0" fontId="294" fillId="0" borderId="69" xfId="2182" applyBorder="1"/>
    <xf numFmtId="0" fontId="304" fillId="0" borderId="63" xfId="2182" applyFont="1" applyBorder="1"/>
    <xf numFmtId="0" fontId="304" fillId="0" borderId="63" xfId="2182" applyFont="1" applyBorder="1" applyAlignment="1">
      <alignment horizontal="center"/>
    </xf>
    <xf numFmtId="0" fontId="292" fillId="0" borderId="0" xfId="0" applyFont="1"/>
    <xf numFmtId="176" fontId="300" fillId="0" borderId="0" xfId="2112" applyNumberFormat="1" applyFont="1" applyFill="1" applyBorder="1" applyAlignment="1">
      <alignment horizontal="right"/>
    </xf>
    <xf numFmtId="264" fontId="4" fillId="0" borderId="67" xfId="2061" applyFont="1" applyBorder="1"/>
    <xf numFmtId="176" fontId="2" fillId="0" borderId="67" xfId="0" applyNumberFormat="1" applyFont="1" applyBorder="1" applyAlignment="1">
      <alignment horizontal="center"/>
    </xf>
    <xf numFmtId="176" fontId="2" fillId="0" borderId="62" xfId="0" applyNumberFormat="1" applyFont="1" applyBorder="1" applyAlignment="1">
      <alignment horizontal="center"/>
    </xf>
    <xf numFmtId="0" fontId="305" fillId="0" borderId="0" xfId="0" applyFont="1"/>
    <xf numFmtId="9" fontId="306" fillId="64" borderId="0" xfId="1" applyFont="1" applyFill="1" applyBorder="1" applyAlignment="1">
      <alignment horizontal="center" vertical="center" wrapText="1"/>
    </xf>
    <xf numFmtId="176" fontId="306" fillId="0" borderId="0" xfId="2112" applyNumberFormat="1" applyFont="1" applyFill="1" applyBorder="1" applyAlignment="1">
      <alignment horizontal="center" vertical="center"/>
    </xf>
    <xf numFmtId="9" fontId="305" fillId="0" borderId="0" xfId="1" applyFont="1" applyFill="1" applyBorder="1" applyAlignment="1">
      <alignment horizontal="center" vertical="center"/>
    </xf>
    <xf numFmtId="0" fontId="303" fillId="0" borderId="0" xfId="0" applyFont="1" applyAlignment="1">
      <alignment horizontal="center"/>
    </xf>
    <xf numFmtId="234" fontId="305" fillId="0" borderId="0" xfId="1" applyNumberFormat="1" applyFont="1" applyFill="1" applyBorder="1"/>
    <xf numFmtId="264" fontId="4" fillId="64" borderId="62" xfId="2061" applyFont="1" applyFill="1" applyBorder="1"/>
    <xf numFmtId="0" fontId="295" fillId="0" borderId="0" xfId="0" applyFont="1"/>
    <xf numFmtId="3" fontId="69" fillId="0" borderId="24" xfId="2113" applyNumberFormat="1" applyFont="1" applyBorder="1" applyAlignment="1" applyProtection="1">
      <alignment horizontal="center"/>
      <protection locked="0"/>
    </xf>
    <xf numFmtId="0" fontId="4" fillId="64" borderId="62" xfId="0" applyFont="1" applyFill="1" applyBorder="1"/>
    <xf numFmtId="176" fontId="2" fillId="0" borderId="63" xfId="0" applyNumberFormat="1" applyFont="1" applyBorder="1"/>
    <xf numFmtId="0" fontId="4" fillId="0" borderId="62" xfId="0" applyFont="1" applyBorder="1"/>
    <xf numFmtId="9" fontId="294" fillId="0" borderId="0" xfId="1" applyFont="1"/>
    <xf numFmtId="176" fontId="2" fillId="69" borderId="16" xfId="0" applyNumberFormat="1" applyFont="1" applyFill="1" applyBorder="1"/>
    <xf numFmtId="0" fontId="4" fillId="0" borderId="4" xfId="0" applyFont="1" applyBorder="1"/>
    <xf numFmtId="0" fontId="4" fillId="72" borderId="64" xfId="0" applyFont="1" applyFill="1" applyBorder="1"/>
    <xf numFmtId="176" fontId="4" fillId="72" borderId="29" xfId="0" applyNumberFormat="1" applyFont="1" applyFill="1" applyBorder="1"/>
    <xf numFmtId="0" fontId="4" fillId="64" borderId="0" xfId="0" applyFont="1" applyFill="1"/>
    <xf numFmtId="49" fontId="258" fillId="62" borderId="24" xfId="0" applyNumberFormat="1" applyFont="1" applyFill="1" applyBorder="1" applyAlignment="1" applyProtection="1">
      <alignment horizontal="left"/>
      <protection locked="0"/>
    </xf>
    <xf numFmtId="176" fontId="2" fillId="0" borderId="0" xfId="2112" applyNumberFormat="1" applyFont="1" applyFill="1" applyBorder="1"/>
    <xf numFmtId="0" fontId="308" fillId="0" borderId="0" xfId="0" applyFont="1"/>
    <xf numFmtId="176" fontId="294" fillId="0" borderId="0" xfId="2112" applyNumberFormat="1" applyFont="1"/>
    <xf numFmtId="0" fontId="2" fillId="0" borderId="62" xfId="0" applyFont="1" applyBorder="1" applyProtection="1">
      <protection locked="0"/>
    </xf>
    <xf numFmtId="0" fontId="4" fillId="0" borderId="80" xfId="0" applyFont="1" applyBorder="1"/>
    <xf numFmtId="0" fontId="2" fillId="0" borderId="63" xfId="0" applyFont="1" applyBorder="1"/>
    <xf numFmtId="176" fontId="262" fillId="66" borderId="24" xfId="2112" applyNumberFormat="1" applyFont="1" applyFill="1" applyBorder="1" applyProtection="1">
      <protection locked="0"/>
    </xf>
    <xf numFmtId="176" fontId="268" fillId="66" borderId="24" xfId="2112" applyNumberFormat="1" applyFont="1" applyFill="1" applyBorder="1" applyProtection="1">
      <protection locked="0"/>
    </xf>
    <xf numFmtId="177" fontId="0" fillId="0" borderId="0" xfId="1865" applyNumberFormat="1" applyFont="1"/>
    <xf numFmtId="0" fontId="5" fillId="0" borderId="88" xfId="0" applyFont="1" applyBorder="1" applyAlignment="1">
      <alignment horizontal="center" vertical="center"/>
    </xf>
    <xf numFmtId="0" fontId="5" fillId="0" borderId="78" xfId="1959" applyFont="1" applyBorder="1" applyAlignment="1">
      <alignment horizontal="center" vertical="center" wrapText="1"/>
    </xf>
    <xf numFmtId="0" fontId="3" fillId="0" borderId="0" xfId="2112" applyNumberFormat="1" applyFont="1" applyFill="1" applyBorder="1" applyAlignment="1" applyProtection="1">
      <alignment horizontal="center"/>
    </xf>
    <xf numFmtId="234" fontId="72" fillId="0" borderId="0" xfId="1" applyNumberFormat="1" applyFont="1" applyFill="1" applyBorder="1" applyAlignment="1">
      <alignment horizontal="center" vertical="center" wrapText="1"/>
    </xf>
    <xf numFmtId="264" fontId="72" fillId="0" borderId="80" xfId="2061" applyFont="1" applyBorder="1"/>
    <xf numFmtId="176" fontId="72" fillId="0" borderId="80" xfId="0" applyNumberFormat="1" applyFont="1" applyBorder="1" applyAlignment="1">
      <alignment horizontal="center"/>
    </xf>
    <xf numFmtId="193" fontId="295" fillId="69" borderId="0" xfId="2182" applyNumberFormat="1" applyFont="1" applyFill="1" applyAlignment="1">
      <alignment horizontal="right"/>
    </xf>
    <xf numFmtId="0" fontId="311" fillId="0" borderId="0" xfId="2182" applyFont="1"/>
    <xf numFmtId="0" fontId="312" fillId="74" borderId="62" xfId="2182" applyFont="1" applyFill="1" applyBorder="1"/>
    <xf numFmtId="193" fontId="312" fillId="74" borderId="0" xfId="2182" applyNumberFormat="1" applyFont="1" applyFill="1" applyAlignment="1">
      <alignment horizontal="right"/>
    </xf>
    <xf numFmtId="0" fontId="312" fillId="0" borderId="0" xfId="2182" applyFont="1"/>
    <xf numFmtId="176" fontId="0" fillId="0" borderId="0" xfId="2112" applyNumberFormat="1" applyFont="1"/>
    <xf numFmtId="0" fontId="35" fillId="82" borderId="24" xfId="0" applyFont="1" applyFill="1" applyBorder="1"/>
    <xf numFmtId="176" fontId="35" fillId="82" borderId="24" xfId="2112" applyNumberFormat="1" applyFont="1" applyFill="1" applyBorder="1"/>
    <xf numFmtId="10" fontId="3" fillId="0" borderId="0" xfId="1" applyNumberFormat="1" applyFont="1" applyBorder="1" applyAlignment="1">
      <alignment horizontal="right"/>
    </xf>
    <xf numFmtId="10" fontId="5" fillId="0" borderId="0" xfId="1" applyNumberFormat="1" applyFont="1" applyFill="1" applyBorder="1" applyAlignment="1">
      <alignment horizontal="right"/>
    </xf>
    <xf numFmtId="10" fontId="300" fillId="0" borderId="0" xfId="1" applyNumberFormat="1" applyFont="1"/>
    <xf numFmtId="10" fontId="306" fillId="0" borderId="0" xfId="1" applyNumberFormat="1" applyFont="1" applyFill="1" applyBorder="1" applyAlignment="1">
      <alignment horizontal="right"/>
    </xf>
    <xf numFmtId="10" fontId="2" fillId="0" borderId="0" xfId="1" applyNumberFormat="1" applyFont="1" applyBorder="1" applyAlignment="1">
      <alignment horizontal="right"/>
    </xf>
    <xf numFmtId="10" fontId="302" fillId="0" borderId="0" xfId="1" applyNumberFormat="1" applyFont="1" applyBorder="1" applyAlignment="1">
      <alignment horizontal="center" vertical="center"/>
    </xf>
    <xf numFmtId="10" fontId="257" fillId="64" borderId="0" xfId="1" applyNumberFormat="1" applyFont="1" applyFill="1" applyBorder="1" applyAlignment="1">
      <alignment horizontal="center"/>
    </xf>
    <xf numFmtId="10" fontId="300" fillId="0" borderId="0" xfId="1" applyNumberFormat="1" applyFont="1" applyFill="1" applyBorder="1" applyAlignment="1">
      <alignment horizontal="center" vertical="center"/>
    </xf>
    <xf numFmtId="10" fontId="303" fillId="0" borderId="0" xfId="1" applyNumberFormat="1" applyFont="1" applyFill="1" applyBorder="1" applyAlignment="1">
      <alignment horizontal="center" vertical="center"/>
    </xf>
    <xf numFmtId="10" fontId="38" fillId="0" borderId="0" xfId="1" applyNumberFormat="1" applyFont="1" applyFill="1" applyBorder="1" applyAlignment="1">
      <alignment horizontal="center" vertical="center"/>
    </xf>
    <xf numFmtId="10" fontId="38" fillId="0" borderId="0" xfId="1" applyNumberFormat="1" applyFont="1" applyBorder="1" applyAlignment="1">
      <alignment horizontal="center" vertical="center"/>
    </xf>
    <xf numFmtId="10" fontId="302" fillId="0" borderId="0" xfId="1" applyNumberFormat="1" applyFont="1" applyBorder="1" applyAlignment="1">
      <alignment horizontal="center"/>
    </xf>
    <xf numFmtId="10" fontId="302" fillId="0" borderId="63" xfId="1" applyNumberFormat="1" applyFont="1" applyBorder="1" applyAlignment="1">
      <alignment horizontal="center"/>
    </xf>
    <xf numFmtId="10" fontId="5" fillId="0" borderId="79" xfId="1" applyNumberFormat="1" applyFont="1" applyFill="1" applyBorder="1" applyAlignment="1">
      <alignment horizontal="center" vertical="center" wrapText="1"/>
    </xf>
    <xf numFmtId="10" fontId="300" fillId="0" borderId="0" xfId="1" applyNumberFormat="1" applyFont="1" applyFill="1" applyBorder="1" applyAlignment="1">
      <alignment horizontal="center"/>
    </xf>
    <xf numFmtId="10" fontId="303" fillId="0" borderId="0" xfId="1" applyNumberFormat="1" applyFont="1" applyFill="1" applyBorder="1" applyAlignment="1">
      <alignment horizontal="center"/>
    </xf>
    <xf numFmtId="10" fontId="38" fillId="0" borderId="0" xfId="1" applyNumberFormat="1" applyFont="1" applyFill="1" applyBorder="1" applyAlignment="1">
      <alignment horizontal="center"/>
    </xf>
    <xf numFmtId="10" fontId="38" fillId="0" borderId="0" xfId="1" applyNumberFormat="1" applyFont="1" applyBorder="1" applyAlignment="1">
      <alignment horizontal="center"/>
    </xf>
    <xf numFmtId="0" fontId="69" fillId="0" borderId="0" xfId="0" applyFont="1"/>
    <xf numFmtId="0" fontId="301" fillId="60" borderId="24" xfId="0" applyFont="1" applyFill="1" applyBorder="1" applyAlignment="1" applyProtection="1">
      <alignment horizontal="left"/>
      <protection locked="0"/>
    </xf>
    <xf numFmtId="49" fontId="301" fillId="60" borderId="24" xfId="0" applyNumberFormat="1" applyFont="1" applyFill="1" applyBorder="1" applyAlignment="1" applyProtection="1">
      <alignment horizontal="left"/>
      <protection locked="0"/>
    </xf>
    <xf numFmtId="176" fontId="262" fillId="60" borderId="24" xfId="2112" applyNumberFormat="1" applyFont="1" applyFill="1" applyBorder="1" applyProtection="1">
      <protection locked="0"/>
    </xf>
    <xf numFmtId="0" fontId="258" fillId="63" borderId="24" xfId="0" applyFont="1" applyFill="1" applyBorder="1" applyAlignment="1">
      <alignment horizontal="left"/>
    </xf>
    <xf numFmtId="49" fontId="258" fillId="63" borderId="24" xfId="0" applyNumberFormat="1" applyFont="1" applyFill="1" applyBorder="1" applyAlignment="1">
      <alignment horizontal="left"/>
    </xf>
    <xf numFmtId="176" fontId="1" fillId="63" borderId="24" xfId="2112" applyNumberFormat="1" applyFont="1" applyFill="1" applyBorder="1" applyProtection="1"/>
    <xf numFmtId="0" fontId="310" fillId="60" borderId="24" xfId="0" applyFont="1" applyFill="1" applyBorder="1" applyAlignment="1">
      <alignment horizontal="left"/>
    </xf>
    <xf numFmtId="49" fontId="310" fillId="60" borderId="24" xfId="0" applyNumberFormat="1" applyFont="1" applyFill="1" applyBorder="1" applyAlignment="1">
      <alignment horizontal="left"/>
    </xf>
    <xf numFmtId="0" fontId="263" fillId="60" borderId="24" xfId="0" applyFont="1" applyFill="1" applyBorder="1" applyAlignment="1" applyProtection="1">
      <alignment horizontal="left"/>
      <protection locked="0"/>
    </xf>
    <xf numFmtId="176" fontId="1" fillId="60" borderId="24" xfId="2112" applyNumberFormat="1" applyFont="1" applyFill="1" applyBorder="1" applyProtection="1"/>
    <xf numFmtId="176" fontId="262" fillId="57" borderId="24" xfId="2112" applyNumberFormat="1" applyFont="1" applyFill="1" applyBorder="1" applyProtection="1">
      <protection locked="0"/>
    </xf>
    <xf numFmtId="0" fontId="297" fillId="0" borderId="62" xfId="2182" applyFont="1" applyBorder="1"/>
    <xf numFmtId="176" fontId="38" fillId="0" borderId="0" xfId="1" applyNumberFormat="1" applyFont="1" applyBorder="1" applyAlignment="1">
      <alignment horizontal="center"/>
    </xf>
    <xf numFmtId="0" fontId="267" fillId="62" borderId="24" xfId="0" applyFont="1" applyFill="1" applyBorder="1" applyAlignment="1" applyProtection="1">
      <alignment horizontal="left"/>
      <protection locked="0"/>
    </xf>
    <xf numFmtId="49" fontId="267" fillId="62" borderId="32" xfId="0" applyNumberFormat="1" applyFont="1" applyFill="1" applyBorder="1" applyAlignment="1" applyProtection="1">
      <alignment horizontal="left"/>
      <protection locked="0"/>
    </xf>
    <xf numFmtId="176" fontId="268" fillId="62" borderId="24" xfId="2112" applyNumberFormat="1" applyFont="1" applyFill="1" applyBorder="1" applyProtection="1">
      <protection locked="0"/>
    </xf>
    <xf numFmtId="0" fontId="309" fillId="58" borderId="24" xfId="0" applyFont="1" applyFill="1" applyBorder="1" applyAlignment="1" applyProtection="1">
      <alignment horizontal="left"/>
      <protection locked="0"/>
    </xf>
    <xf numFmtId="49" fontId="309" fillId="58" borderId="32" xfId="0" applyNumberFormat="1" applyFont="1" applyFill="1" applyBorder="1" applyAlignment="1" applyProtection="1">
      <alignment horizontal="left"/>
      <protection locked="0"/>
    </xf>
    <xf numFmtId="0" fontId="267" fillId="66" borderId="24" xfId="0" applyFont="1" applyFill="1" applyBorder="1" applyAlignment="1" applyProtection="1">
      <alignment horizontal="left"/>
      <protection locked="0"/>
    </xf>
    <xf numFmtId="49" fontId="267" fillId="66" borderId="32" xfId="0" applyNumberFormat="1" applyFont="1" applyFill="1" applyBorder="1" applyAlignment="1" applyProtection="1">
      <alignment horizontal="left"/>
      <protection locked="0"/>
    </xf>
    <xf numFmtId="0" fontId="310" fillId="59" borderId="24" xfId="0" applyFont="1" applyFill="1" applyBorder="1" applyAlignment="1" applyProtection="1">
      <alignment horizontal="left"/>
      <protection locked="0"/>
    </xf>
    <xf numFmtId="234" fontId="3" fillId="0" borderId="63" xfId="1" applyNumberFormat="1" applyFont="1" applyBorder="1" applyAlignment="1">
      <alignment horizontal="center"/>
    </xf>
    <xf numFmtId="234" fontId="5" fillId="64" borderId="74" xfId="1" applyNumberFormat="1" applyFont="1" applyFill="1" applyBorder="1" applyAlignment="1">
      <alignment horizontal="center"/>
    </xf>
    <xf numFmtId="234" fontId="3" fillId="64" borderId="63" xfId="1" applyNumberFormat="1" applyFont="1" applyFill="1" applyBorder="1" applyAlignment="1" applyProtection="1">
      <alignment horizontal="center"/>
    </xf>
    <xf numFmtId="234" fontId="5" fillId="64" borderId="63" xfId="1" applyNumberFormat="1" applyFont="1" applyFill="1" applyBorder="1" applyAlignment="1">
      <alignment horizontal="center"/>
    </xf>
    <xf numFmtId="234" fontId="5" fillId="64" borderId="63" xfId="1" applyNumberFormat="1" applyFont="1" applyFill="1" applyBorder="1" applyAlignment="1" applyProtection="1">
      <alignment horizontal="center"/>
    </xf>
    <xf numFmtId="0" fontId="5" fillId="73" borderId="78" xfId="1959" applyFont="1" applyFill="1" applyBorder="1" applyAlignment="1">
      <alignment horizontal="center" vertical="center" wrapText="1"/>
    </xf>
    <xf numFmtId="10" fontId="5" fillId="73" borderId="79" xfId="1" applyNumberFormat="1" applyFont="1" applyFill="1" applyBorder="1" applyAlignment="1">
      <alignment horizontal="center" vertical="center" wrapText="1"/>
    </xf>
    <xf numFmtId="193" fontId="2" fillId="73" borderId="62" xfId="2061" applyNumberFormat="1" applyFont="1" applyFill="1" applyBorder="1" applyAlignment="1">
      <alignment horizontal="right"/>
    </xf>
    <xf numFmtId="234" fontId="3" fillId="73" borderId="63" xfId="1" applyNumberFormat="1" applyFont="1" applyFill="1" applyBorder="1" applyAlignment="1">
      <alignment horizontal="center"/>
    </xf>
    <xf numFmtId="193" fontId="4" fillId="73" borderId="73" xfId="1959" applyNumberFormat="1" applyFont="1" applyFill="1" applyBorder="1" applyAlignment="1">
      <alignment horizontal="right"/>
    </xf>
    <xf numFmtId="234" fontId="5" fillId="73" borderId="74" xfId="1" applyNumberFormat="1" applyFont="1" applyFill="1" applyBorder="1" applyAlignment="1">
      <alignment horizontal="center"/>
    </xf>
    <xf numFmtId="193" fontId="2" fillId="73" borderId="62" xfId="0" applyNumberFormat="1" applyFont="1" applyFill="1" applyBorder="1" applyAlignment="1">
      <alignment horizontal="right"/>
    </xf>
    <xf numFmtId="234" fontId="3" fillId="73" borderId="63" xfId="1" applyNumberFormat="1" applyFont="1" applyFill="1" applyBorder="1" applyAlignment="1" applyProtection="1">
      <alignment horizontal="center"/>
    </xf>
    <xf numFmtId="193" fontId="4" fillId="73" borderId="62" xfId="1959" applyNumberFormat="1" applyFont="1" applyFill="1" applyBorder="1" applyAlignment="1">
      <alignment horizontal="right"/>
    </xf>
    <xf numFmtId="234" fontId="5" fillId="73" borderId="63" xfId="1" applyNumberFormat="1" applyFont="1" applyFill="1" applyBorder="1" applyAlignment="1">
      <alignment horizontal="center"/>
    </xf>
    <xf numFmtId="193" fontId="4" fillId="73" borderId="62" xfId="2061" applyNumberFormat="1" applyFont="1" applyFill="1" applyBorder="1" applyAlignment="1">
      <alignment horizontal="right"/>
    </xf>
    <xf numFmtId="234" fontId="5" fillId="73" borderId="63" xfId="1" applyNumberFormat="1" applyFont="1" applyFill="1" applyBorder="1" applyAlignment="1" applyProtection="1">
      <alignment horizontal="center"/>
    </xf>
    <xf numFmtId="0" fontId="2" fillId="73" borderId="62" xfId="0" applyFont="1" applyFill="1" applyBorder="1" applyAlignment="1">
      <alignment horizontal="right"/>
    </xf>
    <xf numFmtId="193" fontId="4" fillId="73" borderId="62" xfId="0" applyNumberFormat="1" applyFont="1" applyFill="1" applyBorder="1" applyAlignment="1">
      <alignment horizontal="right"/>
    </xf>
    <xf numFmtId="234" fontId="2" fillId="73" borderId="63" xfId="1" applyNumberFormat="1" applyFont="1" applyFill="1" applyBorder="1" applyAlignment="1" applyProtection="1">
      <alignment horizontal="center"/>
    </xf>
    <xf numFmtId="234" fontId="5" fillId="73" borderId="63" xfId="1" applyNumberFormat="1" applyFont="1" applyFill="1" applyBorder="1" applyAlignment="1">
      <alignment horizontal="center" vertical="center" wrapText="1"/>
    </xf>
    <xf numFmtId="176" fontId="2" fillId="73" borderId="67" xfId="0" applyNumberFormat="1" applyFont="1" applyFill="1" applyBorder="1" applyAlignment="1">
      <alignment horizontal="center"/>
    </xf>
    <xf numFmtId="10" fontId="2" fillId="73" borderId="69" xfId="1" applyNumberFormat="1" applyFont="1" applyFill="1" applyBorder="1" applyAlignment="1">
      <alignment horizontal="right"/>
    </xf>
    <xf numFmtId="176" fontId="2" fillId="73" borderId="62" xfId="0" applyNumberFormat="1" applyFont="1" applyFill="1" applyBorder="1" applyAlignment="1">
      <alignment horizontal="center"/>
    </xf>
    <xf numFmtId="10" fontId="2" fillId="73" borderId="63" xfId="1" applyNumberFormat="1" applyFont="1" applyFill="1" applyBorder="1" applyAlignment="1">
      <alignment horizontal="right"/>
    </xf>
    <xf numFmtId="176" fontId="72" fillId="73" borderId="80" xfId="0" applyNumberFormat="1" applyFont="1" applyFill="1" applyBorder="1" applyAlignment="1">
      <alignment horizontal="center"/>
    </xf>
    <xf numFmtId="10" fontId="72" fillId="73" borderId="77" xfId="1" applyNumberFormat="1" applyFont="1" applyFill="1" applyBorder="1" applyAlignment="1">
      <alignment horizontal="center" vertical="center" wrapText="1"/>
    </xf>
    <xf numFmtId="0" fontId="5" fillId="72" borderId="78" xfId="1959" applyFont="1" applyFill="1" applyBorder="1" applyAlignment="1">
      <alignment horizontal="center" vertical="center" wrapText="1"/>
    </xf>
    <xf numFmtId="10" fontId="5" fillId="72" borderId="79" xfId="1" applyNumberFormat="1" applyFont="1" applyFill="1" applyBorder="1" applyAlignment="1">
      <alignment horizontal="center" vertical="center" wrapText="1"/>
    </xf>
    <xf numFmtId="193" fontId="2" fillId="72" borderId="62" xfId="2061" applyNumberFormat="1" applyFont="1" applyFill="1" applyBorder="1" applyAlignment="1">
      <alignment horizontal="right"/>
    </xf>
    <xf numFmtId="234" fontId="3" fillId="72" borderId="63" xfId="1" applyNumberFormat="1" applyFont="1" applyFill="1" applyBorder="1" applyAlignment="1">
      <alignment horizontal="center"/>
    </xf>
    <xf numFmtId="193" fontId="4" fillId="72" borderId="73" xfId="1959" applyNumberFormat="1" applyFont="1" applyFill="1" applyBorder="1" applyAlignment="1">
      <alignment horizontal="right"/>
    </xf>
    <xf numFmtId="234" fontId="5" fillId="72" borderId="74" xfId="1" applyNumberFormat="1" applyFont="1" applyFill="1" applyBorder="1" applyAlignment="1">
      <alignment horizontal="center"/>
    </xf>
    <xf numFmtId="193" fontId="2" fillId="72" borderId="62" xfId="0" applyNumberFormat="1" applyFont="1" applyFill="1" applyBorder="1" applyAlignment="1">
      <alignment horizontal="right"/>
    </xf>
    <xf numFmtId="234" fontId="3" fillId="72" borderId="63" xfId="1" applyNumberFormat="1" applyFont="1" applyFill="1" applyBorder="1" applyAlignment="1" applyProtection="1">
      <alignment horizontal="center"/>
    </xf>
    <xf numFmtId="193" fontId="4" fillId="72" borderId="62" xfId="1959" applyNumberFormat="1" applyFont="1" applyFill="1" applyBorder="1" applyAlignment="1">
      <alignment horizontal="right"/>
    </xf>
    <xf numFmtId="234" fontId="5" fillId="72" borderId="63" xfId="1" applyNumberFormat="1" applyFont="1" applyFill="1" applyBorder="1" applyAlignment="1">
      <alignment horizontal="center"/>
    </xf>
    <xf numFmtId="193" fontId="4" fillId="72" borderId="62" xfId="2061" applyNumberFormat="1" applyFont="1" applyFill="1" applyBorder="1" applyAlignment="1">
      <alignment horizontal="right"/>
    </xf>
    <xf numFmtId="234" fontId="5" fillId="72" borderId="63" xfId="1" applyNumberFormat="1" applyFont="1" applyFill="1" applyBorder="1" applyAlignment="1" applyProtection="1">
      <alignment horizontal="center"/>
    </xf>
    <xf numFmtId="0" fontId="2" fillId="72" borderId="62" xfId="0" applyFont="1" applyFill="1" applyBorder="1" applyAlignment="1">
      <alignment horizontal="right"/>
    </xf>
    <xf numFmtId="193" fontId="4" fillId="72" borderId="62" xfId="0" applyNumberFormat="1" applyFont="1" applyFill="1" applyBorder="1" applyAlignment="1">
      <alignment horizontal="right"/>
    </xf>
    <xf numFmtId="234" fontId="2" fillId="72" borderId="63" xfId="1" applyNumberFormat="1" applyFont="1" applyFill="1" applyBorder="1" applyAlignment="1" applyProtection="1">
      <alignment horizontal="center"/>
    </xf>
    <xf numFmtId="234" fontId="5" fillId="72" borderId="63" xfId="1" applyNumberFormat="1" applyFont="1" applyFill="1" applyBorder="1" applyAlignment="1">
      <alignment horizontal="center" vertical="center" wrapText="1"/>
    </xf>
    <xf numFmtId="176" fontId="2" fillId="72" borderId="67" xfId="0" applyNumberFormat="1" applyFont="1" applyFill="1" applyBorder="1" applyAlignment="1">
      <alignment horizontal="center"/>
    </xf>
    <xf numFmtId="10" fontId="2" fillId="72" borderId="69" xfId="1" applyNumberFormat="1" applyFont="1" applyFill="1" applyBorder="1" applyAlignment="1">
      <alignment horizontal="right"/>
    </xf>
    <xf numFmtId="176" fontId="2" fillId="72" borderId="62" xfId="0" applyNumberFormat="1" applyFont="1" applyFill="1" applyBorder="1" applyAlignment="1">
      <alignment horizontal="center"/>
    </xf>
    <xf numFmtId="10" fontId="2" fillId="72" borderId="63" xfId="1" applyNumberFormat="1" applyFont="1" applyFill="1" applyBorder="1" applyAlignment="1">
      <alignment horizontal="right"/>
    </xf>
    <xf numFmtId="176" fontId="72" fillId="72" borderId="80" xfId="0" applyNumberFormat="1" applyFont="1" applyFill="1" applyBorder="1" applyAlignment="1">
      <alignment horizontal="center"/>
    </xf>
    <xf numFmtId="10" fontId="72" fillId="72" borderId="77" xfId="1" applyNumberFormat="1" applyFont="1" applyFill="1" applyBorder="1" applyAlignment="1">
      <alignment horizontal="center" vertical="center" wrapText="1"/>
    </xf>
    <xf numFmtId="264" fontId="30" fillId="0" borderId="0" xfId="2061" applyFont="1" applyAlignment="1">
      <alignment horizontal="left" vertical="center" wrapText="1"/>
    </xf>
    <xf numFmtId="10" fontId="2" fillId="0" borderId="0" xfId="1" applyNumberFormat="1" applyFont="1" applyFill="1" applyAlignment="1">
      <alignment horizontal="center"/>
    </xf>
    <xf numFmtId="10" fontId="2" fillId="0" borderId="0" xfId="0" applyNumberFormat="1" applyFont="1" applyAlignment="1">
      <alignment horizontal="center"/>
    </xf>
    <xf numFmtId="176" fontId="2" fillId="73" borderId="0" xfId="2112" applyNumberFormat="1" applyFont="1" applyFill="1" applyBorder="1" applyAlignment="1">
      <alignment horizontal="right"/>
    </xf>
    <xf numFmtId="0" fontId="2" fillId="73" borderId="0" xfId="0" applyFont="1" applyFill="1"/>
    <xf numFmtId="176" fontId="4" fillId="73" borderId="22" xfId="2112" applyNumberFormat="1" applyFont="1" applyFill="1" applyBorder="1" applyAlignment="1"/>
    <xf numFmtId="176" fontId="2" fillId="72" borderId="0" xfId="2112" applyNumberFormat="1" applyFont="1" applyFill="1" applyBorder="1"/>
    <xf numFmtId="176" fontId="4" fillId="72" borderId="22" xfId="2112" applyNumberFormat="1" applyFont="1" applyFill="1" applyBorder="1" applyAlignment="1"/>
    <xf numFmtId="0" fontId="2" fillId="64" borderId="67" xfId="0" applyFont="1" applyFill="1" applyBorder="1"/>
    <xf numFmtId="0" fontId="4" fillId="0" borderId="69" xfId="0" applyFont="1" applyBorder="1" applyAlignment="1">
      <alignment horizontal="right"/>
    </xf>
    <xf numFmtId="0" fontId="4" fillId="0" borderId="63" xfId="0" applyFont="1" applyBorder="1"/>
    <xf numFmtId="0" fontId="2" fillId="0" borderId="63" xfId="0" applyFont="1" applyBorder="1" applyProtection="1">
      <protection locked="0"/>
    </xf>
    <xf numFmtId="0" fontId="3" fillId="0" borderId="62" xfId="0" applyFont="1" applyBorder="1"/>
    <xf numFmtId="0" fontId="3" fillId="0" borderId="63" xfId="0" applyFont="1" applyBorder="1"/>
    <xf numFmtId="176" fontId="2" fillId="0" borderId="0" xfId="2112" applyNumberFormat="1" applyFont="1" applyFill="1" applyBorder="1" applyAlignment="1">
      <alignment horizontal="right"/>
    </xf>
    <xf numFmtId="0" fontId="69" fillId="68" borderId="0" xfId="2180" applyFont="1" applyFill="1"/>
    <xf numFmtId="0" fontId="2" fillId="73" borderId="67" xfId="0" applyFont="1" applyFill="1" applyBorder="1" applyAlignment="1">
      <alignment horizontal="left"/>
    </xf>
    <xf numFmtId="0" fontId="4" fillId="73" borderId="68" xfId="0" applyFont="1" applyFill="1" applyBorder="1" applyAlignment="1">
      <alignment horizontal="center" vertical="center"/>
    </xf>
    <xf numFmtId="0" fontId="2" fillId="73" borderId="68" xfId="0" applyFont="1" applyFill="1" applyBorder="1" applyAlignment="1">
      <alignment horizontal="center" vertical="center"/>
    </xf>
    <xf numFmtId="234" fontId="25" fillId="73" borderId="68" xfId="1" applyNumberFormat="1" applyFont="1" applyFill="1" applyBorder="1" applyAlignment="1">
      <alignment horizontal="center" vertical="center"/>
    </xf>
    <xf numFmtId="0" fontId="25" fillId="73" borderId="68" xfId="0" applyFont="1" applyFill="1" applyBorder="1" applyAlignment="1">
      <alignment horizontal="center" vertical="center"/>
    </xf>
    <xf numFmtId="0" fontId="2" fillId="73" borderId="68" xfId="0" applyFont="1" applyFill="1" applyBorder="1"/>
    <xf numFmtId="176" fontId="2" fillId="73" borderId="68" xfId="2112" applyNumberFormat="1" applyFont="1" applyFill="1" applyBorder="1"/>
    <xf numFmtId="0" fontId="25" fillId="73" borderId="68" xfId="0" applyFont="1" applyFill="1" applyBorder="1"/>
    <xf numFmtId="0" fontId="2" fillId="73" borderId="69" xfId="0" applyFont="1" applyFill="1" applyBorder="1"/>
    <xf numFmtId="0" fontId="69" fillId="73" borderId="62" xfId="0" applyFont="1" applyFill="1" applyBorder="1"/>
    <xf numFmtId="3" fontId="69" fillId="73" borderId="2" xfId="0" applyNumberFormat="1" applyFont="1" applyFill="1" applyBorder="1" applyAlignment="1">
      <alignment horizontal="right"/>
    </xf>
    <xf numFmtId="3" fontId="69" fillId="73" borderId="0" xfId="0" applyNumberFormat="1" applyFont="1" applyFill="1" applyAlignment="1">
      <alignment horizontal="right"/>
    </xf>
    <xf numFmtId="0" fontId="2" fillId="73" borderId="62" xfId="0" applyFont="1" applyFill="1" applyBorder="1" applyAlignment="1">
      <alignment horizontal="left"/>
    </xf>
    <xf numFmtId="0" fontId="4" fillId="73" borderId="0" xfId="0" applyFont="1" applyFill="1" applyAlignment="1">
      <alignment horizontal="center" vertical="center"/>
    </xf>
    <xf numFmtId="0" fontId="2" fillId="73" borderId="0" xfId="0" applyFont="1" applyFill="1" applyAlignment="1">
      <alignment horizontal="center" vertical="center"/>
    </xf>
    <xf numFmtId="234" fontId="25" fillId="73" borderId="0" xfId="1" applyNumberFormat="1" applyFont="1" applyFill="1" applyBorder="1" applyAlignment="1">
      <alignment horizontal="center" vertical="center"/>
    </xf>
    <xf numFmtId="0" fontId="25" fillId="73" borderId="0" xfId="0" applyFont="1" applyFill="1" applyAlignment="1">
      <alignment horizontal="center" vertical="center"/>
    </xf>
    <xf numFmtId="0" fontId="69" fillId="68" borderId="0" xfId="0" applyFont="1" applyFill="1"/>
    <xf numFmtId="176" fontId="69" fillId="68" borderId="2" xfId="2112" applyNumberFormat="1" applyFont="1" applyFill="1" applyBorder="1"/>
    <xf numFmtId="3" fontId="69" fillId="68" borderId="2" xfId="0" applyNumberFormat="1" applyFont="1" applyFill="1" applyBorder="1"/>
    <xf numFmtId="0" fontId="69" fillId="73" borderId="78" xfId="0" applyFont="1" applyFill="1" applyBorder="1"/>
    <xf numFmtId="0" fontId="68" fillId="73" borderId="68" xfId="0" applyFont="1" applyFill="1" applyBorder="1"/>
    <xf numFmtId="0" fontId="69" fillId="73" borderId="89" xfId="0" applyFont="1" applyFill="1" applyBorder="1" applyAlignment="1">
      <alignment horizontal="center" vertical="center"/>
    </xf>
    <xf numFmtId="0" fontId="69" fillId="73" borderId="89" xfId="0" applyFont="1" applyFill="1" applyBorder="1" applyAlignment="1">
      <alignment horizontal="center"/>
    </xf>
    <xf numFmtId="0" fontId="68" fillId="0" borderId="68" xfId="0" applyFont="1" applyBorder="1"/>
    <xf numFmtId="0" fontId="69" fillId="68" borderId="89" xfId="0" applyFont="1" applyFill="1" applyBorder="1"/>
    <xf numFmtId="0" fontId="68" fillId="68" borderId="68" xfId="0" applyFont="1" applyFill="1" applyBorder="1"/>
    <xf numFmtId="0" fontId="69" fillId="68" borderId="89" xfId="0" applyFont="1" applyFill="1" applyBorder="1" applyAlignment="1">
      <alignment horizontal="center" vertical="center"/>
    </xf>
    <xf numFmtId="0" fontId="69" fillId="68" borderId="89" xfId="0" applyFont="1" applyFill="1" applyBorder="1" applyAlignment="1">
      <alignment horizontal="center"/>
    </xf>
    <xf numFmtId="0" fontId="68" fillId="73" borderId="0" xfId="0" applyFont="1" applyFill="1"/>
    <xf numFmtId="0" fontId="69" fillId="73" borderId="0" xfId="0" applyFont="1" applyFill="1" applyAlignment="1">
      <alignment horizontal="right"/>
    </xf>
    <xf numFmtId="234" fontId="69" fillId="73" borderId="0" xfId="1" applyNumberFormat="1" applyFont="1" applyFill="1" applyBorder="1" applyAlignment="1">
      <alignment horizontal="right"/>
    </xf>
    <xf numFmtId="0" fontId="68" fillId="68" borderId="0" xfId="0" applyFont="1" applyFill="1"/>
    <xf numFmtId="176" fontId="69" fillId="68" borderId="0" xfId="2112" applyNumberFormat="1" applyFont="1" applyFill="1" applyBorder="1" applyAlignment="1">
      <alignment horizontal="right"/>
    </xf>
    <xf numFmtId="0" fontId="69" fillId="68" borderId="0" xfId="0" applyFont="1" applyFill="1" applyAlignment="1">
      <alignment horizontal="right"/>
    </xf>
    <xf numFmtId="0" fontId="69" fillId="68" borderId="63" xfId="0" applyFont="1" applyFill="1" applyBorder="1" applyAlignment="1">
      <alignment horizontal="right"/>
    </xf>
    <xf numFmtId="176" fontId="69" fillId="68" borderId="0" xfId="2112" applyNumberFormat="1" applyFont="1" applyFill="1" applyBorder="1" applyAlignment="1">
      <alignment horizontal="center"/>
    </xf>
    <xf numFmtId="0" fontId="69" fillId="68" borderId="0" xfId="0" applyFont="1" applyFill="1" applyAlignment="1">
      <alignment horizontal="center"/>
    </xf>
    <xf numFmtId="3" fontId="68" fillId="73" borderId="0" xfId="0" applyNumberFormat="1" applyFont="1" applyFill="1"/>
    <xf numFmtId="176" fontId="69" fillId="73" borderId="0" xfId="2" applyNumberFormat="1" applyFont="1" applyFill="1" applyBorder="1" applyAlignment="1">
      <alignment horizontal="right"/>
    </xf>
    <xf numFmtId="176" fontId="69" fillId="68" borderId="0" xfId="2112" applyNumberFormat="1" applyFont="1" applyFill="1" applyBorder="1" applyAlignment="1"/>
    <xf numFmtId="234" fontId="69" fillId="68" borderId="0" xfId="1" applyNumberFormat="1" applyFont="1" applyFill="1" applyBorder="1" applyAlignment="1"/>
    <xf numFmtId="3" fontId="68" fillId="68" borderId="0" xfId="0" applyNumberFormat="1" applyFont="1" applyFill="1"/>
    <xf numFmtId="0" fontId="68" fillId="73" borderId="62" xfId="0" applyFont="1" applyFill="1" applyBorder="1"/>
    <xf numFmtId="176" fontId="68" fillId="73" borderId="0" xfId="2" applyNumberFormat="1" applyFont="1" applyFill="1" applyBorder="1" applyAlignment="1">
      <alignment horizontal="right"/>
    </xf>
    <xf numFmtId="234" fontId="68" fillId="73" borderId="0" xfId="1" applyNumberFormat="1" applyFont="1" applyFill="1" applyBorder="1" applyAlignment="1">
      <alignment horizontal="right"/>
    </xf>
    <xf numFmtId="3" fontId="68" fillId="0" borderId="0" xfId="0" applyNumberFormat="1" applyFont="1"/>
    <xf numFmtId="176" fontId="68" fillId="68" borderId="0" xfId="2112" applyNumberFormat="1" applyFont="1" applyFill="1" applyBorder="1" applyAlignment="1"/>
    <xf numFmtId="234" fontId="68" fillId="68" borderId="0" xfId="1" applyNumberFormat="1" applyFont="1" applyFill="1" applyBorder="1" applyAlignment="1"/>
    <xf numFmtId="176" fontId="68" fillId="68" borderId="1" xfId="2112" applyNumberFormat="1" applyFont="1" applyFill="1" applyBorder="1"/>
    <xf numFmtId="234" fontId="68" fillId="68" borderId="1" xfId="1" applyNumberFormat="1" applyFont="1" applyFill="1" applyBorder="1" applyAlignment="1"/>
    <xf numFmtId="0" fontId="68" fillId="68" borderId="1" xfId="0" applyFont="1" applyFill="1" applyBorder="1"/>
    <xf numFmtId="176" fontId="68" fillId="68" borderId="0" xfId="2112" applyNumberFormat="1" applyFont="1" applyFill="1" applyBorder="1"/>
    <xf numFmtId="176" fontId="68" fillId="73" borderId="1" xfId="2" applyNumberFormat="1" applyFont="1" applyFill="1" applyBorder="1" applyAlignment="1">
      <alignment horizontal="right"/>
    </xf>
    <xf numFmtId="234" fontId="68" fillId="73" borderId="1" xfId="1" applyNumberFormat="1" applyFont="1" applyFill="1" applyBorder="1" applyAlignment="1">
      <alignment horizontal="right"/>
    </xf>
    <xf numFmtId="176" fontId="68" fillId="68" borderId="0" xfId="2" applyNumberFormat="1" applyFont="1" applyFill="1" applyBorder="1" applyAlignment="1">
      <alignment horizontal="right"/>
    </xf>
    <xf numFmtId="176" fontId="69" fillId="68" borderId="0" xfId="2112" applyNumberFormat="1" applyFont="1" applyFill="1" applyBorder="1"/>
    <xf numFmtId="234" fontId="69" fillId="68" borderId="0" xfId="1" applyNumberFormat="1" applyFont="1" applyFill="1" applyBorder="1"/>
    <xf numFmtId="176" fontId="69" fillId="68" borderId="0" xfId="2" applyNumberFormat="1" applyFont="1" applyFill="1" applyBorder="1" applyAlignment="1">
      <alignment horizontal="right"/>
    </xf>
    <xf numFmtId="234" fontId="68" fillId="68" borderId="0" xfId="1" applyNumberFormat="1" applyFont="1" applyFill="1" applyBorder="1"/>
    <xf numFmtId="176" fontId="68" fillId="68" borderId="0" xfId="2" applyNumberFormat="1" applyFont="1" applyFill="1" applyBorder="1"/>
    <xf numFmtId="176" fontId="68" fillId="68" borderId="1" xfId="2112" applyNumberFormat="1" applyFont="1" applyFill="1" applyBorder="1" applyAlignment="1"/>
    <xf numFmtId="176" fontId="68" fillId="68" borderId="1" xfId="2" applyNumberFormat="1" applyFont="1" applyFill="1" applyBorder="1" applyAlignment="1">
      <alignment horizontal="right"/>
    </xf>
    <xf numFmtId="3" fontId="69" fillId="0" borderId="0" xfId="0" applyNumberFormat="1" applyFont="1"/>
    <xf numFmtId="3" fontId="69" fillId="73" borderId="0" xfId="0" applyNumberFormat="1" applyFont="1" applyFill="1"/>
    <xf numFmtId="176" fontId="69" fillId="73" borderId="0" xfId="0" applyNumberFormat="1" applyFont="1" applyFill="1" applyAlignment="1">
      <alignment horizontal="right"/>
    </xf>
    <xf numFmtId="0" fontId="68" fillId="68" borderId="0" xfId="0" applyFont="1" applyFill="1" applyAlignment="1">
      <alignment vertical="center" wrapText="1"/>
    </xf>
    <xf numFmtId="176" fontId="68" fillId="73" borderId="0" xfId="0" applyNumberFormat="1" applyFont="1" applyFill="1" applyAlignment="1">
      <alignment horizontal="right"/>
    </xf>
    <xf numFmtId="176" fontId="68" fillId="73" borderId="1" xfId="0" applyNumberFormat="1" applyFont="1" applyFill="1" applyBorder="1" applyAlignment="1">
      <alignment horizontal="right"/>
    </xf>
    <xf numFmtId="176" fontId="68" fillId="0" borderId="0" xfId="2" applyNumberFormat="1" applyFont="1" applyFill="1" applyBorder="1"/>
    <xf numFmtId="176" fontId="68" fillId="73" borderId="0" xfId="2" applyNumberFormat="1" applyFont="1" applyFill="1" applyBorder="1"/>
    <xf numFmtId="234" fontId="69" fillId="73" borderId="2" xfId="1" applyNumberFormat="1" applyFont="1" applyFill="1" applyBorder="1" applyAlignment="1">
      <alignment horizontal="right"/>
    </xf>
    <xf numFmtId="176" fontId="69" fillId="73" borderId="2" xfId="2" applyNumberFormat="1" applyFont="1" applyFill="1" applyBorder="1" applyAlignment="1">
      <alignment horizontal="right"/>
    </xf>
    <xf numFmtId="234" fontId="69" fillId="68" borderId="2" xfId="1" applyNumberFormat="1" applyFont="1" applyFill="1" applyBorder="1"/>
    <xf numFmtId="176" fontId="69" fillId="68" borderId="2" xfId="2" applyNumberFormat="1" applyFont="1" applyFill="1" applyBorder="1" applyAlignment="1">
      <alignment horizontal="right"/>
    </xf>
    <xf numFmtId="3" fontId="69" fillId="68" borderId="0" xfId="0" applyNumberFormat="1" applyFont="1" applyFill="1"/>
    <xf numFmtId="0" fontId="69" fillId="73" borderId="0" xfId="0" applyFont="1" applyFill="1" applyAlignment="1">
      <alignment horizontal="center" vertical="center"/>
    </xf>
    <xf numFmtId="0" fontId="68" fillId="73" borderId="0" xfId="0" applyFont="1" applyFill="1" applyAlignment="1">
      <alignment horizontal="center" vertical="center"/>
    </xf>
    <xf numFmtId="234" fontId="68" fillId="73" borderId="0" xfId="1" applyNumberFormat="1" applyFont="1" applyFill="1" applyBorder="1" applyAlignment="1">
      <alignment horizontal="center" vertical="center"/>
    </xf>
    <xf numFmtId="0" fontId="68" fillId="73" borderId="62" xfId="0" applyFont="1" applyFill="1" applyBorder="1" applyAlignment="1">
      <alignment horizontal="left"/>
    </xf>
    <xf numFmtId="0" fontId="69" fillId="73" borderId="62" xfId="0" applyFont="1" applyFill="1" applyBorder="1" applyAlignment="1">
      <alignment horizontal="left"/>
    </xf>
    <xf numFmtId="177" fontId="69" fillId="73" borderId="0" xfId="0" applyNumberFormat="1" applyFont="1" applyFill="1" applyAlignment="1">
      <alignment horizontal="right"/>
    </xf>
    <xf numFmtId="177" fontId="68" fillId="73" borderId="0" xfId="0" applyNumberFormat="1" applyFont="1" applyFill="1" applyAlignment="1">
      <alignment horizontal="right"/>
    </xf>
    <xf numFmtId="176" fontId="68" fillId="0" borderId="0" xfId="2" applyNumberFormat="1" applyFont="1" applyFill="1" applyBorder="1" applyAlignment="1"/>
    <xf numFmtId="176" fontId="68" fillId="68" borderId="94" xfId="2" applyNumberFormat="1" applyFont="1" applyFill="1" applyBorder="1" applyAlignment="1">
      <alignment horizontal="right"/>
    </xf>
    <xf numFmtId="0" fontId="69" fillId="73" borderId="0" xfId="0" applyFont="1" applyFill="1"/>
    <xf numFmtId="0" fontId="69" fillId="68" borderId="2" xfId="0" applyFont="1" applyFill="1" applyBorder="1"/>
    <xf numFmtId="176" fontId="69" fillId="68" borderId="95" xfId="2" applyNumberFormat="1" applyFont="1" applyFill="1" applyBorder="1" applyAlignment="1">
      <alignment horizontal="right"/>
    </xf>
    <xf numFmtId="176" fontId="68" fillId="73" borderId="0" xfId="2" applyNumberFormat="1" applyFont="1" applyFill="1" applyBorder="1" applyAlignment="1"/>
    <xf numFmtId="176" fontId="68" fillId="0" borderId="0" xfId="2112" applyNumberFormat="1" applyFont="1" applyFill="1" applyBorder="1"/>
    <xf numFmtId="234" fontId="68" fillId="0" borderId="0" xfId="1" applyNumberFormat="1" applyFont="1" applyFill="1" applyBorder="1"/>
    <xf numFmtId="176" fontId="68" fillId="0" borderId="0" xfId="2" applyNumberFormat="1" applyFont="1" applyFill="1" applyBorder="1" applyAlignment="1">
      <alignment horizontal="right"/>
    </xf>
    <xf numFmtId="0" fontId="69" fillId="73" borderId="0" xfId="0" applyFont="1" applyFill="1" applyAlignment="1">
      <alignment horizontal="center"/>
    </xf>
    <xf numFmtId="0" fontId="68" fillId="73" borderId="0" xfId="0" applyFont="1" applyFill="1" applyAlignment="1">
      <alignment horizontal="right"/>
    </xf>
    <xf numFmtId="0" fontId="69" fillId="73" borderId="73" xfId="0" applyFont="1" applyFill="1" applyBorder="1"/>
    <xf numFmtId="0" fontId="69" fillId="73" borderId="2" xfId="0" applyFont="1" applyFill="1" applyBorder="1" applyAlignment="1">
      <alignment horizontal="center" vertical="center"/>
    </xf>
    <xf numFmtId="0" fontId="68" fillId="0" borderId="80" xfId="0" applyFont="1" applyBorder="1" applyAlignment="1">
      <alignment horizontal="left"/>
    </xf>
    <xf numFmtId="0" fontId="69" fillId="0" borderId="22" xfId="0" applyFont="1" applyBorder="1" applyAlignment="1">
      <alignment horizontal="center" vertical="center"/>
    </xf>
    <xf numFmtId="0" fontId="68" fillId="0" borderId="22" xfId="0" applyFont="1" applyBorder="1" applyAlignment="1">
      <alignment horizontal="center" vertical="center"/>
    </xf>
    <xf numFmtId="234" fontId="68" fillId="0" borderId="22" xfId="1" applyNumberFormat="1" applyFont="1" applyFill="1" applyBorder="1" applyAlignment="1">
      <alignment horizontal="center" vertical="center"/>
    </xf>
    <xf numFmtId="3" fontId="68" fillId="0" borderId="22" xfId="0" applyNumberFormat="1" applyFont="1" applyBorder="1" applyAlignment="1">
      <alignment horizontal="center" vertical="center"/>
    </xf>
    <xf numFmtId="0" fontId="68" fillId="0" borderId="22" xfId="0" applyFont="1" applyBorder="1"/>
    <xf numFmtId="176" fontId="68" fillId="0" borderId="22" xfId="2112" applyNumberFormat="1" applyFont="1" applyFill="1" applyBorder="1"/>
    <xf numFmtId="0" fontId="68" fillId="0" borderId="77" xfId="0" applyFont="1" applyBorder="1"/>
    <xf numFmtId="0" fontId="69" fillId="68" borderId="68" xfId="0" applyFont="1" applyFill="1" applyBorder="1" applyAlignment="1">
      <alignment horizontal="center" vertical="center"/>
    </xf>
    <xf numFmtId="176" fontId="2" fillId="73" borderId="0" xfId="2112" applyNumberFormat="1" applyFont="1" applyFill="1" applyBorder="1"/>
    <xf numFmtId="0" fontId="25" fillId="73" borderId="0" xfId="0" applyFont="1" applyFill="1"/>
    <xf numFmtId="0" fontId="2" fillId="73" borderId="22" xfId="0" applyFont="1" applyFill="1" applyBorder="1" applyAlignment="1">
      <alignment horizontal="center" vertical="center"/>
    </xf>
    <xf numFmtId="0" fontId="2" fillId="73" borderId="63" xfId="0" applyFont="1" applyFill="1" applyBorder="1"/>
    <xf numFmtId="0" fontId="2" fillId="73" borderId="63" xfId="0" applyFont="1" applyFill="1" applyBorder="1" applyAlignment="1">
      <alignment horizontal="center"/>
    </xf>
    <xf numFmtId="0" fontId="2" fillId="73" borderId="77" xfId="0" applyFont="1" applyFill="1" applyBorder="1" applyAlignment="1">
      <alignment horizontal="center"/>
    </xf>
    <xf numFmtId="234" fontId="69" fillId="73" borderId="1" xfId="1" applyNumberFormat="1" applyFont="1" applyFill="1" applyBorder="1" applyAlignment="1">
      <alignment horizontal="right"/>
    </xf>
    <xf numFmtId="234" fontId="5" fillId="0" borderId="63" xfId="1" applyNumberFormat="1" applyFont="1" applyBorder="1" applyAlignment="1">
      <alignment horizontal="center"/>
    </xf>
    <xf numFmtId="234" fontId="5" fillId="0" borderId="74" xfId="1" applyNumberFormat="1" applyFont="1" applyBorder="1" applyAlignment="1">
      <alignment horizontal="center"/>
    </xf>
    <xf numFmtId="234" fontId="3" fillId="0" borderId="74" xfId="1" applyNumberFormat="1" applyFont="1" applyBorder="1" applyAlignment="1">
      <alignment horizontal="center"/>
    </xf>
    <xf numFmtId="234" fontId="3" fillId="0" borderId="69" xfId="1" applyNumberFormat="1" applyFont="1" applyBorder="1" applyAlignment="1">
      <alignment horizontal="center"/>
    </xf>
    <xf numFmtId="234" fontId="3" fillId="0" borderId="77" xfId="1" applyNumberFormat="1" applyFont="1" applyBorder="1" applyAlignment="1">
      <alignment horizontal="center"/>
    </xf>
    <xf numFmtId="234" fontId="3" fillId="0" borderId="0" xfId="1" applyNumberFormat="1" applyFont="1" applyBorder="1" applyAlignment="1">
      <alignment horizontal="center"/>
    </xf>
    <xf numFmtId="0" fontId="69" fillId="68" borderId="79" xfId="0" applyFont="1" applyFill="1" applyBorder="1" applyAlignment="1">
      <alignment horizontal="center"/>
    </xf>
    <xf numFmtId="0" fontId="2" fillId="68" borderId="0" xfId="0" applyFont="1" applyFill="1"/>
    <xf numFmtId="0" fontId="25" fillId="68" borderId="0" xfId="0" applyFont="1" applyFill="1"/>
    <xf numFmtId="9" fontId="69" fillId="68" borderId="63" xfId="1" applyFont="1" applyFill="1" applyBorder="1" applyAlignment="1">
      <alignment horizontal="right"/>
    </xf>
    <xf numFmtId="234" fontId="69" fillId="68" borderId="74" xfId="1" applyNumberFormat="1" applyFont="1" applyFill="1" applyBorder="1" applyAlignment="1">
      <alignment horizontal="right"/>
    </xf>
    <xf numFmtId="234" fontId="69" fillId="68" borderId="63" xfId="1" applyNumberFormat="1" applyFont="1" applyFill="1" applyBorder="1" applyAlignment="1"/>
    <xf numFmtId="234" fontId="68" fillId="68" borderId="63" xfId="1" applyNumberFormat="1" applyFont="1" applyFill="1" applyBorder="1" applyAlignment="1"/>
    <xf numFmtId="234" fontId="68" fillId="68" borderId="72" xfId="1" applyNumberFormat="1" applyFont="1" applyFill="1" applyBorder="1"/>
    <xf numFmtId="234" fontId="68" fillId="68" borderId="63" xfId="1" applyNumberFormat="1" applyFont="1" applyFill="1" applyBorder="1"/>
    <xf numFmtId="234" fontId="68" fillId="68" borderId="63" xfId="1" applyNumberFormat="1" applyFont="1" applyFill="1" applyBorder="1" applyAlignment="1">
      <alignment horizontal="right"/>
    </xf>
    <xf numFmtId="234" fontId="69" fillId="68" borderId="63" xfId="1" applyNumberFormat="1" applyFont="1" applyFill="1" applyBorder="1" applyAlignment="1">
      <alignment horizontal="right"/>
    </xf>
    <xf numFmtId="234" fontId="68" fillId="68" borderId="72" xfId="1" applyNumberFormat="1" applyFont="1" applyFill="1" applyBorder="1" applyAlignment="1">
      <alignment horizontal="right"/>
    </xf>
    <xf numFmtId="234" fontId="68" fillId="68" borderId="96" xfId="1" applyNumberFormat="1" applyFont="1" applyFill="1" applyBorder="1" applyAlignment="1">
      <alignment horizontal="right"/>
    </xf>
    <xf numFmtId="234" fontId="69" fillId="68" borderId="90" xfId="1" applyNumberFormat="1" applyFont="1" applyFill="1" applyBorder="1" applyAlignment="1">
      <alignment horizontal="right"/>
    </xf>
    <xf numFmtId="234" fontId="68" fillId="0" borderId="63" xfId="1" applyNumberFormat="1" applyFont="1" applyFill="1" applyBorder="1" applyAlignment="1">
      <alignment horizontal="right"/>
    </xf>
    <xf numFmtId="0" fontId="69" fillId="73" borderId="1" xfId="0" applyFont="1" applyFill="1" applyBorder="1"/>
    <xf numFmtId="176" fontId="69" fillId="73" borderId="0" xfId="2112" applyNumberFormat="1" applyFont="1" applyFill="1" applyBorder="1"/>
    <xf numFmtId="234" fontId="69" fillId="73" borderId="63" xfId="1" applyNumberFormat="1" applyFont="1" applyFill="1" applyBorder="1"/>
    <xf numFmtId="176" fontId="69" fillId="73" borderId="82" xfId="2112" applyNumberFormat="1" applyFont="1" applyFill="1" applyBorder="1"/>
    <xf numFmtId="234" fontId="69" fillId="73" borderId="82" xfId="1" applyNumberFormat="1" applyFont="1" applyFill="1" applyBorder="1"/>
    <xf numFmtId="234" fontId="69" fillId="73" borderId="0" xfId="1" applyNumberFormat="1" applyFont="1" applyFill="1" applyBorder="1"/>
    <xf numFmtId="234" fontId="69" fillId="73" borderId="91" xfId="1" applyNumberFormat="1" applyFont="1" applyFill="1" applyBorder="1"/>
    <xf numFmtId="176" fontId="68" fillId="73" borderId="1" xfId="2112" applyNumberFormat="1" applyFont="1" applyFill="1" applyBorder="1"/>
    <xf numFmtId="234" fontId="68" fillId="73" borderId="1" xfId="1" applyNumberFormat="1" applyFont="1" applyFill="1" applyBorder="1"/>
    <xf numFmtId="234" fontId="68" fillId="73" borderId="0" xfId="1" applyNumberFormat="1" applyFont="1" applyFill="1" applyBorder="1"/>
    <xf numFmtId="234" fontId="68" fillId="73" borderId="72" xfId="1" applyNumberFormat="1" applyFont="1" applyFill="1" applyBorder="1"/>
    <xf numFmtId="176" fontId="68" fillId="73" borderId="0" xfId="2112" applyNumberFormat="1" applyFont="1" applyFill="1" applyBorder="1"/>
    <xf numFmtId="234" fontId="68" fillId="73" borderId="63" xfId="1" applyNumberFormat="1" applyFont="1" applyFill="1" applyBorder="1"/>
    <xf numFmtId="0" fontId="69" fillId="73" borderId="2" xfId="0" applyFont="1" applyFill="1" applyBorder="1"/>
    <xf numFmtId="176" fontId="69" fillId="73" borderId="2" xfId="2112" applyNumberFormat="1" applyFont="1" applyFill="1" applyBorder="1"/>
    <xf numFmtId="234" fontId="69" fillId="73" borderId="2" xfId="1" applyNumberFormat="1" applyFont="1" applyFill="1" applyBorder="1"/>
    <xf numFmtId="234" fontId="69" fillId="73" borderId="74" xfId="1" applyNumberFormat="1" applyFont="1" applyFill="1" applyBorder="1"/>
    <xf numFmtId="0" fontId="72" fillId="0" borderId="92" xfId="0" applyFont="1" applyBorder="1" applyAlignment="1">
      <alignment horizontal="center"/>
    </xf>
    <xf numFmtId="0" fontId="72" fillId="0" borderId="50" xfId="0" applyFont="1" applyBorder="1" applyAlignment="1">
      <alignment horizontal="center"/>
    </xf>
    <xf numFmtId="0" fontId="72" fillId="0" borderId="9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07" fillId="0" borderId="0" xfId="0" applyFont="1"/>
    <xf numFmtId="176" fontId="4" fillId="0" borderId="0" xfId="2112" applyNumberFormat="1" applyFont="1" applyFill="1" applyBorder="1"/>
    <xf numFmtId="0" fontId="2" fillId="68" borderId="1" xfId="0" applyFont="1" applyFill="1" applyBorder="1"/>
    <xf numFmtId="176" fontId="38" fillId="0" borderId="0" xfId="2112" applyNumberFormat="1" applyFont="1" applyBorder="1" applyAlignment="1">
      <alignment horizontal="center"/>
    </xf>
    <xf numFmtId="234" fontId="294" fillId="0" borderId="0" xfId="1" applyNumberFormat="1" applyFont="1"/>
    <xf numFmtId="0" fontId="295" fillId="0" borderId="63" xfId="2182" applyFont="1" applyBorder="1" applyAlignment="1">
      <alignment horizontal="center" vertical="center" wrapText="1"/>
    </xf>
    <xf numFmtId="176" fontId="30" fillId="0" borderId="50" xfId="2112" applyNumberFormat="1" applyFont="1" applyFill="1" applyBorder="1" applyAlignment="1" applyProtection="1">
      <alignment horizontal="center" vertical="center"/>
      <protection locked="0"/>
    </xf>
    <xf numFmtId="193" fontId="68" fillId="83" borderId="0" xfId="2182" applyNumberFormat="1" applyFont="1" applyFill="1" applyAlignment="1">
      <alignment horizontal="right"/>
    </xf>
    <xf numFmtId="234" fontId="30" fillId="64" borderId="0" xfId="1" applyNumberFormat="1" applyFont="1" applyFill="1" applyBorder="1" applyAlignment="1" applyProtection="1">
      <alignment horizontal="center"/>
      <protection locked="0"/>
    </xf>
    <xf numFmtId="234" fontId="293" fillId="64" borderId="0" xfId="1" applyNumberFormat="1" applyFont="1" applyFill="1" applyBorder="1" applyAlignment="1" applyProtection="1">
      <alignment horizontal="center" vertical="center"/>
      <protection locked="0"/>
    </xf>
    <xf numFmtId="193" fontId="2" fillId="69" borderId="62" xfId="2061" applyNumberFormat="1" applyFont="1" applyFill="1" applyBorder="1" applyAlignment="1">
      <alignment horizontal="right"/>
    </xf>
    <xf numFmtId="176" fontId="4" fillId="0" borderId="0" xfId="0" applyNumberFormat="1" applyFont="1" applyAlignment="1">
      <alignment horizontal="left"/>
    </xf>
    <xf numFmtId="0" fontId="3" fillId="73" borderId="0" xfId="0" applyFont="1" applyFill="1"/>
    <xf numFmtId="0" fontId="3" fillId="72" borderId="0" xfId="0" applyFont="1" applyFill="1"/>
    <xf numFmtId="0" fontId="2" fillId="72" borderId="0" xfId="0" applyFont="1" applyFill="1"/>
    <xf numFmtId="0" fontId="4" fillId="72" borderId="0" xfId="0" applyFont="1" applyFill="1"/>
    <xf numFmtId="1" fontId="4" fillId="73" borderId="68" xfId="2112" applyNumberFormat="1" applyFont="1" applyFill="1" applyBorder="1" applyAlignment="1">
      <alignment horizontal="center"/>
    </xf>
    <xf numFmtId="1" fontId="4" fillId="72" borderId="68" xfId="2112" applyNumberFormat="1" applyFont="1" applyFill="1" applyBorder="1" applyAlignment="1">
      <alignment horizontal="center"/>
    </xf>
    <xf numFmtId="176" fontId="4" fillId="0" borderId="77" xfId="2112" applyNumberFormat="1" applyFont="1" applyFill="1" applyBorder="1" applyAlignment="1"/>
    <xf numFmtId="234" fontId="30" fillId="0" borderId="0" xfId="1" applyNumberFormat="1" applyFont="1" applyFill="1" applyBorder="1" applyAlignment="1" applyProtection="1">
      <alignment horizontal="center"/>
      <protection locked="0"/>
    </xf>
    <xf numFmtId="234" fontId="293" fillId="0" borderId="0" xfId="1" applyNumberFormat="1" applyFont="1" applyFill="1" applyBorder="1" applyAlignment="1" applyProtection="1">
      <alignment horizontal="center" vertical="center"/>
      <protection locked="0"/>
    </xf>
    <xf numFmtId="9" fontId="261" fillId="59" borderId="0" xfId="0" applyNumberFormat="1" applyFont="1" applyFill="1" applyAlignment="1">
      <alignment horizontal="left"/>
    </xf>
    <xf numFmtId="0" fontId="2" fillId="73" borderId="0" xfId="0" applyFont="1" applyFill="1" applyAlignment="1">
      <alignment vertical="center"/>
    </xf>
    <xf numFmtId="0" fontId="2" fillId="73" borderId="22" xfId="0" applyFont="1" applyFill="1" applyBorder="1" applyAlignment="1">
      <alignment vertical="center"/>
    </xf>
    <xf numFmtId="234" fontId="69" fillId="68" borderId="0" xfId="1" applyNumberFormat="1" applyFont="1" applyFill="1"/>
    <xf numFmtId="176" fontId="0" fillId="0" borderId="0" xfId="0" applyNumberFormat="1" applyAlignment="1">
      <alignment horizontal="center"/>
    </xf>
    <xf numFmtId="234" fontId="0" fillId="0" borderId="0" xfId="1" applyNumberFormat="1" applyFont="1"/>
    <xf numFmtId="0" fontId="262" fillId="72" borderId="24" xfId="0" applyFont="1" applyFill="1" applyBorder="1" applyAlignment="1">
      <alignment horizontal="center"/>
    </xf>
    <xf numFmtId="0" fontId="237" fillId="72" borderId="24" xfId="0" applyFont="1" applyFill="1" applyBorder="1"/>
    <xf numFmtId="0" fontId="237" fillId="72" borderId="24" xfId="0" applyFont="1" applyFill="1" applyBorder="1" applyAlignment="1">
      <alignment horizontal="center"/>
    </xf>
    <xf numFmtId="0" fontId="0" fillId="0" borderId="24" xfId="0" applyBorder="1"/>
    <xf numFmtId="176" fontId="1" fillId="0" borderId="24" xfId="2112" applyNumberFormat="1" applyFont="1" applyBorder="1" applyAlignment="1">
      <alignment horizontal="center"/>
    </xf>
    <xf numFmtId="176" fontId="1" fillId="72" borderId="24" xfId="2112" applyNumberFormat="1" applyFont="1" applyFill="1" applyBorder="1" applyAlignment="1">
      <alignment horizontal="center"/>
    </xf>
    <xf numFmtId="0" fontId="0" fillId="84" borderId="24" xfId="0" applyFill="1" applyBorder="1"/>
    <xf numFmtId="176" fontId="1" fillId="84" borderId="24" xfId="2112" applyNumberFormat="1" applyFont="1" applyFill="1" applyBorder="1" applyAlignment="1">
      <alignment horizontal="center"/>
    </xf>
    <xf numFmtId="176" fontId="262" fillId="84" borderId="24" xfId="2112" applyNumberFormat="1" applyFont="1" applyFill="1" applyBorder="1" applyAlignment="1">
      <alignment horizontal="center"/>
    </xf>
    <xf numFmtId="176" fontId="1" fillId="64" borderId="0" xfId="2112" applyNumberFormat="1" applyFont="1" applyFill="1" applyBorder="1" applyAlignment="1">
      <alignment horizontal="center"/>
    </xf>
    <xf numFmtId="234" fontId="0" fillId="64" borderId="0" xfId="1" applyNumberFormat="1" applyFont="1" applyFill="1"/>
    <xf numFmtId="0" fontId="0" fillId="64" borderId="0" xfId="0" applyFill="1"/>
    <xf numFmtId="9" fontId="262" fillId="64" borderId="0" xfId="1" applyFont="1" applyFill="1" applyBorder="1" applyAlignment="1">
      <alignment horizontal="center"/>
    </xf>
    <xf numFmtId="176" fontId="0" fillId="64" borderId="0" xfId="0" applyNumberFormat="1" applyFill="1"/>
    <xf numFmtId="176" fontId="1" fillId="0" borderId="0" xfId="2112" applyNumberFormat="1" applyFont="1" applyBorder="1" applyAlignment="1">
      <alignment horizontal="center"/>
    </xf>
    <xf numFmtId="0" fontId="0" fillId="84" borderId="0" xfId="0" applyFill="1"/>
    <xf numFmtId="0" fontId="315" fillId="72" borderId="24" xfId="0" applyFont="1" applyFill="1" applyBorder="1" applyAlignment="1">
      <alignment horizontal="center"/>
    </xf>
    <xf numFmtId="0" fontId="314" fillId="72" borderId="24" xfId="0" applyFont="1" applyFill="1" applyBorder="1" applyAlignment="1">
      <alignment horizontal="left"/>
    </xf>
    <xf numFmtId="176" fontId="316" fillId="0" borderId="24" xfId="0" applyNumberFormat="1" applyFont="1" applyBorder="1" applyAlignment="1">
      <alignment horizontal="center"/>
    </xf>
    <xf numFmtId="176" fontId="317" fillId="84" borderId="24" xfId="0" applyNumberFormat="1" applyFont="1" applyFill="1" applyBorder="1" applyAlignment="1">
      <alignment horizontal="center"/>
    </xf>
    <xf numFmtId="234" fontId="0" fillId="84" borderId="24" xfId="1" applyNumberFormat="1" applyFont="1" applyFill="1" applyBorder="1" applyAlignment="1">
      <alignment horizontal="center"/>
    </xf>
    <xf numFmtId="234" fontId="0" fillId="84" borderId="0" xfId="1" applyNumberFormat="1" applyFont="1" applyFill="1"/>
    <xf numFmtId="234" fontId="0" fillId="72" borderId="24" xfId="1" applyNumberFormat="1" applyFont="1" applyFill="1" applyBorder="1" applyAlignment="1">
      <alignment horizontal="center"/>
    </xf>
    <xf numFmtId="176" fontId="0" fillId="72" borderId="24" xfId="1" applyNumberFormat="1" applyFont="1" applyFill="1" applyBorder="1" applyAlignment="1">
      <alignment horizontal="center"/>
    </xf>
    <xf numFmtId="234" fontId="318" fillId="84" borderId="24" xfId="1" applyNumberFormat="1" applyFont="1" applyFill="1" applyBorder="1" applyAlignment="1">
      <alignment horizontal="center"/>
    </xf>
    <xf numFmtId="234" fontId="272" fillId="84" borderId="24" xfId="1" applyNumberFormat="1" applyFont="1" applyFill="1" applyBorder="1" applyAlignment="1">
      <alignment horizontal="center"/>
    </xf>
    <xf numFmtId="176" fontId="0" fillId="0" borderId="0" xfId="2112" applyNumberFormat="1" applyFont="1" applyAlignment="1">
      <alignment horizontal="center"/>
    </xf>
    <xf numFmtId="176" fontId="0" fillId="72" borderId="0" xfId="0" applyNumberFormat="1" applyFill="1" applyAlignment="1">
      <alignment horizontal="center"/>
    </xf>
    <xf numFmtId="0" fontId="0" fillId="72" borderId="0" xfId="0" applyFill="1" applyAlignment="1">
      <alignment horizontal="center"/>
    </xf>
    <xf numFmtId="0" fontId="0" fillId="0" borderId="0" xfId="0" applyAlignment="1">
      <alignment horizontal="center"/>
    </xf>
    <xf numFmtId="0" fontId="262" fillId="0" borderId="24" xfId="0" applyFont="1" applyBorder="1"/>
    <xf numFmtId="176" fontId="262" fillId="72" borderId="24" xfId="2112" applyNumberFormat="1" applyFont="1" applyFill="1" applyBorder="1" applyAlignment="1">
      <alignment horizontal="center"/>
    </xf>
    <xf numFmtId="234" fontId="262" fillId="0" borderId="0" xfId="1" applyNumberFormat="1" applyFont="1"/>
    <xf numFmtId="176" fontId="0" fillId="0" borderId="24" xfId="2112" applyNumberFormat="1" applyFont="1" applyBorder="1" applyAlignment="1">
      <alignment horizontal="center"/>
    </xf>
    <xf numFmtId="176" fontId="0" fillId="0" borderId="0" xfId="2112" applyNumberFormat="1" applyFont="1" applyBorder="1" applyAlignment="1">
      <alignment horizontal="center"/>
    </xf>
    <xf numFmtId="176" fontId="0" fillId="72" borderId="24" xfId="2112" applyNumberFormat="1" applyFont="1" applyFill="1" applyBorder="1" applyAlignment="1">
      <alignment horizontal="center"/>
    </xf>
    <xf numFmtId="176" fontId="264" fillId="0" borderId="24" xfId="2112" applyNumberFormat="1" applyFont="1" applyBorder="1" applyAlignment="1">
      <alignment horizontal="center"/>
    </xf>
    <xf numFmtId="234" fontId="264" fillId="0" borderId="24" xfId="1" applyNumberFormat="1" applyFont="1" applyBorder="1" applyAlignment="1">
      <alignment horizontal="center"/>
    </xf>
    <xf numFmtId="234" fontId="0" fillId="0" borderId="24" xfId="1" applyNumberFormat="1" applyFont="1" applyBorder="1" applyAlignment="1">
      <alignment horizontal="center"/>
    </xf>
    <xf numFmtId="176" fontId="0" fillId="0" borderId="24" xfId="2112" applyNumberFormat="1" applyFont="1" applyBorder="1"/>
    <xf numFmtId="9" fontId="0" fillId="0" borderId="0" xfId="1" applyFont="1"/>
    <xf numFmtId="9" fontId="0" fillId="0" borderId="0" xfId="1" applyFont="1" applyAlignment="1">
      <alignment horizontal="center"/>
    </xf>
    <xf numFmtId="0" fontId="0" fillId="0" borderId="24" xfId="0" applyBorder="1" applyAlignment="1">
      <alignment horizontal="center"/>
    </xf>
    <xf numFmtId="9" fontId="0" fillId="0" borderId="24" xfId="1" applyFont="1" applyBorder="1" applyAlignment="1">
      <alignment horizontal="center"/>
    </xf>
    <xf numFmtId="176" fontId="262" fillId="0" borderId="24" xfId="2112" applyNumberFormat="1" applyFont="1" applyBorder="1" applyAlignment="1">
      <alignment horizontal="center"/>
    </xf>
    <xf numFmtId="176" fontId="262" fillId="0" borderId="0" xfId="2112" applyNumberFormat="1" applyFont="1"/>
    <xf numFmtId="0" fontId="0" fillId="69" borderId="0" xfId="0" applyFill="1"/>
    <xf numFmtId="0" fontId="0" fillId="69" borderId="0" xfId="0" applyFill="1" applyAlignment="1">
      <alignment horizontal="center"/>
    </xf>
    <xf numFmtId="0" fontId="25" fillId="0" borderId="0" xfId="2183" applyFont="1"/>
    <xf numFmtId="0" fontId="72" fillId="73" borderId="0" xfId="2183" applyFont="1" applyFill="1" applyAlignment="1">
      <alignment horizontal="center"/>
    </xf>
    <xf numFmtId="0" fontId="72" fillId="68" borderId="0" xfId="2183" applyFont="1" applyFill="1" applyAlignment="1">
      <alignment horizontal="center"/>
    </xf>
    <xf numFmtId="0" fontId="72" fillId="68" borderId="0" xfId="2183" applyFont="1" applyFill="1" applyAlignment="1">
      <alignment horizontal="left"/>
    </xf>
    <xf numFmtId="41" fontId="72" fillId="68" borderId="0" xfId="2183" applyNumberFormat="1" applyFont="1" applyFill="1" applyAlignment="1">
      <alignment horizontal="center"/>
    </xf>
    <xf numFmtId="176" fontId="72" fillId="68" borderId="0" xfId="2112" applyNumberFormat="1" applyFont="1" applyFill="1" applyAlignment="1">
      <alignment horizontal="center"/>
    </xf>
    <xf numFmtId="234" fontId="72" fillId="68" borderId="0" xfId="1" applyNumberFormat="1" applyFont="1" applyFill="1" applyAlignment="1">
      <alignment horizontal="right"/>
    </xf>
    <xf numFmtId="0" fontId="37" fillId="73" borderId="0" xfId="2183" applyFont="1" applyFill="1" applyAlignment="1">
      <alignment horizontal="center"/>
    </xf>
    <xf numFmtId="0" fontId="25" fillId="73" borderId="0" xfId="2183" applyFont="1" applyFill="1"/>
    <xf numFmtId="0" fontId="37" fillId="73" borderId="0" xfId="2183" applyFont="1" applyFill="1"/>
    <xf numFmtId="0" fontId="37" fillId="73" borderId="24" xfId="2183" applyFont="1" applyFill="1" applyBorder="1"/>
    <xf numFmtId="41" fontId="37" fillId="73" borderId="24" xfId="2183" applyNumberFormat="1" applyFont="1" applyFill="1" applyBorder="1"/>
    <xf numFmtId="49" fontId="2" fillId="73" borderId="66" xfId="0" applyNumberFormat="1" applyFont="1" applyFill="1" applyBorder="1"/>
    <xf numFmtId="0" fontId="37" fillId="73" borderId="24" xfId="2183" applyFont="1" applyFill="1" applyBorder="1" applyAlignment="1">
      <alignment horizontal="center"/>
    </xf>
    <xf numFmtId="0" fontId="37" fillId="73" borderId="32" xfId="2183" applyFont="1" applyFill="1" applyBorder="1" applyAlignment="1">
      <alignment horizontal="center"/>
    </xf>
    <xf numFmtId="0" fontId="25" fillId="73" borderId="24" xfId="2183" applyFont="1" applyFill="1" applyBorder="1"/>
    <xf numFmtId="176" fontId="25" fillId="73" borderId="24" xfId="2112" applyNumberFormat="1" applyFont="1" applyFill="1" applyBorder="1"/>
    <xf numFmtId="176" fontId="25" fillId="73" borderId="32" xfId="2112" applyNumberFormat="1" applyFont="1" applyFill="1" applyBorder="1"/>
    <xf numFmtId="0" fontId="25" fillId="73" borderId="24" xfId="2183" applyFont="1" applyFill="1" applyBorder="1" applyAlignment="1">
      <alignment wrapText="1"/>
    </xf>
    <xf numFmtId="176" fontId="37" fillId="73" borderId="24" xfId="2112" applyNumberFormat="1" applyFont="1" applyFill="1" applyBorder="1"/>
    <xf numFmtId="41" fontId="25" fillId="73" borderId="0" xfId="2183" applyNumberFormat="1" applyFont="1" applyFill="1"/>
    <xf numFmtId="0" fontId="25" fillId="68" borderId="0" xfId="2183" applyFont="1" applyFill="1"/>
    <xf numFmtId="0" fontId="37" fillId="68" borderId="0" xfId="2183" applyFont="1" applyFill="1"/>
    <xf numFmtId="0" fontId="37" fillId="68" borderId="100" xfId="2183" applyFont="1" applyFill="1" applyBorder="1"/>
    <xf numFmtId="177" fontId="37" fillId="68" borderId="101" xfId="2184" applyNumberFormat="1" applyFont="1" applyFill="1" applyBorder="1"/>
    <xf numFmtId="0" fontId="37" fillId="68" borderId="24" xfId="2183" applyFont="1" applyFill="1" applyBorder="1"/>
    <xf numFmtId="0" fontId="37" fillId="68" borderId="0" xfId="2183" applyFont="1" applyFill="1" applyAlignment="1">
      <alignment vertical="center"/>
    </xf>
    <xf numFmtId="0" fontId="25" fillId="68" borderId="24" xfId="2183" applyFont="1" applyFill="1" applyBorder="1" applyAlignment="1">
      <alignment vertical="center"/>
    </xf>
    <xf numFmtId="177" fontId="25" fillId="68" borderId="32" xfId="2184" applyNumberFormat="1" applyFont="1" applyFill="1" applyBorder="1" applyAlignment="1">
      <alignment vertical="center"/>
    </xf>
    <xf numFmtId="0" fontId="25" fillId="0" borderId="0" xfId="2183" applyFont="1" applyAlignment="1">
      <alignment vertical="center"/>
    </xf>
    <xf numFmtId="177" fontId="25" fillId="68" borderId="0" xfId="2184" applyNumberFormat="1" applyFont="1" applyFill="1" applyBorder="1"/>
    <xf numFmtId="0" fontId="25" fillId="68" borderId="0" xfId="2183" applyFont="1" applyFill="1" applyAlignment="1">
      <alignment horizontal="left" vertical="center" wrapText="1"/>
    </xf>
    <xf numFmtId="0" fontId="25" fillId="68" borderId="0" xfId="2183" applyFont="1" applyFill="1" applyAlignment="1">
      <alignment vertical="center"/>
    </xf>
    <xf numFmtId="0" fontId="25" fillId="73" borderId="0" xfId="2183" applyFont="1" applyFill="1" applyAlignment="1">
      <alignment horizontal="left"/>
    </xf>
    <xf numFmtId="177" fontId="25" fillId="73" borderId="24" xfId="2184" applyNumberFormat="1" applyFont="1" applyFill="1" applyBorder="1"/>
    <xf numFmtId="0" fontId="25" fillId="73" borderId="24" xfId="2183" applyFont="1" applyFill="1" applyBorder="1" applyAlignment="1">
      <alignment vertical="center" wrapText="1"/>
    </xf>
    <xf numFmtId="177" fontId="25" fillId="73" borderId="0" xfId="2183" applyNumberFormat="1" applyFont="1" applyFill="1"/>
    <xf numFmtId="0" fontId="25" fillId="68" borderId="0" xfId="2183" applyFont="1" applyFill="1" applyAlignment="1">
      <alignment horizontal="left"/>
    </xf>
    <xf numFmtId="41" fontId="37" fillId="68" borderId="24" xfId="2183" applyNumberFormat="1" applyFont="1" applyFill="1" applyBorder="1"/>
    <xf numFmtId="0" fontId="25" fillId="68" borderId="24" xfId="2183" applyFont="1" applyFill="1" applyBorder="1"/>
    <xf numFmtId="177" fontId="25" fillId="68" borderId="24" xfId="2184" applyNumberFormat="1" applyFont="1" applyFill="1" applyBorder="1"/>
    <xf numFmtId="0" fontId="25" fillId="68" borderId="24" xfId="2183" applyFont="1" applyFill="1" applyBorder="1" applyAlignment="1">
      <alignment vertical="center" wrapText="1"/>
    </xf>
    <xf numFmtId="176" fontId="37" fillId="73" borderId="0" xfId="2183" applyNumberFormat="1" applyFont="1" applyFill="1"/>
    <xf numFmtId="0" fontId="25" fillId="73" borderId="0" xfId="2183" applyFont="1" applyFill="1" applyAlignment="1">
      <alignment vertical="center"/>
    </xf>
    <xf numFmtId="177" fontId="37" fillId="73" borderId="24" xfId="2184" applyNumberFormat="1" applyFont="1" applyFill="1" applyBorder="1" applyAlignment="1">
      <alignment horizontal="right"/>
    </xf>
    <xf numFmtId="41" fontId="37" fillId="68" borderId="24" xfId="1864" applyFont="1" applyFill="1" applyBorder="1"/>
    <xf numFmtId="41" fontId="25" fillId="68" borderId="0" xfId="2183" applyNumberFormat="1" applyFont="1" applyFill="1"/>
    <xf numFmtId="176" fontId="25" fillId="68" borderId="0" xfId="2112" applyNumberFormat="1" applyFont="1" applyFill="1" applyBorder="1"/>
    <xf numFmtId="41" fontId="25" fillId="68" borderId="24" xfId="1864" applyFont="1" applyFill="1" applyBorder="1"/>
    <xf numFmtId="41" fontId="37" fillId="73" borderId="32" xfId="1864" applyFont="1" applyFill="1" applyBorder="1"/>
    <xf numFmtId="41" fontId="25" fillId="73" borderId="24" xfId="1864" applyFont="1" applyFill="1" applyBorder="1"/>
    <xf numFmtId="41" fontId="37" fillId="73" borderId="0" xfId="1864" applyFont="1" applyFill="1" applyBorder="1"/>
    <xf numFmtId="174" fontId="25" fillId="68" borderId="0" xfId="2183" applyNumberFormat="1" applyFont="1" applyFill="1"/>
    <xf numFmtId="0" fontId="25" fillId="68" borderId="24" xfId="2183" applyFont="1" applyFill="1" applyBorder="1" applyAlignment="1">
      <alignment horizontal="left" vertical="center" wrapText="1"/>
    </xf>
    <xf numFmtId="41" fontId="37" fillId="68" borderId="0" xfId="2183" applyNumberFormat="1" applyFont="1" applyFill="1"/>
    <xf numFmtId="174" fontId="25" fillId="73" borderId="0" xfId="2183" applyNumberFormat="1" applyFont="1" applyFill="1"/>
    <xf numFmtId="41" fontId="37" fillId="73" borderId="32" xfId="2183" applyNumberFormat="1" applyFont="1" applyFill="1" applyBorder="1"/>
    <xf numFmtId="174" fontId="37" fillId="73" borderId="24" xfId="2183" applyNumberFormat="1" applyFont="1" applyFill="1" applyBorder="1"/>
    <xf numFmtId="41" fontId="25" fillId="73" borderId="32" xfId="2183" applyNumberFormat="1" applyFont="1" applyFill="1" applyBorder="1"/>
    <xf numFmtId="174" fontId="25" fillId="73" borderId="24" xfId="2183" applyNumberFormat="1" applyFont="1" applyFill="1" applyBorder="1"/>
    <xf numFmtId="49" fontId="25" fillId="73" borderId="0" xfId="2183" applyNumberFormat="1" applyFont="1" applyFill="1" applyAlignment="1">
      <alignment horizontal="left"/>
    </xf>
    <xf numFmtId="41" fontId="25" fillId="73" borderId="0" xfId="1864" applyFont="1" applyFill="1" applyBorder="1"/>
    <xf numFmtId="41" fontId="37" fillId="68" borderId="101" xfId="2183" applyNumberFormat="1" applyFont="1" applyFill="1" applyBorder="1"/>
    <xf numFmtId="41" fontId="25" fillId="68" borderId="32" xfId="2181" applyFont="1" applyFill="1" applyBorder="1"/>
    <xf numFmtId="0" fontId="37" fillId="73" borderId="101" xfId="2183" applyFont="1" applyFill="1" applyBorder="1"/>
    <xf numFmtId="41" fontId="37" fillId="73" borderId="47" xfId="2183" applyNumberFormat="1" applyFont="1" applyFill="1" applyBorder="1"/>
    <xf numFmtId="41" fontId="25" fillId="73" borderId="32" xfId="1864" applyFont="1" applyFill="1" applyBorder="1"/>
    <xf numFmtId="0" fontId="25" fillId="73" borderId="0" xfId="2183" applyFont="1" applyFill="1" applyAlignment="1">
      <alignment vertical="center" wrapText="1"/>
    </xf>
    <xf numFmtId="0" fontId="37" fillId="68" borderId="101" xfId="2183" applyFont="1" applyFill="1" applyBorder="1"/>
    <xf numFmtId="0" fontId="25" fillId="68" borderId="32" xfId="2183" applyFont="1" applyFill="1" applyBorder="1"/>
    <xf numFmtId="0" fontId="37" fillId="73" borderId="0" xfId="2183" applyFont="1" applyFill="1" applyAlignment="1">
      <alignment horizontal="left"/>
    </xf>
    <xf numFmtId="177" fontId="37" fillId="68" borderId="32" xfId="2184" applyNumberFormat="1" applyFont="1" applyFill="1" applyBorder="1"/>
    <xf numFmtId="177" fontId="25" fillId="68" borderId="24" xfId="2184" applyNumberFormat="1" applyFont="1" applyFill="1" applyBorder="1" applyAlignment="1">
      <alignment vertical="center"/>
    </xf>
    <xf numFmtId="177" fontId="25" fillId="68" borderId="0" xfId="2183" applyNumberFormat="1" applyFont="1" applyFill="1"/>
    <xf numFmtId="41" fontId="37" fillId="73" borderId="24" xfId="2181" applyFont="1" applyFill="1" applyBorder="1"/>
    <xf numFmtId="41" fontId="320" fillId="73" borderId="24" xfId="2181" applyFont="1" applyFill="1" applyBorder="1" applyAlignment="1">
      <alignment horizontal="center"/>
    </xf>
    <xf numFmtId="41" fontId="25" fillId="73" borderId="24" xfId="1864" applyFont="1" applyFill="1" applyBorder="1" applyAlignment="1">
      <alignment horizontal="right" vertical="center"/>
    </xf>
    <xf numFmtId="1" fontId="25" fillId="73" borderId="24" xfId="2183" applyNumberFormat="1" applyFont="1" applyFill="1" applyBorder="1" applyAlignment="1">
      <alignment vertical="center" wrapText="1"/>
    </xf>
    <xf numFmtId="0" fontId="4" fillId="73" borderId="0" xfId="2183" applyFont="1" applyFill="1"/>
    <xf numFmtId="0" fontId="2" fillId="0" borderId="0" xfId="2183" applyFont="1"/>
    <xf numFmtId="0" fontId="37" fillId="73" borderId="24" xfId="2183" applyFont="1" applyFill="1" applyBorder="1" applyAlignment="1">
      <alignment horizontal="right"/>
    </xf>
    <xf numFmtId="41" fontId="37" fillId="73" borderId="24" xfId="1864" applyFont="1" applyFill="1" applyBorder="1" applyAlignment="1">
      <alignment horizontal="right"/>
    </xf>
    <xf numFmtId="41" fontId="37" fillId="68" borderId="101" xfId="2181" applyFont="1" applyFill="1" applyBorder="1"/>
    <xf numFmtId="41" fontId="25" fillId="68" borderId="24" xfId="2181" applyFont="1" applyFill="1" applyBorder="1"/>
    <xf numFmtId="0" fontId="25" fillId="68" borderId="24" xfId="2183" applyFont="1" applyFill="1" applyBorder="1" applyAlignment="1">
      <alignment horizontal="left"/>
    </xf>
    <xf numFmtId="41" fontId="25" fillId="68" borderId="0" xfId="2183" applyNumberFormat="1" applyFont="1" applyFill="1" applyAlignment="1">
      <alignment horizontal="left"/>
    </xf>
    <xf numFmtId="0" fontId="321" fillId="68" borderId="0" xfId="2183" applyFont="1" applyFill="1"/>
    <xf numFmtId="3" fontId="2" fillId="0" borderId="0" xfId="0" applyNumberFormat="1" applyFont="1" applyAlignment="1">
      <alignment horizontal="center" vertical="center"/>
    </xf>
    <xf numFmtId="3" fontId="2" fillId="0" borderId="0" xfId="0" applyNumberFormat="1" applyFont="1"/>
    <xf numFmtId="0" fontId="322" fillId="72" borderId="24" xfId="0" applyFont="1" applyFill="1" applyBorder="1" applyAlignment="1">
      <alignment horizontal="left"/>
    </xf>
    <xf numFmtId="176" fontId="264" fillId="72" borderId="24" xfId="1" applyNumberFormat="1" applyFont="1" applyFill="1" applyBorder="1" applyAlignment="1">
      <alignment horizontal="center"/>
    </xf>
    <xf numFmtId="0" fontId="37" fillId="73" borderId="0" xfId="0" applyFont="1" applyFill="1" applyAlignment="1">
      <alignment horizontal="center" vertical="center"/>
    </xf>
    <xf numFmtId="0" fontId="4" fillId="73" borderId="0" xfId="0" applyFont="1" applyFill="1"/>
    <xf numFmtId="176" fontId="4" fillId="73" borderId="0" xfId="2112" applyNumberFormat="1" applyFont="1" applyFill="1" applyBorder="1"/>
    <xf numFmtId="176" fontId="323" fillId="84" borderId="24" xfId="1" applyNumberFormat="1" applyFont="1" applyFill="1" applyBorder="1" applyAlignment="1">
      <alignment horizontal="center"/>
    </xf>
    <xf numFmtId="234" fontId="69" fillId="68" borderId="1" xfId="1" applyNumberFormat="1" applyFont="1" applyFill="1" applyBorder="1" applyAlignment="1"/>
    <xf numFmtId="0" fontId="35" fillId="0" borderId="0" xfId="0" applyFont="1"/>
    <xf numFmtId="0" fontId="35" fillId="0" borderId="0" xfId="0" applyFont="1" applyProtection="1">
      <protection locked="0"/>
    </xf>
    <xf numFmtId="0" fontId="30" fillId="0" borderId="62" xfId="1959" applyFont="1" applyBorder="1" applyAlignment="1" applyProtection="1">
      <alignment horizontal="center"/>
      <protection locked="0"/>
    </xf>
    <xf numFmtId="176" fontId="30" fillId="0" borderId="0" xfId="2112" applyNumberFormat="1" applyFont="1" applyFill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/>
      <protection locked="0"/>
    </xf>
    <xf numFmtId="0" fontId="30" fillId="0" borderId="0" xfId="0" applyFont="1"/>
    <xf numFmtId="176" fontId="30" fillId="73" borderId="92" xfId="2112" applyNumberFormat="1" applyFont="1" applyFill="1" applyBorder="1" applyAlignment="1">
      <alignment horizontal="center" vertical="center" wrapText="1"/>
    </xf>
    <xf numFmtId="10" fontId="30" fillId="73" borderId="93" xfId="2112" applyNumberFormat="1" applyFont="1" applyFill="1" applyBorder="1" applyAlignment="1">
      <alignment horizontal="center" vertical="center" wrapText="1"/>
    </xf>
    <xf numFmtId="176" fontId="30" fillId="72" borderId="92" xfId="2112" applyNumberFormat="1" applyFont="1" applyFill="1" applyBorder="1" applyAlignment="1">
      <alignment horizontal="center" vertical="center" wrapText="1"/>
    </xf>
    <xf numFmtId="10" fontId="30" fillId="72" borderId="93" xfId="2112" applyNumberFormat="1" applyFont="1" applyFill="1" applyBorder="1" applyAlignment="1">
      <alignment horizontal="center" vertical="center" wrapText="1"/>
    </xf>
    <xf numFmtId="176" fontId="35" fillId="73" borderId="62" xfId="2112" applyNumberFormat="1" applyFont="1" applyFill="1" applyBorder="1" applyAlignment="1" applyProtection="1">
      <alignment horizontal="right"/>
    </xf>
    <xf numFmtId="10" fontId="35" fillId="73" borderId="63" xfId="1" applyNumberFormat="1" applyFont="1" applyFill="1" applyBorder="1" applyAlignment="1">
      <alignment horizontal="center"/>
    </xf>
    <xf numFmtId="176" fontId="35" fillId="0" borderId="0" xfId="2112" applyNumberFormat="1" applyFont="1" applyFill="1" applyBorder="1" applyAlignment="1" applyProtection="1">
      <alignment horizontal="center"/>
    </xf>
    <xf numFmtId="10" fontId="35" fillId="72" borderId="63" xfId="1" applyNumberFormat="1" applyFont="1" applyFill="1" applyBorder="1" applyAlignment="1">
      <alignment horizontal="center"/>
    </xf>
    <xf numFmtId="335" fontId="35" fillId="0" borderId="0" xfId="1" applyNumberFormat="1" applyFont="1" applyFill="1" applyBorder="1" applyAlignment="1" applyProtection="1">
      <alignment horizontal="left"/>
      <protection locked="0"/>
    </xf>
    <xf numFmtId="0" fontId="35" fillId="64" borderId="0" xfId="0" applyFont="1" applyFill="1"/>
    <xf numFmtId="9" fontId="35" fillId="0" borderId="0" xfId="1" applyFont="1" applyFill="1" applyBorder="1" applyAlignment="1" applyProtection="1">
      <alignment horizontal="left"/>
      <protection locked="0"/>
    </xf>
    <xf numFmtId="176" fontId="30" fillId="73" borderId="73" xfId="2112" applyNumberFormat="1" applyFont="1" applyFill="1" applyBorder="1" applyAlignment="1">
      <alignment horizontal="center"/>
    </xf>
    <xf numFmtId="10" fontId="30" fillId="73" borderId="74" xfId="1" applyNumberFormat="1" applyFont="1" applyFill="1" applyBorder="1" applyAlignment="1">
      <alignment horizontal="center"/>
    </xf>
    <xf numFmtId="176" fontId="30" fillId="0" borderId="0" xfId="2112" applyNumberFormat="1" applyFont="1" applyFill="1" applyBorder="1" applyAlignment="1">
      <alignment horizontal="center"/>
    </xf>
    <xf numFmtId="176" fontId="30" fillId="72" borderId="73" xfId="2112" applyNumberFormat="1" applyFont="1" applyFill="1" applyBorder="1" applyAlignment="1">
      <alignment horizontal="center"/>
    </xf>
    <xf numFmtId="10" fontId="30" fillId="72" borderId="74" xfId="1" applyNumberFormat="1" applyFont="1" applyFill="1" applyBorder="1" applyAlignment="1">
      <alignment horizontal="center"/>
    </xf>
    <xf numFmtId="10" fontId="35" fillId="73" borderId="63" xfId="1" applyNumberFormat="1" applyFont="1" applyFill="1" applyBorder="1" applyAlignment="1" applyProtection="1">
      <alignment horizontal="center"/>
    </xf>
    <xf numFmtId="10" fontId="35" fillId="72" borderId="63" xfId="1" applyNumberFormat="1" applyFont="1" applyFill="1" applyBorder="1" applyAlignment="1" applyProtection="1">
      <alignment horizontal="center"/>
    </xf>
    <xf numFmtId="176" fontId="30" fillId="73" borderId="62" xfId="2112" applyNumberFormat="1" applyFont="1" applyFill="1" applyBorder="1" applyAlignment="1">
      <alignment horizontal="right"/>
    </xf>
    <xf numFmtId="10" fontId="30" fillId="73" borderId="63" xfId="1" applyNumberFormat="1" applyFont="1" applyFill="1" applyBorder="1" applyAlignment="1">
      <alignment horizontal="center"/>
    </xf>
    <xf numFmtId="176" fontId="30" fillId="72" borderId="62" xfId="2112" applyNumberFormat="1" applyFont="1" applyFill="1" applyBorder="1" applyAlignment="1">
      <alignment horizontal="right"/>
    </xf>
    <xf numFmtId="10" fontId="30" fillId="72" borderId="63" xfId="1" applyNumberFormat="1" applyFont="1" applyFill="1" applyBorder="1" applyAlignment="1">
      <alignment horizontal="center"/>
    </xf>
    <xf numFmtId="176" fontId="35" fillId="73" borderId="62" xfId="2112" applyNumberFormat="1" applyFont="1" applyFill="1" applyBorder="1" applyAlignment="1">
      <alignment horizontal="right"/>
    </xf>
    <xf numFmtId="176" fontId="35" fillId="0" borderId="0" xfId="2112" applyNumberFormat="1" applyFont="1" applyFill="1" applyBorder="1" applyAlignment="1" applyProtection="1">
      <alignment horizontal="left"/>
      <protection locked="0"/>
    </xf>
    <xf numFmtId="176" fontId="35" fillId="72" borderId="62" xfId="2112" applyNumberFormat="1" applyFont="1" applyFill="1" applyBorder="1" applyAlignment="1">
      <alignment horizontal="right"/>
    </xf>
    <xf numFmtId="10" fontId="30" fillId="73" borderId="63" xfId="1" applyNumberFormat="1" applyFont="1" applyFill="1" applyBorder="1" applyAlignment="1" applyProtection="1">
      <alignment horizontal="center"/>
    </xf>
    <xf numFmtId="176" fontId="30" fillId="0" borderId="0" xfId="2112" applyNumberFormat="1" applyFont="1" applyFill="1" applyBorder="1" applyAlignment="1" applyProtection="1">
      <alignment horizontal="center"/>
    </xf>
    <xf numFmtId="10" fontId="30" fillId="72" borderId="63" xfId="1" applyNumberFormat="1" applyFont="1" applyFill="1" applyBorder="1" applyAlignment="1" applyProtection="1">
      <alignment horizontal="center"/>
    </xf>
    <xf numFmtId="176" fontId="238" fillId="0" borderId="0" xfId="2112" applyNumberFormat="1" applyFont="1" applyFill="1" applyBorder="1" applyAlignment="1" applyProtection="1">
      <alignment horizontal="center"/>
    </xf>
    <xf numFmtId="10" fontId="238" fillId="72" borderId="63" xfId="1" applyNumberFormat="1" applyFont="1" applyFill="1" applyBorder="1" applyAlignment="1" applyProtection="1">
      <alignment horizontal="center"/>
    </xf>
    <xf numFmtId="0" fontId="238" fillId="0" borderId="0" xfId="0" applyFont="1" applyProtection="1">
      <protection locked="0"/>
    </xf>
    <xf numFmtId="9" fontId="238" fillId="0" borderId="0" xfId="1" applyFont="1" applyFill="1" applyBorder="1" applyAlignment="1" applyProtection="1">
      <alignment horizontal="left"/>
      <protection locked="0"/>
    </xf>
    <xf numFmtId="176" fontId="30" fillId="73" borderId="62" xfId="2112" applyNumberFormat="1" applyFont="1" applyFill="1" applyBorder="1" applyAlignment="1" applyProtection="1">
      <alignment horizontal="right"/>
    </xf>
    <xf numFmtId="176" fontId="30" fillId="72" borderId="62" xfId="2112" applyNumberFormat="1" applyFont="1" applyFill="1" applyBorder="1" applyAlignment="1" applyProtection="1">
      <alignment horizontal="right"/>
    </xf>
    <xf numFmtId="0" fontId="30" fillId="0" borderId="0" xfId="0" applyFont="1" applyProtection="1">
      <protection locked="0"/>
    </xf>
    <xf numFmtId="9" fontId="30" fillId="0" borderId="0" xfId="1" applyFont="1" applyFill="1" applyBorder="1" applyAlignment="1" applyProtection="1">
      <alignment horizontal="left"/>
      <protection locked="0"/>
    </xf>
    <xf numFmtId="176" fontId="30" fillId="73" borderId="73" xfId="2112" applyNumberFormat="1" applyFont="1" applyFill="1" applyBorder="1" applyAlignment="1">
      <alignment horizontal="right"/>
    </xf>
    <xf numFmtId="176" fontId="30" fillId="72" borderId="73" xfId="2112" applyNumberFormat="1" applyFont="1" applyFill="1" applyBorder="1" applyAlignment="1">
      <alignment horizontal="right"/>
    </xf>
    <xf numFmtId="176" fontId="35" fillId="0" borderId="0" xfId="2112" applyNumberFormat="1" applyFont="1" applyFill="1" applyBorder="1" applyAlignment="1">
      <alignment horizontal="center"/>
    </xf>
    <xf numFmtId="176" fontId="30" fillId="0" borderId="0" xfId="2112" applyNumberFormat="1" applyFont="1" applyFill="1" applyBorder="1" applyAlignment="1">
      <alignment horizontal="center" vertical="center" wrapText="1"/>
    </xf>
    <xf numFmtId="9" fontId="35" fillId="64" borderId="0" xfId="1" applyFont="1" applyFill="1" applyBorder="1" applyAlignment="1" applyProtection="1">
      <alignment horizontal="left"/>
      <protection locked="0"/>
    </xf>
    <xf numFmtId="0" fontId="293" fillId="0" borderId="0" xfId="0" applyFont="1"/>
    <xf numFmtId="176" fontId="35" fillId="73" borderId="67" xfId="2112" applyNumberFormat="1" applyFont="1" applyFill="1" applyBorder="1" applyAlignment="1">
      <alignment horizontal="center"/>
    </xf>
    <xf numFmtId="10" fontId="35" fillId="73" borderId="69" xfId="1" applyNumberFormat="1" applyFont="1" applyFill="1" applyBorder="1" applyAlignment="1">
      <alignment horizontal="center" vertical="center"/>
    </xf>
    <xf numFmtId="176" fontId="35" fillId="0" borderId="0" xfId="2112" applyNumberFormat="1" applyFont="1" applyFill="1" applyBorder="1" applyAlignment="1">
      <alignment horizontal="center" vertical="center" wrapText="1"/>
    </xf>
    <xf numFmtId="10" fontId="35" fillId="72" borderId="69" xfId="1" applyNumberFormat="1" applyFont="1" applyFill="1" applyBorder="1" applyAlignment="1">
      <alignment horizontal="center" vertical="center" wrapText="1"/>
    </xf>
    <xf numFmtId="176" fontId="35" fillId="73" borderId="62" xfId="2112" applyNumberFormat="1" applyFont="1" applyFill="1" applyBorder="1" applyAlignment="1">
      <alignment horizontal="center"/>
    </xf>
    <xf numFmtId="10" fontId="35" fillId="73" borderId="63" xfId="1" applyNumberFormat="1" applyFont="1" applyFill="1" applyBorder="1" applyAlignment="1">
      <alignment horizontal="center" vertical="center"/>
    </xf>
    <xf numFmtId="176" fontId="35" fillId="72" borderId="62" xfId="2112" applyNumberFormat="1" applyFont="1" applyFill="1" applyBorder="1" applyAlignment="1">
      <alignment horizontal="center" vertical="center"/>
    </xf>
    <xf numFmtId="10" fontId="35" fillId="72" borderId="63" xfId="1" applyNumberFormat="1" applyFont="1" applyFill="1" applyBorder="1" applyAlignment="1">
      <alignment horizontal="center" vertical="center" wrapText="1"/>
    </xf>
    <xf numFmtId="176" fontId="30" fillId="73" borderId="80" xfId="2112" applyNumberFormat="1" applyFont="1" applyFill="1" applyBorder="1" applyAlignment="1">
      <alignment horizontal="center" vertical="center"/>
    </xf>
    <xf numFmtId="10" fontId="30" fillId="73" borderId="77" xfId="1" applyNumberFormat="1" applyFont="1" applyFill="1" applyBorder="1" applyAlignment="1">
      <alignment horizontal="center" vertical="center" wrapText="1"/>
    </xf>
    <xf numFmtId="10" fontId="30" fillId="72" borderId="77" xfId="1" applyNumberFormat="1" applyFont="1" applyFill="1" applyBorder="1" applyAlignment="1">
      <alignment horizontal="center"/>
    </xf>
    <xf numFmtId="264" fontId="30" fillId="64" borderId="0" xfId="2061" applyFont="1" applyFill="1"/>
    <xf numFmtId="10" fontId="30" fillId="64" borderId="0" xfId="1" applyNumberFormat="1" applyFont="1" applyFill="1" applyBorder="1" applyAlignment="1">
      <alignment horizontal="center" vertical="center" wrapText="1"/>
    </xf>
    <xf numFmtId="10" fontId="30" fillId="0" borderId="0" xfId="1" applyNumberFormat="1" applyFont="1" applyFill="1" applyBorder="1" applyAlignment="1">
      <alignment horizontal="center" vertical="center" wrapText="1"/>
    </xf>
    <xf numFmtId="0" fontId="30" fillId="64" borderId="0" xfId="0" applyFont="1" applyFill="1"/>
    <xf numFmtId="0" fontId="325" fillId="0" borderId="0" xfId="0" applyFont="1" applyProtection="1">
      <protection locked="0"/>
    </xf>
    <xf numFmtId="234" fontId="325" fillId="64" borderId="0" xfId="1" applyNumberFormat="1" applyFont="1" applyFill="1" applyBorder="1" applyAlignment="1" applyProtection="1">
      <alignment horizontal="center" vertical="center"/>
      <protection locked="0"/>
    </xf>
    <xf numFmtId="234" fontId="325" fillId="0" borderId="0" xfId="1" applyNumberFormat="1" applyFont="1" applyFill="1" applyBorder="1" applyAlignment="1" applyProtection="1">
      <alignment horizontal="center" vertical="center"/>
      <protection locked="0"/>
    </xf>
    <xf numFmtId="10" fontId="325" fillId="0" borderId="0" xfId="1" applyNumberFormat="1" applyFont="1" applyFill="1" applyBorder="1" applyAlignment="1" applyProtection="1">
      <alignment horizontal="center" vertical="center"/>
      <protection locked="0"/>
    </xf>
    <xf numFmtId="176" fontId="35" fillId="0" borderId="0" xfId="0" applyNumberFormat="1" applyFont="1" applyProtection="1">
      <protection locked="0"/>
    </xf>
    <xf numFmtId="176" fontId="30" fillId="72" borderId="80" xfId="2112" applyNumberFormat="1" applyFont="1" applyFill="1" applyBorder="1" applyAlignment="1">
      <alignment horizontal="center" vertical="center"/>
    </xf>
    <xf numFmtId="175" fontId="258" fillId="58" borderId="32" xfId="2112" applyFont="1" applyFill="1" applyBorder="1" applyAlignment="1" applyProtection="1">
      <alignment horizontal="left"/>
      <protection locked="0"/>
    </xf>
    <xf numFmtId="176" fontId="297" fillId="73" borderId="0" xfId="0" applyNumberFormat="1" applyFont="1" applyFill="1" applyAlignment="1">
      <alignment horizontal="right"/>
    </xf>
    <xf numFmtId="0" fontId="295" fillId="80" borderId="62" xfId="2182" applyFont="1" applyFill="1" applyBorder="1" applyAlignment="1">
      <alignment horizontal="center"/>
    </xf>
    <xf numFmtId="193" fontId="299" fillId="0" borderId="63" xfId="2182" applyNumberFormat="1" applyFont="1" applyBorder="1"/>
    <xf numFmtId="0" fontId="68" fillId="0" borderId="63" xfId="2182" applyFont="1" applyBorder="1" applyAlignment="1">
      <alignment wrapText="1"/>
    </xf>
    <xf numFmtId="41" fontId="37" fillId="73" borderId="24" xfId="1864" applyFont="1" applyFill="1" applyBorder="1"/>
    <xf numFmtId="0" fontId="37" fillId="68" borderId="102" xfId="2183" applyFont="1" applyFill="1" applyBorder="1"/>
    <xf numFmtId="0" fontId="37" fillId="68" borderId="24" xfId="2183" applyFont="1" applyFill="1" applyBorder="1" applyAlignment="1">
      <alignment horizontal="center"/>
    </xf>
    <xf numFmtId="176" fontId="315" fillId="64" borderId="24" xfId="0" applyNumberFormat="1" applyFont="1" applyFill="1" applyBorder="1" applyAlignment="1">
      <alignment horizontal="center"/>
    </xf>
    <xf numFmtId="176" fontId="315" fillId="72" borderId="24" xfId="0" applyNumberFormat="1" applyFont="1" applyFill="1" applyBorder="1" applyAlignment="1">
      <alignment horizontal="center"/>
    </xf>
    <xf numFmtId="0" fontId="326" fillId="0" borderId="62" xfId="2182" applyFont="1" applyBorder="1"/>
    <xf numFmtId="176" fontId="2" fillId="68" borderId="0" xfId="2112" applyNumberFormat="1" applyFont="1" applyFill="1"/>
    <xf numFmtId="176" fontId="2" fillId="0" borderId="62" xfId="0" applyNumberFormat="1" applyFont="1" applyBorder="1"/>
    <xf numFmtId="176" fontId="35" fillId="72" borderId="62" xfId="2112" applyNumberFormat="1" applyFont="1" applyFill="1" applyBorder="1"/>
    <xf numFmtId="176" fontId="262" fillId="69" borderId="0" xfId="2112" applyNumberFormat="1" applyFont="1" applyFill="1" applyBorder="1" applyProtection="1"/>
    <xf numFmtId="49" fontId="72" fillId="0" borderId="38" xfId="1869" applyNumberFormat="1" applyFont="1" applyFill="1" applyBorder="1" applyAlignment="1">
      <alignment horizontal="center"/>
    </xf>
    <xf numFmtId="0" fontId="38" fillId="0" borderId="85" xfId="0" applyFont="1" applyBorder="1"/>
    <xf numFmtId="0" fontId="38" fillId="0" borderId="84" xfId="0" applyFont="1" applyBorder="1"/>
    <xf numFmtId="0" fontId="38" fillId="0" borderId="103" xfId="0" applyFont="1" applyBorder="1"/>
    <xf numFmtId="0" fontId="30" fillId="72" borderId="97" xfId="0" applyFont="1" applyFill="1" applyBorder="1" applyAlignment="1">
      <alignment horizontal="center" wrapText="1"/>
    </xf>
    <xf numFmtId="0" fontId="313" fillId="84" borderId="103" xfId="0" applyFont="1" applyFill="1" applyBorder="1"/>
    <xf numFmtId="0" fontId="294" fillId="0" borderId="103" xfId="2182" applyBorder="1"/>
    <xf numFmtId="176" fontId="294" fillId="0" borderId="104" xfId="2112" applyNumberFormat="1" applyFont="1" applyBorder="1"/>
    <xf numFmtId="176" fontId="294" fillId="0" borderId="105" xfId="2112" applyNumberFormat="1" applyFont="1" applyBorder="1"/>
    <xf numFmtId="0" fontId="295" fillId="0" borderId="97" xfId="2182" applyFont="1" applyBorder="1" applyAlignment="1">
      <alignment horizontal="center" vertical="center"/>
    </xf>
    <xf numFmtId="0" fontId="295" fillId="0" borderId="98" xfId="2182" applyFont="1" applyBorder="1" applyAlignment="1">
      <alignment horizontal="center" vertical="center"/>
    </xf>
    <xf numFmtId="176" fontId="327" fillId="74" borderId="63" xfId="2182" applyNumberFormat="1" applyFont="1" applyFill="1" applyBorder="1" applyAlignment="1">
      <alignment horizontal="center" vertical="center"/>
    </xf>
    <xf numFmtId="193" fontId="68" fillId="0" borderId="0" xfId="2182" applyNumberFormat="1" applyFont="1" applyAlignment="1">
      <alignment horizontal="right"/>
    </xf>
    <xf numFmtId="176" fontId="35" fillId="72" borderId="67" xfId="2112" applyNumberFormat="1" applyFont="1" applyFill="1" applyBorder="1"/>
    <xf numFmtId="0" fontId="30" fillId="0" borderId="38" xfId="0" applyFont="1" applyBorder="1" applyAlignment="1">
      <alignment horizontal="center" vertical="center"/>
    </xf>
    <xf numFmtId="264" fontId="35" fillId="0" borderId="106" xfId="2061" applyFont="1" applyBorder="1"/>
    <xf numFmtId="264" fontId="30" fillId="0" borderId="107" xfId="2061" applyFont="1" applyBorder="1"/>
    <xf numFmtId="264" fontId="324" fillId="0" borderId="107" xfId="2061" applyFont="1" applyBorder="1"/>
    <xf numFmtId="264" fontId="30" fillId="0" borderId="106" xfId="2061" applyFont="1" applyBorder="1"/>
    <xf numFmtId="264" fontId="35" fillId="64" borderId="106" xfId="2061" applyFont="1" applyFill="1" applyBorder="1"/>
    <xf numFmtId="264" fontId="238" fillId="0" borderId="106" xfId="2061" applyFont="1" applyBorder="1"/>
    <xf numFmtId="264" fontId="30" fillId="0" borderId="108" xfId="2061" applyFont="1" applyBorder="1"/>
    <xf numFmtId="264" fontId="35" fillId="0" borderId="109" xfId="2061" applyFont="1" applyBorder="1"/>
    <xf numFmtId="264" fontId="30" fillId="0" borderId="110" xfId="2061" applyFont="1" applyBorder="1"/>
    <xf numFmtId="176" fontId="30" fillId="0" borderId="62" xfId="2112" applyNumberFormat="1" applyFont="1" applyFill="1" applyBorder="1" applyAlignment="1">
      <alignment horizontal="right"/>
    </xf>
    <xf numFmtId="10" fontId="35" fillId="0" borderId="63" xfId="1" applyNumberFormat="1" applyFont="1" applyFill="1" applyBorder="1" applyAlignment="1" applyProtection="1">
      <alignment horizontal="center"/>
    </xf>
    <xf numFmtId="0" fontId="263" fillId="58" borderId="24" xfId="0" applyFont="1" applyFill="1" applyBorder="1" applyAlignment="1" applyProtection="1">
      <alignment horizontal="left"/>
      <protection locked="0"/>
    </xf>
    <xf numFmtId="49" fontId="263" fillId="58" borderId="32" xfId="0" applyNumberFormat="1" applyFont="1" applyFill="1" applyBorder="1" applyAlignment="1" applyProtection="1">
      <alignment horizontal="left"/>
      <protection locked="0"/>
    </xf>
    <xf numFmtId="176" fontId="35" fillId="0" borderId="62" xfId="2112" applyNumberFormat="1" applyFont="1" applyFill="1" applyBorder="1"/>
    <xf numFmtId="176" fontId="35" fillId="0" borderId="62" xfId="2112" applyNumberFormat="1" applyFont="1" applyFill="1" applyBorder="1" applyAlignment="1">
      <alignment horizontal="right"/>
    </xf>
    <xf numFmtId="176" fontId="35" fillId="0" borderId="62" xfId="2112" applyNumberFormat="1" applyFont="1" applyFill="1" applyBorder="1" applyAlignment="1" applyProtection="1">
      <alignment horizontal="right"/>
    </xf>
    <xf numFmtId="10" fontId="30" fillId="0" borderId="63" xfId="1" applyNumberFormat="1" applyFont="1" applyFill="1" applyBorder="1" applyAlignment="1">
      <alignment horizontal="center"/>
    </xf>
    <xf numFmtId="176" fontId="30" fillId="0" borderId="62" xfId="2112" applyNumberFormat="1" applyFont="1" applyFill="1" applyBorder="1" applyAlignment="1">
      <alignment horizontal="right" vertical="center"/>
    </xf>
    <xf numFmtId="10" fontId="30" fillId="0" borderId="63" xfId="1" applyNumberFormat="1" applyFont="1" applyFill="1" applyBorder="1" applyAlignment="1">
      <alignment horizontal="center" vertical="center"/>
    </xf>
    <xf numFmtId="0" fontId="35" fillId="0" borderId="50" xfId="0" applyFont="1" applyBorder="1" applyProtection="1">
      <protection locked="0"/>
    </xf>
    <xf numFmtId="176" fontId="293" fillId="0" borderId="0" xfId="2112" applyNumberFormat="1" applyFont="1" applyFill="1" applyBorder="1" applyAlignment="1" applyProtection="1">
      <alignment horizontal="center" vertical="center"/>
      <protection locked="0"/>
    </xf>
    <xf numFmtId="234" fontId="35" fillId="0" borderId="0" xfId="1" applyNumberFormat="1" applyFont="1" applyFill="1" applyProtection="1">
      <protection locked="0"/>
    </xf>
    <xf numFmtId="176" fontId="328" fillId="0" borderId="0" xfId="2112" applyNumberFormat="1" applyFont="1" applyFill="1" applyAlignment="1" applyProtection="1">
      <alignment vertical="center"/>
      <protection locked="0"/>
    </xf>
    <xf numFmtId="176" fontId="268" fillId="63" borderId="24" xfId="2112" applyNumberFormat="1" applyFont="1" applyFill="1" applyBorder="1" applyProtection="1"/>
    <xf numFmtId="176" fontId="268" fillId="60" borderId="24" xfId="2112" applyNumberFormat="1" applyFont="1" applyFill="1" applyBorder="1" applyProtection="1">
      <protection locked="0"/>
    </xf>
    <xf numFmtId="0" fontId="263" fillId="65" borderId="24" xfId="0" applyFont="1" applyFill="1" applyBorder="1" applyAlignment="1">
      <alignment horizontal="left"/>
    </xf>
    <xf numFmtId="49" fontId="263" fillId="65" borderId="24" xfId="0" applyNumberFormat="1" applyFont="1" applyFill="1" applyBorder="1" applyAlignment="1">
      <alignment horizontal="left"/>
    </xf>
    <xf numFmtId="176" fontId="262" fillId="65" borderId="24" xfId="2112" applyNumberFormat="1" applyFont="1" applyFill="1" applyBorder="1" applyProtection="1"/>
    <xf numFmtId="0" fontId="263" fillId="85" borderId="24" xfId="0" applyFont="1" applyFill="1" applyBorder="1" applyAlignment="1">
      <alignment horizontal="left"/>
    </xf>
    <xf numFmtId="49" fontId="263" fillId="85" borderId="24" xfId="0" applyNumberFormat="1" applyFont="1" applyFill="1" applyBorder="1" applyAlignment="1">
      <alignment horizontal="left"/>
    </xf>
    <xf numFmtId="176" fontId="262" fillId="85" borderId="24" xfId="2112" applyNumberFormat="1" applyFont="1" applyFill="1" applyBorder="1" applyProtection="1"/>
    <xf numFmtId="0" fontId="301" fillId="85" borderId="24" xfId="0" applyFont="1" applyFill="1" applyBorder="1" applyAlignment="1" applyProtection="1">
      <alignment horizontal="left"/>
      <protection locked="0"/>
    </xf>
    <xf numFmtId="49" fontId="301" fillId="85" borderId="24" xfId="0" applyNumberFormat="1" applyFont="1" applyFill="1" applyBorder="1" applyAlignment="1" applyProtection="1">
      <alignment horizontal="left"/>
      <protection locked="0"/>
    </xf>
    <xf numFmtId="176" fontId="262" fillId="85" borderId="24" xfId="2112" applyNumberFormat="1" applyFont="1" applyFill="1" applyBorder="1" applyProtection="1">
      <protection locked="0"/>
    </xf>
    <xf numFmtId="176" fontId="30" fillId="72" borderId="62" xfId="2112" applyNumberFormat="1" applyFont="1" applyFill="1" applyBorder="1"/>
    <xf numFmtId="0" fontId="25" fillId="68" borderId="12" xfId="2183" applyFont="1" applyFill="1" applyBorder="1" applyAlignment="1">
      <alignment vertical="center" wrapText="1"/>
    </xf>
    <xf numFmtId="193" fontId="294" fillId="0" borderId="0" xfId="2182" applyNumberFormat="1"/>
    <xf numFmtId="264" fontId="330" fillId="0" borderId="106" xfId="2061" applyFont="1" applyBorder="1"/>
    <xf numFmtId="176" fontId="330" fillId="73" borderId="62" xfId="2112" applyNumberFormat="1" applyFont="1" applyFill="1" applyBorder="1" applyAlignment="1" applyProtection="1">
      <alignment horizontal="right"/>
    </xf>
    <xf numFmtId="176" fontId="1" fillId="0" borderId="0" xfId="2112" applyNumberFormat="1" applyFont="1" applyProtection="1">
      <protection locked="0"/>
    </xf>
    <xf numFmtId="176" fontId="1" fillId="0" borderId="0" xfId="2112" applyNumberFormat="1" applyFont="1"/>
    <xf numFmtId="10" fontId="35" fillId="0" borderId="0" xfId="1" applyNumberFormat="1" applyFont="1" applyFill="1" applyBorder="1" applyAlignment="1" applyProtection="1">
      <alignment horizontal="center"/>
    </xf>
    <xf numFmtId="10" fontId="30" fillId="0" borderId="0" xfId="1" applyNumberFormat="1" applyFont="1" applyFill="1" applyBorder="1" applyAlignment="1">
      <alignment horizontal="center"/>
    </xf>
    <xf numFmtId="10" fontId="30" fillId="0" borderId="0" xfId="1" applyNumberFormat="1" applyFont="1" applyFill="1" applyBorder="1" applyAlignment="1">
      <alignment horizontal="center" vertical="center"/>
    </xf>
    <xf numFmtId="10" fontId="30" fillId="0" borderId="50" xfId="2112" applyNumberFormat="1" applyFont="1" applyFill="1" applyBorder="1" applyAlignment="1">
      <alignment horizontal="center" vertical="center" wrapText="1"/>
    </xf>
    <xf numFmtId="10" fontId="35" fillId="0" borderId="0" xfId="1" applyNumberFormat="1" applyFont="1" applyFill="1" applyBorder="1" applyAlignment="1">
      <alignment horizontal="center"/>
    </xf>
    <xf numFmtId="10" fontId="30" fillId="0" borderId="0" xfId="1" applyNumberFormat="1" applyFont="1" applyFill="1" applyBorder="1" applyAlignment="1" applyProtection="1">
      <alignment horizontal="center"/>
    </xf>
    <xf numFmtId="10" fontId="238" fillId="0" borderId="0" xfId="1" applyNumberFormat="1" applyFont="1" applyFill="1" applyBorder="1" applyAlignment="1" applyProtection="1">
      <alignment horizontal="center"/>
    </xf>
    <xf numFmtId="10" fontId="35" fillId="0" borderId="0" xfId="1" applyNumberFormat="1" applyFont="1" applyFill="1" applyBorder="1" applyAlignment="1">
      <alignment horizontal="center" vertical="center"/>
    </xf>
    <xf numFmtId="10" fontId="35" fillId="73" borderId="63" xfId="1" applyNumberFormat="1" applyFont="1" applyFill="1" applyBorder="1" applyAlignment="1">
      <alignment horizontal="right"/>
    </xf>
    <xf numFmtId="10" fontId="30" fillId="73" borderId="74" xfId="1" applyNumberFormat="1" applyFont="1" applyFill="1" applyBorder="1" applyAlignment="1">
      <alignment horizontal="right"/>
    </xf>
    <xf numFmtId="10" fontId="35" fillId="0" borderId="63" xfId="1" applyNumberFormat="1" applyFont="1" applyFill="1" applyBorder="1" applyAlignment="1" applyProtection="1">
      <alignment horizontal="right"/>
    </xf>
    <xf numFmtId="10" fontId="30" fillId="73" borderId="63" xfId="1" applyNumberFormat="1" applyFont="1" applyFill="1" applyBorder="1" applyAlignment="1">
      <alignment horizontal="right"/>
    </xf>
    <xf numFmtId="10" fontId="30" fillId="0" borderId="63" xfId="1" applyNumberFormat="1" applyFont="1" applyFill="1" applyBorder="1" applyAlignment="1">
      <alignment horizontal="right"/>
    </xf>
    <xf numFmtId="10" fontId="30" fillId="73" borderId="63" xfId="1" applyNumberFormat="1" applyFont="1" applyFill="1" applyBorder="1" applyAlignment="1" applyProtection="1">
      <alignment horizontal="right"/>
    </xf>
    <xf numFmtId="10" fontId="35" fillId="73" borderId="63" xfId="1" applyNumberFormat="1" applyFont="1" applyFill="1" applyBorder="1" applyAlignment="1" applyProtection="1">
      <alignment horizontal="right"/>
    </xf>
    <xf numFmtId="10" fontId="238" fillId="73" borderId="63" xfId="1" applyNumberFormat="1" applyFont="1" applyFill="1" applyBorder="1" applyAlignment="1" applyProtection="1">
      <alignment horizontal="right"/>
    </xf>
    <xf numFmtId="10" fontId="30" fillId="0" borderId="63" xfId="1" applyNumberFormat="1" applyFont="1" applyFill="1" applyBorder="1" applyAlignment="1">
      <alignment horizontal="right" vertical="center"/>
    </xf>
    <xf numFmtId="0" fontId="35" fillId="0" borderId="0" xfId="0" applyFont="1" applyAlignment="1" applyProtection="1">
      <alignment horizontal="right"/>
      <protection locked="0"/>
    </xf>
    <xf numFmtId="10" fontId="35" fillId="73" borderId="69" xfId="1" applyNumberFormat="1" applyFont="1" applyFill="1" applyBorder="1" applyAlignment="1">
      <alignment horizontal="right" vertical="center"/>
    </xf>
    <xf numFmtId="10" fontId="35" fillId="73" borderId="63" xfId="1" applyNumberFormat="1" applyFont="1" applyFill="1" applyBorder="1" applyAlignment="1">
      <alignment horizontal="right" vertical="center"/>
    </xf>
    <xf numFmtId="10" fontId="30" fillId="73" borderId="77" xfId="1" applyNumberFormat="1" applyFont="1" applyFill="1" applyBorder="1" applyAlignment="1">
      <alignment horizontal="right" vertical="center" wrapText="1"/>
    </xf>
    <xf numFmtId="176" fontId="30" fillId="86" borderId="92" xfId="2112" applyNumberFormat="1" applyFont="1" applyFill="1" applyBorder="1" applyAlignment="1">
      <alignment horizontal="center" vertical="center" wrapText="1"/>
    </xf>
    <xf numFmtId="10" fontId="30" fillId="86" borderId="93" xfId="2112" applyNumberFormat="1" applyFont="1" applyFill="1" applyBorder="1" applyAlignment="1">
      <alignment horizontal="center" vertical="center" wrapText="1"/>
    </xf>
    <xf numFmtId="176" fontId="35" fillId="86" borderId="62" xfId="2112" applyNumberFormat="1" applyFont="1" applyFill="1" applyBorder="1" applyAlignment="1" applyProtection="1">
      <alignment horizontal="right"/>
    </xf>
    <xf numFmtId="10" fontId="35" fillId="86" borderId="63" xfId="1" applyNumberFormat="1" applyFont="1" applyFill="1" applyBorder="1" applyAlignment="1">
      <alignment horizontal="right"/>
    </xf>
    <xf numFmtId="176" fontId="330" fillId="86" borderId="62" xfId="2112" applyNumberFormat="1" applyFont="1" applyFill="1" applyBorder="1" applyAlignment="1" applyProtection="1">
      <alignment horizontal="right"/>
    </xf>
    <xf numFmtId="176" fontId="30" fillId="86" borderId="73" xfId="2112" applyNumberFormat="1" applyFont="1" applyFill="1" applyBorder="1" applyAlignment="1">
      <alignment horizontal="center"/>
    </xf>
    <xf numFmtId="10" fontId="30" fillId="86" borderId="74" xfId="1" applyNumberFormat="1" applyFont="1" applyFill="1" applyBorder="1" applyAlignment="1">
      <alignment horizontal="right"/>
    </xf>
    <xf numFmtId="10" fontId="35" fillId="86" borderId="63" xfId="1" applyNumberFormat="1" applyFont="1" applyFill="1" applyBorder="1" applyAlignment="1" applyProtection="1">
      <alignment horizontal="right"/>
    </xf>
    <xf numFmtId="10" fontId="30" fillId="86" borderId="63" xfId="1" applyNumberFormat="1" applyFont="1" applyFill="1" applyBorder="1" applyAlignment="1">
      <alignment horizontal="right"/>
    </xf>
    <xf numFmtId="176" fontId="35" fillId="86" borderId="62" xfId="2112" applyNumberFormat="1" applyFont="1" applyFill="1" applyBorder="1" applyAlignment="1">
      <alignment horizontal="right"/>
    </xf>
    <xf numFmtId="176" fontId="30" fillId="86" borderId="62" xfId="2112" applyNumberFormat="1" applyFont="1" applyFill="1" applyBorder="1" applyAlignment="1">
      <alignment horizontal="right"/>
    </xf>
    <xf numFmtId="10" fontId="30" fillId="86" borderId="63" xfId="1" applyNumberFormat="1" applyFont="1" applyFill="1" applyBorder="1" applyAlignment="1" applyProtection="1">
      <alignment horizontal="right"/>
    </xf>
    <xf numFmtId="10" fontId="238" fillId="86" borderId="63" xfId="1" applyNumberFormat="1" applyFont="1" applyFill="1" applyBorder="1" applyAlignment="1" applyProtection="1">
      <alignment horizontal="right"/>
    </xf>
    <xf numFmtId="176" fontId="30" fillId="86" borderId="62" xfId="2112" applyNumberFormat="1" applyFont="1" applyFill="1" applyBorder="1" applyAlignment="1" applyProtection="1">
      <alignment horizontal="right"/>
    </xf>
    <xf numFmtId="176" fontId="30" fillId="86" borderId="73" xfId="2112" applyNumberFormat="1" applyFont="1" applyFill="1" applyBorder="1" applyAlignment="1">
      <alignment horizontal="right"/>
    </xf>
    <xf numFmtId="176" fontId="35" fillId="86" borderId="67" xfId="2112" applyNumberFormat="1" applyFont="1" applyFill="1" applyBorder="1" applyAlignment="1">
      <alignment horizontal="center"/>
    </xf>
    <xf numFmtId="10" fontId="35" fillId="86" borderId="69" xfId="1" applyNumberFormat="1" applyFont="1" applyFill="1" applyBorder="1" applyAlignment="1">
      <alignment horizontal="right" vertical="center"/>
    </xf>
    <xf numFmtId="10" fontId="35" fillId="86" borderId="63" xfId="1" applyNumberFormat="1" applyFont="1" applyFill="1" applyBorder="1" applyAlignment="1">
      <alignment horizontal="right" vertical="center"/>
    </xf>
    <xf numFmtId="176" fontId="35" fillId="86" borderId="62" xfId="2112" applyNumberFormat="1" applyFont="1" applyFill="1" applyBorder="1" applyAlignment="1">
      <alignment horizontal="center"/>
    </xf>
    <xf numFmtId="176" fontId="30" fillId="86" borderId="80" xfId="2112" applyNumberFormat="1" applyFont="1" applyFill="1" applyBorder="1" applyAlignment="1">
      <alignment horizontal="center" vertical="center"/>
    </xf>
    <xf numFmtId="10" fontId="30" fillId="86" borderId="77" xfId="1" applyNumberFormat="1" applyFont="1" applyFill="1" applyBorder="1" applyAlignment="1">
      <alignment horizontal="right" vertical="center" wrapText="1"/>
    </xf>
    <xf numFmtId="0" fontId="267" fillId="58" borderId="24" xfId="0" applyFont="1" applyFill="1" applyBorder="1" applyAlignment="1" applyProtection="1">
      <alignment horizontal="left"/>
      <protection locked="0"/>
    </xf>
    <xf numFmtId="175" fontId="267" fillId="58" borderId="32" xfId="2112" applyFont="1" applyFill="1" applyBorder="1" applyAlignment="1" applyProtection="1">
      <alignment horizontal="left"/>
      <protection locked="0"/>
    </xf>
    <xf numFmtId="0" fontId="35" fillId="0" borderId="0" xfId="0" applyFont="1" applyAlignment="1">
      <alignment horizontal="right"/>
    </xf>
    <xf numFmtId="234" fontId="35" fillId="0" borderId="0" xfId="1" applyNumberFormat="1" applyFont="1" applyFill="1" applyBorder="1" applyAlignment="1" applyProtection="1">
      <alignment horizontal="center" vertical="center"/>
      <protection locked="0"/>
    </xf>
    <xf numFmtId="0" fontId="331" fillId="63" borderId="24" xfId="0" applyFont="1" applyFill="1" applyBorder="1" applyAlignment="1" applyProtection="1">
      <alignment horizontal="left"/>
      <protection locked="0"/>
    </xf>
    <xf numFmtId="49" fontId="331" fillId="63" borderId="24" xfId="0" applyNumberFormat="1" applyFont="1" applyFill="1" applyBorder="1" applyAlignment="1" applyProtection="1">
      <alignment horizontal="left"/>
      <protection locked="0"/>
    </xf>
    <xf numFmtId="176" fontId="264" fillId="63" borderId="24" xfId="2112" applyNumberFormat="1" applyFont="1" applyFill="1" applyBorder="1" applyProtection="1">
      <protection locked="0"/>
    </xf>
    <xf numFmtId="177" fontId="68" fillId="73" borderId="1" xfId="0" applyNumberFormat="1" applyFont="1" applyFill="1" applyBorder="1" applyAlignment="1">
      <alignment horizontal="right"/>
    </xf>
    <xf numFmtId="176" fontId="25" fillId="68" borderId="24" xfId="2112" applyNumberFormat="1" applyFont="1" applyFill="1" applyBorder="1"/>
    <xf numFmtId="176" fontId="312" fillId="0" borderId="0" xfId="2112" applyNumberFormat="1" applyFont="1"/>
    <xf numFmtId="176" fontId="295" fillId="0" borderId="99" xfId="2112" applyNumberFormat="1" applyFont="1" applyBorder="1" applyAlignment="1">
      <alignment horizontal="center" vertical="center"/>
    </xf>
    <xf numFmtId="234" fontId="37" fillId="73" borderId="0" xfId="1" applyNumberFormat="1" applyFont="1" applyFill="1"/>
    <xf numFmtId="176" fontId="262" fillId="0" borderId="0" xfId="0" applyNumberFormat="1" applyFont="1" applyProtection="1">
      <protection locked="0"/>
    </xf>
    <xf numFmtId="176" fontId="0" fillId="59" borderId="24" xfId="2112" applyNumberFormat="1" applyFont="1" applyFill="1" applyBorder="1" applyProtection="1">
      <protection locked="0"/>
    </xf>
    <xf numFmtId="176" fontId="0" fillId="66" borderId="24" xfId="2112" applyNumberFormat="1" applyFont="1" applyFill="1" applyBorder="1" applyProtection="1">
      <protection locked="0"/>
    </xf>
    <xf numFmtId="0" fontId="30" fillId="73" borderId="38" xfId="0" applyFont="1" applyFill="1" applyBorder="1" applyAlignment="1">
      <alignment horizontal="center" vertical="center" wrapText="1"/>
    </xf>
    <xf numFmtId="176" fontId="35" fillId="73" borderId="106" xfId="2112" applyNumberFormat="1" applyFont="1" applyFill="1" applyBorder="1" applyAlignment="1" applyProtection="1">
      <alignment horizontal="right"/>
    </xf>
    <xf numFmtId="176" fontId="30" fillId="73" borderId="107" xfId="2112" applyNumberFormat="1" applyFont="1" applyFill="1" applyBorder="1" applyAlignment="1">
      <alignment horizontal="center"/>
    </xf>
    <xf numFmtId="176" fontId="35" fillId="0" borderId="106" xfId="2112" applyNumberFormat="1" applyFont="1" applyFill="1" applyBorder="1" applyAlignment="1" applyProtection="1">
      <alignment horizontal="right"/>
    </xf>
    <xf numFmtId="176" fontId="35" fillId="73" borderId="106" xfId="2112" applyNumberFormat="1" applyFont="1" applyFill="1" applyBorder="1" applyAlignment="1">
      <alignment horizontal="right"/>
    </xf>
    <xf numFmtId="176" fontId="30" fillId="0" borderId="106" xfId="2112" applyNumberFormat="1" applyFont="1" applyFill="1" applyBorder="1" applyAlignment="1">
      <alignment horizontal="right"/>
    </xf>
    <xf numFmtId="176" fontId="30" fillId="73" borderId="106" xfId="2112" applyNumberFormat="1" applyFont="1" applyFill="1" applyBorder="1" applyAlignment="1">
      <alignment horizontal="right"/>
    </xf>
    <xf numFmtId="176" fontId="30" fillId="73" borderId="106" xfId="2112" applyNumberFormat="1" applyFont="1" applyFill="1" applyBorder="1" applyAlignment="1" applyProtection="1">
      <alignment horizontal="right"/>
    </xf>
    <xf numFmtId="176" fontId="35" fillId="0" borderId="106" xfId="2112" applyNumberFormat="1" applyFont="1" applyFill="1" applyBorder="1" applyAlignment="1">
      <alignment horizontal="right"/>
    </xf>
    <xf numFmtId="176" fontId="30" fillId="0" borderId="106" xfId="2112" applyNumberFormat="1" applyFont="1" applyFill="1" applyBorder="1" applyAlignment="1">
      <alignment horizontal="right" vertical="center"/>
    </xf>
    <xf numFmtId="234" fontId="35" fillId="0" borderId="106" xfId="1" applyNumberFormat="1" applyFont="1" applyFill="1" applyBorder="1" applyProtection="1">
      <protection locked="0"/>
    </xf>
    <xf numFmtId="176" fontId="35" fillId="73" borderId="109" xfId="2112" applyNumberFormat="1" applyFont="1" applyFill="1" applyBorder="1" applyAlignment="1">
      <alignment horizontal="center"/>
    </xf>
    <xf numFmtId="176" fontId="35" fillId="73" borderId="106" xfId="2112" applyNumberFormat="1" applyFont="1" applyFill="1" applyBorder="1" applyAlignment="1">
      <alignment horizontal="center"/>
    </xf>
    <xf numFmtId="176" fontId="30" fillId="73" borderId="110" xfId="2112" applyNumberFormat="1" applyFont="1" applyFill="1" applyBorder="1" applyAlignment="1">
      <alignment horizontal="center" vertical="center"/>
    </xf>
    <xf numFmtId="175" fontId="294" fillId="0" borderId="0" xfId="2112" applyFont="1"/>
    <xf numFmtId="175" fontId="30" fillId="87" borderId="0" xfId="2112" applyFont="1" applyFill="1" applyBorder="1" applyAlignment="1">
      <alignment horizontal="center"/>
    </xf>
    <xf numFmtId="176" fontId="30" fillId="0" borderId="0" xfId="1" applyNumberFormat="1" applyFont="1" applyFill="1" applyBorder="1" applyAlignment="1" applyProtection="1">
      <alignment horizontal="center"/>
    </xf>
    <xf numFmtId="175" fontId="35" fillId="0" borderId="0" xfId="2112" applyFont="1" applyFill="1" applyBorder="1" applyAlignment="1" applyProtection="1">
      <alignment horizontal="center"/>
    </xf>
    <xf numFmtId="176" fontId="30" fillId="0" borderId="0" xfId="1" applyNumberFormat="1" applyFont="1" applyFill="1" applyBorder="1" applyAlignment="1">
      <alignment horizontal="center"/>
    </xf>
    <xf numFmtId="176" fontId="35" fillId="0" borderId="0" xfId="1" applyNumberFormat="1" applyFont="1" applyFill="1" applyBorder="1" applyAlignment="1">
      <alignment horizontal="center" vertical="center"/>
    </xf>
    <xf numFmtId="10" fontId="35" fillId="68" borderId="0" xfId="1" applyNumberFormat="1" applyFont="1" applyFill="1" applyBorder="1" applyAlignment="1" applyProtection="1">
      <alignment horizontal="center"/>
    </xf>
    <xf numFmtId="0" fontId="293" fillId="0" borderId="0" xfId="0" applyFont="1" applyProtection="1">
      <protection locked="0"/>
    </xf>
    <xf numFmtId="10" fontId="293" fillId="0" borderId="0" xfId="1" applyNumberFormat="1" applyFont="1" applyFill="1" applyBorder="1" applyAlignment="1" applyProtection="1">
      <alignment horizontal="center" vertical="center"/>
      <protection locked="0"/>
    </xf>
    <xf numFmtId="176" fontId="35" fillId="72" borderId="62" xfId="2112" applyNumberFormat="1" applyFont="1" applyFill="1" applyBorder="1" applyAlignment="1" applyProtection="1">
      <alignment horizontal="right"/>
    </xf>
    <xf numFmtId="176" fontId="30" fillId="88" borderId="92" xfId="2112" applyNumberFormat="1" applyFont="1" applyFill="1" applyBorder="1" applyAlignment="1">
      <alignment horizontal="center" vertical="center" wrapText="1"/>
    </xf>
    <xf numFmtId="10" fontId="30" fillId="88" borderId="93" xfId="2112" applyNumberFormat="1" applyFont="1" applyFill="1" applyBorder="1" applyAlignment="1">
      <alignment horizontal="center" vertical="center" wrapText="1"/>
    </xf>
    <xf numFmtId="176" fontId="35" fillId="88" borderId="62" xfId="2112" applyNumberFormat="1" applyFont="1" applyFill="1" applyBorder="1" applyAlignment="1" applyProtection="1">
      <alignment horizontal="right"/>
    </xf>
    <xf numFmtId="10" fontId="35" fillId="88" borderId="63" xfId="1" applyNumberFormat="1" applyFont="1" applyFill="1" applyBorder="1" applyAlignment="1">
      <alignment horizontal="right"/>
    </xf>
    <xf numFmtId="176" fontId="30" fillId="88" borderId="73" xfId="2112" applyNumberFormat="1" applyFont="1" applyFill="1" applyBorder="1" applyAlignment="1">
      <alignment horizontal="center"/>
    </xf>
    <xf numFmtId="10" fontId="30" fillId="88" borderId="74" xfId="1" applyNumberFormat="1" applyFont="1" applyFill="1" applyBorder="1" applyAlignment="1">
      <alignment horizontal="right"/>
    </xf>
    <xf numFmtId="10" fontId="30" fillId="88" borderId="63" xfId="1" applyNumberFormat="1" applyFont="1" applyFill="1" applyBorder="1" applyAlignment="1">
      <alignment horizontal="right"/>
    </xf>
    <xf numFmtId="176" fontId="35" fillId="88" borderId="62" xfId="2112" applyNumberFormat="1" applyFont="1" applyFill="1" applyBorder="1" applyAlignment="1">
      <alignment horizontal="right"/>
    </xf>
    <xf numFmtId="176" fontId="30" fillId="88" borderId="62" xfId="2112" applyNumberFormat="1" applyFont="1" applyFill="1" applyBorder="1" applyAlignment="1">
      <alignment horizontal="right"/>
    </xf>
    <xf numFmtId="10" fontId="30" fillId="88" borderId="63" xfId="1" applyNumberFormat="1" applyFont="1" applyFill="1" applyBorder="1" applyAlignment="1" applyProtection="1">
      <alignment horizontal="right"/>
    </xf>
    <xf numFmtId="10" fontId="35" fillId="88" borderId="63" xfId="1" applyNumberFormat="1" applyFont="1" applyFill="1" applyBorder="1" applyAlignment="1" applyProtection="1">
      <alignment horizontal="right"/>
    </xf>
    <xf numFmtId="176" fontId="30" fillId="88" borderId="62" xfId="2112" applyNumberFormat="1" applyFont="1" applyFill="1" applyBorder="1" applyAlignment="1" applyProtection="1">
      <alignment horizontal="right"/>
    </xf>
    <xf numFmtId="176" fontId="30" fillId="88" borderId="73" xfId="2112" applyNumberFormat="1" applyFont="1" applyFill="1" applyBorder="1" applyAlignment="1">
      <alignment horizontal="right"/>
    </xf>
    <xf numFmtId="176" fontId="35" fillId="88" borderId="67" xfId="2112" applyNumberFormat="1" applyFont="1" applyFill="1" applyBorder="1" applyAlignment="1">
      <alignment horizontal="center"/>
    </xf>
    <xf numFmtId="10" fontId="35" fillId="88" borderId="69" xfId="1" applyNumberFormat="1" applyFont="1" applyFill="1" applyBorder="1" applyAlignment="1">
      <alignment horizontal="right" vertical="center"/>
    </xf>
    <xf numFmtId="10" fontId="35" fillId="88" borderId="63" xfId="1" applyNumberFormat="1" applyFont="1" applyFill="1" applyBorder="1" applyAlignment="1">
      <alignment horizontal="right" vertical="center"/>
    </xf>
    <xf numFmtId="176" fontId="35" fillId="88" borderId="62" xfId="2112" applyNumberFormat="1" applyFont="1" applyFill="1" applyBorder="1" applyAlignment="1">
      <alignment horizontal="center"/>
    </xf>
    <xf numFmtId="10" fontId="30" fillId="88" borderId="77" xfId="1" applyNumberFormat="1" applyFont="1" applyFill="1" applyBorder="1" applyAlignment="1">
      <alignment horizontal="right" vertical="center" wrapText="1"/>
    </xf>
    <xf numFmtId="49" fontId="267" fillId="58" borderId="32" xfId="0" applyNumberFormat="1" applyFont="1" applyFill="1" applyBorder="1" applyAlignment="1" applyProtection="1">
      <alignment horizontal="left"/>
      <protection locked="0"/>
    </xf>
    <xf numFmtId="176" fontId="268" fillId="58" borderId="24" xfId="2112" applyNumberFormat="1" applyFont="1" applyFill="1" applyBorder="1" applyProtection="1">
      <protection locked="0"/>
    </xf>
    <xf numFmtId="176" fontId="30" fillId="88" borderId="80" xfId="2112" applyNumberFormat="1" applyFont="1" applyFill="1" applyBorder="1" applyAlignment="1">
      <alignment horizontal="center" vertical="center"/>
    </xf>
    <xf numFmtId="0" fontId="25" fillId="73" borderId="24" xfId="2183" applyFont="1" applyFill="1" applyBorder="1" applyAlignment="1">
      <alignment vertical="center"/>
    </xf>
    <xf numFmtId="176" fontId="25" fillId="0" borderId="0" xfId="2183" applyNumberFormat="1" applyFont="1"/>
    <xf numFmtId="176" fontId="30" fillId="64" borderId="62" xfId="2112" applyNumberFormat="1" applyFont="1" applyFill="1" applyBorder="1" applyAlignment="1">
      <alignment horizontal="right" vertical="center"/>
    </xf>
    <xf numFmtId="10" fontId="30" fillId="64" borderId="63" xfId="1" applyNumberFormat="1" applyFont="1" applyFill="1" applyBorder="1" applyAlignment="1">
      <alignment horizontal="right" vertical="center"/>
    </xf>
    <xf numFmtId="176" fontId="330" fillId="72" borderId="62" xfId="2112" applyNumberFormat="1" applyFont="1" applyFill="1" applyBorder="1"/>
    <xf numFmtId="10" fontId="30" fillId="0" borderId="106" xfId="1" applyNumberFormat="1" applyFont="1" applyFill="1" applyBorder="1" applyAlignment="1">
      <alignment horizontal="center"/>
    </xf>
    <xf numFmtId="0" fontId="295" fillId="0" borderId="0" xfId="2182" applyFont="1" applyAlignment="1">
      <alignment horizontal="center" wrapText="1"/>
    </xf>
    <xf numFmtId="0" fontId="295" fillId="0" borderId="0" xfId="2182" applyFont="1"/>
    <xf numFmtId="176" fontId="295" fillId="0" borderId="0" xfId="2112" applyNumberFormat="1" applyFont="1"/>
    <xf numFmtId="0" fontId="319" fillId="73" borderId="24" xfId="2183" applyFont="1" applyFill="1" applyBorder="1"/>
    <xf numFmtId="193" fontId="332" fillId="0" borderId="0" xfId="2182" applyNumberFormat="1" applyFont="1" applyAlignment="1">
      <alignment horizontal="right"/>
    </xf>
    <xf numFmtId="176" fontId="269" fillId="58" borderId="24" xfId="2112" applyNumberFormat="1" applyFont="1" applyFill="1" applyBorder="1" applyProtection="1">
      <protection locked="0"/>
    </xf>
    <xf numFmtId="0" fontId="35" fillId="73" borderId="0" xfId="0" applyFont="1" applyFill="1" applyProtection="1">
      <protection locked="0"/>
    </xf>
    <xf numFmtId="0" fontId="30" fillId="73" borderId="0" xfId="0" applyFont="1" applyFill="1" applyProtection="1">
      <protection locked="0"/>
    </xf>
    <xf numFmtId="0" fontId="35" fillId="73" borderId="68" xfId="0" applyFont="1" applyFill="1" applyBorder="1" applyProtection="1">
      <protection locked="0"/>
    </xf>
    <xf numFmtId="0" fontId="35" fillId="73" borderId="69" xfId="0" applyFont="1" applyFill="1" applyBorder="1" applyProtection="1">
      <protection locked="0"/>
    </xf>
    <xf numFmtId="0" fontId="35" fillId="73" borderId="63" xfId="0" applyFont="1" applyFill="1" applyBorder="1" applyProtection="1">
      <protection locked="0"/>
    </xf>
    <xf numFmtId="0" fontId="35" fillId="73" borderId="22" xfId="0" applyFont="1" applyFill="1" applyBorder="1" applyProtection="1">
      <protection locked="0"/>
    </xf>
    <xf numFmtId="0" fontId="35" fillId="73" borderId="77" xfId="0" applyFont="1" applyFill="1" applyBorder="1" applyProtection="1">
      <protection locked="0"/>
    </xf>
    <xf numFmtId="0" fontId="334" fillId="0" borderId="0" xfId="0" applyFont="1"/>
    <xf numFmtId="176" fontId="334" fillId="0" borderId="0" xfId="2112" applyNumberFormat="1" applyFont="1"/>
    <xf numFmtId="49" fontId="334" fillId="0" borderId="0" xfId="0" applyNumberFormat="1" applyFont="1"/>
    <xf numFmtId="176" fontId="319" fillId="73" borderId="24" xfId="2112" applyNumberFormat="1" applyFont="1" applyFill="1" applyBorder="1"/>
    <xf numFmtId="176" fontId="37" fillId="73" borderId="24" xfId="2112" applyNumberFormat="1" applyFont="1" applyFill="1" applyBorder="1" applyAlignment="1">
      <alignment horizontal="right"/>
    </xf>
    <xf numFmtId="176" fontId="25" fillId="73" borderId="0" xfId="2112" applyNumberFormat="1" applyFont="1" applyFill="1"/>
    <xf numFmtId="176" fontId="269" fillId="58" borderId="24" xfId="2112" applyNumberFormat="1" applyFont="1" applyFill="1" applyBorder="1" applyProtection="1"/>
    <xf numFmtId="176" fontId="268" fillId="59" borderId="24" xfId="2112" applyNumberFormat="1" applyFont="1" applyFill="1" applyBorder="1" applyProtection="1">
      <protection locked="0"/>
    </xf>
    <xf numFmtId="176" fontId="269" fillId="66" borderId="24" xfId="2112" applyNumberFormat="1" applyFont="1" applyFill="1" applyBorder="1" applyProtection="1">
      <protection locked="0"/>
    </xf>
    <xf numFmtId="176" fontId="325" fillId="0" borderId="0" xfId="2112" applyNumberFormat="1" applyFont="1" applyFill="1" applyBorder="1" applyAlignment="1" applyProtection="1">
      <alignment horizontal="center" vertical="center"/>
      <protection locked="0"/>
    </xf>
    <xf numFmtId="176" fontId="335" fillId="0" borderId="0" xfId="2112" applyNumberFormat="1" applyFont="1"/>
    <xf numFmtId="176" fontId="335" fillId="0" borderId="0" xfId="2182" applyNumberFormat="1" applyFont="1"/>
    <xf numFmtId="176" fontId="333" fillId="81" borderId="81" xfId="2112" applyNumberFormat="1" applyFont="1" applyFill="1" applyBorder="1" applyAlignment="1">
      <alignment horizontal="center"/>
    </xf>
    <xf numFmtId="176" fontId="329" fillId="0" borderId="0" xfId="2112" applyNumberFormat="1" applyFont="1" applyFill="1" applyAlignment="1" applyProtection="1">
      <alignment vertical="center"/>
      <protection locked="0"/>
    </xf>
    <xf numFmtId="176" fontId="329" fillId="0" borderId="0" xfId="2112" applyNumberFormat="1" applyFont="1" applyFill="1" applyBorder="1" applyAlignment="1" applyProtection="1">
      <alignment horizontal="center" vertical="center"/>
      <protection locked="0"/>
    </xf>
    <xf numFmtId="176" fontId="268" fillId="67" borderId="24" xfId="2112" applyNumberFormat="1" applyFont="1" applyFill="1" applyBorder="1" applyProtection="1">
      <protection locked="0"/>
    </xf>
    <xf numFmtId="176" fontId="269" fillId="62" borderId="24" xfId="2112" applyNumberFormat="1" applyFont="1" applyFill="1" applyBorder="1" applyProtection="1"/>
    <xf numFmtId="176" fontId="269" fillId="67" borderId="24" xfId="2112" applyNumberFormat="1" applyFont="1" applyFill="1" applyBorder="1" applyProtection="1"/>
    <xf numFmtId="10" fontId="30" fillId="73" borderId="22" xfId="1" applyNumberFormat="1" applyFont="1" applyFill="1" applyBorder="1" applyAlignment="1">
      <alignment horizontal="right" vertical="center" wrapText="1"/>
    </xf>
    <xf numFmtId="176" fontId="336" fillId="64" borderId="0" xfId="2112" applyNumberFormat="1" applyFont="1" applyFill="1" applyBorder="1" applyAlignment="1" applyProtection="1">
      <alignment horizontal="center" vertical="center"/>
      <protection locked="0"/>
    </xf>
    <xf numFmtId="176" fontId="35" fillId="72" borderId="62" xfId="2112" applyNumberFormat="1" applyFont="1" applyFill="1" applyBorder="1" applyAlignment="1">
      <alignment horizontal="center"/>
    </xf>
    <xf numFmtId="176" fontId="333" fillId="81" borderId="81" xfId="2112" applyNumberFormat="1" applyFont="1" applyFill="1" applyBorder="1" applyAlignment="1">
      <alignment horizontal="right"/>
    </xf>
    <xf numFmtId="176" fontId="2" fillId="0" borderId="0" xfId="2112" applyNumberFormat="1" applyFont="1"/>
    <xf numFmtId="0" fontId="310" fillId="62" borderId="24" xfId="0" applyFont="1" applyFill="1" applyBorder="1" applyAlignment="1">
      <alignment horizontal="left"/>
    </xf>
    <xf numFmtId="49" fontId="310" fillId="62" borderId="32" xfId="0" applyNumberFormat="1" applyFont="1" applyFill="1" applyBorder="1" applyAlignment="1">
      <alignment horizontal="left"/>
    </xf>
    <xf numFmtId="176" fontId="1" fillId="62" borderId="24" xfId="2112" applyNumberFormat="1" applyFont="1" applyFill="1" applyBorder="1" applyProtection="1"/>
    <xf numFmtId="0" fontId="30" fillId="73" borderId="62" xfId="0" applyFont="1" applyFill="1" applyBorder="1" applyAlignment="1">
      <alignment horizontal="center" vertical="center" wrapText="1"/>
    </xf>
    <xf numFmtId="176" fontId="30" fillId="73" borderId="62" xfId="2112" applyNumberFormat="1" applyFont="1" applyFill="1" applyBorder="1" applyAlignment="1">
      <alignment horizontal="center" vertical="center" wrapText="1"/>
    </xf>
    <xf numFmtId="10" fontId="30" fillId="73" borderId="63" xfId="2112" applyNumberFormat="1" applyFont="1" applyFill="1" applyBorder="1" applyAlignment="1">
      <alignment horizontal="center" vertical="center" wrapText="1"/>
    </xf>
    <xf numFmtId="10" fontId="30" fillId="0" borderId="0" xfId="2112" applyNumberFormat="1" applyFont="1" applyFill="1" applyBorder="1" applyAlignment="1">
      <alignment horizontal="center" vertical="center" wrapText="1"/>
    </xf>
    <xf numFmtId="0" fontId="30" fillId="73" borderId="106" xfId="0" applyFont="1" applyFill="1" applyBorder="1" applyAlignment="1">
      <alignment horizontal="center" vertical="center" wrapText="1"/>
    </xf>
    <xf numFmtId="176" fontId="30" fillId="72" borderId="62" xfId="2112" applyNumberFormat="1" applyFont="1" applyFill="1" applyBorder="1" applyAlignment="1">
      <alignment horizontal="center" vertical="center" wrapText="1"/>
    </xf>
    <xf numFmtId="10" fontId="30" fillId="72" borderId="63" xfId="2112" applyNumberFormat="1" applyFont="1" applyFill="1" applyBorder="1" applyAlignment="1">
      <alignment horizontal="center" vertical="center" wrapText="1"/>
    </xf>
    <xf numFmtId="176" fontId="30" fillId="86" borderId="62" xfId="2112" applyNumberFormat="1" applyFont="1" applyFill="1" applyBorder="1" applyAlignment="1">
      <alignment horizontal="center" vertical="center" wrapText="1"/>
    </xf>
    <xf numFmtId="10" fontId="30" fillId="86" borderId="63" xfId="2112" applyNumberFormat="1" applyFont="1" applyFill="1" applyBorder="1" applyAlignment="1">
      <alignment horizontal="center" vertical="center" wrapText="1"/>
    </xf>
    <xf numFmtId="176" fontId="35" fillId="72" borderId="62" xfId="2112" applyNumberFormat="1" applyFont="1" applyFill="1" applyBorder="1" applyAlignment="1">
      <alignment horizontal="center" vertical="center" wrapText="1"/>
    </xf>
    <xf numFmtId="0" fontId="268" fillId="0" borderId="0" xfId="0" applyFont="1"/>
    <xf numFmtId="4" fontId="334" fillId="0" borderId="0" xfId="0" applyNumberFormat="1" applyFont="1"/>
    <xf numFmtId="176" fontId="269" fillId="0" borderId="0" xfId="0" applyNumberFormat="1" applyFont="1" applyProtection="1">
      <protection locked="0"/>
    </xf>
    <xf numFmtId="0" fontId="273" fillId="0" borderId="0" xfId="0" applyFont="1" applyProtection="1">
      <protection locked="0"/>
    </xf>
    <xf numFmtId="176" fontId="268" fillId="0" borderId="0" xfId="0" applyNumberFormat="1" applyFont="1" applyProtection="1">
      <protection locked="0"/>
    </xf>
    <xf numFmtId="176" fontId="269" fillId="0" borderId="0" xfId="0" applyNumberFormat="1" applyFont="1"/>
    <xf numFmtId="176" fontId="334" fillId="0" borderId="0" xfId="0" applyNumberFormat="1" applyFont="1"/>
    <xf numFmtId="0" fontId="25" fillId="73" borderId="75" xfId="2183" applyFont="1" applyFill="1" applyBorder="1" applyAlignment="1">
      <alignment horizontal="center"/>
    </xf>
    <xf numFmtId="176" fontId="30" fillId="82" borderId="62" xfId="2112" applyNumberFormat="1" applyFont="1" applyFill="1" applyBorder="1" applyAlignment="1">
      <alignment horizontal="right"/>
    </xf>
    <xf numFmtId="193" fontId="312" fillId="0" borderId="0" xfId="2182" applyNumberFormat="1" applyFont="1"/>
    <xf numFmtId="176" fontId="334" fillId="0" borderId="0" xfId="2112" applyNumberFormat="1" applyFont="1" applyAlignment="1">
      <alignment horizontal="right"/>
    </xf>
    <xf numFmtId="41" fontId="337" fillId="73" borderId="24" xfId="2181" applyFont="1" applyFill="1" applyBorder="1" applyAlignment="1">
      <alignment horizontal="center"/>
    </xf>
    <xf numFmtId="1" fontId="321" fillId="73" borderId="24" xfId="2183" applyNumberFormat="1" applyFont="1" applyFill="1" applyBorder="1" applyAlignment="1">
      <alignment vertical="center" wrapText="1"/>
    </xf>
    <xf numFmtId="41" fontId="319" fillId="73" borderId="24" xfId="1864" applyFont="1" applyFill="1" applyBorder="1" applyAlignment="1">
      <alignment horizontal="right"/>
    </xf>
    <xf numFmtId="176" fontId="334" fillId="0" borderId="0" xfId="2112" applyNumberFormat="1" applyFont="1" applyFill="1"/>
    <xf numFmtId="0" fontId="338" fillId="0" borderId="0" xfId="0" applyFont="1" applyAlignment="1">
      <alignment vertical="center"/>
    </xf>
    <xf numFmtId="0" fontId="338" fillId="84" borderId="0" xfId="0" applyFont="1" applyFill="1" applyAlignment="1">
      <alignment vertical="center"/>
    </xf>
    <xf numFmtId="0" fontId="262" fillId="84" borderId="0" xfId="0" applyFont="1" applyFill="1"/>
    <xf numFmtId="0" fontId="25" fillId="73" borderId="12" xfId="2183" applyFont="1" applyFill="1" applyBorder="1" applyAlignment="1">
      <alignment horizontal="center" vertical="center"/>
    </xf>
    <xf numFmtId="0" fontId="37" fillId="73" borderId="24" xfId="2183" applyFont="1" applyFill="1" applyBorder="1" applyAlignment="1">
      <alignment horizontal="center" vertical="center" wrapText="1"/>
    </xf>
    <xf numFmtId="0" fontId="37" fillId="73" borderId="32" xfId="2183" applyFont="1" applyFill="1" applyBorder="1" applyAlignment="1">
      <alignment horizontal="center" vertical="center" wrapText="1"/>
    </xf>
    <xf numFmtId="49" fontId="301" fillId="81" borderId="81" xfId="0" applyNumberFormat="1" applyFont="1" applyFill="1" applyBorder="1"/>
    <xf numFmtId="368" fontId="301" fillId="81" borderId="81" xfId="0" applyNumberFormat="1" applyFont="1" applyFill="1" applyBorder="1" applyAlignment="1">
      <alignment horizontal="right"/>
    </xf>
    <xf numFmtId="0" fontId="310" fillId="0" borderId="81" xfId="0" applyFont="1" applyBorder="1"/>
    <xf numFmtId="49" fontId="310" fillId="0" borderId="81" xfId="0" applyNumberFormat="1" applyFont="1" applyBorder="1"/>
    <xf numFmtId="368" fontId="310" fillId="0" borderId="81" xfId="0" applyNumberFormat="1" applyFont="1" applyBorder="1" applyAlignment="1">
      <alignment horizontal="right"/>
    </xf>
    <xf numFmtId="0" fontId="25" fillId="68" borderId="75" xfId="2183" applyFont="1" applyFill="1" applyBorder="1" applyAlignment="1">
      <alignment vertical="center" wrapText="1"/>
    </xf>
    <xf numFmtId="0" fontId="25" fillId="68" borderId="10" xfId="2183" applyFont="1" applyFill="1" applyBorder="1" applyAlignment="1">
      <alignment vertical="center" wrapText="1"/>
    </xf>
    <xf numFmtId="177" fontId="25" fillId="68" borderId="32" xfId="2184" applyNumberFormat="1" applyFont="1" applyFill="1" applyBorder="1"/>
    <xf numFmtId="43" fontId="294" fillId="0" borderId="0" xfId="2182" applyNumberFormat="1"/>
    <xf numFmtId="176" fontId="295" fillId="66" borderId="0" xfId="2112" applyNumberFormat="1" applyFont="1" applyFill="1"/>
    <xf numFmtId="176" fontId="35" fillId="73" borderId="62" xfId="1865" applyNumberFormat="1" applyFont="1" applyFill="1" applyBorder="1" applyAlignment="1">
      <alignment horizontal="center"/>
    </xf>
    <xf numFmtId="176" fontId="35" fillId="73" borderId="106" xfId="1865" applyNumberFormat="1" applyFont="1" applyFill="1" applyBorder="1" applyAlignment="1">
      <alignment horizontal="center"/>
    </xf>
    <xf numFmtId="176" fontId="35" fillId="73" borderId="62" xfId="1865" applyNumberFormat="1" applyFont="1" applyFill="1" applyBorder="1" applyAlignment="1" applyProtection="1">
      <alignment horizontal="right"/>
    </xf>
    <xf numFmtId="0" fontId="25" fillId="68" borderId="24" xfId="2183" applyFont="1" applyFill="1" applyBorder="1" applyAlignment="1">
      <alignment horizontal="left"/>
    </xf>
    <xf numFmtId="0" fontId="35" fillId="88" borderId="63" xfId="1" applyNumberFormat="1" applyFont="1" applyFill="1" applyBorder="1" applyAlignment="1">
      <alignment horizontal="right"/>
    </xf>
    <xf numFmtId="176" fontId="35" fillId="64" borderId="0" xfId="0" applyNumberFormat="1" applyFont="1" applyFill="1" applyProtection="1">
      <protection locked="0"/>
    </xf>
    <xf numFmtId="0" fontId="267" fillId="58" borderId="24" xfId="0" applyNumberFormat="1" applyFont="1" applyFill="1" applyBorder="1" applyAlignment="1" applyProtection="1">
      <alignment horizontal="left"/>
      <protection locked="0"/>
    </xf>
    <xf numFmtId="0" fontId="25" fillId="68" borderId="24" xfId="2183" applyFont="1" applyFill="1" applyBorder="1" applyAlignment="1">
      <alignment horizontal="left"/>
    </xf>
    <xf numFmtId="0" fontId="37" fillId="68" borderId="75" xfId="2183" applyFont="1" applyFill="1" applyBorder="1"/>
    <xf numFmtId="0" fontId="321" fillId="68" borderId="32" xfId="2183" applyFont="1" applyFill="1" applyBorder="1" applyAlignment="1">
      <alignment horizontal="left"/>
    </xf>
    <xf numFmtId="0" fontId="321" fillId="68" borderId="39" xfId="2183" applyFont="1" applyFill="1" applyBorder="1" applyAlignment="1">
      <alignment horizontal="left"/>
    </xf>
    <xf numFmtId="0" fontId="321" fillId="68" borderId="66" xfId="2183" applyFont="1" applyFill="1" applyBorder="1" applyAlignment="1">
      <alignment horizontal="left"/>
    </xf>
    <xf numFmtId="0" fontId="25" fillId="68" borderId="24" xfId="2183" applyFont="1" applyFill="1" applyBorder="1" applyAlignment="1">
      <alignment horizontal="left"/>
    </xf>
    <xf numFmtId="0" fontId="321" fillId="73" borderId="24" xfId="2183" applyFont="1" applyFill="1" applyBorder="1"/>
    <xf numFmtId="41" fontId="321" fillId="73" borderId="24" xfId="1864" applyFont="1" applyFill="1" applyBorder="1" applyAlignment="1">
      <alignment horizontal="right" vertical="center"/>
    </xf>
    <xf numFmtId="0" fontId="321" fillId="0" borderId="0" xfId="2183" applyFont="1"/>
    <xf numFmtId="339" fontId="294" fillId="0" borderId="0" xfId="2112" applyNumberFormat="1" applyFont="1"/>
    <xf numFmtId="0" fontId="272" fillId="0" borderId="24" xfId="2112" applyNumberFormat="1" applyFont="1" applyFill="1" applyBorder="1" applyAlignment="1" applyProtection="1">
      <alignment horizontal="center"/>
      <protection locked="0"/>
    </xf>
    <xf numFmtId="0" fontId="272" fillId="0" borderId="32" xfId="2112" applyNumberFormat="1" applyFont="1" applyFill="1" applyBorder="1" applyAlignment="1" applyProtection="1">
      <alignment horizontal="center"/>
      <protection locked="0"/>
    </xf>
    <xf numFmtId="0" fontId="272" fillId="0" borderId="66" xfId="2112" applyNumberFormat="1" applyFont="1" applyFill="1" applyBorder="1" applyAlignment="1" applyProtection="1">
      <alignment horizontal="center"/>
      <protection locked="0"/>
    </xf>
    <xf numFmtId="0" fontId="262" fillId="0" borderId="0" xfId="0" applyFont="1" applyAlignment="1">
      <alignment horizontal="left"/>
    </xf>
    <xf numFmtId="0" fontId="314" fillId="84" borderId="24" xfId="0" applyFont="1" applyFill="1" applyBorder="1" applyAlignment="1">
      <alignment horizontal="left"/>
    </xf>
    <xf numFmtId="0" fontId="314" fillId="72" borderId="24" xfId="0" applyFont="1" applyFill="1" applyBorder="1" applyAlignment="1">
      <alignment horizontal="left"/>
    </xf>
    <xf numFmtId="0" fontId="272" fillId="84" borderId="24" xfId="0" applyFont="1" applyFill="1" applyBorder="1" applyAlignment="1">
      <alignment horizontal="left"/>
    </xf>
    <xf numFmtId="0" fontId="4" fillId="64" borderId="67" xfId="0" applyFont="1" applyFill="1" applyBorder="1" applyAlignment="1">
      <alignment horizontal="center"/>
    </xf>
    <xf numFmtId="0" fontId="4" fillId="64" borderId="68" xfId="0" applyFont="1" applyFill="1" applyBorder="1" applyAlignment="1">
      <alignment horizontal="center"/>
    </xf>
    <xf numFmtId="0" fontId="4" fillId="64" borderId="69" xfId="0" applyFont="1" applyFill="1" applyBorder="1" applyAlignment="1">
      <alignment horizontal="center"/>
    </xf>
    <xf numFmtId="0" fontId="4" fillId="72" borderId="76" xfId="0" applyFont="1" applyFill="1" applyBorder="1" applyAlignment="1">
      <alignment horizontal="left"/>
    </xf>
    <xf numFmtId="0" fontId="4" fillId="72" borderId="83" xfId="0" applyFont="1" applyFill="1" applyBorder="1" applyAlignment="1">
      <alignment horizontal="left"/>
    </xf>
    <xf numFmtId="0" fontId="257" fillId="73" borderId="67" xfId="0" applyFont="1" applyFill="1" applyBorder="1" applyAlignment="1">
      <alignment horizontal="center"/>
    </xf>
    <xf numFmtId="0" fontId="257" fillId="73" borderId="68" xfId="0" applyFont="1" applyFill="1" applyBorder="1" applyAlignment="1">
      <alignment horizontal="center"/>
    </xf>
    <xf numFmtId="0" fontId="257" fillId="73" borderId="69" xfId="0" applyFont="1" applyFill="1" applyBorder="1" applyAlignment="1">
      <alignment horizontal="center"/>
    </xf>
    <xf numFmtId="0" fontId="257" fillId="73" borderId="80" xfId="1959" applyFont="1" applyFill="1" applyBorder="1" applyAlignment="1">
      <alignment horizontal="center"/>
    </xf>
    <xf numFmtId="0" fontId="257" fillId="73" borderId="22" xfId="1959" applyFont="1" applyFill="1" applyBorder="1" applyAlignment="1">
      <alignment horizontal="center"/>
    </xf>
    <xf numFmtId="0" fontId="257" fillId="73" borderId="77" xfId="1959" applyFont="1" applyFill="1" applyBorder="1" applyAlignment="1">
      <alignment horizontal="center"/>
    </xf>
    <xf numFmtId="0" fontId="257" fillId="73" borderId="62" xfId="0" applyFont="1" applyFill="1" applyBorder="1" applyAlignment="1">
      <alignment horizontal="center"/>
    </xf>
    <xf numFmtId="0" fontId="257" fillId="73" borderId="0" xfId="0" applyFont="1" applyFill="1" applyAlignment="1">
      <alignment horizontal="center"/>
    </xf>
    <xf numFmtId="0" fontId="257" fillId="73" borderId="63" xfId="0" applyFont="1" applyFill="1" applyBorder="1" applyAlignment="1">
      <alignment horizontal="center"/>
    </xf>
    <xf numFmtId="0" fontId="257" fillId="73" borderId="62" xfId="1959" applyFont="1" applyFill="1" applyBorder="1" applyAlignment="1">
      <alignment horizontal="center"/>
    </xf>
    <xf numFmtId="0" fontId="257" fillId="73" borderId="0" xfId="1959" applyFont="1" applyFill="1" applyAlignment="1">
      <alignment horizontal="center"/>
    </xf>
    <xf numFmtId="0" fontId="257" fillId="73" borderId="63" xfId="1959" applyFont="1" applyFill="1" applyBorder="1" applyAlignment="1">
      <alignment horizontal="center"/>
    </xf>
    <xf numFmtId="0" fontId="4" fillId="72" borderId="82" xfId="0" applyFont="1" applyFill="1" applyBorder="1" applyAlignment="1">
      <alignment horizontal="left"/>
    </xf>
    <xf numFmtId="0" fontId="72" fillId="73" borderId="0" xfId="2183" applyFont="1" applyFill="1" applyAlignment="1">
      <alignment horizontal="center" vertical="center"/>
    </xf>
    <xf numFmtId="0" fontId="25" fillId="73" borderId="42" xfId="2183" applyFont="1" applyFill="1" applyBorder="1" applyAlignment="1">
      <alignment horizontal="center" vertical="center" wrapText="1"/>
    </xf>
    <xf numFmtId="0" fontId="25" fillId="73" borderId="10" xfId="2183" applyFont="1" applyFill="1" applyBorder="1" applyAlignment="1">
      <alignment horizontal="center" vertical="center" wrapText="1"/>
    </xf>
    <xf numFmtId="0" fontId="25" fillId="73" borderId="12" xfId="2183" applyFont="1" applyFill="1" applyBorder="1" applyAlignment="1">
      <alignment horizontal="center" vertical="center" wrapText="1"/>
    </xf>
    <xf numFmtId="176" fontId="37" fillId="73" borderId="32" xfId="2183" applyNumberFormat="1" applyFont="1" applyFill="1" applyBorder="1" applyAlignment="1">
      <alignment horizontal="center"/>
    </xf>
    <xf numFmtId="176" fontId="37" fillId="73" borderId="39" xfId="2183" applyNumberFormat="1" applyFont="1" applyFill="1" applyBorder="1" applyAlignment="1">
      <alignment horizontal="center"/>
    </xf>
    <xf numFmtId="176" fontId="37" fillId="73" borderId="66" xfId="2183" applyNumberFormat="1" applyFont="1" applyFill="1" applyBorder="1" applyAlignment="1">
      <alignment horizontal="center"/>
    </xf>
    <xf numFmtId="0" fontId="321" fillId="68" borderId="32" xfId="2183" applyFont="1" applyFill="1" applyBorder="1" applyAlignment="1">
      <alignment horizontal="left"/>
    </xf>
    <xf numFmtId="0" fontId="321" fillId="68" borderId="39" xfId="2183" applyFont="1" applyFill="1" applyBorder="1" applyAlignment="1">
      <alignment horizontal="left"/>
    </xf>
    <xf numFmtId="0" fontId="321" fillId="68" borderId="66" xfId="2183" applyFont="1" applyFill="1" applyBorder="1" applyAlignment="1">
      <alignment horizontal="left"/>
    </xf>
    <xf numFmtId="0" fontId="25" fillId="68" borderId="24" xfId="2183" applyFont="1" applyFill="1" applyBorder="1" applyAlignment="1">
      <alignment horizontal="center" vertical="center" wrapText="1"/>
    </xf>
    <xf numFmtId="0" fontId="25" fillId="73" borderId="75" xfId="2183" applyFont="1" applyFill="1" applyBorder="1" applyAlignment="1">
      <alignment horizontal="center" vertical="center"/>
    </xf>
    <xf numFmtId="0" fontId="25" fillId="73" borderId="10" xfId="2183" applyFont="1" applyFill="1" applyBorder="1" applyAlignment="1">
      <alignment horizontal="center" vertical="center"/>
    </xf>
    <xf numFmtId="0" fontId="25" fillId="73" borderId="12" xfId="2183" applyFont="1" applyFill="1" applyBorder="1" applyAlignment="1">
      <alignment horizontal="center" vertical="center"/>
    </xf>
    <xf numFmtId="0" fontId="319" fillId="73" borderId="24" xfId="2183" applyFont="1" applyFill="1" applyBorder="1" applyAlignment="1">
      <alignment horizontal="center"/>
    </xf>
    <xf numFmtId="0" fontId="37" fillId="68" borderId="24" xfId="2183" applyFont="1" applyFill="1" applyBorder="1" applyAlignment="1">
      <alignment horizontal="center"/>
    </xf>
    <xf numFmtId="0" fontId="25" fillId="68" borderId="24" xfId="2183" applyFont="1" applyFill="1" applyBorder="1" applyAlignment="1">
      <alignment horizontal="left"/>
    </xf>
    <xf numFmtId="0" fontId="37" fillId="68" borderId="24" xfId="2183" applyFont="1" applyFill="1" applyBorder="1" applyAlignment="1">
      <alignment horizontal="center" vertical="center"/>
    </xf>
    <xf numFmtId="0" fontId="30" fillId="73" borderId="67" xfId="0" applyFont="1" applyFill="1" applyBorder="1" applyAlignment="1" applyProtection="1">
      <alignment horizontal="center"/>
      <protection locked="0"/>
    </xf>
    <xf numFmtId="0" fontId="30" fillId="73" borderId="68" xfId="0" applyFont="1" applyFill="1" applyBorder="1" applyAlignment="1" applyProtection="1">
      <alignment horizontal="center"/>
      <protection locked="0"/>
    </xf>
    <xf numFmtId="0" fontId="30" fillId="73" borderId="62" xfId="0" applyFont="1" applyFill="1" applyBorder="1" applyAlignment="1" applyProtection="1">
      <alignment horizontal="center"/>
      <protection locked="0"/>
    </xf>
    <xf numFmtId="0" fontId="30" fillId="73" borderId="0" xfId="0" applyFont="1" applyFill="1" applyAlignment="1" applyProtection="1">
      <alignment horizontal="center"/>
      <protection locked="0"/>
    </xf>
    <xf numFmtId="0" fontId="30" fillId="73" borderId="62" xfId="1959" applyFont="1" applyFill="1" applyBorder="1" applyAlignment="1" applyProtection="1">
      <alignment horizontal="center"/>
      <protection locked="0"/>
    </xf>
    <xf numFmtId="0" fontId="30" fillId="73" borderId="0" xfId="1959" applyFont="1" applyFill="1" applyAlignment="1" applyProtection="1">
      <alignment horizontal="center"/>
      <protection locked="0"/>
    </xf>
    <xf numFmtId="0" fontId="30" fillId="73" borderId="80" xfId="1959" applyFont="1" applyFill="1" applyBorder="1" applyAlignment="1" applyProtection="1">
      <alignment horizontal="center"/>
      <protection locked="0"/>
    </xf>
    <xf numFmtId="0" fontId="30" fillId="73" borderId="22" xfId="1959" applyFont="1" applyFill="1" applyBorder="1" applyAlignment="1" applyProtection="1">
      <alignment horizontal="center"/>
      <protection locked="0"/>
    </xf>
    <xf numFmtId="0" fontId="295" fillId="0" borderId="63" xfId="2182" applyFont="1" applyBorder="1" applyAlignment="1">
      <alignment horizontal="center" vertical="center" wrapText="1"/>
    </xf>
    <xf numFmtId="0" fontId="295" fillId="0" borderId="67" xfId="2182" applyFont="1" applyBorder="1" applyAlignment="1">
      <alignment horizontal="center"/>
    </xf>
    <xf numFmtId="0" fontId="295" fillId="0" borderId="68" xfId="2182" applyFont="1" applyBorder="1" applyAlignment="1">
      <alignment horizontal="center"/>
    </xf>
    <xf numFmtId="0" fontId="295" fillId="0" borderId="69" xfId="2182" applyFont="1" applyBorder="1" applyAlignment="1">
      <alignment horizontal="center"/>
    </xf>
    <xf numFmtId="0" fontId="295" fillId="0" borderId="62" xfId="2182" applyFont="1" applyBorder="1" applyAlignment="1">
      <alignment horizontal="center"/>
    </xf>
    <xf numFmtId="0" fontId="295" fillId="0" borderId="0" xfId="2182" applyFont="1" applyAlignment="1">
      <alignment horizontal="center"/>
    </xf>
    <xf numFmtId="0" fontId="295" fillId="0" borderId="63" xfId="2182" applyFont="1" applyBorder="1" applyAlignment="1">
      <alignment horizontal="center"/>
    </xf>
    <xf numFmtId="0" fontId="2" fillId="73" borderId="0" xfId="0" applyFont="1" applyFill="1" applyAlignment="1">
      <alignment horizontal="center"/>
    </xf>
    <xf numFmtId="0" fontId="2" fillId="73" borderId="22" xfId="0" applyFont="1" applyFill="1" applyBorder="1" applyAlignment="1">
      <alignment horizontal="center" vertical="center"/>
    </xf>
    <xf numFmtId="0" fontId="4" fillId="73" borderId="82" xfId="0" applyFont="1" applyFill="1" applyBorder="1" applyAlignment="1">
      <alignment horizontal="center"/>
    </xf>
    <xf numFmtId="0" fontId="2" fillId="73" borderId="67" xfId="0" applyFont="1" applyFill="1" applyBorder="1" applyAlignment="1">
      <alignment horizontal="center"/>
    </xf>
    <xf numFmtId="0" fontId="2" fillId="73" borderId="68" xfId="0" applyFont="1" applyFill="1" applyBorder="1" applyAlignment="1">
      <alignment horizontal="center"/>
    </xf>
    <xf numFmtId="0" fontId="2" fillId="73" borderId="69" xfId="0" applyFont="1" applyFill="1" applyBorder="1" applyAlignment="1">
      <alignment horizontal="center"/>
    </xf>
    <xf numFmtId="0" fontId="2" fillId="73" borderId="22" xfId="0" applyFont="1" applyFill="1" applyBorder="1" applyAlignment="1">
      <alignment horizontal="center"/>
    </xf>
    <xf numFmtId="0" fontId="72" fillId="73" borderId="80" xfId="0" applyFont="1" applyFill="1" applyBorder="1" applyAlignment="1">
      <alignment horizontal="center"/>
    </xf>
    <xf numFmtId="0" fontId="72" fillId="73" borderId="22" xfId="0" applyFont="1" applyFill="1" applyBorder="1" applyAlignment="1">
      <alignment horizontal="center"/>
    </xf>
    <xf numFmtId="0" fontId="72" fillId="73" borderId="77" xfId="0" applyFont="1" applyFill="1" applyBorder="1" applyAlignment="1">
      <alignment horizontal="center"/>
    </xf>
    <xf numFmtId="0" fontId="72" fillId="73" borderId="62" xfId="0" applyFont="1" applyFill="1" applyBorder="1" applyAlignment="1">
      <alignment horizontal="center"/>
    </xf>
    <xf numFmtId="0" fontId="72" fillId="73" borderId="0" xfId="0" applyFont="1" applyFill="1" applyAlignment="1">
      <alignment horizontal="center"/>
    </xf>
    <xf numFmtId="0" fontId="72" fillId="73" borderId="63" xfId="0" applyFont="1" applyFill="1" applyBorder="1" applyAlignment="1">
      <alignment horizontal="center"/>
    </xf>
    <xf numFmtId="0" fontId="4" fillId="73" borderId="3" xfId="0" applyFont="1" applyFill="1" applyBorder="1" applyAlignment="1">
      <alignment horizontal="center"/>
    </xf>
    <xf numFmtId="0" fontId="2" fillId="73" borderId="62" xfId="0" applyFont="1" applyFill="1" applyBorder="1" applyAlignment="1">
      <alignment horizontal="center" wrapText="1"/>
    </xf>
    <xf numFmtId="0" fontId="2" fillId="73" borderId="0" xfId="0" applyFont="1" applyFill="1" applyAlignment="1">
      <alignment horizontal="center" wrapText="1"/>
    </xf>
    <xf numFmtId="0" fontId="2" fillId="73" borderId="80" xfId="0" applyFont="1" applyFill="1" applyBorder="1" applyAlignment="1">
      <alignment horizontal="center"/>
    </xf>
    <xf numFmtId="0" fontId="4" fillId="73" borderId="0" xfId="0" applyFont="1" applyFill="1" applyAlignment="1">
      <alignment horizontal="center"/>
    </xf>
    <xf numFmtId="0" fontId="257" fillId="0" borderId="76" xfId="0" applyFont="1" applyBorder="1" applyAlignment="1">
      <alignment horizontal="center"/>
    </xf>
    <xf numFmtId="0" fontId="257" fillId="0" borderId="82" xfId="0" applyFont="1" applyBorder="1" applyAlignment="1">
      <alignment horizontal="center"/>
    </xf>
    <xf numFmtId="0" fontId="257" fillId="0" borderId="83" xfId="0" applyFont="1" applyBorder="1" applyAlignment="1">
      <alignment horizontal="center"/>
    </xf>
    <xf numFmtId="0" fontId="257" fillId="0" borderId="4" xfId="0" applyFont="1" applyBorder="1" applyAlignment="1">
      <alignment horizontal="center"/>
    </xf>
    <xf numFmtId="0" fontId="257" fillId="0" borderId="0" xfId="0" applyFont="1" applyAlignment="1">
      <alignment horizontal="center"/>
    </xf>
    <xf numFmtId="0" fontId="257" fillId="0" borderId="16" xfId="0" applyFont="1" applyBorder="1" applyAlignment="1">
      <alignment horizontal="center"/>
    </xf>
    <xf numFmtId="3" fontId="3" fillId="73" borderId="86" xfId="0" applyNumberFormat="1" applyFont="1" applyFill="1" applyBorder="1" applyAlignment="1">
      <alignment horizontal="center" vertical="center"/>
    </xf>
    <xf numFmtId="3" fontId="3" fillId="73" borderId="85" xfId="0" applyNumberFormat="1" applyFont="1" applyFill="1" applyBorder="1" applyAlignment="1">
      <alignment horizontal="center" vertical="center"/>
    </xf>
    <xf numFmtId="0" fontId="294" fillId="73" borderId="75" xfId="0" applyFont="1" applyFill="1" applyBorder="1" applyAlignment="1">
      <alignment horizontal="left" vertical="center" wrapText="1"/>
    </xf>
    <xf numFmtId="0" fontId="294" fillId="73" borderId="12" xfId="0" applyFont="1" applyFill="1" applyBorder="1" applyAlignment="1">
      <alignment horizontal="left" vertical="center" wrapText="1"/>
    </xf>
    <xf numFmtId="0" fontId="294" fillId="73" borderId="83" xfId="0" applyFont="1" applyFill="1" applyBorder="1" applyAlignment="1">
      <alignment horizontal="left" vertical="center"/>
    </xf>
    <xf numFmtId="0" fontId="294" fillId="73" borderId="29" xfId="0" applyFont="1" applyFill="1" applyBorder="1" applyAlignment="1">
      <alignment horizontal="left" vertical="center"/>
    </xf>
    <xf numFmtId="3" fontId="3" fillId="68" borderId="86" xfId="0" applyNumberFormat="1" applyFont="1" applyFill="1" applyBorder="1" applyAlignment="1">
      <alignment horizontal="center" vertical="center"/>
    </xf>
    <xf numFmtId="3" fontId="3" fillId="68" borderId="85" xfId="0" applyNumberFormat="1" applyFont="1" applyFill="1" applyBorder="1" applyAlignment="1">
      <alignment horizontal="center" vertical="center"/>
    </xf>
    <xf numFmtId="0" fontId="294" fillId="68" borderId="75" xfId="0" applyFont="1" applyFill="1" applyBorder="1" applyAlignment="1">
      <alignment horizontal="left" vertical="center" wrapText="1"/>
    </xf>
    <xf numFmtId="0" fontId="294" fillId="68" borderId="12" xfId="0" applyFont="1" applyFill="1" applyBorder="1" applyAlignment="1">
      <alignment horizontal="left" vertical="center" wrapText="1"/>
    </xf>
    <xf numFmtId="193" fontId="68" fillId="68" borderId="83" xfId="0" applyNumberFormat="1" applyFont="1" applyFill="1" applyBorder="1" applyAlignment="1">
      <alignment horizontal="left" vertical="center"/>
    </xf>
    <xf numFmtId="0" fontId="68" fillId="68" borderId="29" xfId="0" applyFont="1" applyFill="1" applyBorder="1" applyAlignment="1">
      <alignment horizontal="left" vertical="center"/>
    </xf>
    <xf numFmtId="3" fontId="3" fillId="73" borderId="86" xfId="0" applyNumberFormat="1" applyFont="1" applyFill="1" applyBorder="1" applyAlignment="1">
      <alignment horizontal="center" vertical="center" wrapText="1"/>
    </xf>
    <xf numFmtId="3" fontId="3" fillId="73" borderId="87" xfId="0" applyNumberFormat="1" applyFont="1" applyFill="1" applyBorder="1" applyAlignment="1">
      <alignment horizontal="center" vertical="center" wrapText="1"/>
    </xf>
    <xf numFmtId="0" fontId="68" fillId="73" borderId="75" xfId="0" applyFont="1" applyFill="1" applyBorder="1" applyAlignment="1">
      <alignment horizontal="left" vertical="center"/>
    </xf>
    <xf numFmtId="0" fontId="68" fillId="73" borderId="12" xfId="0" applyFont="1" applyFill="1" applyBorder="1" applyAlignment="1">
      <alignment horizontal="left" vertical="center"/>
    </xf>
    <xf numFmtId="3" fontId="3" fillId="68" borderId="24" xfId="0" applyNumberFormat="1" applyFont="1" applyFill="1" applyBorder="1" applyAlignment="1">
      <alignment horizontal="center" vertical="center"/>
    </xf>
    <xf numFmtId="0" fontId="68" fillId="68" borderId="75" xfId="0" applyFont="1" applyFill="1" applyBorder="1" applyAlignment="1">
      <alignment horizontal="left" vertical="center"/>
    </xf>
    <xf numFmtId="0" fontId="68" fillId="68" borderId="12" xfId="0" applyFont="1" applyFill="1" applyBorder="1" applyAlignment="1">
      <alignment horizontal="left" vertical="center"/>
    </xf>
    <xf numFmtId="49" fontId="262" fillId="0" borderId="0" xfId="0" applyNumberFormat="1" applyFont="1" applyAlignment="1">
      <alignment horizontal="center" vertical="center" shrinkToFit="1"/>
    </xf>
    <xf numFmtId="0" fontId="0" fillId="0" borderId="0" xfId="0"/>
    <xf numFmtId="49" fontId="262" fillId="0" borderId="111" xfId="0" applyNumberFormat="1" applyFont="1" applyBorder="1" applyAlignment="1">
      <alignment horizontal="center" vertical="center" shrinkToFit="1"/>
    </xf>
    <xf numFmtId="0" fontId="0" fillId="0" borderId="111" xfId="0" applyBorder="1"/>
  </cellXfs>
  <cellStyles count="2185">
    <cellStyle name="_x0001_" xfId="5" xr:uid="{00000000-0005-0000-0000-000000000000}"/>
    <cellStyle name="_x0004_" xfId="6" xr:uid="{00000000-0005-0000-0000-000001000000}"/>
    <cellStyle name="_x0008_" xfId="7" xr:uid="{00000000-0005-0000-0000-000002000000}"/>
    <cellStyle name="_x0008__x0001_" xfId="8" xr:uid="{00000000-0005-0000-0000-000003000000}"/>
    <cellStyle name="_x0013_" xfId="9" xr:uid="{00000000-0005-0000-0000-000004000000}"/>
    <cellStyle name="_x0010_" xfId="10" xr:uid="{00000000-0005-0000-0000-000005000000}"/>
    <cellStyle name="'" xfId="11" xr:uid="{00000000-0005-0000-0000-000006000000}"/>
    <cellStyle name="-" xfId="12" xr:uid="{00000000-0005-0000-0000-000007000000}"/>
    <cellStyle name=" 1" xfId="13" xr:uid="{00000000-0005-0000-0000-000008000000}"/>
    <cellStyle name=" 1033,0_פרוטים" xfId="14" xr:uid="{00000000-0005-0000-0000-000009000000}"/>
    <cellStyle name="_x0013_ 2" xfId="15" xr:uid="{00000000-0005-0000-0000-00000A000000}"/>
    <cellStyle name="_x0013_ 2 2" xfId="16" xr:uid="{00000000-0005-0000-0000-00000B000000}"/>
    <cellStyle name="_x000a_386grabber=M" xfId="17" xr:uid="{00000000-0005-0000-0000-00000C000000}"/>
    <cellStyle name="_x000a_386grabber=M 2" xfId="18" xr:uid="{00000000-0005-0000-0000-00000D000000}"/>
    <cellStyle name="_x000a_386grabber=M_Assumptions" xfId="19" xr:uid="{00000000-0005-0000-0000-00000E000000}"/>
    <cellStyle name="_x000a_bidires=100_x000d_" xfId="20" xr:uid="{00000000-0005-0000-0000-00000F000000}"/>
    <cellStyle name="_x000a_shell=progma" xfId="21" xr:uid="{00000000-0005-0000-0000-000010000000}"/>
    <cellStyle name="#.##0 ;(#.##0)" xfId="22" xr:uid="{00000000-0005-0000-0000-000011000000}"/>
    <cellStyle name="#.00wlleft" xfId="23" xr:uid="{00000000-0005-0000-0000-000012000000}"/>
    <cellStyle name="#wlleft" xfId="24" xr:uid="{00000000-0005-0000-0000-000013000000}"/>
    <cellStyle name="$" xfId="25" xr:uid="{00000000-0005-0000-0000-000014000000}"/>
    <cellStyle name="$ w/o $" xfId="26" xr:uid="{00000000-0005-0000-0000-000015000000}"/>
    <cellStyle name="$#.00wlleft" xfId="27" xr:uid="{00000000-0005-0000-0000-000016000000}"/>
    <cellStyle name="$_Alsea LBO Model V.11" xfId="28" xr:uid="{00000000-0005-0000-0000-000017000000}"/>
    <cellStyle name="$_BP MTV 2003-03-29" xfId="29" xr:uid="{00000000-0005-0000-0000-000018000000}"/>
    <cellStyle name="$_Coppel_model_v.9" xfId="30" xr:uid="{00000000-0005-0000-0000-000019000000}"/>
    <cellStyle name="$_Cost" xfId="31" xr:uid="{00000000-0005-0000-0000-00001A000000}"/>
    <cellStyle name="$_Dividend recap 14feb07_Mgmt CASE_V2" xfId="32" xr:uid="{00000000-0005-0000-0000-00001B000000}"/>
    <cellStyle name="$_LBO analysis_30jan07" xfId="33" xr:uid="{00000000-0005-0000-0000-00001C000000}"/>
    <cellStyle name="$0" xfId="34" xr:uid="{00000000-0005-0000-0000-00001D000000}"/>
    <cellStyle name="$0,000" xfId="35" xr:uid="{00000000-0005-0000-0000-00001E000000}"/>
    <cellStyle name="$0,000.0" xfId="36" xr:uid="{00000000-0005-0000-0000-00001F000000}"/>
    <cellStyle name="$0,000.00" xfId="37" xr:uid="{00000000-0005-0000-0000-000020000000}"/>
    <cellStyle name="$0,000.000" xfId="38" xr:uid="{00000000-0005-0000-0000-000021000000}"/>
    <cellStyle name="$0." xfId="39" xr:uid="{00000000-0005-0000-0000-000022000000}"/>
    <cellStyle name="$0.0" xfId="40" xr:uid="{00000000-0005-0000-0000-000023000000}"/>
    <cellStyle name="$0.00" xfId="41" xr:uid="{00000000-0005-0000-0000-000024000000}"/>
    <cellStyle name="$000.00" xfId="42" xr:uid="{00000000-0005-0000-0000-000025000000}"/>
    <cellStyle name="$000.00.00" xfId="43" xr:uid="{00000000-0005-0000-0000-000026000000}"/>
    <cellStyle name="$0wlleft" xfId="44" xr:uid="{00000000-0005-0000-0000-000027000000}"/>
    <cellStyle name="%" xfId="45" xr:uid="{00000000-0005-0000-0000-000028000000}"/>
    <cellStyle name="% [0]" xfId="46" xr:uid="{00000000-0005-0000-0000-000029000000}"/>
    <cellStyle name="% [1]" xfId="47" xr:uid="{00000000-0005-0000-0000-00002A000000}"/>
    <cellStyle name="% [2]" xfId="48" xr:uid="{00000000-0005-0000-0000-00002B000000}"/>
    <cellStyle name="% 2" xfId="49" xr:uid="{00000000-0005-0000-0000-00002C000000}"/>
    <cellStyle name="% 3" xfId="50" xr:uid="{00000000-0005-0000-0000-00002D000000}"/>
    <cellStyle name="% change/margin" xfId="51" xr:uid="{00000000-0005-0000-0000-00002E000000}"/>
    <cellStyle name="% equity" xfId="52" xr:uid="{00000000-0005-0000-0000-00002F000000}"/>
    <cellStyle name="% Presentation" xfId="53" xr:uid="{00000000-0005-0000-0000-000030000000}"/>
    <cellStyle name="%_BiocV1,6" xfId="54" xr:uid="{00000000-0005-0000-0000-000031000000}"/>
    <cellStyle name="%_BiocVFinal4" xfId="55" xr:uid="{00000000-0005-0000-0000-000032000000}"/>
    <cellStyle name="%_Coppel_model_v.9" xfId="56" xr:uid="{00000000-0005-0000-0000-000033000000}"/>
    <cellStyle name="%_Coppel_model_v.9_VAL_1" xfId="57" xr:uid="{00000000-0005-0000-0000-000034000000}"/>
    <cellStyle name="%_Deuda1" xfId="58" xr:uid="{00000000-0005-0000-0000-000035000000}"/>
    <cellStyle name="%_Esquema de modelo V2" xfId="59" xr:uid="{00000000-0005-0000-0000-000036000000}"/>
    <cellStyle name="%_Hoja1" xfId="60" xr:uid="{00000000-0005-0000-0000-000037000000}"/>
    <cellStyle name="%_Modelo IMLLA" xfId="61" xr:uid="{00000000-0005-0000-0000-000038000000}"/>
    <cellStyle name="%_Modelo Procafecol Emisión - V12" xfId="62" xr:uid="{00000000-0005-0000-0000-000039000000}"/>
    <cellStyle name="%_Petromix_v9" xfId="63" xr:uid="{00000000-0005-0000-0000-00003A000000}"/>
    <cellStyle name="%_VAL_1" xfId="64" xr:uid="{00000000-0005-0000-0000-00003B000000}"/>
    <cellStyle name="%_ValtecV3" xfId="65" xr:uid="{00000000-0005-0000-0000-00003C000000}"/>
    <cellStyle name="%_ValtecVF" xfId="66" xr:uid="{00000000-0005-0000-0000-00003D000000}"/>
    <cellStyle name="%_VarosaE V11" xfId="67" xr:uid="{00000000-0005-0000-0000-00003E000000}"/>
    <cellStyle name="%_VarosaE V3" xfId="68" xr:uid="{00000000-0005-0000-0000-00003F000000}"/>
    <cellStyle name="%0" xfId="69" xr:uid="{00000000-0005-0000-0000-000040000000}"/>
    <cellStyle name="%0.0" xfId="70" xr:uid="{00000000-0005-0000-0000-000041000000}"/>
    <cellStyle name="&amp;A" xfId="71" xr:uid="{00000000-0005-0000-0000-000042000000}"/>
    <cellStyle name=")" xfId="72" xr:uid="{00000000-0005-0000-0000-000043000000}"/>
    <cellStyle name="******************************************" xfId="73" xr:uid="{00000000-0005-0000-0000-000044000000}"/>
    <cellStyle name="." xfId="74" xr:uid="{00000000-0005-0000-0000-000045000000}"/>
    <cellStyle name=".1" xfId="75" xr:uid="{00000000-0005-0000-0000-000046000000}"/>
    <cellStyle name=";;;" xfId="76" xr:uid="{00000000-0005-0000-0000-000047000000}"/>
    <cellStyle name="??" xfId="77" xr:uid="{00000000-0005-0000-0000-000048000000}"/>
    <cellStyle name="?? [0.00]_Analysis of Loans" xfId="78" xr:uid="{00000000-0005-0000-0000-000049000000}"/>
    <cellStyle name="?? [0]_VERA" xfId="79" xr:uid="{00000000-0005-0000-0000-00004A000000}"/>
    <cellStyle name="?? 2" xfId="80" xr:uid="{00000000-0005-0000-0000-00004B000000}"/>
    <cellStyle name="?? 3" xfId="81" xr:uid="{00000000-0005-0000-0000-00004C000000}"/>
    <cellStyle name="????" xfId="82" xr:uid="{00000000-0005-0000-0000-00004D000000}"/>
    <cellStyle name="???? [0.00]_~0027223" xfId="83" xr:uid="{00000000-0005-0000-0000-00004E000000}"/>
    <cellStyle name="????_~0027223" xfId="84" xr:uid="{00000000-0005-0000-0000-00004F000000}"/>
    <cellStyle name="???[0]" xfId="85" xr:uid="{00000000-0005-0000-0000-000050000000}"/>
    <cellStyle name="??_~0027223" xfId="86" xr:uid="{00000000-0005-0000-0000-000051000000}"/>
    <cellStyle name="_%(SignOnly)" xfId="87" xr:uid="{00000000-0005-0000-0000-000052000000}"/>
    <cellStyle name="_%(SignSpaceOnly)" xfId="88" xr:uid="{00000000-0005-0000-0000-000053000000}"/>
    <cellStyle name="_~1072145" xfId="89" xr:uid="{00000000-0005-0000-0000-000054000000}"/>
    <cellStyle name="_~1072145_Anditel-Mayo 2008" xfId="90" xr:uid="{00000000-0005-0000-0000-000055000000}"/>
    <cellStyle name="_~1072145_IPC-Mayo 2008" xfId="91" xr:uid="{00000000-0005-0000-0000-000056000000}"/>
    <cellStyle name="_~1072145_Valoración-IPC-Mayo 2008" xfId="92" xr:uid="{00000000-0005-0000-0000-000057000000}"/>
    <cellStyle name="_~6192826" xfId="93" xr:uid="{00000000-0005-0000-0000-000058000000}"/>
    <cellStyle name="_~7126856" xfId="94" xr:uid="{00000000-0005-0000-0000-000059000000}"/>
    <cellStyle name="_~MF3326" xfId="95" xr:uid="{00000000-0005-0000-0000-00005A000000}"/>
    <cellStyle name="_~MF3326_2" xfId="96" xr:uid="{00000000-0005-0000-0000-00005B000000}"/>
    <cellStyle name="_~MF3326_4" xfId="97" xr:uid="{00000000-0005-0000-0000-00005C000000}"/>
    <cellStyle name="_01 Análisis Comparables" xfId="98" xr:uid="{00000000-0005-0000-0000-00005D000000}"/>
    <cellStyle name="_01.WACC Dexter" xfId="99" xr:uid="{00000000-0005-0000-0000-00005E000000}"/>
    <cellStyle name="_02 WACC SAI 07-23-08" xfId="100" xr:uid="{00000000-0005-0000-0000-00005F000000}"/>
    <cellStyle name="_03 BS, P&amp;L CG 04-07" xfId="101" xr:uid="{00000000-0005-0000-0000-000060000000}"/>
    <cellStyle name="_03 DCF S Standalone" xfId="102" xr:uid="{00000000-0005-0000-0000-000061000000}"/>
    <cellStyle name="_11 Modèle de leverage - BP Commun new" xfId="103" xr:uid="{00000000-0005-0000-0000-000062000000}"/>
    <cellStyle name="_2006-10-02 Comps (to be confirmed)" xfId="104" xr:uid="{00000000-0005-0000-0000-000063000000}"/>
    <cellStyle name="_27 Proyecto Caracas" xfId="105" xr:uid="{00000000-0005-0000-0000-000064000000}"/>
    <cellStyle name="_3 WACC Southern Cone 19-08-08" xfId="106" xr:uid="{00000000-0005-0000-0000-000065000000}"/>
    <cellStyle name="_30 - Revisión PPA Molinos-QESA 07-02-2008" xfId="107" xr:uid="{00000000-0005-0000-0000-000066000000}"/>
    <cellStyle name="_30 Revisión PPA Apache 29-01-08 sensitivity" xfId="108" xr:uid="{00000000-0005-0000-0000-000067000000}"/>
    <cellStyle name="_3Q06" xfId="109" xr:uid="{00000000-0005-0000-0000-000068000000}"/>
    <cellStyle name="_4 Cálculo PPA II BMA-BDT Sept 26-Jun-07" xfId="110" xr:uid="{00000000-0005-0000-0000-000069000000}"/>
    <cellStyle name="_46 Modelo Marcas Disco - Vea 15-10-08" xfId="111" xr:uid="{00000000-0005-0000-0000-00006A000000}"/>
    <cellStyle name="_49 M&amp;P Consolidated model" xfId="112" xr:uid="{00000000-0005-0000-0000-00006B000000}"/>
    <cellStyle name="_7eld0825_comps" xfId="113" xr:uid="{00000000-0005-0000-0000-00006C000000}"/>
    <cellStyle name="_Activaciones Bien de Uso OPM" xfId="114" xr:uid="{00000000-0005-0000-0000-00006D000000}"/>
    <cellStyle name="_Activaciones Bien de Uso OPM_Libro9" xfId="115" xr:uid="{00000000-0005-0000-0000-00006E000000}"/>
    <cellStyle name="_Activaciones Bien de Uso OPM_OPM Inmobiliaria 09-10 V1" xfId="116" xr:uid="{00000000-0005-0000-0000-00006F000000}"/>
    <cellStyle name="_Actualiz Cont Pcipal OPM v1" xfId="117" xr:uid="{00000000-0005-0000-0000-000070000000}"/>
    <cellStyle name="_ADM- IRR Analysis" xfId="118" xr:uid="{00000000-0005-0000-0000-000071000000}"/>
    <cellStyle name="_AES_Chivor_v11" xfId="119" xr:uid="{00000000-0005-0000-0000-000072000000}"/>
    <cellStyle name="_Allbank Relationships &amp; Covenants V11" xfId="120" xr:uid="{00000000-0005-0000-0000-000073000000}"/>
    <cellStyle name="_Anexo Rta 22 Mar 07" xfId="121" xr:uid="{00000000-0005-0000-0000-000074000000}"/>
    <cellStyle name="_Anexo Rta 22 Mar 07_2008-05-01 Modelo Global Plastik -Octubre 2008-2.6" xfId="122" xr:uid="{00000000-0005-0000-0000-000075000000}"/>
    <cellStyle name="_Anexo Rta 22 Mar 07_BiocV1,6" xfId="123" xr:uid="{00000000-0005-0000-0000-000076000000}"/>
    <cellStyle name="_Anexo Rta 22 Mar 07_BiocV2" xfId="124" xr:uid="{00000000-0005-0000-0000-000077000000}"/>
    <cellStyle name="_Anexo Rta 22 Mar 07_BiocVFinal4" xfId="125" xr:uid="{00000000-0005-0000-0000-000078000000}"/>
    <cellStyle name="_Anexo Rta 22 Mar 07_Hoja1" xfId="126" xr:uid="{00000000-0005-0000-0000-000079000000}"/>
    <cellStyle name="_Anexo Rta 22 Mar 07_ValtecV3" xfId="127" xr:uid="{00000000-0005-0000-0000-00007A000000}"/>
    <cellStyle name="_Anexo Rta 22 Mar 07_ValtecVF" xfId="128" xr:uid="{00000000-0005-0000-0000-00007B000000}"/>
    <cellStyle name="_AR GAAP Anexo OPM S.A" xfId="129" xr:uid="{00000000-0005-0000-0000-00007C000000}"/>
    <cellStyle name="_AR GAAP Anexo OPM S.A_Libro9" xfId="130" xr:uid="{00000000-0005-0000-0000-00007D000000}"/>
    <cellStyle name="_AR GAAP Anexo OPM S.A_OPM Inmobiliaria 09-10 V1" xfId="131" xr:uid="{00000000-0005-0000-0000-00007E000000}"/>
    <cellStyle name="_Armado de Balance OPM S.A. Rev. Ltda. 30-09-2008" xfId="132" xr:uid="{00000000-0005-0000-0000-00007F000000}"/>
    <cellStyle name="_Back up explo" xfId="133" xr:uid="{00000000-0005-0000-0000-000080000000}"/>
    <cellStyle name="_Back up synthese" xfId="134" xr:uid="{00000000-0005-0000-0000-000081000000}"/>
    <cellStyle name="_Back valo-rese" xfId="135" xr:uid="{00000000-0005-0000-0000-000082000000}"/>
    <cellStyle name="_BGPG  OPM Inmobiliaria S.A. -  Rev. Ltda. 30.09.2008" xfId="136" xr:uid="{00000000-0005-0000-0000-000083000000}"/>
    <cellStyle name="_BGPG  OPM Inmobiliaria S.A. -  Rev. Ltda. 30.09.2008_Libro9" xfId="137" xr:uid="{00000000-0005-0000-0000-000084000000}"/>
    <cellStyle name="_BGPG  OPM Inmobiliaria S.A. -  Rev. Ltda. 30.09.2008_OPM Inmobiliaria 09-10 V1" xfId="138" xr:uid="{00000000-0005-0000-0000-000085000000}"/>
    <cellStyle name="_Book2" xfId="139" xr:uid="{00000000-0005-0000-0000-000086000000}"/>
    <cellStyle name="_Buyers Page" xfId="140" xr:uid="{00000000-0005-0000-0000-000087000000}"/>
    <cellStyle name="_Campo_valuation model_v32" xfId="141" xr:uid="{00000000-0005-0000-0000-000088000000}"/>
    <cellStyle name="_CD and content manuf" xfId="142" xr:uid="{00000000-0005-0000-0000-000089000000}"/>
    <cellStyle name="_CEPM 17Mar03" xfId="143" xr:uid="{00000000-0005-0000-0000-00008A000000}"/>
    <cellStyle name="_CGNPC Nuclear Model 18-07-06 V2" xfId="144" xr:uid="{00000000-0005-0000-0000-00008B000000}"/>
    <cellStyle name="_Column1" xfId="145" xr:uid="{00000000-0005-0000-0000-00008C000000}"/>
    <cellStyle name="_Column1_Berechnung EOP Margen ohne Tantal other" xfId="146" xr:uid="{00000000-0005-0000-0000-00008D000000}"/>
    <cellStyle name="_Column1_Kons_IW_CF auf GF" xfId="147" xr:uid="{00000000-0005-0000-0000-00008E000000}"/>
    <cellStyle name="_Column1_MBKL" xfId="148" xr:uid="{00000000-0005-0000-0000-00008F000000}"/>
    <cellStyle name="_Column1_MDI Quartale (2)" xfId="149" xr:uid="{00000000-0005-0000-0000-000090000000}"/>
    <cellStyle name="_Column1_PPA HCST - Valuation IPRnD_Summary_220607_1100" xfId="150" xr:uid="{00000000-0005-0000-0000-000091000000}"/>
    <cellStyle name="_Column1_Vertriebsgesellschaften" xfId="151" xr:uid="{00000000-0005-0000-0000-000092000000}"/>
    <cellStyle name="_Column2" xfId="152" xr:uid="{00000000-0005-0000-0000-000093000000}"/>
    <cellStyle name="_Column2_Berechnung EOP Margen ohne Tantal other" xfId="153" xr:uid="{00000000-0005-0000-0000-000094000000}"/>
    <cellStyle name="_Column2_Kons_IW_CF auf GF" xfId="154" xr:uid="{00000000-0005-0000-0000-000095000000}"/>
    <cellStyle name="_Column2_MDI Quartale (2)" xfId="155" xr:uid="{00000000-0005-0000-0000-000096000000}"/>
    <cellStyle name="_Column2_PPA HCST - Valuation IPRnD_Summary_220607_1100" xfId="156" xr:uid="{00000000-0005-0000-0000-000097000000}"/>
    <cellStyle name="_Column2_Vertriebsgesellschaften" xfId="157" xr:uid="{00000000-0005-0000-0000-000098000000}"/>
    <cellStyle name="_Column3" xfId="158" xr:uid="{00000000-0005-0000-0000-000099000000}"/>
    <cellStyle name="_Column3_Berechnung EOP Margen ohne Tantal other" xfId="159" xr:uid="{00000000-0005-0000-0000-00009A000000}"/>
    <cellStyle name="_Column3_Kons_IW_CF auf GF" xfId="160" xr:uid="{00000000-0005-0000-0000-00009B000000}"/>
    <cellStyle name="_Column3_MDI Quartale (2)" xfId="161" xr:uid="{00000000-0005-0000-0000-00009C000000}"/>
    <cellStyle name="_Column3_PPA HCST - Valuation IPRnD_Summary_220607_1100" xfId="162" xr:uid="{00000000-0005-0000-0000-00009D000000}"/>
    <cellStyle name="_Column3_Vertriebsgesellschaften" xfId="163" xr:uid="{00000000-0005-0000-0000-00009E000000}"/>
    <cellStyle name="_Column4" xfId="164" xr:uid="{00000000-0005-0000-0000-00009F000000}"/>
    <cellStyle name="_Column4_Berechnung EOP Margen ohne Tantal other" xfId="165" xr:uid="{00000000-0005-0000-0000-0000A0000000}"/>
    <cellStyle name="_Column4_Kons_IW_CF auf GF" xfId="166" xr:uid="{00000000-0005-0000-0000-0000A1000000}"/>
    <cellStyle name="_Column4_MBKL" xfId="167" xr:uid="{00000000-0005-0000-0000-0000A2000000}"/>
    <cellStyle name="_Column4_MDI Quartale (2)" xfId="168" xr:uid="{00000000-0005-0000-0000-0000A3000000}"/>
    <cellStyle name="_Column4_PPA HCST - Valuation IPRnD_Summary_220607_1100" xfId="169" xr:uid="{00000000-0005-0000-0000-0000A4000000}"/>
    <cellStyle name="_Column4_Vertriebsgesellschaften" xfId="170" xr:uid="{00000000-0005-0000-0000-0000A5000000}"/>
    <cellStyle name="_Column5" xfId="171" xr:uid="{00000000-0005-0000-0000-0000A6000000}"/>
    <cellStyle name="_Column5_Berechnung EOP Margen ohne Tantal other" xfId="172" xr:uid="{00000000-0005-0000-0000-0000A7000000}"/>
    <cellStyle name="_Column5_Kons_IW_CF auf GF" xfId="173" xr:uid="{00000000-0005-0000-0000-0000A8000000}"/>
    <cellStyle name="_Column5_MDI Quartale (2)" xfId="174" xr:uid="{00000000-0005-0000-0000-0000A9000000}"/>
    <cellStyle name="_Column5_PPA HCST - Valuation IPRnD_Summary_220607_1100" xfId="175" xr:uid="{00000000-0005-0000-0000-0000AA000000}"/>
    <cellStyle name="_Column5_Vertriebsgesellschaften" xfId="176" xr:uid="{00000000-0005-0000-0000-0000AB000000}"/>
    <cellStyle name="_Column6" xfId="177" xr:uid="{00000000-0005-0000-0000-0000AC000000}"/>
    <cellStyle name="_Column6_Berechnung EOP Margen ohne Tantal other" xfId="178" xr:uid="{00000000-0005-0000-0000-0000AD000000}"/>
    <cellStyle name="_Column6_Kons_IW_CF auf GF" xfId="179" xr:uid="{00000000-0005-0000-0000-0000AE000000}"/>
    <cellStyle name="_Column6_MDI Quartale (2)" xfId="180" xr:uid="{00000000-0005-0000-0000-0000AF000000}"/>
    <cellStyle name="_Column6_PPA HCST - Valuation IPRnD_Summary_220607_1100" xfId="181" xr:uid="{00000000-0005-0000-0000-0000B0000000}"/>
    <cellStyle name="_Column6_Vertriebsgesellschaften" xfId="182" xr:uid="{00000000-0005-0000-0000-0000B1000000}"/>
    <cellStyle name="_Column7" xfId="183" xr:uid="{00000000-0005-0000-0000-0000B2000000}"/>
    <cellStyle name="_Column7_Berechnung EOP Margen ohne Tantal other" xfId="184" xr:uid="{00000000-0005-0000-0000-0000B3000000}"/>
    <cellStyle name="_Column7_PPA HCST - Valuation IPRnD_Summary_220607_1100" xfId="185" xr:uid="{00000000-0005-0000-0000-0000B4000000}"/>
    <cellStyle name="_Comma" xfId="186" xr:uid="{00000000-0005-0000-0000-0000B5000000}"/>
    <cellStyle name="_Comma_~0899137" xfId="187" xr:uid="{00000000-0005-0000-0000-0000B6000000}"/>
    <cellStyle name="_Comma_270 Venus II v25" xfId="188" xr:uid="{00000000-0005-0000-0000-0000B7000000}"/>
    <cellStyle name="_Comma_All Prices 2" xfId="189" xr:uid="{00000000-0005-0000-0000-0000B8000000}"/>
    <cellStyle name="_Comma_Courtleight 270 Model V.1" xfId="190" xr:uid="{00000000-0005-0000-0000-0000B9000000}"/>
    <cellStyle name="_Comma_template suggestion" xfId="191" xr:uid="{00000000-0005-0000-0000-0000BA000000}"/>
    <cellStyle name="_Conso international" xfId="192" xr:uid="{00000000-0005-0000-0000-0000BB000000}"/>
    <cellStyle name="_Conso international - Edison et IEB" xfId="193" xr:uid="{00000000-0005-0000-0000-0000BC000000}"/>
    <cellStyle name="_Conso international 24-05-05 V2" xfId="194" xr:uid="{00000000-0005-0000-0000-0000BD000000}"/>
    <cellStyle name="_Conso international v12 25-04-05" xfId="195" xr:uid="{00000000-0005-0000-0000-0000BE000000}"/>
    <cellStyle name="_Conso international v19 17-05-05" xfId="196" xr:uid="{00000000-0005-0000-0000-0000BF000000}"/>
    <cellStyle name="_Copia de ENELAR VF" xfId="197" xr:uid="{00000000-0005-0000-0000-0000C0000000}"/>
    <cellStyle name="_Currency" xfId="198" xr:uid="{00000000-0005-0000-0000-0000C1000000}"/>
    <cellStyle name="_Currency_~0899137" xfId="199" xr:uid="{00000000-0005-0000-0000-0000C2000000}"/>
    <cellStyle name="_Currency_270 Venus II v25" xfId="200" xr:uid="{00000000-0005-0000-0000-0000C3000000}"/>
    <cellStyle name="_Currency_All Prices 2" xfId="201" xr:uid="{00000000-0005-0000-0000-0000C4000000}"/>
    <cellStyle name="_Currency_Book2" xfId="202" xr:uid="{00000000-0005-0000-0000-0000C5000000}"/>
    <cellStyle name="_Currency_Courtleight 270 Model V.1" xfId="203" xr:uid="{00000000-0005-0000-0000-0000C6000000}"/>
    <cellStyle name="_Currency_Databook library PPART" xfId="204" xr:uid="{00000000-0005-0000-0000-0000C7000000}"/>
    <cellStyle name="_Currency_ManduValuation_Support_v3" xfId="205" xr:uid="{00000000-0005-0000-0000-0000C8000000}"/>
    <cellStyle name="_Currency_Modelo_Mairinque_v2.2" xfId="206" xr:uid="{00000000-0005-0000-0000-0000C9000000}"/>
    <cellStyle name="_Currency_template suggestion" xfId="207" xr:uid="{00000000-0005-0000-0000-0000CA000000}"/>
    <cellStyle name="_CurrencySpace" xfId="208" xr:uid="{00000000-0005-0000-0000-0000CB000000}"/>
    <cellStyle name="_CurrencySpace_All Prices 2" xfId="209" xr:uid="{00000000-0005-0000-0000-0000CC000000}"/>
    <cellStyle name="_CurrencySpace_template suggestion" xfId="210" xr:uid="{00000000-0005-0000-0000-0000CD000000}"/>
    <cellStyle name="_Data" xfId="211" xr:uid="{00000000-0005-0000-0000-0000CE000000}"/>
    <cellStyle name="_Data 2" xfId="212" xr:uid="{00000000-0005-0000-0000-0000CF000000}"/>
    <cellStyle name="_Data 3" xfId="213" xr:uid="{00000000-0005-0000-0000-0000D0000000}"/>
    <cellStyle name="_Data_$#AF01B105" xfId="214" xr:uid="{00000000-0005-0000-0000-0000D1000000}"/>
    <cellStyle name="_Data_060414 VB Berechnung Fleet_Raus_v7 inkl. Windfall" xfId="215" xr:uid="{00000000-0005-0000-0000-0000D2000000}"/>
    <cellStyle name="_Data_Basis_GroupSales" xfId="216" xr:uid="{00000000-0005-0000-0000-0000D3000000}"/>
    <cellStyle name="_Data_Basis_GroupSales_Weltaggregation" xfId="217" xr:uid="{00000000-0005-0000-0000-0000D4000000}"/>
    <cellStyle name="_Data_Basis_GroupSales_Weltguideline" xfId="218" xr:uid="{00000000-0005-0000-0000-0000D5000000}"/>
    <cellStyle name="_Data_Berechnung EOP Margen ohne Tantal other" xfId="219" xr:uid="{00000000-0005-0000-0000-0000D6000000}"/>
    <cellStyle name="_Data_Berechnung EOP Margen ohne Tantal other_01 Análisis Comparables" xfId="220" xr:uid="{00000000-0005-0000-0000-0000D7000000}"/>
    <cellStyle name="_Data_DP02 - GF Aufteilung 0900 SP" xfId="221" xr:uid="{00000000-0005-0000-0000-0000D8000000}"/>
    <cellStyle name="_Data_DP02 - GF Aufteilung 0900 SP_01 Análisis Comparables" xfId="222" xr:uid="{00000000-0005-0000-0000-0000D9000000}"/>
    <cellStyle name="_Data_Ergebnisse MF_Volumen" xfId="223" xr:uid="{00000000-0005-0000-0000-0000DA000000}"/>
    <cellStyle name="_Data_KA 2004" xfId="224" xr:uid="{00000000-0005-0000-0000-0000DB000000}"/>
    <cellStyle name="_Data_KA 2004_Basis_GroupSales" xfId="225" xr:uid="{00000000-0005-0000-0000-0000DC000000}"/>
    <cellStyle name="_Data_KA 2004_Basis_GroupSales_Weltaggregation" xfId="226" xr:uid="{00000000-0005-0000-0000-0000DD000000}"/>
    <cellStyle name="_Data_KA 2004_Basis_GroupSales_Weltguideline" xfId="227" xr:uid="{00000000-0005-0000-0000-0000DE000000}"/>
    <cellStyle name="_Data_KA 2004_Weltaggregation" xfId="228" xr:uid="{00000000-0005-0000-0000-0000DF000000}"/>
    <cellStyle name="_Data_KA 2004_Weltguideline" xfId="229" xr:uid="{00000000-0005-0000-0000-0000E0000000}"/>
    <cellStyle name="_Data_Konsolidierung auf GF 05_2000" xfId="230" xr:uid="{00000000-0005-0000-0000-0000E1000000}"/>
    <cellStyle name="_Data_Konsolidierung auf GF 12_2000_vorlaeufig" xfId="231" xr:uid="{00000000-0005-0000-0000-0000E2000000}"/>
    <cellStyle name="_Data_Konsolidierung fuer GF 09_2000 vorlaeufig" xfId="232" xr:uid="{00000000-0005-0000-0000-0000E3000000}"/>
    <cellStyle name="_Data_Mappe4" xfId="233" xr:uid="{00000000-0005-0000-0000-0000E4000000}"/>
    <cellStyle name="_Data_MDI Quartale (2)" xfId="234" xr:uid="{00000000-0005-0000-0000-0000E5000000}"/>
    <cellStyle name="_Data_MDI Quartale (2)_01 Análisis Comparables" xfId="235" xr:uid="{00000000-0005-0000-0000-0000E6000000}"/>
    <cellStyle name="_Data_MIS25" xfId="236" xr:uid="{00000000-0005-0000-0000-0000E7000000}"/>
    <cellStyle name="_Data_PPA HCST - Valuation IPRnD_Summary_220607_1100" xfId="237" xr:uid="{00000000-0005-0000-0000-0000E8000000}"/>
    <cellStyle name="_Data_PPA HCST - Valuation IPRnD_Summary_220607_1100_01 Análisis Comparables" xfId="238" xr:uid="{00000000-0005-0000-0000-0000E9000000}"/>
    <cellStyle name="_Data_SP_Konsmassnahmen in CF und IW 09_2000 UR" xfId="239" xr:uid="{00000000-0005-0000-0000-0000EA000000}"/>
    <cellStyle name="_Data_Vorschau_Kufri02" xfId="240" xr:uid="{00000000-0005-0000-0000-0000EB000000}"/>
    <cellStyle name="_Data_Vorschau_Kufri02_Basis_GroupSales" xfId="241" xr:uid="{00000000-0005-0000-0000-0000EC000000}"/>
    <cellStyle name="_Data_Vorschau_Kufri02_Basis_GroupSales_Weltaggregation" xfId="242" xr:uid="{00000000-0005-0000-0000-0000ED000000}"/>
    <cellStyle name="_Data_Vorschau_Kufri02_Basis_GroupSales_Weltguideline" xfId="243" xr:uid="{00000000-0005-0000-0000-0000EE000000}"/>
    <cellStyle name="_Data_Vorschau_Kufri02_Weltaggregation" xfId="244" xr:uid="{00000000-0005-0000-0000-0000EF000000}"/>
    <cellStyle name="_Data_Vorschau_Kufri02_Weltguideline" xfId="245" xr:uid="{00000000-0005-0000-0000-0000F0000000}"/>
    <cellStyle name="_Data_Weltaggregation" xfId="246" xr:uid="{00000000-0005-0000-0000-0000F1000000}"/>
    <cellStyle name="_Data_Weltguideline" xfId="247" xr:uid="{00000000-0005-0000-0000-0000F2000000}"/>
    <cellStyle name="_Data_zentrale Guideline Version 2703" xfId="248" xr:uid="{00000000-0005-0000-0000-0000F3000000}"/>
    <cellStyle name="_Data_zentrale Guideline Version 2703_Basis_GroupSales" xfId="249" xr:uid="{00000000-0005-0000-0000-0000F4000000}"/>
    <cellStyle name="_Data_zentrale Guideline Version 2703_Basis_GroupSales_Weltaggregation" xfId="250" xr:uid="{00000000-0005-0000-0000-0000F5000000}"/>
    <cellStyle name="_Data_zentrale Guideline Version 2703_Basis_GroupSales_Weltguideline" xfId="251" xr:uid="{00000000-0005-0000-0000-0000F6000000}"/>
    <cellStyle name="_Data_zentrale Guideline Version 2703_Weltaggregation" xfId="252" xr:uid="{00000000-0005-0000-0000-0000F7000000}"/>
    <cellStyle name="_Data_zentrale Guideline Version 2703_Weltguideline" xfId="253" xr:uid="{00000000-0005-0000-0000-0000F8000000}"/>
    <cellStyle name="_Data_Zwischengewinne SP 09-2000" xfId="254" xr:uid="{00000000-0005-0000-0000-0000F9000000}"/>
    <cellStyle name="_Databook library PPART" xfId="255" xr:uid="{00000000-0005-0000-0000-0000FA000000}"/>
    <cellStyle name="_DB_Grumeti model outputs_Sent to BNPP" xfId="256" xr:uid="{00000000-0005-0000-0000-0000FB000000}"/>
    <cellStyle name="_DB_Grumeti model outputs_Sent to BNPP_25 Jun 07" xfId="257" xr:uid="{00000000-0005-0000-0000-0000FC000000}"/>
    <cellStyle name="_DB_Grumeti model outputs_Sent to BNPP_25 Jun 07_2" xfId="258" xr:uid="{00000000-0005-0000-0000-0000FD000000}"/>
    <cellStyle name="_DECASA - Inventario 03-09 v3" xfId="259" xr:uid="{00000000-0005-0000-0000-0000FE000000}"/>
    <cellStyle name="_Decasa - Inventario 06-09 v3" xfId="260" xr:uid="{00000000-0005-0000-0000-0000FF000000}"/>
    <cellStyle name="_DECASA - Inventario 09-09 v2" xfId="261" xr:uid="{00000000-0005-0000-0000-000000010000}"/>
    <cellStyle name="_Decasa - Inventario 12-08 v2" xfId="262" xr:uid="{00000000-0005-0000-0000-000001010000}"/>
    <cellStyle name="_Decasa - Inventario 12-08 v2_Libro9" xfId="263" xr:uid="{00000000-0005-0000-0000-000002010000}"/>
    <cellStyle name="_Decasa - Inventario 12-08 v2_OPM Inmobiliaria 09-10 V1" xfId="264" xr:uid="{00000000-0005-0000-0000-000003010000}"/>
    <cellStyle name="_Denver_021205_v04 FINAL" xfId="265" xr:uid="{00000000-0005-0000-0000-000004010000}"/>
    <cellStyle name="_Digicel DCF 01-12-07 v4" xfId="266" xr:uid="{00000000-0005-0000-0000-000005010000}"/>
    <cellStyle name="_Disclaimer Notice" xfId="267" xr:uid="{00000000-0005-0000-0000-000006010000}"/>
    <cellStyle name="_Draft_Escelsa (Fabiano)" xfId="268" xr:uid="{00000000-0005-0000-0000-000007010000}"/>
    <cellStyle name="_EDEGEL_Final1_balances al 30 de junio 2007" xfId="269" xr:uid="{00000000-0005-0000-0000-000008010000}"/>
    <cellStyle name="_Edison 16-02-05" xfId="270" xr:uid="{00000000-0005-0000-0000-000009010000}"/>
    <cellStyle name="_Endesa_smartcom calcsv5" xfId="271" xr:uid="{00000000-0005-0000-0000-00000A010000}"/>
    <cellStyle name="_Escenario Base Definitivo" xfId="272" xr:uid="{00000000-0005-0000-0000-00000B010000}"/>
    <cellStyle name="_Euro" xfId="273" xr:uid="{00000000-0005-0000-0000-00000C010000}"/>
    <cellStyle name="_Exchange ratio" xfId="274" xr:uid="{00000000-0005-0000-0000-00000D010000}"/>
    <cellStyle name="_Financial forecasts_25 Jun 07" xfId="275" xr:uid="{00000000-0005-0000-0000-00000E010000}"/>
    <cellStyle name="_Fixed assets Summary_fair values110106" xfId="276" xr:uid="{00000000-0005-0000-0000-00000F010000}"/>
    <cellStyle name="_GENERAL698" xfId="277" xr:uid="{00000000-0005-0000-0000-000010010000}"/>
    <cellStyle name="_GENERAL998" xfId="278" xr:uid="{00000000-0005-0000-0000-000011010000}"/>
    <cellStyle name="_GENERAL998_1" xfId="279" xr:uid="{00000000-0005-0000-0000-000012010000}"/>
    <cellStyle name="_GMP" xfId="280" xr:uid="{00000000-0005-0000-0000-000013010000}"/>
    <cellStyle name="_Graphe BE" xfId="281" xr:uid="{00000000-0005-0000-0000-000014010000}"/>
    <cellStyle name="_Header" xfId="282" xr:uid="{00000000-0005-0000-0000-000015010000}"/>
    <cellStyle name="_Header 2" xfId="283" xr:uid="{00000000-0005-0000-0000-000016010000}"/>
    <cellStyle name="_Header 3" xfId="284" xr:uid="{00000000-0005-0000-0000-000017010000}"/>
    <cellStyle name="_Header_CF" xfId="285" xr:uid="{00000000-0005-0000-0000-000018010000}"/>
    <cellStyle name="_Header_MDI Quartale" xfId="286" xr:uid="{00000000-0005-0000-0000-000019010000}"/>
    <cellStyle name="_Header_PPA HCST - Valuation IPRnD" xfId="287" xr:uid="{00000000-0005-0000-0000-00001A010000}"/>
    <cellStyle name="_Header_Quartale" xfId="288" xr:uid="{00000000-0005-0000-0000-00001B010000}"/>
    <cellStyle name="_Heading" xfId="289" xr:uid="{00000000-0005-0000-0000-00001C010000}"/>
    <cellStyle name="_Heading_Book2" xfId="290" xr:uid="{00000000-0005-0000-0000-00001D010000}"/>
    <cellStyle name="_Heading_Modelo_Mairinque_v2.2" xfId="291" xr:uid="{00000000-0005-0000-0000-00001E010000}"/>
    <cellStyle name="_Heading_Multiplos_transação_atualizado" xfId="292" xr:uid="{00000000-0005-0000-0000-00001F010000}"/>
    <cellStyle name="_Heading_Multiplos_v2" xfId="293" xr:uid="{00000000-0005-0000-0000-000020010000}"/>
    <cellStyle name="_Highlight" xfId="294" xr:uid="{00000000-0005-0000-0000-000021010000}"/>
    <cellStyle name="_Honorarios Brokers OPM - 31-12-2008" xfId="295" xr:uid="{00000000-0005-0000-0000-000022010000}"/>
    <cellStyle name="_Honorarios Pegasus" xfId="296" xr:uid="{00000000-0005-0000-0000-000023010000}"/>
    <cellStyle name="_Honorarios Rukan" xfId="297" xr:uid="{00000000-0005-0000-0000-000024010000}"/>
    <cellStyle name="_ILEC Comps_Q32004_TechTemplate_WIP_v24" xfId="298" xr:uid="{00000000-0005-0000-0000-000025010000}"/>
    <cellStyle name="_ILEC Comps_Q42004_WIP_v8" xfId="299" xr:uid="{00000000-0005-0000-0000-000026010000}"/>
    <cellStyle name="_INPUT" xfId="300" xr:uid="{00000000-0005-0000-0000-000027010000}"/>
    <cellStyle name="_INPUT PCS" xfId="301" xr:uid="{00000000-0005-0000-0000-000028010000}"/>
    <cellStyle name="_Integrated comps 4-18-03 (2002 FYE)" xfId="302" xr:uid="{00000000-0005-0000-0000-000029010000}"/>
    <cellStyle name="_Integrated comps 4-18-03 (2002 FYE)_Anditel-Mayo 2008" xfId="303" xr:uid="{00000000-0005-0000-0000-00002A010000}"/>
    <cellStyle name="_Integrated comps 4-18-03 (2002 FYE)_IPC-Mayo 2008" xfId="304" xr:uid="{00000000-0005-0000-0000-00002B010000}"/>
    <cellStyle name="_Integrated comps 4-18-03 (2002 FYE)_Valoración-IPC-Mayo 2008" xfId="305" xr:uid="{00000000-0005-0000-0000-00002C010000}"/>
    <cellStyle name="_Joint report" xfId="306" xr:uid="{00000000-0005-0000-0000-00002D010000}"/>
    <cellStyle name="_JPM Asur v1.2" xfId="307" xr:uid="{00000000-0005-0000-0000-00002E010000}"/>
    <cellStyle name="_LimaReportTable_TT Workbook (V06032007) - Leo_TT Workbook Template - v2" xfId="308" xr:uid="{00000000-0005-0000-0000-00002F010000}"/>
    <cellStyle name="_Ling Ao II - preliminary business plan" xfId="309" xr:uid="{00000000-0005-0000-0000-000030010000}"/>
    <cellStyle name="_Luxury Goods Comps latest" xfId="310" xr:uid="{00000000-0005-0000-0000-000031010000}"/>
    <cellStyle name="_M&amp;Aanalysis_Brazil_03.15.07_MI" xfId="311" xr:uid="{00000000-0005-0000-0000-000032010000}"/>
    <cellStyle name="_MKT2" xfId="312" xr:uid="{00000000-0005-0000-0000-000033010000}"/>
    <cellStyle name="_Model 9" xfId="313" xr:uid="{00000000-0005-0000-0000-000034010000}"/>
    <cellStyle name="_Modele EDF Energy consolidated 21-04-05 V2" xfId="314" xr:uid="{00000000-0005-0000-0000-000035010000}"/>
    <cellStyle name="_Modèle Edison v5.5 140205" xfId="315" xr:uid="{00000000-0005-0000-0000-000036010000}"/>
    <cellStyle name="_Modèle multiples boursiers Benchmark utilities - 090905 en cours" xfId="316" xr:uid="{00000000-0005-0000-0000-000037010000}"/>
    <cellStyle name="_Modele Saphir 2004 RTE 02-03-2005" xfId="317" xr:uid="{00000000-0005-0000-0000-000038010000}"/>
    <cellStyle name="_Modele Saphir Dévelop 25-05-05" xfId="318" xr:uid="{00000000-0005-0000-0000-000039010000}"/>
    <cellStyle name="_Modele Saphir Groupe EDF 26-06-05" xfId="319" xr:uid="{00000000-0005-0000-0000-00003A010000}"/>
    <cellStyle name="_Modele Saphir International 01-09-05 V3" xfId="320" xr:uid="{00000000-0005-0000-0000-00003B010000}"/>
    <cellStyle name="_Modele Saphir Maison Mere 09-09-05 V15" xfId="321" xr:uid="{00000000-0005-0000-0000-00003C010000}"/>
    <cellStyle name="_Modele Saphir Maison Mere 24-08-05v3" xfId="322" xr:uid="{00000000-0005-0000-0000-00003D010000}"/>
    <cellStyle name="_Modele Saphir Maison Mere 24-08-05v7" xfId="323" xr:uid="{00000000-0005-0000-0000-00003E010000}"/>
    <cellStyle name="_Modele_Saphir2004_Conso2004" xfId="324" xr:uid="{00000000-0005-0000-0000-00003F010000}"/>
    <cellStyle name="_Modele_Saphir2004_ConsoEDF_28-04-05V0" xfId="325" xr:uid="{00000000-0005-0000-0000-000040010000}"/>
    <cellStyle name="_Modele_Saphir2004_maison_Mere_100505v16" xfId="326" xr:uid="{00000000-0005-0000-0000-000041010000}"/>
    <cellStyle name="_Modele_Saphir2004_maison_Mere_240505 V4" xfId="327" xr:uid="{00000000-0005-0000-0000-000042010000}"/>
    <cellStyle name="_Modelo Azucar V45" xfId="328" xr:uid="{00000000-0005-0000-0000-000043010000}"/>
    <cellStyle name="_Modelo ETB_As Is - Entregable" xfId="329" xr:uid="{00000000-0005-0000-0000-000044010000}"/>
    <cellStyle name="_Modelo Etell II V7" xfId="330" xr:uid="{00000000-0005-0000-0000-000045010000}"/>
    <cellStyle name="_Modelo Etell II V7_2008-05-01 Modelo Global Plastik -Octubre 2008-2.6" xfId="331" xr:uid="{00000000-0005-0000-0000-000046010000}"/>
    <cellStyle name="_Modelo Etell II V7_BiocV1,6" xfId="332" xr:uid="{00000000-0005-0000-0000-000047010000}"/>
    <cellStyle name="_Modelo Etell II V7_BiocV2" xfId="333" xr:uid="{00000000-0005-0000-0000-000048010000}"/>
    <cellStyle name="_Modelo Etell II V7_BiocVFinal4" xfId="334" xr:uid="{00000000-0005-0000-0000-000049010000}"/>
    <cellStyle name="_Modelo Etell II V7_Hoja1" xfId="335" xr:uid="{00000000-0005-0000-0000-00004A010000}"/>
    <cellStyle name="_Modelo Etell II V7_ValtecV3" xfId="336" xr:uid="{00000000-0005-0000-0000-00004B010000}"/>
    <cellStyle name="_Modelo Etell II V7_ValtecVF" xfId="337" xr:uid="{00000000-0005-0000-0000-00004C010000}"/>
    <cellStyle name="_Modelo Valoracion FMMB versión definitiva" xfId="338" xr:uid="{00000000-0005-0000-0000-00004D010000}"/>
    <cellStyle name="_Modelo Vision Software v10(16 AGO 2007)" xfId="339" xr:uid="{00000000-0005-0000-0000-00004E010000}"/>
    <cellStyle name="_Modelo_Puerto_Seco_v12" xfId="340" xr:uid="{00000000-0005-0000-0000-00004F010000}"/>
    <cellStyle name="_Modelos de papeles de trabajo_ultima ver" xfId="341" xr:uid="{00000000-0005-0000-0000-000050010000}"/>
    <cellStyle name="_Modulo Tributario" xfId="342" xr:uid="{00000000-0005-0000-0000-000051010000}"/>
    <cellStyle name="_Modulo Tributario 3" xfId="343" xr:uid="{00000000-0005-0000-0000-000052010000}"/>
    <cellStyle name="_Modulo Tributario_Anditel-Mayo 2008" xfId="344" xr:uid="{00000000-0005-0000-0000-000053010000}"/>
    <cellStyle name="_Modulo Tributario_IPC-Mayo 2008" xfId="345" xr:uid="{00000000-0005-0000-0000-000054010000}"/>
    <cellStyle name="_Modulo Tributario_Valoración-IPC-Mayo 2008" xfId="346" xr:uid="{00000000-0005-0000-0000-000055010000}"/>
    <cellStyle name="_Movie theater comps - 5.7.04a" xfId="347" xr:uid="{00000000-0005-0000-0000-000056010000}"/>
    <cellStyle name="_Mozart benchmarking 2.2.05" xfId="348" xr:uid="{00000000-0005-0000-0000-000057010000}"/>
    <cellStyle name="_Mozart DCF v1.3" xfId="349" xr:uid="{00000000-0005-0000-0000-000058010000}"/>
    <cellStyle name="_Mozart DCF v3.0" xfId="350" xr:uid="{00000000-0005-0000-0000-000059010000}"/>
    <cellStyle name="_Multiple" xfId="351" xr:uid="{00000000-0005-0000-0000-00005A010000}"/>
    <cellStyle name="_Multiple_~0899137" xfId="352" xr:uid="{00000000-0005-0000-0000-00005B010000}"/>
    <cellStyle name="_Multiple_270 Venus II v25" xfId="353" xr:uid="{00000000-0005-0000-0000-00005C010000}"/>
    <cellStyle name="_Multiple_All Prices 2" xfId="354" xr:uid="{00000000-0005-0000-0000-00005D010000}"/>
    <cellStyle name="_Multiple_Courtleight 270 Model V.1" xfId="355" xr:uid="{00000000-0005-0000-0000-00005E010000}"/>
    <cellStyle name="_Multiple_template suggestion" xfId="356" xr:uid="{00000000-0005-0000-0000-00005F010000}"/>
    <cellStyle name="_MultipleSpace" xfId="357" xr:uid="{00000000-0005-0000-0000-000060010000}"/>
    <cellStyle name="_MultipleSpace_All Prices 2" xfId="358" xr:uid="{00000000-0005-0000-0000-000061010000}"/>
    <cellStyle name="_MultipleSpace_template suggestion" xfId="359" xr:uid="{00000000-0005-0000-0000-000062010000}"/>
    <cellStyle name="_NDD Model Final 6.13" xfId="360" xr:uid="{00000000-0005-0000-0000-000063010000}"/>
    <cellStyle name="_Netvision final 1" xfId="361" xr:uid="{00000000-0005-0000-0000-000064010000}"/>
    <cellStyle name="_NIHD vs NXTP valuation_1.14.05" xfId="362" xr:uid="{00000000-0005-0000-0000-000065010000}"/>
    <cellStyle name="_NIHD vs NXTP valuation_2.4.05_v5" xfId="363" xr:uid="{00000000-0005-0000-0000-000066010000}"/>
    <cellStyle name="_O Hangzhou_TT Workbook (V06032007) - Leo" xfId="364" xr:uid="{00000000-0005-0000-0000-000067010000}"/>
    <cellStyle name="_O.0412.HZ-reviewed_TT Workbook (V06032007) - Leo_TT Workbook Template - v2_TT Workbook 25OCT07" xfId="365" xr:uid="{00000000-0005-0000-0000-000068010000}"/>
    <cellStyle name="_O_Hebei China Steel 2003 - 2004_TT Workbook (V06032007) - Leo" xfId="366" xr:uid="{00000000-0005-0000-0000-000069010000}"/>
    <cellStyle name="_O_TT Workbook (V06032007)" xfId="367" xr:uid="{00000000-0005-0000-0000-00006A010000}"/>
    <cellStyle name="_Operating assumptions" xfId="368" xr:uid="{00000000-0005-0000-0000-00006B010000}"/>
    <cellStyle name="_OPM - Anticipos a Despachante y Aduana" xfId="369" xr:uid="{00000000-0005-0000-0000-00006C010000}"/>
    <cellStyle name="_OPM - Anticipos a Despachante y Aduana_Libro9" xfId="370" xr:uid="{00000000-0005-0000-0000-00006D010000}"/>
    <cellStyle name="_OPM - Anticipos a Despachante y Aduana_OPM Inmobiliaria 09-10 V1" xfId="371" xr:uid="{00000000-0005-0000-0000-00006E010000}"/>
    <cellStyle name="_OPM - Cargos diferidos - contratos" xfId="372" xr:uid="{00000000-0005-0000-0000-00006F010000}"/>
    <cellStyle name="_OPM - Cargos diferidos - contratos_Libro9" xfId="373" xr:uid="{00000000-0005-0000-0000-000070010000}"/>
    <cellStyle name="_OPM - Cargos diferidos - contratos_OPM Inmobiliaria 09-10 V1" xfId="374" xr:uid="{00000000-0005-0000-0000-000071010000}"/>
    <cellStyle name="_P_1_TT Workbook (V06032007) - Leo" xfId="375" xr:uid="{00000000-0005-0000-0000-000072010000}"/>
    <cellStyle name="_P_Hebei China Steel 2003 - 2004" xfId="376" xr:uid="{00000000-0005-0000-0000-000073010000}"/>
    <cellStyle name="_P_Instruction of table format_TT Workbook Template - v2_TT Workbook 25OCT07" xfId="377" xr:uid="{00000000-0005-0000-0000-000074010000}"/>
    <cellStyle name="_P_O.0412.HZ-reviewed" xfId="378" xr:uid="{00000000-0005-0000-0000-000075010000}"/>
    <cellStyle name="_P_Shenzhen Equipment_TT Workbook Template - v2_TT Workbook 25OCT07" xfId="379" xr:uid="{00000000-0005-0000-0000-000076010000}"/>
    <cellStyle name="_Parent level detailed G&amp;A" xfId="380" xr:uid="{00000000-0005-0000-0000-000077010000}"/>
    <cellStyle name="_Parent level detailed G&amp;A_Anditel-Mayo 2008" xfId="381" xr:uid="{00000000-0005-0000-0000-000078010000}"/>
    <cellStyle name="_Parent level detailed G&amp;A_IPC-Mayo 2008" xfId="382" xr:uid="{00000000-0005-0000-0000-000079010000}"/>
    <cellStyle name="_Parent level detailed G&amp;A_Valoración-IPC-Mayo 2008" xfId="383" xr:uid="{00000000-0005-0000-0000-00007A010000}"/>
    <cellStyle name="_payroll_Hebei China Steel 2003 - 2004" xfId="384" xr:uid="{00000000-0005-0000-0000-00007B010000}"/>
    <cellStyle name="_payroll_Instruction of table format_TT Workbook Template - v2_TT Workbook 25OCT07" xfId="385" xr:uid="{00000000-0005-0000-0000-00007C010000}"/>
    <cellStyle name="_PCS comps v11 4.18.05" xfId="386" xr:uid="{00000000-0005-0000-0000-00007D010000}"/>
    <cellStyle name="_Percent" xfId="387" xr:uid="{00000000-0005-0000-0000-00007E010000}"/>
    <cellStyle name="_Percent_Balances de escisión" xfId="388" xr:uid="{00000000-0005-0000-0000-00007F010000}"/>
    <cellStyle name="_PERSONAL" xfId="389" xr:uid="{00000000-0005-0000-0000-000080010000}"/>
    <cellStyle name="_PPA Elster Group - SAP 25 G. Kromschröder AG" xfId="390" xr:uid="{00000000-0005-0000-0000-000081010000}"/>
    <cellStyle name="_PPA H.C. Starck databook 07_05_22_1400" xfId="391" xr:uid="{00000000-0005-0000-0000-000082010000}"/>
    <cellStyle name="_PPA H.C. Starck databook 07_06_05_1400" xfId="392" xr:uid="{00000000-0005-0000-0000-000083010000}"/>
    <cellStyle name="_PPA H.C. Starck databook 07_06_14_1400" xfId="393" xr:uid="{00000000-0005-0000-0000-000084010000}"/>
    <cellStyle name="_PPA H.C. Starck databook 07_06_20" xfId="394" xr:uid="{00000000-0005-0000-0000-000085010000}"/>
    <cellStyle name="_PPA HCST - Valuation IPRnD" xfId="395" xr:uid="{00000000-0005-0000-0000-000086010000}"/>
    <cellStyle name="_PPA HCST - Valuation of intangibles - CST_15.06.07_1400" xfId="396" xr:uid="{00000000-0005-0000-0000-000087010000}"/>
    <cellStyle name="_PPA HCST - Valuation of intangibles - HMC_26.06.07" xfId="397" xr:uid="{00000000-0005-0000-0000-000088010000}"/>
    <cellStyle name="_PPA HCST Gruppe_Bewertung Rohstoffe 04.07.07" xfId="398" xr:uid="{00000000-0005-0000-0000-000089010000}"/>
    <cellStyle name="_PPA Model_LL_v4" xfId="399" xr:uid="{00000000-0005-0000-0000-00008A010000}"/>
    <cellStyle name="_PPA-Delta-Backlog" xfId="400" xr:uid="{00000000-0005-0000-0000-00008B010000}"/>
    <cellStyle name="_Prestamos BA MALL" xfId="401" xr:uid="{00000000-0005-0000-0000-00008C010000}"/>
    <cellStyle name="_Prestamos BA MALL_Libro9" xfId="402" xr:uid="{00000000-0005-0000-0000-00008D010000}"/>
    <cellStyle name="_Prestamos BA MALL_OPM Inmobiliaria 09-10 V1" xfId="403" xr:uid="{00000000-0005-0000-0000-00008E010000}"/>
    <cellStyle name="_Provisiones Decasa" xfId="404" xr:uid="{00000000-0005-0000-0000-00008F010000}"/>
    <cellStyle name="_Provisiones Decasa_Libro9" xfId="405" xr:uid="{00000000-0005-0000-0000-000090010000}"/>
    <cellStyle name="_Provisiones Decasa_OPM Inmobiliaria 09-10 V1" xfId="406" xr:uid="{00000000-0005-0000-0000-000091010000}"/>
    <cellStyle name="_PRUEBA ACTIVACIONES OPM" xfId="407" xr:uid="{00000000-0005-0000-0000-000092010000}"/>
    <cellStyle name="_PRUEBA ACTIVACIONES OPM_Libro9" xfId="408" xr:uid="{00000000-0005-0000-0000-000093010000}"/>
    <cellStyle name="_PRUEBA ACTIVACIONES OPM_OPM Inmobiliaria 09-10 V1" xfId="409" xr:uid="{00000000-0005-0000-0000-000094010000}"/>
    <cellStyle name="_Pruebas -  Microcentro I S.R.L. Auditoría 31-12-08" xfId="410" xr:uid="{00000000-0005-0000-0000-000095010000}"/>
    <cellStyle name="_Pruebas -  Microcentro I S.R.L. Auditoría 31-12-08_Libro9" xfId="411" xr:uid="{00000000-0005-0000-0000-000096010000}"/>
    <cellStyle name="_Pruebas -  Microcentro I S.R.L. Auditoría 31-12-08_OPM Inmobiliaria 09-10 V1" xfId="412" xr:uid="{00000000-0005-0000-0000-000097010000}"/>
    <cellStyle name="_Pruebas BA MALL S.A Auditoria al 21.12.2008" xfId="413" xr:uid="{00000000-0005-0000-0000-000098010000}"/>
    <cellStyle name="_Pruebas BA Mall S.R.L. Auditoría 31-12-08" xfId="414" xr:uid="{00000000-0005-0000-0000-000099010000}"/>
    <cellStyle name="_Pruebas BA Mall S.R.L. Auditoría 31-12-08_Libro9" xfId="415" xr:uid="{00000000-0005-0000-0000-00009A010000}"/>
    <cellStyle name="_Pruebas BA Mall S.R.L. Auditoría 31-12-08_OPM Inmobiliaria 09-10 V1" xfId="416" xr:uid="{00000000-0005-0000-0000-00009B010000}"/>
    <cellStyle name="_Pruebas OPM Inmobiliaria S.A. Auditoria 31-12-08" xfId="417" xr:uid="{00000000-0005-0000-0000-00009C010000}"/>
    <cellStyle name="_Pruebas OPM Inmobiliaria S.A. Rev. Ltda. 30-09-08" xfId="418" xr:uid="{00000000-0005-0000-0000-00009D010000}"/>
    <cellStyle name="_Reporte Inversores Urbana 09-2008 V3" xfId="419" xr:uid="{00000000-0005-0000-0000-00009E010000}"/>
    <cellStyle name="_Reporte Inversores Urbana 09-2008 V3_Libro9" xfId="420" xr:uid="{00000000-0005-0000-0000-00009F010000}"/>
    <cellStyle name="_Reporte Inversores Urbana 09-2008 V3_OPM Inmobiliaria 09-10 V1" xfId="421" xr:uid="{00000000-0005-0000-0000-0000A0010000}"/>
    <cellStyle name="_Reporte Inversores Urbana 12-2008 v2" xfId="422" xr:uid="{00000000-0005-0000-0000-0000A1010000}"/>
    <cellStyle name="_Reporte Inversores Urbana 12-2008 v2_Libro9" xfId="423" xr:uid="{00000000-0005-0000-0000-0000A2010000}"/>
    <cellStyle name="_Reporte Inversores Urbana 12-2008 v2_OPM Inmobiliaria 09-10 V1" xfId="424" xr:uid="{00000000-0005-0000-0000-0000A3010000}"/>
    <cellStyle name="_Reporte Inversores Urbana 12-2008 v3" xfId="425" xr:uid="{00000000-0005-0000-0000-0000A4010000}"/>
    <cellStyle name="_Reporte Inversores Urbana 12-2008 v3_Libro9" xfId="426" xr:uid="{00000000-0005-0000-0000-0000A5010000}"/>
    <cellStyle name="_Reporte Inversores Urbana 12-2008 v3_OPM Inmobiliaria 09-10 V1" xfId="427" xr:uid="{00000000-0005-0000-0000-0000A6010000}"/>
    <cellStyle name="_Retenciones Suss y Ganancias" xfId="428" xr:uid="{00000000-0005-0000-0000-0000A7010000}"/>
    <cellStyle name="_Retenciones Suss y Ganancias_Libro9" xfId="429" xr:uid="{00000000-0005-0000-0000-0000A8010000}"/>
    <cellStyle name="_Retenciones Suss y Ganancias_OPM Inmobiliaria 09-10 V1" xfId="430" xr:uid="{00000000-0005-0000-0000-0000A9010000}"/>
    <cellStyle name="_Row1" xfId="431" xr:uid="{00000000-0005-0000-0000-0000AA010000}"/>
    <cellStyle name="_Row1 2" xfId="432" xr:uid="{00000000-0005-0000-0000-0000AB010000}"/>
    <cellStyle name="_Row1 3" xfId="433" xr:uid="{00000000-0005-0000-0000-0000AC010000}"/>
    <cellStyle name="_Row1_CF" xfId="434" xr:uid="{00000000-0005-0000-0000-0000AD010000}"/>
    <cellStyle name="_Row1_MBKL" xfId="435" xr:uid="{00000000-0005-0000-0000-0000AE010000}"/>
    <cellStyle name="_Row1_MDI Quartale" xfId="436" xr:uid="{00000000-0005-0000-0000-0000AF010000}"/>
    <cellStyle name="_Row1_PPA HCST - Valuation IPRnD" xfId="437" xr:uid="{00000000-0005-0000-0000-0000B0010000}"/>
    <cellStyle name="_Row1_PPA HCST - Valuation IPRnD_Summary_220607_1100" xfId="438" xr:uid="{00000000-0005-0000-0000-0000B1010000}"/>
    <cellStyle name="_Row1_Quartale" xfId="439" xr:uid="{00000000-0005-0000-0000-0000B2010000}"/>
    <cellStyle name="_Row1_SP_Konsmassnahmen in CF und IW 06_2000 UR" xfId="440" xr:uid="{00000000-0005-0000-0000-0000B3010000}"/>
    <cellStyle name="_Row2" xfId="441" xr:uid="{00000000-0005-0000-0000-0000B4010000}"/>
    <cellStyle name="_Row2 2" xfId="442" xr:uid="{00000000-0005-0000-0000-0000B5010000}"/>
    <cellStyle name="_Row2 3" xfId="443" xr:uid="{00000000-0005-0000-0000-0000B6010000}"/>
    <cellStyle name="_Row2_CF" xfId="444" xr:uid="{00000000-0005-0000-0000-0000B7010000}"/>
    <cellStyle name="_Row2_MDI Quartale" xfId="445" xr:uid="{00000000-0005-0000-0000-0000B8010000}"/>
    <cellStyle name="_Row2_PPA HCST - Valuation IPRnD" xfId="446" xr:uid="{00000000-0005-0000-0000-0000B9010000}"/>
    <cellStyle name="_Row2_Quartale" xfId="447" xr:uid="{00000000-0005-0000-0000-0000BA010000}"/>
    <cellStyle name="_Row3" xfId="448" xr:uid="{00000000-0005-0000-0000-0000BB010000}"/>
    <cellStyle name="_Row3 2" xfId="449" xr:uid="{00000000-0005-0000-0000-0000BC010000}"/>
    <cellStyle name="_Row3 3" xfId="450" xr:uid="{00000000-0005-0000-0000-0000BD010000}"/>
    <cellStyle name="_Row3_CF" xfId="451" xr:uid="{00000000-0005-0000-0000-0000BE010000}"/>
    <cellStyle name="_Row3_MDI Quartale" xfId="452" xr:uid="{00000000-0005-0000-0000-0000BF010000}"/>
    <cellStyle name="_Row3_PPA HCST - Valuation IPRnD" xfId="453" xr:uid="{00000000-0005-0000-0000-0000C0010000}"/>
    <cellStyle name="_Row3_Quartale" xfId="454" xr:uid="{00000000-0005-0000-0000-0000C1010000}"/>
    <cellStyle name="_Row4" xfId="455" xr:uid="{00000000-0005-0000-0000-0000C2010000}"/>
    <cellStyle name="_Row4 2" xfId="456" xr:uid="{00000000-0005-0000-0000-0000C3010000}"/>
    <cellStyle name="_Row4 3" xfId="457" xr:uid="{00000000-0005-0000-0000-0000C4010000}"/>
    <cellStyle name="_Row4_CF" xfId="458" xr:uid="{00000000-0005-0000-0000-0000C5010000}"/>
    <cellStyle name="_Row4_MDI Quartale" xfId="459" xr:uid="{00000000-0005-0000-0000-0000C6010000}"/>
    <cellStyle name="_Row4_PPA HCST - Valuation IPRnD" xfId="460" xr:uid="{00000000-0005-0000-0000-0000C7010000}"/>
    <cellStyle name="_Row4_PPA HCST - Valuation IPRnD_Summary_220607_1100" xfId="461" xr:uid="{00000000-0005-0000-0000-0000C8010000}"/>
    <cellStyle name="_Row4_Quartale" xfId="462" xr:uid="{00000000-0005-0000-0000-0000C9010000}"/>
    <cellStyle name="_Row5" xfId="463" xr:uid="{00000000-0005-0000-0000-0000CA010000}"/>
    <cellStyle name="_Row5 2" xfId="464" xr:uid="{00000000-0005-0000-0000-0000CB010000}"/>
    <cellStyle name="_Row5 3" xfId="465" xr:uid="{00000000-0005-0000-0000-0000CC010000}"/>
    <cellStyle name="_Row5_CF" xfId="466" xr:uid="{00000000-0005-0000-0000-0000CD010000}"/>
    <cellStyle name="_Row5_MDI Quartale" xfId="467" xr:uid="{00000000-0005-0000-0000-0000CE010000}"/>
    <cellStyle name="_Row5_PPA HCST - Valuation IPRnD" xfId="468" xr:uid="{00000000-0005-0000-0000-0000CF010000}"/>
    <cellStyle name="_Row5_Quartale" xfId="469" xr:uid="{00000000-0005-0000-0000-0000D0010000}"/>
    <cellStyle name="_Row6" xfId="470" xr:uid="{00000000-0005-0000-0000-0000D1010000}"/>
    <cellStyle name="_Row6 2" xfId="471" xr:uid="{00000000-0005-0000-0000-0000D2010000}"/>
    <cellStyle name="_Row6 3" xfId="472" xr:uid="{00000000-0005-0000-0000-0000D3010000}"/>
    <cellStyle name="_Row6_CF" xfId="473" xr:uid="{00000000-0005-0000-0000-0000D4010000}"/>
    <cellStyle name="_Row6_MDI Quartale" xfId="474" xr:uid="{00000000-0005-0000-0000-0000D5010000}"/>
    <cellStyle name="_Row6_PPA HCST - Valuation IPRnD" xfId="475" xr:uid="{00000000-0005-0000-0000-0000D6010000}"/>
    <cellStyle name="_Row6_Quartale" xfId="476" xr:uid="{00000000-0005-0000-0000-0000D7010000}"/>
    <cellStyle name="_Row7" xfId="477" xr:uid="{00000000-0005-0000-0000-0000D8010000}"/>
    <cellStyle name="_Row7 2" xfId="478" xr:uid="{00000000-0005-0000-0000-0000D9010000}"/>
    <cellStyle name="_Row7 3" xfId="479" xr:uid="{00000000-0005-0000-0000-0000DA010000}"/>
    <cellStyle name="_Row7_PPA HCST - Valuation IPRnD" xfId="480" xr:uid="{00000000-0005-0000-0000-0000DB010000}"/>
    <cellStyle name="_Sensibilidad" xfId="481" xr:uid="{00000000-0005-0000-0000-0000DC010000}"/>
    <cellStyle name="_Sheet1" xfId="482" xr:uid="{00000000-0005-0000-0000-0000DD010000}"/>
    <cellStyle name="_SubHeading" xfId="483" xr:uid="{00000000-0005-0000-0000-0000DE010000}"/>
    <cellStyle name="_SubHeading_Book2" xfId="484" xr:uid="{00000000-0005-0000-0000-0000DF010000}"/>
    <cellStyle name="_SubHeading_Modelo_Mairinque_v2.2" xfId="485" xr:uid="{00000000-0005-0000-0000-0000E0010000}"/>
    <cellStyle name="_SubHeading_Multiplos_transação_atualizado" xfId="486" xr:uid="{00000000-0005-0000-0000-0000E1010000}"/>
    <cellStyle name="_SubHeading_Multiplos_v2" xfId="487" xr:uid="{00000000-0005-0000-0000-0000E2010000}"/>
    <cellStyle name="_Table" xfId="488" xr:uid="{00000000-0005-0000-0000-0000E3010000}"/>
    <cellStyle name="_Table_Book2" xfId="489" xr:uid="{00000000-0005-0000-0000-0000E4010000}"/>
    <cellStyle name="_Table_Cidades" xfId="490" xr:uid="{00000000-0005-0000-0000-0000E5010000}"/>
    <cellStyle name="_Table_Modelo 021208 FINAL - Colíder" xfId="491" xr:uid="{00000000-0005-0000-0000-0000E6010000}"/>
    <cellStyle name="_Table_Modelo 021208 FINAL - Colíder_v2" xfId="492" xr:uid="{00000000-0005-0000-0000-0000E7010000}"/>
    <cellStyle name="_Table_Modelo 281108 FINAL - Alta Floresta" xfId="493" xr:uid="{00000000-0005-0000-0000-0000E8010000}"/>
    <cellStyle name="_Table_Modelo 281108 FINAL - Colíder" xfId="494" xr:uid="{00000000-0005-0000-0000-0000E9010000}"/>
    <cellStyle name="_Table_Modelo 281108 FINAL - Comodoro" xfId="495" xr:uid="{00000000-0005-0000-0000-0000EA010000}"/>
    <cellStyle name="_Table_Modelo 281108 FINAL - Pontes e Lacerda" xfId="496" xr:uid="{00000000-0005-0000-0000-0000EB010000}"/>
    <cellStyle name="_Table_Modelo 301108 FINAL - Alta Floresta" xfId="497" xr:uid="{00000000-0005-0000-0000-0000EC010000}"/>
    <cellStyle name="_Table_Modelo 301108 FINAL - Pontes e Lacerda" xfId="498" xr:uid="{00000000-0005-0000-0000-0000ED010000}"/>
    <cellStyle name="_Table_Modelo_Mairinque_v2.2" xfId="499" xr:uid="{00000000-0005-0000-0000-0000EE010000}"/>
    <cellStyle name="_Table_Multiplos_transação_atualizado" xfId="500" xr:uid="{00000000-0005-0000-0000-0000EF010000}"/>
    <cellStyle name="_Table_Multiplos_v2" xfId="501" xr:uid="{00000000-0005-0000-0000-0000F0010000}"/>
    <cellStyle name="_TableHead" xfId="502" xr:uid="{00000000-0005-0000-0000-0000F1010000}"/>
    <cellStyle name="_TableHead_Book2" xfId="503" xr:uid="{00000000-0005-0000-0000-0000F2010000}"/>
    <cellStyle name="_TableHead_Modelo 021208 FINAL - Colíder_v2" xfId="504" xr:uid="{00000000-0005-0000-0000-0000F3010000}"/>
    <cellStyle name="_TableHead_Modelo 281108 FINAL - Comodoro" xfId="505" xr:uid="{00000000-0005-0000-0000-0000F4010000}"/>
    <cellStyle name="_TableHead_Modelo 301108 FINAL - Alta Floresta" xfId="506" xr:uid="{00000000-0005-0000-0000-0000F5010000}"/>
    <cellStyle name="_TableHead_Modelo_Mairinque_v2.2" xfId="507" xr:uid="{00000000-0005-0000-0000-0000F6010000}"/>
    <cellStyle name="_TableHead_Multiplos_transação_atualizado" xfId="508" xr:uid="{00000000-0005-0000-0000-0000F7010000}"/>
    <cellStyle name="_TableHead_Multiplos_v2" xfId="509" xr:uid="{00000000-0005-0000-0000-0000F8010000}"/>
    <cellStyle name="_TableRowHead" xfId="510" xr:uid="{00000000-0005-0000-0000-0000F9010000}"/>
    <cellStyle name="_TableRowHead_Book2" xfId="511" xr:uid="{00000000-0005-0000-0000-0000FA010000}"/>
    <cellStyle name="_TableRowHead_Modelo 021208 FINAL - Colíder_v2" xfId="512" xr:uid="{00000000-0005-0000-0000-0000FB010000}"/>
    <cellStyle name="_TableRowHead_Modelo 281108 FINAL - Comodoro" xfId="513" xr:uid="{00000000-0005-0000-0000-0000FC010000}"/>
    <cellStyle name="_TableRowHead_Modelo 301108 FINAL - Alta Floresta" xfId="514" xr:uid="{00000000-0005-0000-0000-0000FD010000}"/>
    <cellStyle name="_TableRowHead_Modelo_Mairinque_v2.2" xfId="515" xr:uid="{00000000-0005-0000-0000-0000FE010000}"/>
    <cellStyle name="_TableRowHead_Multiplos_transação_atualizado" xfId="516" xr:uid="{00000000-0005-0000-0000-0000FF010000}"/>
    <cellStyle name="_TableRowHead_Multiplos_v2" xfId="517" xr:uid="{00000000-0005-0000-0000-000000020000}"/>
    <cellStyle name="_TableSuperHead" xfId="518" xr:uid="{00000000-0005-0000-0000-000001020000}"/>
    <cellStyle name="_TableSuperHead_Book2" xfId="519" xr:uid="{00000000-0005-0000-0000-000002020000}"/>
    <cellStyle name="_TableSuperHead_Modelo_Mairinque_v2.2" xfId="520" xr:uid="{00000000-0005-0000-0000-000003020000}"/>
    <cellStyle name="_TableSuperHead_Multiplos_transação_atualizado" xfId="521" xr:uid="{00000000-0005-0000-0000-000004020000}"/>
    <cellStyle name="_TableSuperHead_Multiplos_v2" xfId="522" xr:uid="{00000000-0005-0000-0000-000005020000}"/>
    <cellStyle name="_U.0412.HZ-reviewed" xfId="523" xr:uid="{00000000-0005-0000-0000-000006020000}"/>
    <cellStyle name="_Valuation of Assembled Workforce" xfId="524" xr:uid="{00000000-0005-0000-0000-000007020000}"/>
    <cellStyle name="_Valuation of Assembled Workforce_18.06.07" xfId="525" xr:uid="{00000000-0005-0000-0000-000008020000}"/>
    <cellStyle name="_Valuation of Assembled Workforce_18.06.07_1900" xfId="526" xr:uid="{00000000-0005-0000-0000-000009020000}"/>
    <cellStyle name="_הוון מימון (2)" xfId="527" xr:uid="{00000000-0005-0000-0000-00000A020000}"/>
    <cellStyle name="_הוצאות הנפקה (2)" xfId="528" xr:uid="{00000000-0005-0000-0000-00000B020000}"/>
    <cellStyle name="_הפחתת הוצאות נדחות (2)" xfId="529" xr:uid="{00000000-0005-0000-0000-00000C020000}"/>
    <cellStyle name="_נכסים בלתי מוחשיים" xfId="530" xr:uid="{00000000-0005-0000-0000-00000D020000}"/>
    <cellStyle name="_רווחי אקווטי" xfId="531" xr:uid="{00000000-0005-0000-0000-00000E020000}"/>
    <cellStyle name="{Comma [0]}" xfId="532" xr:uid="{00000000-0005-0000-0000-00000F020000}"/>
    <cellStyle name="{Comma}" xfId="533" xr:uid="{00000000-0005-0000-0000-000010020000}"/>
    <cellStyle name="{Date}" xfId="534" xr:uid="{00000000-0005-0000-0000-000011020000}"/>
    <cellStyle name="{Month}" xfId="535" xr:uid="{00000000-0005-0000-0000-000012020000}"/>
    <cellStyle name="{Percent}" xfId="536" xr:uid="{00000000-0005-0000-0000-000013020000}"/>
    <cellStyle name="{Thousand [0]}" xfId="537" xr:uid="{00000000-0005-0000-0000-000014020000}"/>
    <cellStyle name="{Thousand}" xfId="538" xr:uid="{00000000-0005-0000-0000-000015020000}"/>
    <cellStyle name="{Z'0000(1 dec)}" xfId="539" xr:uid="{00000000-0005-0000-0000-000016020000}"/>
    <cellStyle name="{Z'0000(4 dec)}" xfId="540" xr:uid="{00000000-0005-0000-0000-000017020000}"/>
    <cellStyle name="£ BP" xfId="541" xr:uid="{00000000-0005-0000-0000-000018020000}"/>
    <cellStyle name="£ BP 2" xfId="542" xr:uid="{00000000-0005-0000-0000-000019020000}"/>
    <cellStyle name="£ BP 3" xfId="543" xr:uid="{00000000-0005-0000-0000-00001A020000}"/>
    <cellStyle name="¤d¤À¦ì [0]" xfId="544" xr:uid="{00000000-0005-0000-0000-00001B020000}"/>
    <cellStyle name="¥ JY" xfId="545" xr:uid="{00000000-0005-0000-0000-00001C020000}"/>
    <cellStyle name="¥ JY 2" xfId="546" xr:uid="{00000000-0005-0000-0000-00001D020000}"/>
    <cellStyle name="¥ JY 3" xfId="547" xr:uid="{00000000-0005-0000-0000-00001E020000}"/>
    <cellStyle name="¥Vn¥VC¥Vp[¥V¥A¥V¡°¥VN" xfId="548" xr:uid="{00000000-0005-0000-0000-00001F020000}"/>
    <cellStyle name="+" xfId="549" xr:uid="{00000000-0005-0000-0000-000020020000}"/>
    <cellStyle name="=C:\WINNT\SYSTEM32\COMMAND.COM" xfId="550" xr:uid="{00000000-0005-0000-0000-000021020000}"/>
    <cellStyle name="=C:\WINNT\SYSTEM32\COMMAND.COM 2" xfId="551" xr:uid="{00000000-0005-0000-0000-000022020000}"/>
    <cellStyle name="=C:\WINNT\SYSTEM32\COMMAND.COM 3" xfId="552" xr:uid="{00000000-0005-0000-0000-000023020000}"/>
    <cellStyle name="=C:\WINNT35\SYSTEM32\COMMAND.COM" xfId="553" xr:uid="{00000000-0005-0000-0000-000024020000}"/>
    <cellStyle name="=C:\WINNT35\SYSTEM32\COMMAND.COM 2" xfId="554" xr:uid="{00000000-0005-0000-0000-000025020000}"/>
    <cellStyle name="=C:\WINNT35\SYSTEM32\COMMAND.COM 2 2" xfId="555" xr:uid="{00000000-0005-0000-0000-000026020000}"/>
    <cellStyle name="=C:\WINNT35\SYSTEM32\COMMAND.COM 2 3" xfId="556" xr:uid="{00000000-0005-0000-0000-000027020000}"/>
    <cellStyle name="=C:\WINNT35\SYSTEM32\COMMAND.COM 2 4" xfId="557" xr:uid="{00000000-0005-0000-0000-000028020000}"/>
    <cellStyle name="=C:\WINNT35\SYSTEM32\COMMAND.COM 3" xfId="558" xr:uid="{00000000-0005-0000-0000-000029020000}"/>
    <cellStyle name="┼" xfId="559" xr:uid="{00000000-0005-0000-0000-00002A020000}"/>
    <cellStyle name="¶W³sµ²" xfId="560" xr:uid="{00000000-0005-0000-0000-00002B020000}"/>
    <cellStyle name="_x0002_" xfId="561" xr:uid="{00000000-0005-0000-0000-00002C020000}"/>
    <cellStyle name="\¦ÏÝÌnCp[N" xfId="562" xr:uid="{00000000-0005-0000-0000-00002D020000}"/>
    <cellStyle name="nCp[N" xfId="563" xr:uid="{00000000-0005-0000-0000-00002E020000}"/>
    <cellStyle name="0" xfId="564" xr:uid="{00000000-0005-0000-0000-00002F020000}"/>
    <cellStyle name="0%" xfId="565" xr:uid="{00000000-0005-0000-0000-000030020000}"/>
    <cellStyle name="0,0_x000d__x000a_NA_x000d__x000a_" xfId="566" xr:uid="{00000000-0005-0000-0000-000031020000}"/>
    <cellStyle name="0.0" xfId="567" xr:uid="{00000000-0005-0000-0000-000032020000}"/>
    <cellStyle name="0.0%" xfId="568" xr:uid="{00000000-0005-0000-0000-000033020000}"/>
    <cellStyle name="0.00" xfId="569" xr:uid="{00000000-0005-0000-0000-000034020000}"/>
    <cellStyle name="0.00%" xfId="570" xr:uid="{00000000-0005-0000-0000-000035020000}"/>
    <cellStyle name="0_Big graph_Page 1f" xfId="571" xr:uid="{00000000-0005-0000-0000-000036020000}"/>
    <cellStyle name="0_Sub B" xfId="572" xr:uid="{00000000-0005-0000-0000-000037020000}"/>
    <cellStyle name="0_Sub B_1_Page 1f" xfId="573" xr:uid="{00000000-0005-0000-0000-000038020000}"/>
    <cellStyle name="01" xfId="574" xr:uid="{00000000-0005-0000-0000-000039020000}"/>
    <cellStyle name="06" xfId="575" xr:uid="{00000000-0005-0000-0000-00003A020000}"/>
    <cellStyle name="06 F" xfId="576" xr:uid="{00000000-0005-0000-0000-00003B020000}"/>
    <cellStyle name="07" xfId="577" xr:uid="{00000000-0005-0000-0000-00003C020000}"/>
    <cellStyle name="07 F" xfId="578" xr:uid="{00000000-0005-0000-0000-00003D020000}"/>
    <cellStyle name="08" xfId="579" xr:uid="{00000000-0005-0000-0000-00003E020000}"/>
    <cellStyle name="08 F" xfId="580" xr:uid="{00000000-0005-0000-0000-00003F020000}"/>
    <cellStyle name="08 FK" xfId="581" xr:uid="{00000000-0005-0000-0000-000040020000}"/>
    <cellStyle name="08 K" xfId="582" xr:uid="{00000000-0005-0000-0000-000041020000}"/>
    <cellStyle name="09" xfId="583" xr:uid="{00000000-0005-0000-0000-000042020000}"/>
    <cellStyle name="09 F" xfId="584" xr:uid="{00000000-0005-0000-0000-000043020000}"/>
    <cellStyle name="09 FK" xfId="585" xr:uid="{00000000-0005-0000-0000-000044020000}"/>
    <cellStyle name="09 FS" xfId="586" xr:uid="{00000000-0005-0000-0000-000045020000}"/>
    <cellStyle name="09 FU" xfId="587" xr:uid="{00000000-0005-0000-0000-000046020000}"/>
    <cellStyle name="1" xfId="588" xr:uid="{00000000-0005-0000-0000-000047020000}"/>
    <cellStyle name="-1" xfId="589" xr:uid="{00000000-0005-0000-0000-000048020000}"/>
    <cellStyle name="1.000/(1,000)" xfId="590" xr:uid="{00000000-0005-0000-0000-000049020000}"/>
    <cellStyle name="1_Balances de escisión" xfId="591" xr:uid="{00000000-0005-0000-0000-00004A020000}"/>
    <cellStyle name="1_Balances de escisión_01 Análisis Comparables" xfId="592" xr:uid="{00000000-0005-0000-0000-00004B020000}"/>
    <cellStyle name="1_Databook library PPART" xfId="593" xr:uid="{00000000-0005-0000-0000-00004C020000}"/>
    <cellStyle name="10" xfId="594" xr:uid="{00000000-0005-0000-0000-00004D020000}"/>
    <cellStyle name="10 F" xfId="595" xr:uid="{00000000-0005-0000-0000-00004E020000}"/>
    <cellStyle name="10 FK" xfId="596" xr:uid="{00000000-0005-0000-0000-00004F020000}"/>
    <cellStyle name="10 FU" xfId="597" xr:uid="{00000000-0005-0000-0000-000050020000}"/>
    <cellStyle name="1000/- %" xfId="598" xr:uid="{00000000-0005-0000-0000-000051020000}"/>
    <cellStyle name="10Text" xfId="599" xr:uid="{00000000-0005-0000-0000-000052020000}"/>
    <cellStyle name="11" xfId="600" xr:uid="{00000000-0005-0000-0000-000053020000}"/>
    <cellStyle name="11 F" xfId="601" xr:uid="{00000000-0005-0000-0000-000054020000}"/>
    <cellStyle name="11 FK" xfId="602" xr:uid="{00000000-0005-0000-0000-000055020000}"/>
    <cellStyle name="11 FU" xfId="603" xr:uid="{00000000-0005-0000-0000-000056020000}"/>
    <cellStyle name="12" xfId="604" xr:uid="{00000000-0005-0000-0000-000057020000}"/>
    <cellStyle name="12 F" xfId="605" xr:uid="{00000000-0005-0000-0000-000058020000}"/>
    <cellStyle name="12 FK" xfId="606" xr:uid="{00000000-0005-0000-0000-000059020000}"/>
    <cellStyle name="12 FU" xfId="607" xr:uid="{00000000-0005-0000-0000-00005A020000}"/>
    <cellStyle name="12Text" xfId="608" xr:uid="{00000000-0005-0000-0000-00005B020000}"/>
    <cellStyle name="14 F" xfId="609" xr:uid="{00000000-0005-0000-0000-00005C020000}"/>
    <cellStyle name="14 FK" xfId="610" xr:uid="{00000000-0005-0000-0000-00005D020000}"/>
    <cellStyle name="14 FU" xfId="611" xr:uid="{00000000-0005-0000-0000-00005E020000}"/>
    <cellStyle name="14Text" xfId="612" xr:uid="{00000000-0005-0000-0000-00005F020000}"/>
    <cellStyle name="16 F" xfId="613" xr:uid="{00000000-0005-0000-0000-000060020000}"/>
    <cellStyle name="16 FK" xfId="614" xr:uid="{00000000-0005-0000-0000-000061020000}"/>
    <cellStyle name="16 FU" xfId="615" xr:uid="{00000000-0005-0000-0000-000062020000}"/>
    <cellStyle name="18 F" xfId="616" xr:uid="{00000000-0005-0000-0000-000063020000}"/>
    <cellStyle name="18 FK" xfId="617" xr:uid="{00000000-0005-0000-0000-000064020000}"/>
    <cellStyle name="18 FU" xfId="618" xr:uid="{00000000-0005-0000-0000-000065020000}"/>
    <cellStyle name="18Text" xfId="619" xr:uid="{00000000-0005-0000-0000-000066020000}"/>
    <cellStyle name="2" xfId="620" xr:uid="{00000000-0005-0000-0000-000067020000}"/>
    <cellStyle name="2 Decimal Places" xfId="621" xr:uid="{00000000-0005-0000-0000-000068020000}"/>
    <cellStyle name="20% - Accent1" xfId="2121" xr:uid="{00000000-0005-0000-0000-000069020000}"/>
    <cellStyle name="20% - Accent1 2" xfId="622" xr:uid="{00000000-0005-0000-0000-00006A020000}"/>
    <cellStyle name="20% - Accent1 3" xfId="623" xr:uid="{00000000-0005-0000-0000-00006B020000}"/>
    <cellStyle name="20% - Accent2" xfId="2122" xr:uid="{00000000-0005-0000-0000-00006C020000}"/>
    <cellStyle name="20% - Accent2 2" xfId="624" xr:uid="{00000000-0005-0000-0000-00006D020000}"/>
    <cellStyle name="20% - Accent2 3" xfId="625" xr:uid="{00000000-0005-0000-0000-00006E020000}"/>
    <cellStyle name="20% - Accent3" xfId="2123" xr:uid="{00000000-0005-0000-0000-00006F020000}"/>
    <cellStyle name="20% - Accent3 2" xfId="626" xr:uid="{00000000-0005-0000-0000-000070020000}"/>
    <cellStyle name="20% - Accent3 3" xfId="627" xr:uid="{00000000-0005-0000-0000-000071020000}"/>
    <cellStyle name="20% - Accent4" xfId="2124" xr:uid="{00000000-0005-0000-0000-000072020000}"/>
    <cellStyle name="20% - Accent4 2" xfId="628" xr:uid="{00000000-0005-0000-0000-000073020000}"/>
    <cellStyle name="20% - Accent4 3" xfId="629" xr:uid="{00000000-0005-0000-0000-000074020000}"/>
    <cellStyle name="20% - Accent5" xfId="2125" xr:uid="{00000000-0005-0000-0000-000075020000}"/>
    <cellStyle name="20% - Accent5 2" xfId="630" xr:uid="{00000000-0005-0000-0000-000076020000}"/>
    <cellStyle name="20% - Accent5 3" xfId="631" xr:uid="{00000000-0005-0000-0000-000077020000}"/>
    <cellStyle name="20% - Accent6" xfId="2126" xr:uid="{00000000-0005-0000-0000-000078020000}"/>
    <cellStyle name="20% - Accent6 2" xfId="632" xr:uid="{00000000-0005-0000-0000-000079020000}"/>
    <cellStyle name="20% - Accent6 3" xfId="633" xr:uid="{00000000-0005-0000-0000-00007A020000}"/>
    <cellStyle name="20% - Ênfase1" xfId="634" xr:uid="{00000000-0005-0000-0000-00007B020000}"/>
    <cellStyle name="20% - Ênfase2" xfId="635" xr:uid="{00000000-0005-0000-0000-00007C020000}"/>
    <cellStyle name="20% - Ênfase3" xfId="636" xr:uid="{00000000-0005-0000-0000-00007D020000}"/>
    <cellStyle name="20% - Ênfase4" xfId="637" xr:uid="{00000000-0005-0000-0000-00007E020000}"/>
    <cellStyle name="20% - Ênfase5" xfId="638" xr:uid="{00000000-0005-0000-0000-00007F020000}"/>
    <cellStyle name="20% - Ênfase6" xfId="639" xr:uid="{00000000-0005-0000-0000-000080020000}"/>
    <cellStyle name="20% - Énfasis1 2" xfId="640" xr:uid="{00000000-0005-0000-0000-000081020000}"/>
    <cellStyle name="20% - Énfasis1 3" xfId="641" xr:uid="{00000000-0005-0000-0000-000082020000}"/>
    <cellStyle name="20% - Énfasis1 4" xfId="642" xr:uid="{00000000-0005-0000-0000-000083020000}"/>
    <cellStyle name="20% - Énfasis1 5" xfId="643" xr:uid="{00000000-0005-0000-0000-000084020000}"/>
    <cellStyle name="20% - Énfasis1 6" xfId="644" xr:uid="{00000000-0005-0000-0000-000085020000}"/>
    <cellStyle name="20% - Énfasis1 7" xfId="645" xr:uid="{00000000-0005-0000-0000-000086020000}"/>
    <cellStyle name="20% - Énfasis1 8" xfId="646" xr:uid="{00000000-0005-0000-0000-000087020000}"/>
    <cellStyle name="20% - Énfasis1 9" xfId="647" xr:uid="{00000000-0005-0000-0000-000088020000}"/>
    <cellStyle name="20% - Énfasis2 2" xfId="648" xr:uid="{00000000-0005-0000-0000-000089020000}"/>
    <cellStyle name="20% - Énfasis2 3" xfId="649" xr:uid="{00000000-0005-0000-0000-00008A020000}"/>
    <cellStyle name="20% - Énfasis2 4" xfId="650" xr:uid="{00000000-0005-0000-0000-00008B020000}"/>
    <cellStyle name="20% - Énfasis2 5" xfId="651" xr:uid="{00000000-0005-0000-0000-00008C020000}"/>
    <cellStyle name="20% - Énfasis2 6" xfId="652" xr:uid="{00000000-0005-0000-0000-00008D020000}"/>
    <cellStyle name="20% - Énfasis2 7" xfId="653" xr:uid="{00000000-0005-0000-0000-00008E020000}"/>
    <cellStyle name="20% - Énfasis2 8" xfId="654" xr:uid="{00000000-0005-0000-0000-00008F020000}"/>
    <cellStyle name="20% - Énfasis2 9" xfId="655" xr:uid="{00000000-0005-0000-0000-000090020000}"/>
    <cellStyle name="20% - Énfasis3 2" xfId="656" xr:uid="{00000000-0005-0000-0000-000091020000}"/>
    <cellStyle name="20% - Énfasis3 3" xfId="657" xr:uid="{00000000-0005-0000-0000-000092020000}"/>
    <cellStyle name="20% - Énfasis3 4" xfId="658" xr:uid="{00000000-0005-0000-0000-000093020000}"/>
    <cellStyle name="20% - Énfasis3 5" xfId="659" xr:uid="{00000000-0005-0000-0000-000094020000}"/>
    <cellStyle name="20% - Énfasis3 6" xfId="660" xr:uid="{00000000-0005-0000-0000-000095020000}"/>
    <cellStyle name="20% - Énfasis3 7" xfId="661" xr:uid="{00000000-0005-0000-0000-000096020000}"/>
    <cellStyle name="20% - Énfasis3 8" xfId="662" xr:uid="{00000000-0005-0000-0000-000097020000}"/>
    <cellStyle name="20% - Énfasis3 9" xfId="663" xr:uid="{00000000-0005-0000-0000-000098020000}"/>
    <cellStyle name="20% - Énfasis4 2" xfId="664" xr:uid="{00000000-0005-0000-0000-000099020000}"/>
    <cellStyle name="20% - Énfasis4 3" xfId="665" xr:uid="{00000000-0005-0000-0000-00009A020000}"/>
    <cellStyle name="20% - Énfasis4 4" xfId="666" xr:uid="{00000000-0005-0000-0000-00009B020000}"/>
    <cellStyle name="20% - Énfasis4 5" xfId="667" xr:uid="{00000000-0005-0000-0000-00009C020000}"/>
    <cellStyle name="20% - Énfasis4 6" xfId="668" xr:uid="{00000000-0005-0000-0000-00009D020000}"/>
    <cellStyle name="20% - Énfasis4 7" xfId="669" xr:uid="{00000000-0005-0000-0000-00009E020000}"/>
    <cellStyle name="20% - Énfasis4 8" xfId="670" xr:uid="{00000000-0005-0000-0000-00009F020000}"/>
    <cellStyle name="20% - Énfasis4 9" xfId="671" xr:uid="{00000000-0005-0000-0000-0000A0020000}"/>
    <cellStyle name="20% - Énfasis5 2" xfId="672" xr:uid="{00000000-0005-0000-0000-0000A1020000}"/>
    <cellStyle name="20% - Énfasis5 3" xfId="673" xr:uid="{00000000-0005-0000-0000-0000A2020000}"/>
    <cellStyle name="20% - Énfasis5 4" xfId="674" xr:uid="{00000000-0005-0000-0000-0000A3020000}"/>
    <cellStyle name="20% - Énfasis5 5" xfId="675" xr:uid="{00000000-0005-0000-0000-0000A4020000}"/>
    <cellStyle name="20% - Énfasis5 6" xfId="676" xr:uid="{00000000-0005-0000-0000-0000A5020000}"/>
    <cellStyle name="20% - Énfasis5 7" xfId="677" xr:uid="{00000000-0005-0000-0000-0000A6020000}"/>
    <cellStyle name="20% - Énfasis5 8" xfId="678" xr:uid="{00000000-0005-0000-0000-0000A7020000}"/>
    <cellStyle name="20% - Énfasis5 9" xfId="679" xr:uid="{00000000-0005-0000-0000-0000A8020000}"/>
    <cellStyle name="20% - Énfasis6 2" xfId="680" xr:uid="{00000000-0005-0000-0000-0000A9020000}"/>
    <cellStyle name="20% - Énfasis6 3" xfId="681" xr:uid="{00000000-0005-0000-0000-0000AA020000}"/>
    <cellStyle name="20% - Énfasis6 4" xfId="682" xr:uid="{00000000-0005-0000-0000-0000AB020000}"/>
    <cellStyle name="20% - Énfasis6 5" xfId="683" xr:uid="{00000000-0005-0000-0000-0000AC020000}"/>
    <cellStyle name="20% - Énfasis6 6" xfId="684" xr:uid="{00000000-0005-0000-0000-0000AD020000}"/>
    <cellStyle name="20% - Énfasis6 7" xfId="685" xr:uid="{00000000-0005-0000-0000-0000AE020000}"/>
    <cellStyle name="20% - Énfasis6 8" xfId="686" xr:uid="{00000000-0005-0000-0000-0000AF020000}"/>
    <cellStyle name="20% - Énfasis6 9" xfId="687" xr:uid="{00000000-0005-0000-0000-0000B0020000}"/>
    <cellStyle name="24 F" xfId="688" xr:uid="{00000000-0005-0000-0000-0000B1020000}"/>
    <cellStyle name="24 FK" xfId="689" xr:uid="{00000000-0005-0000-0000-0000B2020000}"/>
    <cellStyle name="24 FU" xfId="690" xr:uid="{00000000-0005-0000-0000-0000B3020000}"/>
    <cellStyle name="2x" xfId="691" xr:uid="{00000000-0005-0000-0000-0000B4020000}"/>
    <cellStyle name="3" xfId="692" xr:uid="{00000000-0005-0000-0000-0000B5020000}"/>
    <cellStyle name="³¬¼¶Á´½Ó" xfId="693" xr:uid="{00000000-0005-0000-0000-0000B6020000}"/>
    <cellStyle name="3f1?assumption(tj)t" xfId="694" xr:uid="{00000000-0005-0000-0000-0000B7020000}"/>
    <cellStyle name="3f1?p&amp;l(tj)i" xfId="695" xr:uid="{00000000-0005-0000-0000-0000B8020000}"/>
    <cellStyle name="40% - Accent1" xfId="2127" xr:uid="{00000000-0005-0000-0000-0000B9020000}"/>
    <cellStyle name="40% - Accent1 2" xfId="696" xr:uid="{00000000-0005-0000-0000-0000BA020000}"/>
    <cellStyle name="40% - Accent1 3" xfId="697" xr:uid="{00000000-0005-0000-0000-0000BB020000}"/>
    <cellStyle name="40% - Accent2" xfId="2128" xr:uid="{00000000-0005-0000-0000-0000BC020000}"/>
    <cellStyle name="40% - Accent2 2" xfId="698" xr:uid="{00000000-0005-0000-0000-0000BD020000}"/>
    <cellStyle name="40% - Accent2 3" xfId="699" xr:uid="{00000000-0005-0000-0000-0000BE020000}"/>
    <cellStyle name="40% - Accent3" xfId="2129" xr:uid="{00000000-0005-0000-0000-0000BF020000}"/>
    <cellStyle name="40% - Accent3 2" xfId="700" xr:uid="{00000000-0005-0000-0000-0000C0020000}"/>
    <cellStyle name="40% - Accent3 3" xfId="701" xr:uid="{00000000-0005-0000-0000-0000C1020000}"/>
    <cellStyle name="40% - Accent4" xfId="2130" xr:uid="{00000000-0005-0000-0000-0000C2020000}"/>
    <cellStyle name="40% - Accent4 2" xfId="702" xr:uid="{00000000-0005-0000-0000-0000C3020000}"/>
    <cellStyle name="40% - Accent4 3" xfId="703" xr:uid="{00000000-0005-0000-0000-0000C4020000}"/>
    <cellStyle name="40% - Accent5" xfId="2131" xr:uid="{00000000-0005-0000-0000-0000C5020000}"/>
    <cellStyle name="40% - Accent5 2" xfId="704" xr:uid="{00000000-0005-0000-0000-0000C6020000}"/>
    <cellStyle name="40% - Accent5 3" xfId="705" xr:uid="{00000000-0005-0000-0000-0000C7020000}"/>
    <cellStyle name="40% - Accent6" xfId="2132" xr:uid="{00000000-0005-0000-0000-0000C8020000}"/>
    <cellStyle name="40% - Accent6 2" xfId="706" xr:uid="{00000000-0005-0000-0000-0000C9020000}"/>
    <cellStyle name="40% - Accent6 3" xfId="707" xr:uid="{00000000-0005-0000-0000-0000CA020000}"/>
    <cellStyle name="40% - Ênfase1" xfId="708" xr:uid="{00000000-0005-0000-0000-0000CB020000}"/>
    <cellStyle name="40% - Ênfase2" xfId="709" xr:uid="{00000000-0005-0000-0000-0000CC020000}"/>
    <cellStyle name="40% - Ênfase3" xfId="710" xr:uid="{00000000-0005-0000-0000-0000CD020000}"/>
    <cellStyle name="40% - Ênfase4" xfId="711" xr:uid="{00000000-0005-0000-0000-0000CE020000}"/>
    <cellStyle name="40% - Ênfase5" xfId="712" xr:uid="{00000000-0005-0000-0000-0000CF020000}"/>
    <cellStyle name="40% - Ênfase6" xfId="713" xr:uid="{00000000-0005-0000-0000-0000D0020000}"/>
    <cellStyle name="40% - Énfasis1 2" xfId="714" xr:uid="{00000000-0005-0000-0000-0000D1020000}"/>
    <cellStyle name="40% - Énfasis1 3" xfId="715" xr:uid="{00000000-0005-0000-0000-0000D2020000}"/>
    <cellStyle name="40% - Énfasis1 4" xfId="716" xr:uid="{00000000-0005-0000-0000-0000D3020000}"/>
    <cellStyle name="40% - Énfasis1 5" xfId="717" xr:uid="{00000000-0005-0000-0000-0000D4020000}"/>
    <cellStyle name="40% - Énfasis1 6" xfId="718" xr:uid="{00000000-0005-0000-0000-0000D5020000}"/>
    <cellStyle name="40% - Énfasis1 7" xfId="719" xr:uid="{00000000-0005-0000-0000-0000D6020000}"/>
    <cellStyle name="40% - Énfasis1 8" xfId="720" xr:uid="{00000000-0005-0000-0000-0000D7020000}"/>
    <cellStyle name="40% - Énfasis1 9" xfId="721" xr:uid="{00000000-0005-0000-0000-0000D8020000}"/>
    <cellStyle name="40% - Énfasis2 2" xfId="722" xr:uid="{00000000-0005-0000-0000-0000D9020000}"/>
    <cellStyle name="40% - Énfasis2 3" xfId="723" xr:uid="{00000000-0005-0000-0000-0000DA020000}"/>
    <cellStyle name="40% - Énfasis2 4" xfId="724" xr:uid="{00000000-0005-0000-0000-0000DB020000}"/>
    <cellStyle name="40% - Énfasis2 5" xfId="725" xr:uid="{00000000-0005-0000-0000-0000DC020000}"/>
    <cellStyle name="40% - Énfasis2 6" xfId="726" xr:uid="{00000000-0005-0000-0000-0000DD020000}"/>
    <cellStyle name="40% - Énfasis2 7" xfId="727" xr:uid="{00000000-0005-0000-0000-0000DE020000}"/>
    <cellStyle name="40% - Énfasis2 8" xfId="728" xr:uid="{00000000-0005-0000-0000-0000DF020000}"/>
    <cellStyle name="40% - Énfasis2 9" xfId="729" xr:uid="{00000000-0005-0000-0000-0000E0020000}"/>
    <cellStyle name="40% - Énfasis3 2" xfId="730" xr:uid="{00000000-0005-0000-0000-0000E1020000}"/>
    <cellStyle name="40% - Énfasis3 3" xfId="731" xr:uid="{00000000-0005-0000-0000-0000E2020000}"/>
    <cellStyle name="40% - Énfasis3 4" xfId="732" xr:uid="{00000000-0005-0000-0000-0000E3020000}"/>
    <cellStyle name="40% - Énfasis3 5" xfId="733" xr:uid="{00000000-0005-0000-0000-0000E4020000}"/>
    <cellStyle name="40% - Énfasis3 6" xfId="734" xr:uid="{00000000-0005-0000-0000-0000E5020000}"/>
    <cellStyle name="40% - Énfasis3 7" xfId="735" xr:uid="{00000000-0005-0000-0000-0000E6020000}"/>
    <cellStyle name="40% - Énfasis3 8" xfId="736" xr:uid="{00000000-0005-0000-0000-0000E7020000}"/>
    <cellStyle name="40% - Énfasis3 9" xfId="737" xr:uid="{00000000-0005-0000-0000-0000E8020000}"/>
    <cellStyle name="40% - Énfasis4 2" xfId="738" xr:uid="{00000000-0005-0000-0000-0000E9020000}"/>
    <cellStyle name="40% - Énfasis4 3" xfId="739" xr:uid="{00000000-0005-0000-0000-0000EA020000}"/>
    <cellStyle name="40% - Énfasis4 4" xfId="740" xr:uid="{00000000-0005-0000-0000-0000EB020000}"/>
    <cellStyle name="40% - Énfasis4 5" xfId="741" xr:uid="{00000000-0005-0000-0000-0000EC020000}"/>
    <cellStyle name="40% - Énfasis4 6" xfId="742" xr:uid="{00000000-0005-0000-0000-0000ED020000}"/>
    <cellStyle name="40% - Énfasis4 7" xfId="743" xr:uid="{00000000-0005-0000-0000-0000EE020000}"/>
    <cellStyle name="40% - Énfasis4 8" xfId="744" xr:uid="{00000000-0005-0000-0000-0000EF020000}"/>
    <cellStyle name="40% - Énfasis4 9" xfId="745" xr:uid="{00000000-0005-0000-0000-0000F0020000}"/>
    <cellStyle name="40% - Énfasis5 2" xfId="746" xr:uid="{00000000-0005-0000-0000-0000F1020000}"/>
    <cellStyle name="40% - Énfasis5 3" xfId="747" xr:uid="{00000000-0005-0000-0000-0000F2020000}"/>
    <cellStyle name="40% - Énfasis5 4" xfId="748" xr:uid="{00000000-0005-0000-0000-0000F3020000}"/>
    <cellStyle name="40% - Énfasis5 5" xfId="749" xr:uid="{00000000-0005-0000-0000-0000F4020000}"/>
    <cellStyle name="40% - Énfasis5 6" xfId="750" xr:uid="{00000000-0005-0000-0000-0000F5020000}"/>
    <cellStyle name="40% - Énfasis5 7" xfId="751" xr:uid="{00000000-0005-0000-0000-0000F6020000}"/>
    <cellStyle name="40% - Énfasis5 8" xfId="752" xr:uid="{00000000-0005-0000-0000-0000F7020000}"/>
    <cellStyle name="40% - Énfasis5 9" xfId="753" xr:uid="{00000000-0005-0000-0000-0000F8020000}"/>
    <cellStyle name="40% - Énfasis6 2" xfId="754" xr:uid="{00000000-0005-0000-0000-0000F9020000}"/>
    <cellStyle name="40% - Énfasis6 3" xfId="755" xr:uid="{00000000-0005-0000-0000-0000FA020000}"/>
    <cellStyle name="40% - Énfasis6 4" xfId="756" xr:uid="{00000000-0005-0000-0000-0000FB020000}"/>
    <cellStyle name="40% - Énfasis6 5" xfId="757" xr:uid="{00000000-0005-0000-0000-0000FC020000}"/>
    <cellStyle name="40% - Énfasis6 6" xfId="758" xr:uid="{00000000-0005-0000-0000-0000FD020000}"/>
    <cellStyle name="40% - Énfasis6 7" xfId="759" xr:uid="{00000000-0005-0000-0000-0000FE020000}"/>
    <cellStyle name="40% - Énfasis6 8" xfId="760" xr:uid="{00000000-0005-0000-0000-0000FF020000}"/>
    <cellStyle name="40% - Énfasis6 9" xfId="761" xr:uid="{00000000-0005-0000-0000-000000030000}"/>
    <cellStyle name="6" xfId="762" xr:uid="{00000000-0005-0000-0000-000001030000}"/>
    <cellStyle name="6_x0001_" xfId="763" xr:uid="{00000000-0005-0000-0000-000002030000}"/>
    <cellStyle name="60% - Accent1" xfId="2133" xr:uid="{00000000-0005-0000-0000-000003030000}"/>
    <cellStyle name="60% - Accent1 2" xfId="764" xr:uid="{00000000-0005-0000-0000-000004030000}"/>
    <cellStyle name="60% - Accent1 3" xfId="765" xr:uid="{00000000-0005-0000-0000-000005030000}"/>
    <cellStyle name="60% - Accent2" xfId="2134" xr:uid="{00000000-0005-0000-0000-000006030000}"/>
    <cellStyle name="60% - Accent2 2" xfId="766" xr:uid="{00000000-0005-0000-0000-000007030000}"/>
    <cellStyle name="60% - Accent2 3" xfId="767" xr:uid="{00000000-0005-0000-0000-000008030000}"/>
    <cellStyle name="60% - Accent3" xfId="2135" xr:uid="{00000000-0005-0000-0000-000009030000}"/>
    <cellStyle name="60% - Accent3 2" xfId="768" xr:uid="{00000000-0005-0000-0000-00000A030000}"/>
    <cellStyle name="60% - Accent3 3" xfId="769" xr:uid="{00000000-0005-0000-0000-00000B030000}"/>
    <cellStyle name="60% - Accent4" xfId="2136" xr:uid="{00000000-0005-0000-0000-00000C030000}"/>
    <cellStyle name="60% - Accent4 2" xfId="770" xr:uid="{00000000-0005-0000-0000-00000D030000}"/>
    <cellStyle name="60% - Accent4 3" xfId="771" xr:uid="{00000000-0005-0000-0000-00000E030000}"/>
    <cellStyle name="60% - Accent5" xfId="2137" xr:uid="{00000000-0005-0000-0000-00000F030000}"/>
    <cellStyle name="60% - Accent5 2" xfId="772" xr:uid="{00000000-0005-0000-0000-000010030000}"/>
    <cellStyle name="60% - Accent5 3" xfId="773" xr:uid="{00000000-0005-0000-0000-000011030000}"/>
    <cellStyle name="60% - Accent6" xfId="2138" xr:uid="{00000000-0005-0000-0000-000012030000}"/>
    <cellStyle name="60% - Accent6 2" xfId="774" xr:uid="{00000000-0005-0000-0000-000013030000}"/>
    <cellStyle name="60% - Accent6 3" xfId="775" xr:uid="{00000000-0005-0000-0000-000014030000}"/>
    <cellStyle name="60% - Ênfase1" xfId="776" xr:uid="{00000000-0005-0000-0000-000015030000}"/>
    <cellStyle name="60% - Ênfase2" xfId="777" xr:uid="{00000000-0005-0000-0000-000016030000}"/>
    <cellStyle name="60% - Ênfase3" xfId="778" xr:uid="{00000000-0005-0000-0000-000017030000}"/>
    <cellStyle name="60% - Ênfase4" xfId="779" xr:uid="{00000000-0005-0000-0000-000018030000}"/>
    <cellStyle name="60% - Ênfase5" xfId="780" xr:uid="{00000000-0005-0000-0000-000019030000}"/>
    <cellStyle name="60% - Ênfase6" xfId="781" xr:uid="{00000000-0005-0000-0000-00001A030000}"/>
    <cellStyle name="60% - Énfasis1 2" xfId="782" xr:uid="{00000000-0005-0000-0000-00001B030000}"/>
    <cellStyle name="60% - Énfasis1 3" xfId="783" xr:uid="{00000000-0005-0000-0000-00001C030000}"/>
    <cellStyle name="60% - Énfasis1 4" xfId="784" xr:uid="{00000000-0005-0000-0000-00001D030000}"/>
    <cellStyle name="60% - Énfasis1 5" xfId="785" xr:uid="{00000000-0005-0000-0000-00001E030000}"/>
    <cellStyle name="60% - Énfasis1 6" xfId="786" xr:uid="{00000000-0005-0000-0000-00001F030000}"/>
    <cellStyle name="60% - Énfasis1 7" xfId="787" xr:uid="{00000000-0005-0000-0000-000020030000}"/>
    <cellStyle name="60% - Énfasis1 8" xfId="788" xr:uid="{00000000-0005-0000-0000-000021030000}"/>
    <cellStyle name="60% - Énfasis1 9" xfId="789" xr:uid="{00000000-0005-0000-0000-000022030000}"/>
    <cellStyle name="60% - Énfasis2 2" xfId="790" xr:uid="{00000000-0005-0000-0000-000023030000}"/>
    <cellStyle name="60% - Énfasis2 3" xfId="791" xr:uid="{00000000-0005-0000-0000-000024030000}"/>
    <cellStyle name="60% - Énfasis2 4" xfId="792" xr:uid="{00000000-0005-0000-0000-000025030000}"/>
    <cellStyle name="60% - Énfasis2 5" xfId="793" xr:uid="{00000000-0005-0000-0000-000026030000}"/>
    <cellStyle name="60% - Énfasis2 6" xfId="794" xr:uid="{00000000-0005-0000-0000-000027030000}"/>
    <cellStyle name="60% - Énfasis2 7" xfId="795" xr:uid="{00000000-0005-0000-0000-000028030000}"/>
    <cellStyle name="60% - Énfasis2 8" xfId="796" xr:uid="{00000000-0005-0000-0000-000029030000}"/>
    <cellStyle name="60% - Énfasis2 9" xfId="797" xr:uid="{00000000-0005-0000-0000-00002A030000}"/>
    <cellStyle name="60% - Énfasis3 2" xfId="798" xr:uid="{00000000-0005-0000-0000-00002B030000}"/>
    <cellStyle name="60% - Énfasis3 3" xfId="799" xr:uid="{00000000-0005-0000-0000-00002C030000}"/>
    <cellStyle name="60% - Énfasis3 4" xfId="800" xr:uid="{00000000-0005-0000-0000-00002D030000}"/>
    <cellStyle name="60% - Énfasis3 5" xfId="801" xr:uid="{00000000-0005-0000-0000-00002E030000}"/>
    <cellStyle name="60% - Énfasis3 6" xfId="802" xr:uid="{00000000-0005-0000-0000-00002F030000}"/>
    <cellStyle name="60% - Énfasis3 7" xfId="803" xr:uid="{00000000-0005-0000-0000-000030030000}"/>
    <cellStyle name="60% - Énfasis3 8" xfId="804" xr:uid="{00000000-0005-0000-0000-000031030000}"/>
    <cellStyle name="60% - Énfasis3 9" xfId="805" xr:uid="{00000000-0005-0000-0000-000032030000}"/>
    <cellStyle name="60% - Énfasis4 2" xfId="806" xr:uid="{00000000-0005-0000-0000-000033030000}"/>
    <cellStyle name="60% - Énfasis4 3" xfId="807" xr:uid="{00000000-0005-0000-0000-000034030000}"/>
    <cellStyle name="60% - Énfasis4 4" xfId="808" xr:uid="{00000000-0005-0000-0000-000035030000}"/>
    <cellStyle name="60% - Énfasis4 5" xfId="809" xr:uid="{00000000-0005-0000-0000-000036030000}"/>
    <cellStyle name="60% - Énfasis4 6" xfId="810" xr:uid="{00000000-0005-0000-0000-000037030000}"/>
    <cellStyle name="60% - Énfasis4 7" xfId="811" xr:uid="{00000000-0005-0000-0000-000038030000}"/>
    <cellStyle name="60% - Énfasis4 8" xfId="812" xr:uid="{00000000-0005-0000-0000-000039030000}"/>
    <cellStyle name="60% - Énfasis4 9" xfId="813" xr:uid="{00000000-0005-0000-0000-00003A030000}"/>
    <cellStyle name="60% - Énfasis5 2" xfId="814" xr:uid="{00000000-0005-0000-0000-00003B030000}"/>
    <cellStyle name="60% - Énfasis5 3" xfId="815" xr:uid="{00000000-0005-0000-0000-00003C030000}"/>
    <cellStyle name="60% - Énfasis5 4" xfId="816" xr:uid="{00000000-0005-0000-0000-00003D030000}"/>
    <cellStyle name="60% - Énfasis5 5" xfId="817" xr:uid="{00000000-0005-0000-0000-00003E030000}"/>
    <cellStyle name="60% - Énfasis5 6" xfId="818" xr:uid="{00000000-0005-0000-0000-00003F030000}"/>
    <cellStyle name="60% - Énfasis5 7" xfId="819" xr:uid="{00000000-0005-0000-0000-000040030000}"/>
    <cellStyle name="60% - Énfasis5 8" xfId="820" xr:uid="{00000000-0005-0000-0000-000041030000}"/>
    <cellStyle name="60% - Énfasis5 9" xfId="821" xr:uid="{00000000-0005-0000-0000-000042030000}"/>
    <cellStyle name="60% - Énfasis6 2" xfId="822" xr:uid="{00000000-0005-0000-0000-000043030000}"/>
    <cellStyle name="60% - Énfasis6 3" xfId="823" xr:uid="{00000000-0005-0000-0000-000044030000}"/>
    <cellStyle name="60% - Énfasis6 4" xfId="824" xr:uid="{00000000-0005-0000-0000-000045030000}"/>
    <cellStyle name="60% - Énfasis6 5" xfId="825" xr:uid="{00000000-0005-0000-0000-000046030000}"/>
    <cellStyle name="60% - Énfasis6 6" xfId="826" xr:uid="{00000000-0005-0000-0000-000047030000}"/>
    <cellStyle name="60% - Énfasis6 7" xfId="827" xr:uid="{00000000-0005-0000-0000-000048030000}"/>
    <cellStyle name="60% - Énfasis6 8" xfId="828" xr:uid="{00000000-0005-0000-0000-000049030000}"/>
    <cellStyle name="60% - Énfasis6 9" xfId="829" xr:uid="{00000000-0005-0000-0000-00004A030000}"/>
    <cellStyle name="697 " xfId="830" xr:uid="{00000000-0005-0000-0000-00004B030000}"/>
    <cellStyle name="6A" xfId="831" xr:uid="{00000000-0005-0000-0000-00004C030000}"/>
    <cellStyle name="7" xfId="832" xr:uid="{00000000-0005-0000-0000-00004D030000}"/>
    <cellStyle name="7 (2)" xfId="833" xr:uid="{00000000-0005-0000-0000-00004E030000}"/>
    <cellStyle name="7.XLS]הון עצמי" xfId="834" xr:uid="{00000000-0005-0000-0000-00004F030000}"/>
    <cellStyle name="8" xfId="835" xr:uid="{00000000-0005-0000-0000-000050030000}"/>
    <cellStyle name="8_SHKEF398win95" xfId="836" xr:uid="{00000000-0005-0000-0000-000051030000}"/>
    <cellStyle name="A¨­￠￢￠O [0]_C¡IAo_AoAUAy¡ÆeC¡I " xfId="837" xr:uid="{00000000-0005-0000-0000-000052030000}"/>
    <cellStyle name="A¨­￠￢￠O_AoAUAy¡ÆeC¡I " xfId="838" xr:uid="{00000000-0005-0000-0000-000053030000}"/>
    <cellStyle name="A3 297 x 420 mm" xfId="839" xr:uid="{00000000-0005-0000-0000-000054030000}"/>
    <cellStyle name="Abstimmung" xfId="840" xr:uid="{00000000-0005-0000-0000-000055030000}"/>
    <cellStyle name="AbstimmungLeer" xfId="841" xr:uid="{00000000-0005-0000-0000-000056030000}"/>
    <cellStyle name="ac" xfId="842" xr:uid="{00000000-0005-0000-0000-000057030000}"/>
    <cellStyle name="Accent1" xfId="2139" xr:uid="{00000000-0005-0000-0000-000058030000}"/>
    <cellStyle name="Accent1 2" xfId="843" xr:uid="{00000000-0005-0000-0000-000059030000}"/>
    <cellStyle name="Accent1 3" xfId="844" xr:uid="{00000000-0005-0000-0000-00005A030000}"/>
    <cellStyle name="Accent2" xfId="2140" xr:uid="{00000000-0005-0000-0000-00005B030000}"/>
    <cellStyle name="Accent2 2" xfId="845" xr:uid="{00000000-0005-0000-0000-00005C030000}"/>
    <cellStyle name="Accent2 3" xfId="846" xr:uid="{00000000-0005-0000-0000-00005D030000}"/>
    <cellStyle name="Accent3" xfId="2141" xr:uid="{00000000-0005-0000-0000-00005E030000}"/>
    <cellStyle name="Accent3 2" xfId="847" xr:uid="{00000000-0005-0000-0000-00005F030000}"/>
    <cellStyle name="Accent3 3" xfId="848" xr:uid="{00000000-0005-0000-0000-000060030000}"/>
    <cellStyle name="Accent4" xfId="2142" xr:uid="{00000000-0005-0000-0000-000061030000}"/>
    <cellStyle name="Accent4 2" xfId="849" xr:uid="{00000000-0005-0000-0000-000062030000}"/>
    <cellStyle name="Accent4 3" xfId="850" xr:uid="{00000000-0005-0000-0000-000063030000}"/>
    <cellStyle name="Accent5" xfId="2143" xr:uid="{00000000-0005-0000-0000-000064030000}"/>
    <cellStyle name="Accent5 2" xfId="851" xr:uid="{00000000-0005-0000-0000-000065030000}"/>
    <cellStyle name="Accent5 3" xfId="852" xr:uid="{00000000-0005-0000-0000-000066030000}"/>
    <cellStyle name="Accent6" xfId="2144" xr:uid="{00000000-0005-0000-0000-000067030000}"/>
    <cellStyle name="Accent6 2" xfId="853" xr:uid="{00000000-0005-0000-0000-000068030000}"/>
    <cellStyle name="Accent6 3" xfId="854" xr:uid="{00000000-0005-0000-0000-000069030000}"/>
    <cellStyle name="Accounting" xfId="855" xr:uid="{00000000-0005-0000-0000-00006A030000}"/>
    <cellStyle name="active" xfId="856" xr:uid="{00000000-0005-0000-0000-00006B030000}"/>
    <cellStyle name="Actual Date" xfId="857" xr:uid="{00000000-0005-0000-0000-00006C030000}"/>
    <cellStyle name="add" xfId="858" xr:uid="{00000000-0005-0000-0000-00006D030000}"/>
    <cellStyle name="AFE" xfId="859" xr:uid="{00000000-0005-0000-0000-00006E030000}"/>
    <cellStyle name="AFE 2" xfId="860" xr:uid="{00000000-0005-0000-0000-00006F030000}"/>
    <cellStyle name="AFE 3" xfId="861" xr:uid="{00000000-0005-0000-0000-000070030000}"/>
    <cellStyle name="ÀH«áªº¶W³sµ²" xfId="862" xr:uid="{00000000-0005-0000-0000-000071030000}"/>
    <cellStyle name="al (2)" xfId="863" xr:uid="{00000000-0005-0000-0000-000072030000}"/>
    <cellStyle name="Angus" xfId="864" xr:uid="{00000000-0005-0000-0000-000073030000}"/>
    <cellStyle name="args.style" xfId="865" xr:uid="{00000000-0005-0000-0000-000074030000}"/>
    <cellStyle name="args.style 2" xfId="866" xr:uid="{00000000-0005-0000-0000-000075030000}"/>
    <cellStyle name="args.style 3" xfId="867" xr:uid="{00000000-0005-0000-0000-000076030000}"/>
    <cellStyle name="ARIAL  8" xfId="868" xr:uid="{00000000-0005-0000-0000-000077030000}"/>
    <cellStyle name="ARIAL  8, fett" xfId="869" xr:uid="{00000000-0005-0000-0000-000078030000}"/>
    <cellStyle name="Arial 10" xfId="870" xr:uid="{00000000-0005-0000-0000-000079030000}"/>
    <cellStyle name="Arial 10, fett" xfId="871" xr:uid="{00000000-0005-0000-0000-00007A030000}"/>
    <cellStyle name="Arial 12, fett" xfId="872" xr:uid="{00000000-0005-0000-0000-00007B030000}"/>
    <cellStyle name="Arial 7" xfId="873" xr:uid="{00000000-0005-0000-0000-00007C030000}"/>
    <cellStyle name="arial12" xfId="874" xr:uid="{00000000-0005-0000-0000-00007D030000}"/>
    <cellStyle name="arial14" xfId="875" xr:uid="{00000000-0005-0000-0000-00007E030000}"/>
    <cellStyle name="Array" xfId="876" xr:uid="{00000000-0005-0000-0000-00007F030000}"/>
    <cellStyle name="Array Enter" xfId="877" xr:uid="{00000000-0005-0000-0000-000080030000}"/>
    <cellStyle name="assumption 1" xfId="878" xr:uid="{00000000-0005-0000-0000-000081030000}"/>
    <cellStyle name="assumption 2" xfId="879" xr:uid="{00000000-0005-0000-0000-000082030000}"/>
    <cellStyle name="assumption 4" xfId="880" xr:uid="{00000000-0005-0000-0000-000083030000}"/>
    <cellStyle name="Assumption Date" xfId="881" xr:uid="{00000000-0005-0000-0000-000084030000}"/>
    <cellStyle name="AÞ¸¶_¾ÆA§AU¾÷" xfId="882" xr:uid="{00000000-0005-0000-0000-000085030000}"/>
    <cellStyle name="B" xfId="883" xr:uid="{00000000-0005-0000-0000-000086030000}"/>
    <cellStyle name="B&amp;W" xfId="884" xr:uid="{00000000-0005-0000-0000-000087030000}"/>
    <cellStyle name="B&amp;Wbold" xfId="885" xr:uid="{00000000-0005-0000-0000-000088030000}"/>
    <cellStyle name="b0" xfId="886" xr:uid="{00000000-0005-0000-0000-000089030000}"/>
    <cellStyle name="b1" xfId="887" xr:uid="{00000000-0005-0000-0000-00008A030000}"/>
    <cellStyle name="b1 2" xfId="888" xr:uid="{00000000-0005-0000-0000-00008B030000}"/>
    <cellStyle name="b1 3" xfId="889" xr:uid="{00000000-0005-0000-0000-00008C030000}"/>
    <cellStyle name="b2" xfId="890" xr:uid="{00000000-0005-0000-0000-00008D030000}"/>
    <cellStyle name="b3" xfId="891" xr:uid="{00000000-0005-0000-0000-00008E030000}"/>
    <cellStyle name="b4" xfId="892" xr:uid="{00000000-0005-0000-0000-00008F030000}"/>
    <cellStyle name="Bad" xfId="2145" xr:uid="{00000000-0005-0000-0000-000090030000}"/>
    <cellStyle name="Bad 2" xfId="893" xr:uid="{00000000-0005-0000-0000-000091030000}"/>
    <cellStyle name="Bad 3" xfId="894" xr:uid="{00000000-0005-0000-0000-000092030000}"/>
    <cellStyle name="BE" xfId="895" xr:uid="{00000000-0005-0000-0000-000093030000}"/>
    <cellStyle name="Benutzer" xfId="896" xr:uid="{00000000-0005-0000-0000-000094030000}"/>
    <cellStyle name="Betrag" xfId="897" xr:uid="{00000000-0005-0000-0000-000095030000}"/>
    <cellStyle name="BetragS" xfId="898" xr:uid="{00000000-0005-0000-0000-000096030000}"/>
    <cellStyle name="BetragVorjahr" xfId="899" xr:uid="{00000000-0005-0000-0000-000097030000}"/>
    <cellStyle name="Beurteilung" xfId="900" xr:uid="{00000000-0005-0000-0000-000098030000}"/>
    <cellStyle name="Bewertung" xfId="901" xr:uid="{00000000-0005-0000-0000-000099030000}"/>
    <cellStyle name="BewertungE" xfId="902" xr:uid="{00000000-0005-0000-0000-00009A030000}"/>
    <cellStyle name="BewertungS" xfId="903" xr:uid="{00000000-0005-0000-0000-00009B030000}"/>
    <cellStyle name="Bezeichnung" xfId="904" xr:uid="{00000000-0005-0000-0000-00009C030000}"/>
    <cellStyle name="BIGHEAD" xfId="905" xr:uid="{00000000-0005-0000-0000-00009D030000}"/>
    <cellStyle name="BIS16 - Modelo3" xfId="906" xr:uid="{00000000-0005-0000-0000-00009E030000}"/>
    <cellStyle name="BlackStrike" xfId="907" xr:uid="{00000000-0005-0000-0000-00009F030000}"/>
    <cellStyle name="BlackText" xfId="908" xr:uid="{00000000-0005-0000-0000-0000A0030000}"/>
    <cellStyle name="Blank [$]" xfId="909" xr:uid="{00000000-0005-0000-0000-0000A1030000}"/>
    <cellStyle name="Blank [%]" xfId="910" xr:uid="{00000000-0005-0000-0000-0000A2030000}"/>
    <cellStyle name="Blank [,]" xfId="911" xr:uid="{00000000-0005-0000-0000-0000A3030000}"/>
    <cellStyle name="Blank [1$]" xfId="912" xr:uid="{00000000-0005-0000-0000-0000A4030000}"/>
    <cellStyle name="Blank [1%]" xfId="913" xr:uid="{00000000-0005-0000-0000-0000A5030000}"/>
    <cellStyle name="Blank [1,]" xfId="914" xr:uid="{00000000-0005-0000-0000-0000A6030000}"/>
    <cellStyle name="Blank [2$]" xfId="915" xr:uid="{00000000-0005-0000-0000-0000A7030000}"/>
    <cellStyle name="Blank [2%]" xfId="916" xr:uid="{00000000-0005-0000-0000-0000A8030000}"/>
    <cellStyle name="Blank [2,]" xfId="917" xr:uid="{00000000-0005-0000-0000-0000A9030000}"/>
    <cellStyle name="Blau" xfId="918" xr:uid="{00000000-0005-0000-0000-0000AA030000}"/>
    <cellStyle name="Blue" xfId="919" xr:uid="{00000000-0005-0000-0000-0000AB030000}"/>
    <cellStyle name="bluenodec" xfId="920" xr:uid="{00000000-0005-0000-0000-0000AC030000}"/>
    <cellStyle name="bluepercent" xfId="921" xr:uid="{00000000-0005-0000-0000-0000AD030000}"/>
    <cellStyle name="Body" xfId="922" xr:uid="{00000000-0005-0000-0000-0000AE030000}"/>
    <cellStyle name="Bold 11" xfId="923" xr:uid="{00000000-0005-0000-0000-0000AF030000}"/>
    <cellStyle name="Bold/Border" xfId="924" xr:uid="{00000000-0005-0000-0000-0000B0030000}"/>
    <cellStyle name="Bold/Border 2" xfId="925" xr:uid="{00000000-0005-0000-0000-0000B1030000}"/>
    <cellStyle name="BoldText" xfId="926" xr:uid="{00000000-0005-0000-0000-0000B2030000}"/>
    <cellStyle name="Bolivars" xfId="927" xr:uid="{00000000-0005-0000-0000-0000B3030000}"/>
    <cellStyle name="Bom" xfId="928" xr:uid="{00000000-0005-0000-0000-0000B4030000}"/>
    <cellStyle name="Border" xfId="929" xr:uid="{00000000-0005-0000-0000-0000B5030000}"/>
    <cellStyle name="Border Heavy" xfId="930" xr:uid="{00000000-0005-0000-0000-0000B6030000}"/>
    <cellStyle name="Border Thin" xfId="931" xr:uid="{00000000-0005-0000-0000-0000B7030000}"/>
    <cellStyle name="Border_Balances de escisión" xfId="932" xr:uid="{00000000-0005-0000-0000-0000B8030000}"/>
    <cellStyle name="Borders" xfId="933" xr:uid="{00000000-0005-0000-0000-0000B9030000}"/>
    <cellStyle name="Bottom Edge" xfId="934" xr:uid="{00000000-0005-0000-0000-0000BA030000}"/>
    <cellStyle name="Brown" xfId="935" xr:uid="{00000000-0005-0000-0000-0000BB030000}"/>
    <cellStyle name="Buena 2" xfId="936" xr:uid="{00000000-0005-0000-0000-0000BC030000}"/>
    <cellStyle name="Buena 3" xfId="937" xr:uid="{00000000-0005-0000-0000-0000BD030000}"/>
    <cellStyle name="Buena 4" xfId="938" xr:uid="{00000000-0005-0000-0000-0000BE030000}"/>
    <cellStyle name="Buena 5" xfId="939" xr:uid="{00000000-0005-0000-0000-0000BF030000}"/>
    <cellStyle name="Buena 6" xfId="940" xr:uid="{00000000-0005-0000-0000-0000C0030000}"/>
    <cellStyle name="Buena 7" xfId="941" xr:uid="{00000000-0005-0000-0000-0000C1030000}"/>
    <cellStyle name="Buena 8" xfId="942" xr:uid="{00000000-0005-0000-0000-0000C2030000}"/>
    <cellStyle name="Buena 9" xfId="943" xr:uid="{00000000-0005-0000-0000-0000C3030000}"/>
    <cellStyle name="Bullet" xfId="944" xr:uid="{00000000-0005-0000-0000-0000C4030000}"/>
    <cellStyle name="Bullet 2" xfId="945" xr:uid="{00000000-0005-0000-0000-0000C5030000}"/>
    <cellStyle name="Bullet 3" xfId="946" xr:uid="{00000000-0005-0000-0000-0000C6030000}"/>
    <cellStyle name="c" xfId="947" xr:uid="{00000000-0005-0000-0000-0000C7030000}"/>
    <cellStyle name="C:\Data\MS\Excel" xfId="948" xr:uid="{00000000-0005-0000-0000-0000C8030000}"/>
    <cellStyle name="C|‰" xfId="949" xr:uid="{00000000-0005-0000-0000-0000C9030000}"/>
    <cellStyle name="C|‰ 2 2" xfId="950" xr:uid="{00000000-0005-0000-0000-0000CA030000}"/>
    <cellStyle name="C￥AØ_¾ÆA§AU¾÷" xfId="951" xr:uid="{00000000-0005-0000-0000-0000CB030000}"/>
    <cellStyle name="c0" xfId="952" xr:uid="{00000000-0005-0000-0000-0000CC030000}"/>
    <cellStyle name="c0'" xfId="953" xr:uid="{00000000-0005-0000-0000-0000CD030000}"/>
    <cellStyle name="c0-" xfId="954" xr:uid="{00000000-0005-0000-0000-0000CE030000}"/>
    <cellStyle name="c0]" xfId="955" xr:uid="{00000000-0005-0000-0000-0000CF030000}"/>
    <cellStyle name="c0-_Balances de escisión" xfId="956" xr:uid="{00000000-0005-0000-0000-0000D0030000}"/>
    <cellStyle name="c09" xfId="957" xr:uid="{00000000-0005-0000-0000-0000D1030000}"/>
    <cellStyle name="c1" xfId="958" xr:uid="{00000000-0005-0000-0000-0000D2030000}"/>
    <cellStyle name="c2" xfId="959" xr:uid="{00000000-0005-0000-0000-0000D3030000}"/>
    <cellStyle name="c22" xfId="960" xr:uid="{00000000-0005-0000-0000-0000D4030000}"/>
    <cellStyle name="c2x" xfId="961" xr:uid="{00000000-0005-0000-0000-0000D5030000}"/>
    <cellStyle name="c3" xfId="962" xr:uid="{00000000-0005-0000-0000-0000D6030000}"/>
    <cellStyle name="Cabecera 1" xfId="963" xr:uid="{00000000-0005-0000-0000-0000D7030000}"/>
    <cellStyle name="Cabecera 1 2" xfId="964" xr:uid="{00000000-0005-0000-0000-0000D8030000}"/>
    <cellStyle name="Cabecera 1 3" xfId="965" xr:uid="{00000000-0005-0000-0000-0000D9030000}"/>
    <cellStyle name="Cabecera 2" xfId="966" xr:uid="{00000000-0005-0000-0000-0000DA030000}"/>
    <cellStyle name="Cabecera 2 2" xfId="967" xr:uid="{00000000-0005-0000-0000-0000DB030000}"/>
    <cellStyle name="Cabecera 2 3" xfId="968" xr:uid="{00000000-0005-0000-0000-0000DC030000}"/>
    <cellStyle name="cal.General" xfId="969" xr:uid="{00000000-0005-0000-0000-0000DD030000}"/>
    <cellStyle name="cal.General.or" xfId="970" xr:uid="{00000000-0005-0000-0000-0000DE030000}"/>
    <cellStyle name="cal.General1" xfId="971" xr:uid="{00000000-0005-0000-0000-0000DF030000}"/>
    <cellStyle name="cal.Link" xfId="972" xr:uid="{00000000-0005-0000-0000-0000E0030000}"/>
    <cellStyle name="cal.Link7" xfId="973" xr:uid="{00000000-0005-0000-0000-0000E1030000}"/>
    <cellStyle name="Calc Currency (0)" xfId="974" xr:uid="{00000000-0005-0000-0000-0000E2030000}"/>
    <cellStyle name="Calc Currency (0) 2" xfId="975" xr:uid="{00000000-0005-0000-0000-0000E3030000}"/>
    <cellStyle name="Calc Currency (0) 3" xfId="976" xr:uid="{00000000-0005-0000-0000-0000E4030000}"/>
    <cellStyle name="Calc Currency (2)" xfId="977" xr:uid="{00000000-0005-0000-0000-0000E5030000}"/>
    <cellStyle name="Calc Percent (0)" xfId="978" xr:uid="{00000000-0005-0000-0000-0000E6030000}"/>
    <cellStyle name="Calc Percent (1)" xfId="979" xr:uid="{00000000-0005-0000-0000-0000E7030000}"/>
    <cellStyle name="Calc Percent (2)" xfId="980" xr:uid="{00000000-0005-0000-0000-0000E8030000}"/>
    <cellStyle name="Calc Units (0)" xfId="981" xr:uid="{00000000-0005-0000-0000-0000E9030000}"/>
    <cellStyle name="Calc Units (1)" xfId="982" xr:uid="{00000000-0005-0000-0000-0000EA030000}"/>
    <cellStyle name="Calc Units (2)" xfId="983" xr:uid="{00000000-0005-0000-0000-0000EB030000}"/>
    <cellStyle name="Calcs" xfId="984" xr:uid="{00000000-0005-0000-0000-0000EC030000}"/>
    <cellStyle name="Calculation" xfId="2146" xr:uid="{00000000-0005-0000-0000-0000ED030000}"/>
    <cellStyle name="Calculation 2" xfId="985" xr:uid="{00000000-0005-0000-0000-0000EE030000}"/>
    <cellStyle name="Calculation 3" xfId="986" xr:uid="{00000000-0005-0000-0000-0000EF030000}"/>
    <cellStyle name="Cálculo 2" xfId="987" xr:uid="{00000000-0005-0000-0000-0000F0030000}"/>
    <cellStyle name="Cálculo 3" xfId="988" xr:uid="{00000000-0005-0000-0000-0000F1030000}"/>
    <cellStyle name="Cálculo 4" xfId="989" xr:uid="{00000000-0005-0000-0000-0000F2030000}"/>
    <cellStyle name="Cálculo 5" xfId="990" xr:uid="{00000000-0005-0000-0000-0000F3030000}"/>
    <cellStyle name="Cálculo 6" xfId="991" xr:uid="{00000000-0005-0000-0000-0000F4030000}"/>
    <cellStyle name="Cálculo 7" xfId="992" xr:uid="{00000000-0005-0000-0000-0000F5030000}"/>
    <cellStyle name="Cálculo 8" xfId="993" xr:uid="{00000000-0005-0000-0000-0000F6030000}"/>
    <cellStyle name="Cálculo 9" xfId="994" xr:uid="{00000000-0005-0000-0000-0000F7030000}"/>
    <cellStyle name="Caleb Header" xfId="995" xr:uid="{00000000-0005-0000-0000-0000F8030000}"/>
    <cellStyle name="Cambiar to&amp;do" xfId="996" xr:uid="{00000000-0005-0000-0000-0000F9030000}"/>
    <cellStyle name="Cambiar to&amp;do 2" xfId="997" xr:uid="{00000000-0005-0000-0000-0000FA030000}"/>
    <cellStyle name="Cambiar to&amp;do 2 2" xfId="998" xr:uid="{00000000-0005-0000-0000-0000FB030000}"/>
    <cellStyle name="Cambiar to&amp;do 3" xfId="999" xr:uid="{00000000-0005-0000-0000-0000FC030000}"/>
    <cellStyle name="cárky_CTD" xfId="1000" xr:uid="{00000000-0005-0000-0000-0000FD030000}"/>
    <cellStyle name="Case" xfId="1001" xr:uid="{00000000-0005-0000-0000-0000FE030000}"/>
    <cellStyle name="category" xfId="1002" xr:uid="{00000000-0005-0000-0000-0000FF030000}"/>
    <cellStyle name="Celda de comprobación 2" xfId="1003" xr:uid="{00000000-0005-0000-0000-000000040000}"/>
    <cellStyle name="Celda de comprobación 3" xfId="1004" xr:uid="{00000000-0005-0000-0000-000001040000}"/>
    <cellStyle name="Celda de comprobación 4" xfId="1005" xr:uid="{00000000-0005-0000-0000-000002040000}"/>
    <cellStyle name="Celda de comprobación 5" xfId="1006" xr:uid="{00000000-0005-0000-0000-000003040000}"/>
    <cellStyle name="Celda de comprobación 6" xfId="1007" xr:uid="{00000000-0005-0000-0000-000004040000}"/>
    <cellStyle name="Celda de comprobación 7" xfId="1008" xr:uid="{00000000-0005-0000-0000-000005040000}"/>
    <cellStyle name="Celda de comprobación 8" xfId="1009" xr:uid="{00000000-0005-0000-0000-000006040000}"/>
    <cellStyle name="Celda de comprobación 9" xfId="1010" xr:uid="{00000000-0005-0000-0000-000007040000}"/>
    <cellStyle name="Celda vinculada 2" xfId="1011" xr:uid="{00000000-0005-0000-0000-000008040000}"/>
    <cellStyle name="Celda vinculada 3" xfId="1012" xr:uid="{00000000-0005-0000-0000-000009040000}"/>
    <cellStyle name="Celda vinculada 4" xfId="1013" xr:uid="{00000000-0005-0000-0000-00000A040000}"/>
    <cellStyle name="Celda vinculada 5" xfId="1014" xr:uid="{00000000-0005-0000-0000-00000B040000}"/>
    <cellStyle name="Celda vinculada 6" xfId="1015" xr:uid="{00000000-0005-0000-0000-00000C040000}"/>
    <cellStyle name="Celda vinculada 7" xfId="1016" xr:uid="{00000000-0005-0000-0000-00000D040000}"/>
    <cellStyle name="Celda vinculada 8" xfId="1017" xr:uid="{00000000-0005-0000-0000-00000E040000}"/>
    <cellStyle name="Celda vinculada 9" xfId="1018" xr:uid="{00000000-0005-0000-0000-00000F040000}"/>
    <cellStyle name="Célula de Verificação" xfId="1019" xr:uid="{00000000-0005-0000-0000-000010040000}"/>
    <cellStyle name="Célula Vinculada" xfId="1020" xr:uid="{00000000-0005-0000-0000-000011040000}"/>
    <cellStyle name="Cents" xfId="1021" xr:uid="{00000000-0005-0000-0000-000012040000}"/>
    <cellStyle name="Cents 2" xfId="1022" xr:uid="{00000000-0005-0000-0000-000013040000}"/>
    <cellStyle name="Cents 3" xfId="1023" xr:uid="{00000000-0005-0000-0000-000014040000}"/>
    <cellStyle name="check" xfId="1024" xr:uid="{00000000-0005-0000-0000-000015040000}"/>
    <cellStyle name="check 2" xfId="1025" xr:uid="{00000000-0005-0000-0000-000016040000}"/>
    <cellStyle name="Check Cell" xfId="2147" xr:uid="{00000000-0005-0000-0000-000017040000}"/>
    <cellStyle name="Check Cell 2" xfId="1026" xr:uid="{00000000-0005-0000-0000-000018040000}"/>
    <cellStyle name="Check Cell 3" xfId="1027" xr:uid="{00000000-0005-0000-0000-000019040000}"/>
    <cellStyle name="Chico" xfId="1028" xr:uid="{00000000-0005-0000-0000-00001A040000}"/>
    <cellStyle name="co" xfId="1029" xr:uid="{00000000-0005-0000-0000-00001B040000}"/>
    <cellStyle name="Code" xfId="1030" xr:uid="{00000000-0005-0000-0000-00001C040000}"/>
    <cellStyle name="Col Heads" xfId="1031" xr:uid="{00000000-0005-0000-0000-00001D040000}"/>
    <cellStyle name="Collegamento ipertestuale" xfId="1032" xr:uid="{00000000-0005-0000-0000-00001E040000}"/>
    <cellStyle name="Color_Anna" xfId="1033" xr:uid="{00000000-0005-0000-0000-00001F040000}"/>
    <cellStyle name="Comma  - Style1" xfId="1034" xr:uid="{00000000-0005-0000-0000-000020040000}"/>
    <cellStyle name="Comma  - Style1 2" xfId="1035" xr:uid="{00000000-0005-0000-0000-000021040000}"/>
    <cellStyle name="Comma  - Style1 3" xfId="1036" xr:uid="{00000000-0005-0000-0000-000022040000}"/>
    <cellStyle name="Comma  - Style2" xfId="1037" xr:uid="{00000000-0005-0000-0000-000023040000}"/>
    <cellStyle name="Comma  - Style2 2" xfId="1038" xr:uid="{00000000-0005-0000-0000-000024040000}"/>
    <cellStyle name="Comma  - Style2 3" xfId="1039" xr:uid="{00000000-0005-0000-0000-000025040000}"/>
    <cellStyle name="Comma  - Style3" xfId="1040" xr:uid="{00000000-0005-0000-0000-000026040000}"/>
    <cellStyle name="Comma  - Style3 2" xfId="1041" xr:uid="{00000000-0005-0000-0000-000027040000}"/>
    <cellStyle name="Comma  - Style3 3" xfId="1042" xr:uid="{00000000-0005-0000-0000-000028040000}"/>
    <cellStyle name="Comma  - Style4" xfId="1043" xr:uid="{00000000-0005-0000-0000-000029040000}"/>
    <cellStyle name="Comma  - Style4 2" xfId="1044" xr:uid="{00000000-0005-0000-0000-00002A040000}"/>
    <cellStyle name="Comma  - Style4 3" xfId="1045" xr:uid="{00000000-0005-0000-0000-00002B040000}"/>
    <cellStyle name="Comma  - Style5" xfId="1046" xr:uid="{00000000-0005-0000-0000-00002C040000}"/>
    <cellStyle name="Comma  - Style5 2" xfId="1047" xr:uid="{00000000-0005-0000-0000-00002D040000}"/>
    <cellStyle name="Comma  - Style5 3" xfId="1048" xr:uid="{00000000-0005-0000-0000-00002E040000}"/>
    <cellStyle name="Comma  - Style6" xfId="1049" xr:uid="{00000000-0005-0000-0000-00002F040000}"/>
    <cellStyle name="Comma  - Style6 2" xfId="1050" xr:uid="{00000000-0005-0000-0000-000030040000}"/>
    <cellStyle name="Comma  - Style6 3" xfId="1051" xr:uid="{00000000-0005-0000-0000-000031040000}"/>
    <cellStyle name="Comma  - Style7" xfId="1052" xr:uid="{00000000-0005-0000-0000-000032040000}"/>
    <cellStyle name="Comma  - Style7 2" xfId="1053" xr:uid="{00000000-0005-0000-0000-000033040000}"/>
    <cellStyle name="Comma  - Style7 3" xfId="1054" xr:uid="{00000000-0005-0000-0000-000034040000}"/>
    <cellStyle name="Comma  - Style8" xfId="1055" xr:uid="{00000000-0005-0000-0000-000035040000}"/>
    <cellStyle name="Comma  - Style8 2" xfId="1056" xr:uid="{00000000-0005-0000-0000-000036040000}"/>
    <cellStyle name="Comma  - Style8 3" xfId="1057" xr:uid="{00000000-0005-0000-0000-000037040000}"/>
    <cellStyle name="Comma (0,0)" xfId="1058" xr:uid="{00000000-0005-0000-0000-000038040000}"/>
    <cellStyle name="Comma (0,0) -" xfId="1059" xr:uid="{00000000-0005-0000-0000-000039040000}"/>
    <cellStyle name="Comma (0,0) incl." xfId="1060" xr:uid="{00000000-0005-0000-0000-00003A040000}"/>
    <cellStyle name="Comma (0,0) N/A" xfId="1061" xr:uid="{00000000-0005-0000-0000-00003B040000}"/>
    <cellStyle name="Comma (0,0) TBD" xfId="1062" xr:uid="{00000000-0005-0000-0000-00003C040000}"/>
    <cellStyle name="Comma (0,0) TBD-" xfId="1063" xr:uid="{00000000-0005-0000-0000-00003D040000}"/>
    <cellStyle name="Comma (0,0)_Tab 1" xfId="1064" xr:uid="{00000000-0005-0000-0000-00003E040000}"/>
    <cellStyle name="Comma (0,00)" xfId="1065" xr:uid="{00000000-0005-0000-0000-00003F040000}"/>
    <cellStyle name="Comma (0,00) -" xfId="1066" xr:uid="{00000000-0005-0000-0000-000040040000}"/>
    <cellStyle name="Comma (0,00) incl." xfId="1067" xr:uid="{00000000-0005-0000-0000-000041040000}"/>
    <cellStyle name="Comma (0,00) N/A" xfId="1068" xr:uid="{00000000-0005-0000-0000-000042040000}"/>
    <cellStyle name="Comma (0,00) TBD" xfId="1069" xr:uid="{00000000-0005-0000-0000-000043040000}"/>
    <cellStyle name="Comma (0,00) TBD-" xfId="1070" xr:uid="{00000000-0005-0000-0000-000044040000}"/>
    <cellStyle name="Comma (0,000)" xfId="1071" xr:uid="{00000000-0005-0000-0000-000045040000}"/>
    <cellStyle name="Comma (0,000) -" xfId="1072" xr:uid="{00000000-0005-0000-0000-000046040000}"/>
    <cellStyle name="Comma (0,000) incl." xfId="1073" xr:uid="{00000000-0005-0000-0000-000047040000}"/>
    <cellStyle name="Comma (0,000) N/A" xfId="1074" xr:uid="{00000000-0005-0000-0000-000048040000}"/>
    <cellStyle name="Comma (0,000) TBD" xfId="1075" xr:uid="{00000000-0005-0000-0000-000049040000}"/>
    <cellStyle name="Comma (0,000) TBD-" xfId="1076" xr:uid="{00000000-0005-0000-0000-00004A040000}"/>
    <cellStyle name="COMMA (2)" xfId="1077" xr:uid="{00000000-0005-0000-0000-00004B040000}"/>
    <cellStyle name="Comma [0] -" xfId="1078" xr:uid="{00000000-0005-0000-0000-00004C040000}"/>
    <cellStyle name="Comma [0] incl." xfId="1079" xr:uid="{00000000-0005-0000-0000-00004D040000}"/>
    <cellStyle name="Comma [0] N/A" xfId="1080" xr:uid="{00000000-0005-0000-0000-00004E040000}"/>
    <cellStyle name="Comma [0] TBD" xfId="1081" xr:uid="{00000000-0005-0000-0000-00004F040000}"/>
    <cellStyle name="Comma [0] TBD-" xfId="1082" xr:uid="{00000000-0005-0000-0000-000050040000}"/>
    <cellStyle name="Comma [0]; --" xfId="1083" xr:uid="{00000000-0005-0000-0000-000051040000}"/>
    <cellStyle name="Comma [00]" xfId="1084" xr:uid="{00000000-0005-0000-0000-000052040000}"/>
    <cellStyle name="Comma [1]" xfId="1085" xr:uid="{00000000-0005-0000-0000-000053040000}"/>
    <cellStyle name="comma [2]" xfId="1086" xr:uid="{00000000-0005-0000-0000-000054040000}"/>
    <cellStyle name="comma [2] 2" xfId="1087" xr:uid="{00000000-0005-0000-0000-000055040000}"/>
    <cellStyle name="comma [2] 3" xfId="1088" xr:uid="{00000000-0005-0000-0000-000056040000}"/>
    <cellStyle name="Comma [3]" xfId="1089" xr:uid="{00000000-0005-0000-0000-000057040000}"/>
    <cellStyle name="Comma 0" xfId="1090" xr:uid="{00000000-0005-0000-0000-000058040000}"/>
    <cellStyle name="Comma 0*" xfId="1091" xr:uid="{00000000-0005-0000-0000-000059040000}"/>
    <cellStyle name="Comma 0_158105!" xfId="1092" xr:uid="{00000000-0005-0000-0000-00005A040000}"/>
    <cellStyle name="Comma 10" xfId="1093" xr:uid="{00000000-0005-0000-0000-00005B040000}"/>
    <cellStyle name="Comma 11" xfId="1094" xr:uid="{00000000-0005-0000-0000-00005C040000}"/>
    <cellStyle name="Comma 12" xfId="1095" xr:uid="{00000000-0005-0000-0000-00005D040000}"/>
    <cellStyle name="Comma 13" xfId="1096" xr:uid="{00000000-0005-0000-0000-00005E040000}"/>
    <cellStyle name="Comma 14" xfId="1097" xr:uid="{00000000-0005-0000-0000-00005F040000}"/>
    <cellStyle name="Comma 15" xfId="1098" xr:uid="{00000000-0005-0000-0000-000060040000}"/>
    <cellStyle name="Comma 16" xfId="1099" xr:uid="{00000000-0005-0000-0000-000061040000}"/>
    <cellStyle name="Comma 17" xfId="1100" xr:uid="{00000000-0005-0000-0000-000062040000}"/>
    <cellStyle name="Comma 18" xfId="1101" xr:uid="{00000000-0005-0000-0000-000063040000}"/>
    <cellStyle name="Comma 19" xfId="1102" xr:uid="{00000000-0005-0000-0000-000064040000}"/>
    <cellStyle name="Comma 2" xfId="1103" xr:uid="{00000000-0005-0000-0000-000065040000}"/>
    <cellStyle name="Comma 2 10" xfId="2115" xr:uid="{00000000-0005-0000-0000-000066040000}"/>
    <cellStyle name="Comma 2 10 2" xfId="2148" xr:uid="{00000000-0005-0000-0000-000067040000}"/>
    <cellStyle name="Comma 2 2" xfId="1104" xr:uid="{00000000-0005-0000-0000-000068040000}"/>
    <cellStyle name="Comma 2 2 2" xfId="1105" xr:uid="{00000000-0005-0000-0000-000069040000}"/>
    <cellStyle name="Comma 2 2 2 2" xfId="1106" xr:uid="{00000000-0005-0000-0000-00006A040000}"/>
    <cellStyle name="Comma 2 2 2 2 2" xfId="1107" xr:uid="{00000000-0005-0000-0000-00006B040000}"/>
    <cellStyle name="Comma 2 2 2 2 2 2" xfId="1108" xr:uid="{00000000-0005-0000-0000-00006C040000}"/>
    <cellStyle name="Comma 2 2 2 2 2 2 2" xfId="1109" xr:uid="{00000000-0005-0000-0000-00006D040000}"/>
    <cellStyle name="Comma 2 2 2 2 2 2 2 2" xfId="1110" xr:uid="{00000000-0005-0000-0000-00006E040000}"/>
    <cellStyle name="Comma 2 2 2 2 2 2 2 2 2" xfId="1111" xr:uid="{00000000-0005-0000-0000-00006F040000}"/>
    <cellStyle name="Comma 2 2 2 2 2 2 2 2 2 2" xfId="1112" xr:uid="{00000000-0005-0000-0000-000070040000}"/>
    <cellStyle name="Comma 2 2 2 2 2 2 2 2 2 2 2" xfId="1113" xr:uid="{00000000-0005-0000-0000-000071040000}"/>
    <cellStyle name="Comma 2 2 2 2 2 2 2 2 2 2 2 2" xfId="1114" xr:uid="{00000000-0005-0000-0000-000072040000}"/>
    <cellStyle name="Comma 2 2 2 2 2 2 2 2 2 3" xfId="1115" xr:uid="{00000000-0005-0000-0000-000073040000}"/>
    <cellStyle name="Comma 2 2 2 2 2 2 2 2 3" xfId="1116" xr:uid="{00000000-0005-0000-0000-000074040000}"/>
    <cellStyle name="Comma 2 2 2 2 2 2 2 2 3 2" xfId="1117" xr:uid="{00000000-0005-0000-0000-000075040000}"/>
    <cellStyle name="Comma 2 2 2 2 2 2 2 3" xfId="1118" xr:uid="{00000000-0005-0000-0000-000076040000}"/>
    <cellStyle name="Comma 2 2 2 2 2 2 2 3 2" xfId="1119" xr:uid="{00000000-0005-0000-0000-000077040000}"/>
    <cellStyle name="Comma 2 2 2 2 2 2 2 3 2 2" xfId="1120" xr:uid="{00000000-0005-0000-0000-000078040000}"/>
    <cellStyle name="Comma 2 2 2 2 2 2 2 4" xfId="1121" xr:uid="{00000000-0005-0000-0000-000079040000}"/>
    <cellStyle name="Comma 2 2 2 2 2 2 3" xfId="1122" xr:uid="{00000000-0005-0000-0000-00007A040000}"/>
    <cellStyle name="Comma 2 2 2 2 2 2 3 2" xfId="1123" xr:uid="{00000000-0005-0000-0000-00007B040000}"/>
    <cellStyle name="Comma 2 2 2 2 2 2 3 2 2" xfId="1124" xr:uid="{00000000-0005-0000-0000-00007C040000}"/>
    <cellStyle name="Comma 2 2 2 2 2 2 3 2 2 2" xfId="1125" xr:uid="{00000000-0005-0000-0000-00007D040000}"/>
    <cellStyle name="Comma 2 2 2 2 2 2 3 3" xfId="1126" xr:uid="{00000000-0005-0000-0000-00007E040000}"/>
    <cellStyle name="Comma 2 2 2 2 2 2 4" xfId="1127" xr:uid="{00000000-0005-0000-0000-00007F040000}"/>
    <cellStyle name="Comma 2 2 2 2 2 2 4 2" xfId="1128" xr:uid="{00000000-0005-0000-0000-000080040000}"/>
    <cellStyle name="Comma 2 2 2 2 2 3" xfId="1129" xr:uid="{00000000-0005-0000-0000-000081040000}"/>
    <cellStyle name="Comma 2 2 2 2 2 3 2" xfId="1130" xr:uid="{00000000-0005-0000-0000-000082040000}"/>
    <cellStyle name="Comma 2 2 2 2 2 3 2 2" xfId="1131" xr:uid="{00000000-0005-0000-0000-000083040000}"/>
    <cellStyle name="Comma 2 2 2 2 2 3 2 2 2" xfId="1132" xr:uid="{00000000-0005-0000-0000-000084040000}"/>
    <cellStyle name="Comma 2 2 2 2 2 3 2 2 2 2" xfId="1133" xr:uid="{00000000-0005-0000-0000-000085040000}"/>
    <cellStyle name="Comma 2 2 2 2 2 3 2 3" xfId="1134" xr:uid="{00000000-0005-0000-0000-000086040000}"/>
    <cellStyle name="Comma 2 2 2 2 2 3 3" xfId="1135" xr:uid="{00000000-0005-0000-0000-000087040000}"/>
    <cellStyle name="Comma 2 2 2 2 2 3 3 2" xfId="1136" xr:uid="{00000000-0005-0000-0000-000088040000}"/>
    <cellStyle name="Comma 2 2 2 2 2 4" xfId="1137" xr:uid="{00000000-0005-0000-0000-000089040000}"/>
    <cellStyle name="Comma 2 2 2 2 2 4 2" xfId="1138" xr:uid="{00000000-0005-0000-0000-00008A040000}"/>
    <cellStyle name="Comma 2 2 2 2 2 4 2 2" xfId="1139" xr:uid="{00000000-0005-0000-0000-00008B040000}"/>
    <cellStyle name="Comma 2 2 2 2 2 5" xfId="1140" xr:uid="{00000000-0005-0000-0000-00008C040000}"/>
    <cellStyle name="Comma 2 2 2 2 3" xfId="1141" xr:uid="{00000000-0005-0000-0000-00008D040000}"/>
    <cellStyle name="Comma 2 2 2 2 3 2" xfId="1142" xr:uid="{00000000-0005-0000-0000-00008E040000}"/>
    <cellStyle name="Comma 2 2 2 2 3 2 2" xfId="1143" xr:uid="{00000000-0005-0000-0000-00008F040000}"/>
    <cellStyle name="Comma 2 2 2 2 3 2 2 2" xfId="1144" xr:uid="{00000000-0005-0000-0000-000090040000}"/>
    <cellStyle name="Comma 2 2 2 2 3 2 2 2 2" xfId="1145" xr:uid="{00000000-0005-0000-0000-000091040000}"/>
    <cellStyle name="Comma 2 2 2 2 3 2 2 2 2 2" xfId="1146" xr:uid="{00000000-0005-0000-0000-000092040000}"/>
    <cellStyle name="Comma 2 2 2 2 3 2 2 3" xfId="1147" xr:uid="{00000000-0005-0000-0000-000093040000}"/>
    <cellStyle name="Comma 2 2 2 2 3 2 3" xfId="1148" xr:uid="{00000000-0005-0000-0000-000094040000}"/>
    <cellStyle name="Comma 2 2 2 2 3 2 3 2" xfId="1149" xr:uid="{00000000-0005-0000-0000-000095040000}"/>
    <cellStyle name="Comma 2 2 2 2 3 3" xfId="1150" xr:uid="{00000000-0005-0000-0000-000096040000}"/>
    <cellStyle name="Comma 2 2 2 2 3 3 2" xfId="1151" xr:uid="{00000000-0005-0000-0000-000097040000}"/>
    <cellStyle name="Comma 2 2 2 2 3 3 2 2" xfId="1152" xr:uid="{00000000-0005-0000-0000-000098040000}"/>
    <cellStyle name="Comma 2 2 2 2 3 4" xfId="1153" xr:uid="{00000000-0005-0000-0000-000099040000}"/>
    <cellStyle name="Comma 2 2 2 2 4" xfId="1154" xr:uid="{00000000-0005-0000-0000-00009A040000}"/>
    <cellStyle name="Comma 2 2 2 2 4 2" xfId="1155" xr:uid="{00000000-0005-0000-0000-00009B040000}"/>
    <cellStyle name="Comma 2 2 2 2 4 2 2" xfId="1156" xr:uid="{00000000-0005-0000-0000-00009C040000}"/>
    <cellStyle name="Comma 2 2 2 2 4 2 2 2" xfId="1157" xr:uid="{00000000-0005-0000-0000-00009D040000}"/>
    <cellStyle name="Comma 2 2 2 2 4 3" xfId="1158" xr:uid="{00000000-0005-0000-0000-00009E040000}"/>
    <cellStyle name="Comma 2 2 2 2 5" xfId="1159" xr:uid="{00000000-0005-0000-0000-00009F040000}"/>
    <cellStyle name="Comma 2 2 2 2 5 2" xfId="1160" xr:uid="{00000000-0005-0000-0000-0000A0040000}"/>
    <cellStyle name="Comma 2 2 2 3" xfId="1161" xr:uid="{00000000-0005-0000-0000-0000A1040000}"/>
    <cellStyle name="Comma 2 2 2 3 2" xfId="1162" xr:uid="{00000000-0005-0000-0000-0000A2040000}"/>
    <cellStyle name="Comma 2 2 2 3 2 2" xfId="1163" xr:uid="{00000000-0005-0000-0000-0000A3040000}"/>
    <cellStyle name="Comma 2 2 2 3 2 2 2" xfId="1164" xr:uid="{00000000-0005-0000-0000-0000A4040000}"/>
    <cellStyle name="Comma 2 2 2 3 2 2 2 2" xfId="1165" xr:uid="{00000000-0005-0000-0000-0000A5040000}"/>
    <cellStyle name="Comma 2 2 2 3 2 2 2 2 2" xfId="1166" xr:uid="{00000000-0005-0000-0000-0000A6040000}"/>
    <cellStyle name="Comma 2 2 2 3 2 2 2 2 2 2" xfId="1167" xr:uid="{00000000-0005-0000-0000-0000A7040000}"/>
    <cellStyle name="Comma 2 2 2 3 2 2 2 3" xfId="1168" xr:uid="{00000000-0005-0000-0000-0000A8040000}"/>
    <cellStyle name="Comma 2 2 2 3 2 2 3" xfId="1169" xr:uid="{00000000-0005-0000-0000-0000A9040000}"/>
    <cellStyle name="Comma 2 2 2 3 2 2 3 2" xfId="1170" xr:uid="{00000000-0005-0000-0000-0000AA040000}"/>
    <cellStyle name="Comma 2 2 2 3 2 3" xfId="1171" xr:uid="{00000000-0005-0000-0000-0000AB040000}"/>
    <cellStyle name="Comma 2 2 2 3 2 3 2" xfId="1172" xr:uid="{00000000-0005-0000-0000-0000AC040000}"/>
    <cellStyle name="Comma 2 2 2 3 2 3 2 2" xfId="1173" xr:uid="{00000000-0005-0000-0000-0000AD040000}"/>
    <cellStyle name="Comma 2 2 2 3 2 4" xfId="1174" xr:uid="{00000000-0005-0000-0000-0000AE040000}"/>
    <cellStyle name="Comma 2 2 2 3 3" xfId="1175" xr:uid="{00000000-0005-0000-0000-0000AF040000}"/>
    <cellStyle name="Comma 2 2 2 3 3 2" xfId="1176" xr:uid="{00000000-0005-0000-0000-0000B0040000}"/>
    <cellStyle name="Comma 2 2 2 3 3 2 2" xfId="1177" xr:uid="{00000000-0005-0000-0000-0000B1040000}"/>
    <cellStyle name="Comma 2 2 2 3 3 2 2 2" xfId="1178" xr:uid="{00000000-0005-0000-0000-0000B2040000}"/>
    <cellStyle name="Comma 2 2 2 3 3 3" xfId="1179" xr:uid="{00000000-0005-0000-0000-0000B3040000}"/>
    <cellStyle name="Comma 2 2 2 3 4" xfId="1180" xr:uid="{00000000-0005-0000-0000-0000B4040000}"/>
    <cellStyle name="Comma 2 2 2 3 4 2" xfId="1181" xr:uid="{00000000-0005-0000-0000-0000B5040000}"/>
    <cellStyle name="Comma 2 2 2 4" xfId="1182" xr:uid="{00000000-0005-0000-0000-0000B6040000}"/>
    <cellStyle name="Comma 2 2 2 4 2" xfId="1183" xr:uid="{00000000-0005-0000-0000-0000B7040000}"/>
    <cellStyle name="Comma 2 2 2 4 2 2" xfId="1184" xr:uid="{00000000-0005-0000-0000-0000B8040000}"/>
    <cellStyle name="Comma 2 2 2 4 2 2 2" xfId="1185" xr:uid="{00000000-0005-0000-0000-0000B9040000}"/>
    <cellStyle name="Comma 2 2 2 4 2 2 2 2" xfId="1186" xr:uid="{00000000-0005-0000-0000-0000BA040000}"/>
    <cellStyle name="Comma 2 2 2 4 2 3" xfId="1187" xr:uid="{00000000-0005-0000-0000-0000BB040000}"/>
    <cellStyle name="Comma 2 2 2 4 3" xfId="1188" xr:uid="{00000000-0005-0000-0000-0000BC040000}"/>
    <cellStyle name="Comma 2 2 2 4 3 2" xfId="1189" xr:uid="{00000000-0005-0000-0000-0000BD040000}"/>
    <cellStyle name="Comma 2 2 2 5" xfId="1190" xr:uid="{00000000-0005-0000-0000-0000BE040000}"/>
    <cellStyle name="Comma 2 2 2 5 2" xfId="1191" xr:uid="{00000000-0005-0000-0000-0000BF040000}"/>
    <cellStyle name="Comma 2 2 2 5 2 2" xfId="1192" xr:uid="{00000000-0005-0000-0000-0000C0040000}"/>
    <cellStyle name="Comma 2 2 2 6" xfId="1193" xr:uid="{00000000-0005-0000-0000-0000C1040000}"/>
    <cellStyle name="Comma 2 2 2 7" xfId="2149" xr:uid="{00000000-0005-0000-0000-0000C2040000}"/>
    <cellStyle name="Comma 2 2 3" xfId="1194" xr:uid="{00000000-0005-0000-0000-0000C3040000}"/>
    <cellStyle name="Comma 2 2 3 2" xfId="1195" xr:uid="{00000000-0005-0000-0000-0000C4040000}"/>
    <cellStyle name="Comma 2 2 3 2 2" xfId="1196" xr:uid="{00000000-0005-0000-0000-0000C5040000}"/>
    <cellStyle name="Comma 2 2 3 2 2 2" xfId="1197" xr:uid="{00000000-0005-0000-0000-0000C6040000}"/>
    <cellStyle name="Comma 2 2 3 2 2 2 2" xfId="1198" xr:uid="{00000000-0005-0000-0000-0000C7040000}"/>
    <cellStyle name="Comma 2 2 3 2 2 2 2 2" xfId="1199" xr:uid="{00000000-0005-0000-0000-0000C8040000}"/>
    <cellStyle name="Comma 2 2 3 2 2 2 2 2 2" xfId="1200" xr:uid="{00000000-0005-0000-0000-0000C9040000}"/>
    <cellStyle name="Comma 2 2 3 2 2 2 2 2 2 2" xfId="1201" xr:uid="{00000000-0005-0000-0000-0000CA040000}"/>
    <cellStyle name="Comma 2 2 3 2 2 2 2 3" xfId="1202" xr:uid="{00000000-0005-0000-0000-0000CB040000}"/>
    <cellStyle name="Comma 2 2 3 2 2 2 3" xfId="1203" xr:uid="{00000000-0005-0000-0000-0000CC040000}"/>
    <cellStyle name="Comma 2 2 3 2 2 2 3 2" xfId="1204" xr:uid="{00000000-0005-0000-0000-0000CD040000}"/>
    <cellStyle name="Comma 2 2 3 2 2 3" xfId="1205" xr:uid="{00000000-0005-0000-0000-0000CE040000}"/>
    <cellStyle name="Comma 2 2 3 2 2 3 2" xfId="1206" xr:uid="{00000000-0005-0000-0000-0000CF040000}"/>
    <cellStyle name="Comma 2 2 3 2 2 3 2 2" xfId="1207" xr:uid="{00000000-0005-0000-0000-0000D0040000}"/>
    <cellStyle name="Comma 2 2 3 2 2 4" xfId="1208" xr:uid="{00000000-0005-0000-0000-0000D1040000}"/>
    <cellStyle name="Comma 2 2 3 2 3" xfId="1209" xr:uid="{00000000-0005-0000-0000-0000D2040000}"/>
    <cellStyle name="Comma 2 2 3 2 3 2" xfId="1210" xr:uid="{00000000-0005-0000-0000-0000D3040000}"/>
    <cellStyle name="Comma 2 2 3 2 3 2 2" xfId="1211" xr:uid="{00000000-0005-0000-0000-0000D4040000}"/>
    <cellStyle name="Comma 2 2 3 2 3 2 2 2" xfId="1212" xr:uid="{00000000-0005-0000-0000-0000D5040000}"/>
    <cellStyle name="Comma 2 2 3 2 3 3" xfId="1213" xr:uid="{00000000-0005-0000-0000-0000D6040000}"/>
    <cellStyle name="Comma 2 2 3 2 4" xfId="1214" xr:uid="{00000000-0005-0000-0000-0000D7040000}"/>
    <cellStyle name="Comma 2 2 3 2 4 2" xfId="1215" xr:uid="{00000000-0005-0000-0000-0000D8040000}"/>
    <cellStyle name="Comma 2 2 3 3" xfId="1216" xr:uid="{00000000-0005-0000-0000-0000D9040000}"/>
    <cellStyle name="Comma 2 2 3 3 2" xfId="1217" xr:uid="{00000000-0005-0000-0000-0000DA040000}"/>
    <cellStyle name="Comma 2 2 3 3 2 2" xfId="1218" xr:uid="{00000000-0005-0000-0000-0000DB040000}"/>
    <cellStyle name="Comma 2 2 3 3 2 2 2" xfId="1219" xr:uid="{00000000-0005-0000-0000-0000DC040000}"/>
    <cellStyle name="Comma 2 2 3 3 2 2 2 2" xfId="1220" xr:uid="{00000000-0005-0000-0000-0000DD040000}"/>
    <cellStyle name="Comma 2 2 3 3 2 3" xfId="1221" xr:uid="{00000000-0005-0000-0000-0000DE040000}"/>
    <cellStyle name="Comma 2 2 3 3 3" xfId="1222" xr:uid="{00000000-0005-0000-0000-0000DF040000}"/>
    <cellStyle name="Comma 2 2 3 3 3 2" xfId="1223" xr:uid="{00000000-0005-0000-0000-0000E0040000}"/>
    <cellStyle name="Comma 2 2 3 4" xfId="1224" xr:uid="{00000000-0005-0000-0000-0000E1040000}"/>
    <cellStyle name="Comma 2 2 3 4 2" xfId="1225" xr:uid="{00000000-0005-0000-0000-0000E2040000}"/>
    <cellStyle name="Comma 2 2 3 4 2 2" xfId="1226" xr:uid="{00000000-0005-0000-0000-0000E3040000}"/>
    <cellStyle name="Comma 2 2 3 5" xfId="1227" xr:uid="{00000000-0005-0000-0000-0000E4040000}"/>
    <cellStyle name="Comma 2 2 4" xfId="1228" xr:uid="{00000000-0005-0000-0000-0000E5040000}"/>
    <cellStyle name="Comma 2 2 4 2" xfId="1229" xr:uid="{00000000-0005-0000-0000-0000E6040000}"/>
    <cellStyle name="Comma 2 2 4 2 2" xfId="1230" xr:uid="{00000000-0005-0000-0000-0000E7040000}"/>
    <cellStyle name="Comma 2 2 4 2 2 2" xfId="1231" xr:uid="{00000000-0005-0000-0000-0000E8040000}"/>
    <cellStyle name="Comma 2 2 4 2 2 2 2" xfId="1232" xr:uid="{00000000-0005-0000-0000-0000E9040000}"/>
    <cellStyle name="Comma 2 2 4 2 2 2 2 2" xfId="1233" xr:uid="{00000000-0005-0000-0000-0000EA040000}"/>
    <cellStyle name="Comma 2 2 4 2 2 3" xfId="1234" xr:uid="{00000000-0005-0000-0000-0000EB040000}"/>
    <cellStyle name="Comma 2 2 4 2 3" xfId="1235" xr:uid="{00000000-0005-0000-0000-0000EC040000}"/>
    <cellStyle name="Comma 2 2 4 2 3 2" xfId="1236" xr:uid="{00000000-0005-0000-0000-0000ED040000}"/>
    <cellStyle name="Comma 2 2 4 3" xfId="1237" xr:uid="{00000000-0005-0000-0000-0000EE040000}"/>
    <cellStyle name="Comma 2 2 4 3 2" xfId="1238" xr:uid="{00000000-0005-0000-0000-0000EF040000}"/>
    <cellStyle name="Comma 2 2 4 3 2 2" xfId="1239" xr:uid="{00000000-0005-0000-0000-0000F0040000}"/>
    <cellStyle name="Comma 2 2 4 4" xfId="1240" xr:uid="{00000000-0005-0000-0000-0000F1040000}"/>
    <cellStyle name="Comma 2 2 5" xfId="1241" xr:uid="{00000000-0005-0000-0000-0000F2040000}"/>
    <cellStyle name="Comma 2 2 5 2" xfId="1242" xr:uid="{00000000-0005-0000-0000-0000F3040000}"/>
    <cellStyle name="Comma 2 2 5 2 2" xfId="1243" xr:uid="{00000000-0005-0000-0000-0000F4040000}"/>
    <cellStyle name="Comma 2 2 5 2 2 2" xfId="1244" xr:uid="{00000000-0005-0000-0000-0000F5040000}"/>
    <cellStyle name="Comma 2 2 5 3" xfId="1245" xr:uid="{00000000-0005-0000-0000-0000F6040000}"/>
    <cellStyle name="Comma 2 2 6" xfId="1246" xr:uid="{00000000-0005-0000-0000-0000F7040000}"/>
    <cellStyle name="Comma 2 2 6 2" xfId="1247" xr:uid="{00000000-0005-0000-0000-0000F8040000}"/>
    <cellStyle name="Comma 2 3" xfId="1248" xr:uid="{00000000-0005-0000-0000-0000F9040000}"/>
    <cellStyle name="Comma 2 4" xfId="1249" xr:uid="{00000000-0005-0000-0000-0000FA040000}"/>
    <cellStyle name="Comma 2 4 2" xfId="1250" xr:uid="{00000000-0005-0000-0000-0000FB040000}"/>
    <cellStyle name="Comma 2 4 3" xfId="1251" xr:uid="{00000000-0005-0000-0000-0000FC040000}"/>
    <cellStyle name="Comma 2 4 4" xfId="1252" xr:uid="{00000000-0005-0000-0000-0000FD040000}"/>
    <cellStyle name="Comma 2 4 5" xfId="1253" xr:uid="{00000000-0005-0000-0000-0000FE040000}"/>
    <cellStyle name="Comma 2 5" xfId="1254" xr:uid="{00000000-0005-0000-0000-0000FF040000}"/>
    <cellStyle name="Comma 2 5 2" xfId="1255" xr:uid="{00000000-0005-0000-0000-000000050000}"/>
    <cellStyle name="Comma 2 6" xfId="1256" xr:uid="{00000000-0005-0000-0000-000001050000}"/>
    <cellStyle name="Comma 2 7" xfId="1257" xr:uid="{00000000-0005-0000-0000-000002050000}"/>
    <cellStyle name="Comma 2 8" xfId="1258" xr:uid="{00000000-0005-0000-0000-000003050000}"/>
    <cellStyle name="Comma 2 9" xfId="1259" xr:uid="{00000000-0005-0000-0000-000004050000}"/>
    <cellStyle name="Comma 2*" xfId="1260" xr:uid="{00000000-0005-0000-0000-000005050000}"/>
    <cellStyle name="Comma 2_Triumph_Model_EK" xfId="1261" xr:uid="{00000000-0005-0000-0000-000006050000}"/>
    <cellStyle name="Comma 20" xfId="1262" xr:uid="{00000000-0005-0000-0000-000007050000}"/>
    <cellStyle name="Comma 21" xfId="1263" xr:uid="{00000000-0005-0000-0000-000008050000}"/>
    <cellStyle name="Comma 22" xfId="1264" xr:uid="{00000000-0005-0000-0000-000009050000}"/>
    <cellStyle name="Comma 22 2" xfId="1265" xr:uid="{00000000-0005-0000-0000-00000A050000}"/>
    <cellStyle name="Comma 23" xfId="1266" xr:uid="{00000000-0005-0000-0000-00000B050000}"/>
    <cellStyle name="Comma 24" xfId="1267" xr:uid="{00000000-0005-0000-0000-00000C050000}"/>
    <cellStyle name="Comma 24 2" xfId="1268" xr:uid="{00000000-0005-0000-0000-00000D050000}"/>
    <cellStyle name="Comma 25" xfId="1269" xr:uid="{00000000-0005-0000-0000-00000E050000}"/>
    <cellStyle name="Comma 26" xfId="1270" xr:uid="{00000000-0005-0000-0000-00000F050000}"/>
    <cellStyle name="Comma 26 2" xfId="1271" xr:uid="{00000000-0005-0000-0000-000010050000}"/>
    <cellStyle name="Comma 27" xfId="1272" xr:uid="{00000000-0005-0000-0000-000011050000}"/>
    <cellStyle name="Comma 28" xfId="1273" xr:uid="{00000000-0005-0000-0000-000012050000}"/>
    <cellStyle name="Comma 29" xfId="1274" xr:uid="{00000000-0005-0000-0000-000013050000}"/>
    <cellStyle name="Comma 3" xfId="1275" xr:uid="{00000000-0005-0000-0000-000014050000}"/>
    <cellStyle name="Comma 3 2" xfId="1276" xr:uid="{00000000-0005-0000-0000-000015050000}"/>
    <cellStyle name="Comma 3 2 2" xfId="1277" xr:uid="{00000000-0005-0000-0000-000016050000}"/>
    <cellStyle name="Comma 3 3" xfId="1278" xr:uid="{00000000-0005-0000-0000-000017050000}"/>
    <cellStyle name="Comma 3 4" xfId="1279" xr:uid="{00000000-0005-0000-0000-000018050000}"/>
    <cellStyle name="Comma 3 5" xfId="1280" xr:uid="{00000000-0005-0000-0000-000019050000}"/>
    <cellStyle name="Comma 3 6" xfId="1281" xr:uid="{00000000-0005-0000-0000-00001A050000}"/>
    <cellStyle name="Comma 3*" xfId="1282" xr:uid="{00000000-0005-0000-0000-00001B050000}"/>
    <cellStyle name="Comma 30" xfId="1283" xr:uid="{00000000-0005-0000-0000-00001C050000}"/>
    <cellStyle name="Comma 4" xfId="1284" xr:uid="{00000000-0005-0000-0000-00001D050000}"/>
    <cellStyle name="Comma 4 2" xfId="1285" xr:uid="{00000000-0005-0000-0000-00001E050000}"/>
    <cellStyle name="Comma 5" xfId="1286" xr:uid="{00000000-0005-0000-0000-00001F050000}"/>
    <cellStyle name="Comma 6" xfId="1287" xr:uid="{00000000-0005-0000-0000-000020050000}"/>
    <cellStyle name="Comma 7" xfId="1288" xr:uid="{00000000-0005-0000-0000-000021050000}"/>
    <cellStyle name="Comma 8" xfId="1289" xr:uid="{00000000-0005-0000-0000-000022050000}"/>
    <cellStyle name="Comma 8 2" xfId="1290" xr:uid="{00000000-0005-0000-0000-000023050000}"/>
    <cellStyle name="Comma 9" xfId="1291" xr:uid="{00000000-0005-0000-0000-000024050000}"/>
    <cellStyle name="Comma Cents" xfId="1292" xr:uid="{00000000-0005-0000-0000-000025050000}"/>
    <cellStyle name="Comma Cents 2" xfId="1293" xr:uid="{00000000-0005-0000-0000-000026050000}"/>
    <cellStyle name="Comma Cents 3" xfId="1294" xr:uid="{00000000-0005-0000-0000-000027050000}"/>
    <cellStyle name="comma zerodec" xfId="1295" xr:uid="{00000000-0005-0000-0000-000028050000}"/>
    <cellStyle name="Comma*" xfId="1296" xr:uid="{00000000-0005-0000-0000-000029050000}"/>
    <cellStyle name="Comma, 0 Dec, Parens, Zero -" xfId="1297" xr:uid="{00000000-0005-0000-0000-00002A050000}"/>
    <cellStyle name="Comma,0" xfId="1298" xr:uid="{00000000-0005-0000-0000-00002B050000}"/>
    <cellStyle name="Comma,1" xfId="1299" xr:uid="{00000000-0005-0000-0000-00002C050000}"/>
    <cellStyle name="Comma,2" xfId="1300" xr:uid="{00000000-0005-0000-0000-00002D050000}"/>
    <cellStyle name="Comma[0]" xfId="1301" xr:uid="{00000000-0005-0000-0000-00002E050000}"/>
    <cellStyle name="Comma[2]" xfId="1302" xr:uid="{00000000-0005-0000-0000-00002F050000}"/>
    <cellStyle name="Comma_Auditoria final_2000" xfId="2150" xr:uid="{00000000-0005-0000-0000-000030050000}"/>
    <cellStyle name="Comma0" xfId="1303" xr:uid="{00000000-0005-0000-0000-000031050000}"/>
    <cellStyle name="Comma0 - Estilo2" xfId="1304" xr:uid="{00000000-0005-0000-0000-000032050000}"/>
    <cellStyle name="Comma0 - Modelo1" xfId="1305" xr:uid="{00000000-0005-0000-0000-000033050000}"/>
    <cellStyle name="Comma0 - Style1" xfId="1306" xr:uid="{00000000-0005-0000-0000-000034050000}"/>
    <cellStyle name="Comma0 - Style3" xfId="1307" xr:uid="{00000000-0005-0000-0000-000035050000}"/>
    <cellStyle name="Comma0 - Style5" xfId="1308" xr:uid="{00000000-0005-0000-0000-000036050000}"/>
    <cellStyle name="Comma0 2" xfId="1309" xr:uid="{00000000-0005-0000-0000-000037050000}"/>
    <cellStyle name="Comma0 3" xfId="1310" xr:uid="{00000000-0005-0000-0000-000038050000}"/>
    <cellStyle name="Comma1 - Modelo2" xfId="1311" xr:uid="{00000000-0005-0000-0000-000039050000}"/>
    <cellStyle name="Comma1 - Style1" xfId="1312" xr:uid="{00000000-0005-0000-0000-00003A050000}"/>
    <cellStyle name="Comma1 - Style2" xfId="1313" xr:uid="{00000000-0005-0000-0000-00003B050000}"/>
    <cellStyle name="comma-d" xfId="1314" xr:uid="{00000000-0005-0000-0000-00003C050000}"/>
    <cellStyle name="Company Name_Worksheet in J: MARKETING Templates D&amp;T Templates Noviembre 2002 Informe Modelo" xfId="1315" xr:uid="{00000000-0005-0000-0000-00003D050000}"/>
    <cellStyle name="Comps - Comma" xfId="1316" xr:uid="{00000000-0005-0000-0000-00003E050000}"/>
    <cellStyle name="Comps - Percent" xfId="1317" xr:uid="{00000000-0005-0000-0000-00003F050000}"/>
    <cellStyle name="Copied" xfId="1318" xr:uid="{00000000-0005-0000-0000-000040050000}"/>
    <cellStyle name="Copied 2" xfId="1319" xr:uid="{00000000-0005-0000-0000-000041050000}"/>
    <cellStyle name="Copied 3" xfId="1320" xr:uid="{00000000-0005-0000-0000-000042050000}"/>
    <cellStyle name="Cuadro 1" xfId="1321" xr:uid="{00000000-0005-0000-0000-000043050000}"/>
    <cellStyle name="Cuadro 2" xfId="1322" xr:uid="{00000000-0005-0000-0000-000044050000}"/>
    <cellStyle name="Curren - Style2" xfId="1323" xr:uid="{00000000-0005-0000-0000-000045050000}"/>
    <cellStyle name="Curren - Style4" xfId="1324" xr:uid="{00000000-0005-0000-0000-000046050000}"/>
    <cellStyle name="Currency - Pounds" xfId="1325" xr:uid="{00000000-0005-0000-0000-000047050000}"/>
    <cellStyle name="Currency (0)" xfId="1326" xr:uid="{00000000-0005-0000-0000-000048050000}"/>
    <cellStyle name="Currency (0) -" xfId="1327" xr:uid="{00000000-0005-0000-0000-000049050000}"/>
    <cellStyle name="Currency (0) incl." xfId="1328" xr:uid="{00000000-0005-0000-0000-00004A050000}"/>
    <cellStyle name="Currency (0) N/A" xfId="1329" xr:uid="{00000000-0005-0000-0000-00004B050000}"/>
    <cellStyle name="Currency (0) TBD" xfId="1330" xr:uid="{00000000-0005-0000-0000-00004C050000}"/>
    <cellStyle name="Currency (0) TBD-" xfId="1331" xr:uid="{00000000-0005-0000-0000-00004D050000}"/>
    <cellStyle name="Currency (2)" xfId="1332" xr:uid="{00000000-0005-0000-0000-00004E050000}"/>
    <cellStyle name="Currency [0,0]" xfId="1333" xr:uid="{00000000-0005-0000-0000-00004F050000}"/>
    <cellStyle name="Currency [0,0] -" xfId="1334" xr:uid="{00000000-0005-0000-0000-000050050000}"/>
    <cellStyle name="Currency [0,0] incl." xfId="1335" xr:uid="{00000000-0005-0000-0000-000051050000}"/>
    <cellStyle name="Currency [0,0] N/A" xfId="1336" xr:uid="{00000000-0005-0000-0000-000052050000}"/>
    <cellStyle name="Currency [0,0] TBD" xfId="1337" xr:uid="{00000000-0005-0000-0000-000053050000}"/>
    <cellStyle name="Currency [0,0] TBD-" xfId="1338" xr:uid="{00000000-0005-0000-0000-000054050000}"/>
    <cellStyle name="Currency [0,00]" xfId="1339" xr:uid="{00000000-0005-0000-0000-000055050000}"/>
    <cellStyle name="Currency [0,00] -" xfId="1340" xr:uid="{00000000-0005-0000-0000-000056050000}"/>
    <cellStyle name="Currency [0,00] incl." xfId="1341" xr:uid="{00000000-0005-0000-0000-000057050000}"/>
    <cellStyle name="Currency [0,00] N/A" xfId="1342" xr:uid="{00000000-0005-0000-0000-000058050000}"/>
    <cellStyle name="Currency [0,00] TBD" xfId="1343" xr:uid="{00000000-0005-0000-0000-000059050000}"/>
    <cellStyle name="Currency [0,00] TBD-" xfId="1344" xr:uid="{00000000-0005-0000-0000-00005A050000}"/>
    <cellStyle name="Currency [0,00]_Europe Region" xfId="1345" xr:uid="{00000000-0005-0000-0000-00005B050000}"/>
    <cellStyle name="Currency [0,000]" xfId="1346" xr:uid="{00000000-0005-0000-0000-00005C050000}"/>
    <cellStyle name="Currency [0,000] -" xfId="1347" xr:uid="{00000000-0005-0000-0000-00005D050000}"/>
    <cellStyle name="Currency [0,000] incl." xfId="1348" xr:uid="{00000000-0005-0000-0000-00005E050000}"/>
    <cellStyle name="Currency [0,000] N/A" xfId="1349" xr:uid="{00000000-0005-0000-0000-00005F050000}"/>
    <cellStyle name="Currency [0,000] TBD" xfId="1350" xr:uid="{00000000-0005-0000-0000-000060050000}"/>
    <cellStyle name="Currency [0,000] TBD-" xfId="1351" xr:uid="{00000000-0005-0000-0000-000061050000}"/>
    <cellStyle name="Currency [0] _FCG032A" xfId="1352" xr:uid="{00000000-0005-0000-0000-000062050000}"/>
    <cellStyle name="Currency [0] 4_x0007_CG306D" xfId="1353" xr:uid="{00000000-0005-0000-0000-000063050000}"/>
    <cellStyle name="Currency [0]; --" xfId="1354" xr:uid="{00000000-0005-0000-0000-000064050000}"/>
    <cellStyle name="Currency [00]" xfId="1355" xr:uid="{00000000-0005-0000-0000-000065050000}"/>
    <cellStyle name="Currency [1]" xfId="1356" xr:uid="{00000000-0005-0000-0000-000066050000}"/>
    <cellStyle name="Currency [2]" xfId="1357" xr:uid="{00000000-0005-0000-0000-000067050000}"/>
    <cellStyle name="Currency [3]" xfId="1358" xr:uid="{00000000-0005-0000-0000-000068050000}"/>
    <cellStyle name="Currency 0" xfId="1359" xr:uid="{00000000-0005-0000-0000-000069050000}"/>
    <cellStyle name="Currency 2" xfId="1360" xr:uid="{00000000-0005-0000-0000-00006A050000}"/>
    <cellStyle name="Currency 2*" xfId="1361" xr:uid="{00000000-0005-0000-0000-00006B050000}"/>
    <cellStyle name="Currency 2_Balances de escisión" xfId="1362" xr:uid="{00000000-0005-0000-0000-00006C050000}"/>
    <cellStyle name="Currency 3" xfId="1363" xr:uid="{00000000-0005-0000-0000-00006D050000}"/>
    <cellStyle name="Currency 3*" xfId="1364" xr:uid="{00000000-0005-0000-0000-00006E050000}"/>
    <cellStyle name="Currency 4" xfId="1365" xr:uid="{00000000-0005-0000-0000-00006F050000}"/>
    <cellStyle name="Currency 5 2" xfId="1366" xr:uid="{00000000-0005-0000-0000-000070050000}"/>
    <cellStyle name="currency rate" xfId="1367" xr:uid="{00000000-0005-0000-0000-000071050000}"/>
    <cellStyle name="Currency$[0]" xfId="1368" xr:uid="{00000000-0005-0000-0000-000072050000}"/>
    <cellStyle name="Currency$[2]" xfId="1369" xr:uid="{00000000-0005-0000-0000-000073050000}"/>
    <cellStyle name="Currency*" xfId="1370" xr:uid="{00000000-0005-0000-0000-000074050000}"/>
    <cellStyle name="Currency,0" xfId="1371" xr:uid="{00000000-0005-0000-0000-000075050000}"/>
    <cellStyle name="Currency,2" xfId="1372" xr:uid="{00000000-0005-0000-0000-000076050000}"/>
    <cellStyle name="Currency\[0]" xfId="1373" xr:uid="{00000000-0005-0000-0000-000077050000}"/>
    <cellStyle name="Currency0" xfId="1374" xr:uid="{00000000-0005-0000-0000-000078050000}"/>
    <cellStyle name="Currency0 2" xfId="1375" xr:uid="{00000000-0005-0000-0000-000079050000}"/>
    <cellStyle name="Currency0 3" xfId="1376" xr:uid="{00000000-0005-0000-0000-00007A050000}"/>
    <cellStyle name="Currency1" xfId="1377" xr:uid="{00000000-0005-0000-0000-00007B050000}"/>
    <cellStyle name="Currency2" xfId="1378" xr:uid="{00000000-0005-0000-0000-00007C050000}"/>
    <cellStyle name="Cyan" xfId="1379" xr:uid="{00000000-0005-0000-0000-00007D050000}"/>
    <cellStyle name="D.Cyan" xfId="1380" xr:uid="{00000000-0005-0000-0000-00007E050000}"/>
    <cellStyle name="Dan" xfId="1381" xr:uid="{00000000-0005-0000-0000-00007F050000}"/>
    <cellStyle name="DANIEL" xfId="1382" xr:uid="{00000000-0005-0000-0000-000080050000}"/>
    <cellStyle name="Dash" xfId="1383" xr:uid="{00000000-0005-0000-0000-000081050000}"/>
    <cellStyle name="Dash 2" xfId="1384" xr:uid="{00000000-0005-0000-0000-000082050000}"/>
    <cellStyle name="Dash 3" xfId="1385" xr:uid="{00000000-0005-0000-0000-000083050000}"/>
    <cellStyle name="dat.General" xfId="1386" xr:uid="{00000000-0005-0000-0000-000084050000}"/>
    <cellStyle name="dat.General.or" xfId="1387" xr:uid="{00000000-0005-0000-0000-000085050000}"/>
    <cellStyle name="dat.US$" xfId="1388" xr:uid="{00000000-0005-0000-0000-000086050000}"/>
    <cellStyle name="dat.US$.or" xfId="1389" xr:uid="{00000000-0005-0000-0000-000087050000}"/>
    <cellStyle name="Data" xfId="1390" xr:uid="{00000000-0005-0000-0000-000088050000}"/>
    <cellStyle name="DataBases" xfId="1391" xr:uid="{00000000-0005-0000-0000-000089050000}"/>
    <cellStyle name="DataToHide" xfId="1392" xr:uid="{00000000-0005-0000-0000-00008A050000}"/>
    <cellStyle name="Date" xfId="1393" xr:uid="{00000000-0005-0000-0000-00008B050000}"/>
    <cellStyle name="Date - Style4" xfId="1394" xr:uid="{00000000-0005-0000-0000-00008C050000}"/>
    <cellStyle name="Date [D-M-Y]" xfId="1395" xr:uid="{00000000-0005-0000-0000-00008D050000}"/>
    <cellStyle name="Date [M/D/Y]" xfId="1396" xr:uid="{00000000-0005-0000-0000-00008E050000}"/>
    <cellStyle name="Date [M/Y]" xfId="1397" xr:uid="{00000000-0005-0000-0000-00008F050000}"/>
    <cellStyle name="Date [mmm-d-yyyy]" xfId="1398" xr:uid="{00000000-0005-0000-0000-000090050000}"/>
    <cellStyle name="Date [MMM-YY]" xfId="1399" xr:uid="{00000000-0005-0000-0000-000091050000}"/>
    <cellStyle name="Date [mmm-yyyy]" xfId="1400" xr:uid="{00000000-0005-0000-0000-000092050000}"/>
    <cellStyle name="Date [Y]" xfId="1401" xr:uid="{00000000-0005-0000-0000-000093050000}"/>
    <cellStyle name="Date [Y] 2" xfId="1402" xr:uid="{00000000-0005-0000-0000-000094050000}"/>
    <cellStyle name="Date [Y] 3" xfId="1403" xr:uid="{00000000-0005-0000-0000-000095050000}"/>
    <cellStyle name="Date 2" xfId="1404" xr:uid="{00000000-0005-0000-0000-000096050000}"/>
    <cellStyle name="Date 3" xfId="1405" xr:uid="{00000000-0005-0000-0000-000097050000}"/>
    <cellStyle name="Date Aligned" xfId="1406" xr:uid="{00000000-0005-0000-0000-000098050000}"/>
    <cellStyle name="Date Aligned*" xfId="1407" xr:uid="{00000000-0005-0000-0000-000099050000}"/>
    <cellStyle name="Date Aligned_Triumph_Model_EK" xfId="1408" xr:uid="{00000000-0005-0000-0000-00009A050000}"/>
    <cellStyle name="Date format" xfId="1409" xr:uid="{00000000-0005-0000-0000-00009B050000}"/>
    <cellStyle name="Date Short" xfId="1410" xr:uid="{00000000-0005-0000-0000-00009C050000}"/>
    <cellStyle name="Date_AR GAAP Anexo OPM S.A" xfId="1411" xr:uid="{00000000-0005-0000-0000-00009D050000}"/>
    <cellStyle name="Date1" xfId="1412" xr:uid="{00000000-0005-0000-0000-00009E050000}"/>
    <cellStyle name="Date2" xfId="1413" xr:uid="{00000000-0005-0000-0000-00009F050000}"/>
    <cellStyle name="DateTime" xfId="1414" xr:uid="{00000000-0005-0000-0000-0000A0050000}"/>
    <cellStyle name="Date-Time" xfId="1415" xr:uid="{00000000-0005-0000-0000-0000A1050000}"/>
    <cellStyle name="DblLineDollarAcct" xfId="1416" xr:uid="{00000000-0005-0000-0000-0000A2050000}"/>
    <cellStyle name="DblLinePercent" xfId="1417" xr:uid="{00000000-0005-0000-0000-0000A3050000}"/>
    <cellStyle name="DEC1" xfId="1418" xr:uid="{00000000-0005-0000-0000-0000A4050000}"/>
    <cellStyle name="Decimal 1" xfId="1419" xr:uid="{00000000-0005-0000-0000-0000A5050000}"/>
    <cellStyle name="Decimal 2" xfId="1420" xr:uid="{00000000-0005-0000-0000-0000A6050000}"/>
    <cellStyle name="Decimal 3" xfId="1421" xr:uid="{00000000-0005-0000-0000-0000A7050000}"/>
    <cellStyle name="DecimalOne" xfId="1422" xr:uid="{00000000-0005-0000-0000-0000A8050000}"/>
    <cellStyle name="DELTA" xfId="1423" xr:uid="{00000000-0005-0000-0000-0000A9050000}"/>
    <cellStyle name="DESCRIÇÃO" xfId="1424" xr:uid="{00000000-0005-0000-0000-0000AA050000}"/>
    <cellStyle name="Design" xfId="1425" xr:uid="{00000000-0005-0000-0000-0000AB050000}"/>
    <cellStyle name="Deviant" xfId="1426" xr:uid="{00000000-0005-0000-0000-0000AC050000}"/>
    <cellStyle name="Dezimal [0]_Austria 2002 DPE analysis act" xfId="1427" xr:uid="{00000000-0005-0000-0000-0000AD050000}"/>
    <cellStyle name="Dezimal_Austria 2002 DPE analysis act" xfId="1428" xr:uid="{00000000-0005-0000-0000-0000AE050000}"/>
    <cellStyle name="Dia" xfId="1429" xr:uid="{00000000-0005-0000-0000-0000AF050000}"/>
    <cellStyle name="Diseño" xfId="1430" xr:uid="{00000000-0005-0000-0000-0000B0050000}"/>
    <cellStyle name="Diseño 2" xfId="1431" xr:uid="{00000000-0005-0000-0000-0000B1050000}"/>
    <cellStyle name="Diseño 3" xfId="1432" xr:uid="{00000000-0005-0000-0000-0000B2050000}"/>
    <cellStyle name="dollar" xfId="1433" xr:uid="{00000000-0005-0000-0000-0000B3050000}"/>
    <cellStyle name="Dollar (zero dec)" xfId="1434" xr:uid="{00000000-0005-0000-0000-0000B4050000}"/>
    <cellStyle name="Dollar1" xfId="1435" xr:uid="{00000000-0005-0000-0000-0000B5050000}"/>
    <cellStyle name="Dollar1Blue" xfId="1436" xr:uid="{00000000-0005-0000-0000-0000B6050000}"/>
    <cellStyle name="Dollar2" xfId="1437" xr:uid="{00000000-0005-0000-0000-0000B7050000}"/>
    <cellStyle name="DollarAccounting" xfId="1438" xr:uid="{00000000-0005-0000-0000-0000B8050000}"/>
    <cellStyle name="Dollars" xfId="1439" xr:uid="{00000000-0005-0000-0000-0000B9050000}"/>
    <cellStyle name="Dotted Line" xfId="1440" xr:uid="{00000000-0005-0000-0000-0000BA050000}"/>
    <cellStyle name="Dziesiętny_laroux" xfId="1441" xr:uid="{00000000-0005-0000-0000-0000BB050000}"/>
    <cellStyle name="E&amp;Y House" xfId="1442" xr:uid="{00000000-0005-0000-0000-0000BC050000}"/>
    <cellStyle name="Eingabe" xfId="1443" xr:uid="{00000000-0005-0000-0000-0000BD050000}"/>
    <cellStyle name="Eingabefeld" xfId="1444" xr:uid="{00000000-0005-0000-0000-0000BE050000}"/>
    <cellStyle name="EingabeSumme" xfId="1445" xr:uid="{00000000-0005-0000-0000-0000BF050000}"/>
    <cellStyle name="ENCABEZ" xfId="1446" xr:uid="{00000000-0005-0000-0000-0000C0050000}"/>
    <cellStyle name="Encabez1" xfId="1447" xr:uid="{00000000-0005-0000-0000-0000C1050000}"/>
    <cellStyle name="Encabez2" xfId="1448" xr:uid="{00000000-0005-0000-0000-0000C2050000}"/>
    <cellStyle name="Encabezado 4 2" xfId="1449" xr:uid="{00000000-0005-0000-0000-0000C3050000}"/>
    <cellStyle name="Encabezado 4 3" xfId="1450" xr:uid="{00000000-0005-0000-0000-0000C4050000}"/>
    <cellStyle name="Encabezado 4 4" xfId="1451" xr:uid="{00000000-0005-0000-0000-0000C5050000}"/>
    <cellStyle name="Encabezado 4 5" xfId="1452" xr:uid="{00000000-0005-0000-0000-0000C6050000}"/>
    <cellStyle name="Encabezado 4 6" xfId="1453" xr:uid="{00000000-0005-0000-0000-0000C7050000}"/>
    <cellStyle name="Encabezado 4 7" xfId="1454" xr:uid="{00000000-0005-0000-0000-0000C8050000}"/>
    <cellStyle name="Encabezado 4 8" xfId="1455" xr:uid="{00000000-0005-0000-0000-0000C9050000}"/>
    <cellStyle name="Encabezado 4 9" xfId="1456" xr:uid="{00000000-0005-0000-0000-0000CA050000}"/>
    <cellStyle name="Ênfase1" xfId="1457" xr:uid="{00000000-0005-0000-0000-0000CB050000}"/>
    <cellStyle name="Ênfase2" xfId="1458" xr:uid="{00000000-0005-0000-0000-0000CC050000}"/>
    <cellStyle name="Ênfase3" xfId="1459" xr:uid="{00000000-0005-0000-0000-0000CD050000}"/>
    <cellStyle name="Ênfase4" xfId="1460" xr:uid="{00000000-0005-0000-0000-0000CE050000}"/>
    <cellStyle name="Ênfase5" xfId="1461" xr:uid="{00000000-0005-0000-0000-0000CF050000}"/>
    <cellStyle name="Ênfase6" xfId="1462" xr:uid="{00000000-0005-0000-0000-0000D0050000}"/>
    <cellStyle name="Énfasis1 2" xfId="1463" xr:uid="{00000000-0005-0000-0000-0000D1050000}"/>
    <cellStyle name="Énfasis1 3" xfId="1464" xr:uid="{00000000-0005-0000-0000-0000D2050000}"/>
    <cellStyle name="Énfasis1 4" xfId="1465" xr:uid="{00000000-0005-0000-0000-0000D3050000}"/>
    <cellStyle name="Énfasis1 5" xfId="1466" xr:uid="{00000000-0005-0000-0000-0000D4050000}"/>
    <cellStyle name="Énfasis1 6" xfId="1467" xr:uid="{00000000-0005-0000-0000-0000D5050000}"/>
    <cellStyle name="Énfasis1 7" xfId="1468" xr:uid="{00000000-0005-0000-0000-0000D6050000}"/>
    <cellStyle name="Énfasis1 8" xfId="1469" xr:uid="{00000000-0005-0000-0000-0000D7050000}"/>
    <cellStyle name="Énfasis1 9" xfId="1470" xr:uid="{00000000-0005-0000-0000-0000D8050000}"/>
    <cellStyle name="Énfasis2 2" xfId="1471" xr:uid="{00000000-0005-0000-0000-0000D9050000}"/>
    <cellStyle name="Énfasis2 3" xfId="1472" xr:uid="{00000000-0005-0000-0000-0000DA050000}"/>
    <cellStyle name="Énfasis2 4" xfId="1473" xr:uid="{00000000-0005-0000-0000-0000DB050000}"/>
    <cellStyle name="Énfasis2 5" xfId="1474" xr:uid="{00000000-0005-0000-0000-0000DC050000}"/>
    <cellStyle name="Énfasis2 6" xfId="1475" xr:uid="{00000000-0005-0000-0000-0000DD050000}"/>
    <cellStyle name="Énfasis2 7" xfId="1476" xr:uid="{00000000-0005-0000-0000-0000DE050000}"/>
    <cellStyle name="Énfasis2 8" xfId="1477" xr:uid="{00000000-0005-0000-0000-0000DF050000}"/>
    <cellStyle name="Énfasis2 9" xfId="1478" xr:uid="{00000000-0005-0000-0000-0000E0050000}"/>
    <cellStyle name="Énfasis3 2" xfId="1479" xr:uid="{00000000-0005-0000-0000-0000E1050000}"/>
    <cellStyle name="Énfasis3 3" xfId="1480" xr:uid="{00000000-0005-0000-0000-0000E2050000}"/>
    <cellStyle name="Énfasis3 4" xfId="1481" xr:uid="{00000000-0005-0000-0000-0000E3050000}"/>
    <cellStyle name="Énfasis3 5" xfId="1482" xr:uid="{00000000-0005-0000-0000-0000E4050000}"/>
    <cellStyle name="Énfasis3 6" xfId="1483" xr:uid="{00000000-0005-0000-0000-0000E5050000}"/>
    <cellStyle name="Énfasis3 7" xfId="1484" xr:uid="{00000000-0005-0000-0000-0000E6050000}"/>
    <cellStyle name="Énfasis3 8" xfId="1485" xr:uid="{00000000-0005-0000-0000-0000E7050000}"/>
    <cellStyle name="Énfasis3 9" xfId="1486" xr:uid="{00000000-0005-0000-0000-0000E8050000}"/>
    <cellStyle name="Énfasis4 2" xfId="1487" xr:uid="{00000000-0005-0000-0000-0000E9050000}"/>
    <cellStyle name="Énfasis4 3" xfId="1488" xr:uid="{00000000-0005-0000-0000-0000EA050000}"/>
    <cellStyle name="Énfasis4 4" xfId="1489" xr:uid="{00000000-0005-0000-0000-0000EB050000}"/>
    <cellStyle name="Énfasis4 5" xfId="1490" xr:uid="{00000000-0005-0000-0000-0000EC050000}"/>
    <cellStyle name="Énfasis4 6" xfId="1491" xr:uid="{00000000-0005-0000-0000-0000ED050000}"/>
    <cellStyle name="Énfasis4 7" xfId="1492" xr:uid="{00000000-0005-0000-0000-0000EE050000}"/>
    <cellStyle name="Énfasis4 8" xfId="1493" xr:uid="{00000000-0005-0000-0000-0000EF050000}"/>
    <cellStyle name="Énfasis4 9" xfId="1494" xr:uid="{00000000-0005-0000-0000-0000F0050000}"/>
    <cellStyle name="Énfasis5 2" xfId="1495" xr:uid="{00000000-0005-0000-0000-0000F1050000}"/>
    <cellStyle name="Énfasis5 3" xfId="1496" xr:uid="{00000000-0005-0000-0000-0000F2050000}"/>
    <cellStyle name="Énfasis5 4" xfId="1497" xr:uid="{00000000-0005-0000-0000-0000F3050000}"/>
    <cellStyle name="Énfasis5 5" xfId="1498" xr:uid="{00000000-0005-0000-0000-0000F4050000}"/>
    <cellStyle name="Énfasis5 6" xfId="1499" xr:uid="{00000000-0005-0000-0000-0000F5050000}"/>
    <cellStyle name="Énfasis5 7" xfId="1500" xr:uid="{00000000-0005-0000-0000-0000F6050000}"/>
    <cellStyle name="Énfasis5 8" xfId="1501" xr:uid="{00000000-0005-0000-0000-0000F7050000}"/>
    <cellStyle name="Énfasis5 9" xfId="1502" xr:uid="{00000000-0005-0000-0000-0000F8050000}"/>
    <cellStyle name="Énfasis6 2" xfId="1503" xr:uid="{00000000-0005-0000-0000-0000F9050000}"/>
    <cellStyle name="Énfasis6 3" xfId="1504" xr:uid="{00000000-0005-0000-0000-0000FA050000}"/>
    <cellStyle name="Énfasis6 4" xfId="1505" xr:uid="{00000000-0005-0000-0000-0000FB050000}"/>
    <cellStyle name="Énfasis6 5" xfId="1506" xr:uid="{00000000-0005-0000-0000-0000FC050000}"/>
    <cellStyle name="Énfasis6 6" xfId="1507" xr:uid="{00000000-0005-0000-0000-0000FD050000}"/>
    <cellStyle name="Énfasis6 7" xfId="1508" xr:uid="{00000000-0005-0000-0000-0000FE050000}"/>
    <cellStyle name="Énfasis6 8" xfId="1509" xr:uid="{00000000-0005-0000-0000-0000FF050000}"/>
    <cellStyle name="Énfasis6 9" xfId="1510" xr:uid="{00000000-0005-0000-0000-000000060000}"/>
    <cellStyle name="ent" xfId="1511" xr:uid="{00000000-0005-0000-0000-000001060000}"/>
    <cellStyle name="Enter Currency (0)" xfId="1512" xr:uid="{00000000-0005-0000-0000-000002060000}"/>
    <cellStyle name="Enter Currency (2)" xfId="1513" xr:uid="{00000000-0005-0000-0000-000003060000}"/>
    <cellStyle name="Enter Units (0)" xfId="1514" xr:uid="{00000000-0005-0000-0000-000004060000}"/>
    <cellStyle name="Enter Units (1)" xfId="1515" xr:uid="{00000000-0005-0000-0000-000005060000}"/>
    <cellStyle name="Enter Units (2)" xfId="1516" xr:uid="{00000000-0005-0000-0000-000006060000}"/>
    <cellStyle name="Entered" xfId="1517" xr:uid="{00000000-0005-0000-0000-000007060000}"/>
    <cellStyle name="Entered 2" xfId="1518" xr:uid="{00000000-0005-0000-0000-000008060000}"/>
    <cellStyle name="Entered 3" xfId="1519" xr:uid="{00000000-0005-0000-0000-000009060000}"/>
    <cellStyle name="Entities" xfId="1520" xr:uid="{00000000-0005-0000-0000-00000A060000}"/>
    <cellStyle name="Entrada 2" xfId="1521" xr:uid="{00000000-0005-0000-0000-00000B060000}"/>
    <cellStyle name="Entrada 3" xfId="1522" xr:uid="{00000000-0005-0000-0000-00000C060000}"/>
    <cellStyle name="Entrada 4" xfId="1523" xr:uid="{00000000-0005-0000-0000-00000D060000}"/>
    <cellStyle name="Entrada 5" xfId="1524" xr:uid="{00000000-0005-0000-0000-00000E060000}"/>
    <cellStyle name="Entrada 6" xfId="1525" xr:uid="{00000000-0005-0000-0000-00000F060000}"/>
    <cellStyle name="Entrada 7" xfId="1526" xr:uid="{00000000-0005-0000-0000-000010060000}"/>
    <cellStyle name="Entrada 8" xfId="1527" xr:uid="{00000000-0005-0000-0000-000011060000}"/>
    <cellStyle name="Entrada 9" xfId="1528" xr:uid="{00000000-0005-0000-0000-000012060000}"/>
    <cellStyle name="entry" xfId="1529" xr:uid="{00000000-0005-0000-0000-000013060000}"/>
    <cellStyle name="entry box" xfId="1530" xr:uid="{00000000-0005-0000-0000-000014060000}"/>
    <cellStyle name="Estilo 1" xfId="1531" xr:uid="{00000000-0005-0000-0000-000015060000}"/>
    <cellStyle name="Estilo 2" xfId="1532" xr:uid="{00000000-0005-0000-0000-000016060000}"/>
    <cellStyle name="ET měna" xfId="1533" xr:uid="{00000000-0005-0000-0000-000017060000}"/>
    <cellStyle name="ET procenta" xfId="1534" xr:uid="{00000000-0005-0000-0000-000018060000}"/>
    <cellStyle name="ETy0" xfId="1535" xr:uid="{00000000-0005-0000-0000-000019060000}"/>
    <cellStyle name="ETyt" xfId="1536" xr:uid="{00000000-0005-0000-0000-00001A060000}"/>
    <cellStyle name="Euro" xfId="1537" xr:uid="{00000000-0005-0000-0000-00001B060000}"/>
    <cellStyle name="Euro 2" xfId="1538" xr:uid="{00000000-0005-0000-0000-00001C060000}"/>
    <cellStyle name="Euro 3" xfId="1539" xr:uid="{00000000-0005-0000-0000-00001D060000}"/>
    <cellStyle name="Excel Built-in Normal" xfId="1540" xr:uid="{00000000-0005-0000-0000-00001E060000}"/>
    <cellStyle name="Excel Built-in Percent" xfId="1541" xr:uid="{00000000-0005-0000-0000-00001F060000}"/>
    <cellStyle name="Excel.Chart" xfId="1542" xr:uid="{00000000-0005-0000-0000-000020060000}"/>
    <cellStyle name="Explanatory Text" xfId="2151" xr:uid="{00000000-0005-0000-0000-000021060000}"/>
    <cellStyle name="Extra Large" xfId="1543" xr:uid="{00000000-0005-0000-0000-000022060000}"/>
    <cellStyle name="EY House" xfId="1544" xr:uid="{00000000-0005-0000-0000-000023060000}"/>
    <cellStyle name="EY Narrative text" xfId="1545" xr:uid="{00000000-0005-0000-0000-000024060000}"/>
    <cellStyle name="EY%colcalc" xfId="1546" xr:uid="{00000000-0005-0000-0000-000025060000}"/>
    <cellStyle name="EY%colcalc 2" xfId="1547" xr:uid="{00000000-0005-0000-0000-000026060000}"/>
    <cellStyle name="EY%colcalc 3" xfId="1548" xr:uid="{00000000-0005-0000-0000-000027060000}"/>
    <cellStyle name="EY%input" xfId="1549" xr:uid="{00000000-0005-0000-0000-000028060000}"/>
    <cellStyle name="EY%input 2" xfId="1550" xr:uid="{00000000-0005-0000-0000-000029060000}"/>
    <cellStyle name="EY%input 3" xfId="1551" xr:uid="{00000000-0005-0000-0000-00002A060000}"/>
    <cellStyle name="EY%rowcalc" xfId="1552" xr:uid="{00000000-0005-0000-0000-00002B060000}"/>
    <cellStyle name="EY%rowcalc 2" xfId="1553" xr:uid="{00000000-0005-0000-0000-00002C060000}"/>
    <cellStyle name="EY%rowcalc 3" xfId="1554" xr:uid="{00000000-0005-0000-0000-00002D060000}"/>
    <cellStyle name="EY0dp" xfId="1555" xr:uid="{00000000-0005-0000-0000-00002E060000}"/>
    <cellStyle name="EY1dp" xfId="1556" xr:uid="{00000000-0005-0000-0000-00002F060000}"/>
    <cellStyle name="EY1dp 2" xfId="1557" xr:uid="{00000000-0005-0000-0000-000030060000}"/>
    <cellStyle name="EY1dp 3" xfId="1558" xr:uid="{00000000-0005-0000-0000-000031060000}"/>
    <cellStyle name="EY2dp" xfId="1559" xr:uid="{00000000-0005-0000-0000-000032060000}"/>
    <cellStyle name="EY2dp 2" xfId="1560" xr:uid="{00000000-0005-0000-0000-000033060000}"/>
    <cellStyle name="EY2dp 3" xfId="1561" xr:uid="{00000000-0005-0000-0000-000034060000}"/>
    <cellStyle name="EY3dp" xfId="1562" xr:uid="{00000000-0005-0000-0000-000035060000}"/>
    <cellStyle name="EY3dp 2" xfId="1563" xr:uid="{00000000-0005-0000-0000-000036060000}"/>
    <cellStyle name="EY3dp 3" xfId="1564" xr:uid="{00000000-0005-0000-0000-000037060000}"/>
    <cellStyle name="EYBlocked" xfId="1565" xr:uid="{00000000-0005-0000-0000-000038060000}"/>
    <cellStyle name="EYCallUp" xfId="1566" xr:uid="{00000000-0005-0000-0000-000039060000}"/>
    <cellStyle name="EYChartTitle" xfId="1567" xr:uid="{00000000-0005-0000-0000-00003A060000}"/>
    <cellStyle name="EYCheck" xfId="1568" xr:uid="{00000000-0005-0000-0000-00003B060000}"/>
    <cellStyle name="EYColumnHeading" xfId="1569" xr:uid="{00000000-0005-0000-0000-00003C060000}"/>
    <cellStyle name="EYColumnHeading 5" xfId="1570" xr:uid="{00000000-0005-0000-0000-00003D060000}"/>
    <cellStyle name="EYColumnHeadingItalic" xfId="1571" xr:uid="{00000000-0005-0000-0000-00003E060000}"/>
    <cellStyle name="EYCoverDatabookName" xfId="1572" xr:uid="{00000000-0005-0000-0000-00003F060000}"/>
    <cellStyle name="EYCoverDate" xfId="1573" xr:uid="{00000000-0005-0000-0000-000040060000}"/>
    <cellStyle name="EYCoverDraft" xfId="1574" xr:uid="{00000000-0005-0000-0000-000041060000}"/>
    <cellStyle name="EYCoverProjectName" xfId="1575" xr:uid="{00000000-0005-0000-0000-000042060000}"/>
    <cellStyle name="EYCurrency" xfId="1576" xr:uid="{00000000-0005-0000-0000-000043060000}"/>
    <cellStyle name="EYDate" xfId="1577" xr:uid="{00000000-0005-0000-0000-000044060000}"/>
    <cellStyle name="EYDate 2" xfId="1578" xr:uid="{00000000-0005-0000-0000-000045060000}"/>
    <cellStyle name="EYDeviant" xfId="1579" xr:uid="{00000000-0005-0000-0000-000046060000}"/>
    <cellStyle name="EYHeader1" xfId="1580" xr:uid="{00000000-0005-0000-0000-000047060000}"/>
    <cellStyle name="EYHeader2" xfId="1581" xr:uid="{00000000-0005-0000-0000-000048060000}"/>
    <cellStyle name="EYHeader3" xfId="1582" xr:uid="{00000000-0005-0000-0000-000049060000}"/>
    <cellStyle name="EYHeading1" xfId="1583" xr:uid="{00000000-0005-0000-0000-00004A060000}"/>
    <cellStyle name="EYheading2" xfId="1584" xr:uid="{00000000-0005-0000-0000-00004B060000}"/>
    <cellStyle name="EYheading3" xfId="1585" xr:uid="{00000000-0005-0000-0000-00004C060000}"/>
    <cellStyle name="EYInputDate" xfId="1586" xr:uid="{00000000-0005-0000-0000-00004D060000}"/>
    <cellStyle name="EYInputNormal" xfId="1587" xr:uid="{00000000-0005-0000-0000-00004E060000}"/>
    <cellStyle name="EYInputPercent" xfId="1588" xr:uid="{00000000-0005-0000-0000-00004F060000}"/>
    <cellStyle name="EYInputValue" xfId="1589" xr:uid="{00000000-0005-0000-0000-000050060000}"/>
    <cellStyle name="EYNormal" xfId="1590" xr:uid="{00000000-0005-0000-0000-000051060000}"/>
    <cellStyle name="EYNormal 2" xfId="1591" xr:uid="{00000000-0005-0000-0000-000052060000}"/>
    <cellStyle name="EYNotes" xfId="1592" xr:uid="{00000000-0005-0000-0000-000053060000}"/>
    <cellStyle name="EYNotesHeading" xfId="1593" xr:uid="{00000000-0005-0000-0000-000054060000}"/>
    <cellStyle name="EYnumber" xfId="1594" xr:uid="{00000000-0005-0000-0000-000055060000}"/>
    <cellStyle name="EYnumber 2" xfId="1595" xr:uid="{00000000-0005-0000-0000-000056060000}"/>
    <cellStyle name="EYnumber 3" xfId="1596" xr:uid="{00000000-0005-0000-0000-000057060000}"/>
    <cellStyle name="EYPercent" xfId="1597" xr:uid="{00000000-0005-0000-0000-000058060000}"/>
    <cellStyle name="EYPercent 2" xfId="1598" xr:uid="{00000000-0005-0000-0000-000059060000}"/>
    <cellStyle name="EYPercentCapped" xfId="1599" xr:uid="{00000000-0005-0000-0000-00005A060000}"/>
    <cellStyle name="EYPercentCapped 2" xfId="1600" xr:uid="{00000000-0005-0000-0000-00005B060000}"/>
    <cellStyle name="EYRelianceRestricted" xfId="1601" xr:uid="{00000000-0005-0000-0000-00005C060000}"/>
    <cellStyle name="EYSectionHeading" xfId="1602" xr:uid="{00000000-0005-0000-0000-00005D060000}"/>
    <cellStyle name="EYSheetHeader1" xfId="1603" xr:uid="{00000000-0005-0000-0000-00005E060000}"/>
    <cellStyle name="EYSheetHeading" xfId="1604" xr:uid="{00000000-0005-0000-0000-00005F060000}"/>
    <cellStyle name="EYsmallheading" xfId="1605" xr:uid="{00000000-0005-0000-0000-000060060000}"/>
    <cellStyle name="EYSource" xfId="1606" xr:uid="{00000000-0005-0000-0000-000061060000}"/>
    <cellStyle name="EYSubTotal" xfId="1607" xr:uid="{00000000-0005-0000-0000-000062060000}"/>
    <cellStyle name="EYtext" xfId="1608" xr:uid="{00000000-0005-0000-0000-000063060000}"/>
    <cellStyle name="EYtext 2" xfId="1609" xr:uid="{00000000-0005-0000-0000-000064060000}"/>
    <cellStyle name="EYtext 3" xfId="1610" xr:uid="{00000000-0005-0000-0000-000065060000}"/>
    <cellStyle name="EYtextbold" xfId="1611" xr:uid="{00000000-0005-0000-0000-000066060000}"/>
    <cellStyle name="EYtextbolditalic" xfId="1612" xr:uid="{00000000-0005-0000-0000-000067060000}"/>
    <cellStyle name="EYtextitalic" xfId="1613" xr:uid="{00000000-0005-0000-0000-000068060000}"/>
    <cellStyle name="EYTotal" xfId="1614" xr:uid="{00000000-0005-0000-0000-000069060000}"/>
    <cellStyle name="EYWIP" xfId="1615" xr:uid="{00000000-0005-0000-0000-00006A060000}"/>
    <cellStyle name="F2" xfId="1616" xr:uid="{00000000-0005-0000-0000-00006B060000}"/>
    <cellStyle name="F2 - Style1" xfId="1617" xr:uid="{00000000-0005-0000-0000-00006C060000}"/>
    <cellStyle name="F2 2" xfId="1618" xr:uid="{00000000-0005-0000-0000-00006D060000}"/>
    <cellStyle name="F2 3" xfId="1619" xr:uid="{00000000-0005-0000-0000-00006E060000}"/>
    <cellStyle name="F2_01 Análisis Comparables" xfId="1620" xr:uid="{00000000-0005-0000-0000-00006F060000}"/>
    <cellStyle name="F3" xfId="1621" xr:uid="{00000000-0005-0000-0000-000070060000}"/>
    <cellStyle name="F3 - Style4" xfId="1622" xr:uid="{00000000-0005-0000-0000-000071060000}"/>
    <cellStyle name="F3 2" xfId="1623" xr:uid="{00000000-0005-0000-0000-000072060000}"/>
    <cellStyle name="F3 3" xfId="1624" xr:uid="{00000000-0005-0000-0000-000073060000}"/>
    <cellStyle name="F3_01 Análisis Comparables" xfId="1625" xr:uid="{00000000-0005-0000-0000-000074060000}"/>
    <cellStyle name="F4" xfId="1626" xr:uid="{00000000-0005-0000-0000-000075060000}"/>
    <cellStyle name="F4 - Style2" xfId="1627" xr:uid="{00000000-0005-0000-0000-000076060000}"/>
    <cellStyle name="F4 2" xfId="1628" xr:uid="{00000000-0005-0000-0000-000077060000}"/>
    <cellStyle name="F4 3" xfId="1629" xr:uid="{00000000-0005-0000-0000-000078060000}"/>
    <cellStyle name="F4_01 Análisis Comparables" xfId="1630" xr:uid="{00000000-0005-0000-0000-000079060000}"/>
    <cellStyle name="F5" xfId="1631" xr:uid="{00000000-0005-0000-0000-00007A060000}"/>
    <cellStyle name="F5 - Style6" xfId="1632" xr:uid="{00000000-0005-0000-0000-00007B060000}"/>
    <cellStyle name="F5 2" xfId="1633" xr:uid="{00000000-0005-0000-0000-00007C060000}"/>
    <cellStyle name="F5 3" xfId="1634" xr:uid="{00000000-0005-0000-0000-00007D060000}"/>
    <cellStyle name="F5_01 Análisis Comparables" xfId="1635" xr:uid="{00000000-0005-0000-0000-00007E060000}"/>
    <cellStyle name="F6" xfId="1636" xr:uid="{00000000-0005-0000-0000-00007F060000}"/>
    <cellStyle name="F6 - Style5" xfId="1637" xr:uid="{00000000-0005-0000-0000-000080060000}"/>
    <cellStyle name="F6 2" xfId="1638" xr:uid="{00000000-0005-0000-0000-000081060000}"/>
    <cellStyle name="F6 3" xfId="1639" xr:uid="{00000000-0005-0000-0000-000082060000}"/>
    <cellStyle name="F6_01 Análisis Comparables" xfId="1640" xr:uid="{00000000-0005-0000-0000-000083060000}"/>
    <cellStyle name="F7" xfId="1641" xr:uid="{00000000-0005-0000-0000-000084060000}"/>
    <cellStyle name="F7 - Style3" xfId="1642" xr:uid="{00000000-0005-0000-0000-000085060000}"/>
    <cellStyle name="F7 2" xfId="1643" xr:uid="{00000000-0005-0000-0000-000086060000}"/>
    <cellStyle name="F7 3" xfId="1644" xr:uid="{00000000-0005-0000-0000-000087060000}"/>
    <cellStyle name="F7_01 Análisis Comparables" xfId="1645" xr:uid="{00000000-0005-0000-0000-000088060000}"/>
    <cellStyle name="F8" xfId="1646" xr:uid="{00000000-0005-0000-0000-000089060000}"/>
    <cellStyle name="F8 - Style1" xfId="1647" xr:uid="{00000000-0005-0000-0000-00008A060000}"/>
    <cellStyle name="F8 2" xfId="1648" xr:uid="{00000000-0005-0000-0000-00008B060000}"/>
    <cellStyle name="F8 3" xfId="1649" xr:uid="{00000000-0005-0000-0000-00008C060000}"/>
    <cellStyle name="F8_01 Análisis Comparables" xfId="1650" xr:uid="{00000000-0005-0000-0000-00008D060000}"/>
    <cellStyle name="Fábio" xfId="1651" xr:uid="{00000000-0005-0000-0000-00008E060000}"/>
    <cellStyle name="Factor" xfId="1652" xr:uid="{00000000-0005-0000-0000-00008F060000}"/>
    <cellStyle name="Fecha" xfId="1653" xr:uid="{00000000-0005-0000-0000-000090060000}"/>
    <cellStyle name="Fecha 2" xfId="1654" xr:uid="{00000000-0005-0000-0000-000091060000}"/>
    <cellStyle name="Fecha 3" xfId="1655" xr:uid="{00000000-0005-0000-0000-000092060000}"/>
    <cellStyle name="FED" xfId="1656" xr:uid="{00000000-0005-0000-0000-000093060000}"/>
    <cellStyle name="Fijo" xfId="1657" xr:uid="{00000000-0005-0000-0000-000094060000}"/>
    <cellStyle name="Fijo 2" xfId="1658" xr:uid="{00000000-0005-0000-0000-000095060000}"/>
    <cellStyle name="Fijo 3" xfId="1659" xr:uid="{00000000-0005-0000-0000-000096060000}"/>
    <cellStyle name="Final_Data" xfId="1660" xr:uid="{00000000-0005-0000-0000-000097060000}"/>
    <cellStyle name="Financial Nr" xfId="1661" xr:uid="{00000000-0005-0000-0000-000098060000}"/>
    <cellStyle name="Financial Pct" xfId="1662" xr:uid="{00000000-0005-0000-0000-000099060000}"/>
    <cellStyle name="Financials-Formulas" xfId="1663" xr:uid="{00000000-0005-0000-0000-00009A060000}"/>
    <cellStyle name="Financiero" xfId="1664" xr:uid="{00000000-0005-0000-0000-00009B060000}"/>
    <cellStyle name="Fine" xfId="1665" xr:uid="{00000000-0005-0000-0000-00009C060000}"/>
    <cellStyle name="Fixed" xfId="1666" xr:uid="{00000000-0005-0000-0000-00009D060000}"/>
    <cellStyle name="Fixed 2" xfId="1667" xr:uid="{00000000-0005-0000-0000-00009E060000}"/>
    <cellStyle name="Fixed 3" xfId="1668" xr:uid="{00000000-0005-0000-0000-00009F060000}"/>
    <cellStyle name="fmt.Band" xfId="1669" xr:uid="{00000000-0005-0000-0000-0000A0060000}"/>
    <cellStyle name="fmt.BasketTemplate" xfId="1670" xr:uid="{00000000-0005-0000-0000-0000A1060000}"/>
    <cellStyle name="fmt.CFWDHeading" xfId="1671" xr:uid="{00000000-0005-0000-0000-0000A2060000}"/>
    <cellStyle name="fmt.InpSumRow" xfId="1672" xr:uid="{00000000-0005-0000-0000-0000A3060000}"/>
    <cellStyle name="fmt.InputHeading" xfId="1673" xr:uid="{00000000-0005-0000-0000-0000A4060000}"/>
    <cellStyle name="fmt.InputRowDesc" xfId="1674" xr:uid="{00000000-0005-0000-0000-0000A5060000}"/>
    <cellStyle name="fmt.InputRowSubHead1" xfId="1675" xr:uid="{00000000-0005-0000-0000-0000A6060000}"/>
    <cellStyle name="fmt.InputRowTotal" xfId="1676" xr:uid="{00000000-0005-0000-0000-0000A7060000}"/>
    <cellStyle name="fmt.Report%" xfId="1677" xr:uid="{00000000-0005-0000-0000-0000A8060000}"/>
    <cellStyle name="fmt.ReportApptRatio" xfId="1678" xr:uid="{00000000-0005-0000-0000-0000A9060000}"/>
    <cellStyle name="fmt.ReportDisplay" xfId="1679" xr:uid="{00000000-0005-0000-0000-0000AA060000}"/>
    <cellStyle name="fmt.ReportFX" xfId="1680" xr:uid="{00000000-0005-0000-0000-0000AB060000}"/>
    <cellStyle name="fmt.ReportHeading" xfId="1681" xr:uid="{00000000-0005-0000-0000-0000AC060000}"/>
    <cellStyle name="fmt.ReportSubHead1" xfId="1682" xr:uid="{00000000-0005-0000-0000-0000AD060000}"/>
    <cellStyle name="fmt.ReportSubHead2" xfId="1683" xr:uid="{00000000-0005-0000-0000-0000AE060000}"/>
    <cellStyle name="fmt.ReportSubHeading" xfId="1684" xr:uid="{00000000-0005-0000-0000-0000AF060000}"/>
    <cellStyle name="fmt.ReportSubtotal" xfId="1685" xr:uid="{00000000-0005-0000-0000-0000B0060000}"/>
    <cellStyle name="fmt.ReportSubtotal$" xfId="1686" xr:uid="{00000000-0005-0000-0000-0000B1060000}"/>
    <cellStyle name="fmt.ReportTotal" xfId="1687" xr:uid="{00000000-0005-0000-0000-0000B2060000}"/>
    <cellStyle name="fmt.ReportTotal$" xfId="1688" xr:uid="{00000000-0005-0000-0000-0000B3060000}"/>
    <cellStyle name="fmt.ReportUS$" xfId="1689" xr:uid="{00000000-0005-0000-0000-0000B4060000}"/>
    <cellStyle name="ƒnƒCƒp[ƒŠƒ“ƒN" xfId="1690" xr:uid="{00000000-0005-0000-0000-0000B5060000}"/>
    <cellStyle name="fono" xfId="1691" xr:uid="{00000000-0005-0000-0000-0000B6060000}"/>
    <cellStyle name="fono 2" xfId="1692" xr:uid="{00000000-0005-0000-0000-0000B7060000}"/>
    <cellStyle name="fono 3" xfId="1693" xr:uid="{00000000-0005-0000-0000-0000B8060000}"/>
    <cellStyle name="Footnote" xfId="1694" xr:uid="{00000000-0005-0000-0000-0000B9060000}"/>
    <cellStyle name="form" xfId="1695" xr:uid="{00000000-0005-0000-0000-0000BA060000}"/>
    <cellStyle name="Form.Normal" xfId="1696" xr:uid="{00000000-0005-0000-0000-0000BB060000}"/>
    <cellStyle name="Formula" xfId="1697" xr:uid="{00000000-0005-0000-0000-0000BC060000}"/>
    <cellStyle name="Fraction" xfId="1698" xr:uid="{00000000-0005-0000-0000-0000BD060000}"/>
    <cellStyle name="Fraction [8]" xfId="1699" xr:uid="{00000000-0005-0000-0000-0000BE060000}"/>
    <cellStyle name="Fraction [Bl]" xfId="1700" xr:uid="{00000000-0005-0000-0000-0000BF060000}"/>
    <cellStyle name="From" xfId="1701" xr:uid="{00000000-0005-0000-0000-0000C0060000}"/>
    <cellStyle name="FY" xfId="1702" xr:uid="{00000000-0005-0000-0000-0000C1060000}"/>
    <cellStyle name="g" xfId="1703" xr:uid="{00000000-0005-0000-0000-0000C2060000}"/>
    <cellStyle name="g_Balances de escisión" xfId="1704" xr:uid="{00000000-0005-0000-0000-0000C3060000}"/>
    <cellStyle name="G10" xfId="1705" xr:uid="{00000000-0005-0000-0000-0000C4060000}"/>
    <cellStyle name="gato1" xfId="1706" xr:uid="{00000000-0005-0000-0000-0000C5060000}"/>
    <cellStyle name="General" xfId="1707" xr:uid="{00000000-0005-0000-0000-0000C6060000}"/>
    <cellStyle name="Gesellschaft" xfId="1708" xr:uid="{00000000-0005-0000-0000-0000C7060000}"/>
    <cellStyle name="Gewichte" xfId="1709" xr:uid="{00000000-0005-0000-0000-0000C8060000}"/>
    <cellStyle name="Good" xfId="2152" xr:uid="{00000000-0005-0000-0000-0000C9060000}"/>
    <cellStyle name="Grand Total" xfId="1710" xr:uid="{00000000-0005-0000-0000-0000CA060000}"/>
    <cellStyle name="Green" xfId="1711" xr:uid="{00000000-0005-0000-0000-0000CB060000}"/>
    <cellStyle name="Grey" xfId="1712" xr:uid="{00000000-0005-0000-0000-0000CC060000}"/>
    <cellStyle name="Grey 2" xfId="1713" xr:uid="{00000000-0005-0000-0000-0000CD060000}"/>
    <cellStyle name="Grey 3" xfId="1714" xr:uid="{00000000-0005-0000-0000-0000CE060000}"/>
    <cellStyle name="GROS" xfId="1715" xr:uid="{00000000-0005-0000-0000-0000CF060000}"/>
    <cellStyle name="Grouped Head" xfId="1716" xr:uid="{00000000-0005-0000-0000-0000D0060000}"/>
    <cellStyle name="Grouped Head 2" xfId="1717" xr:uid="{00000000-0005-0000-0000-0000D1060000}"/>
    <cellStyle name="Grouped Head 3" xfId="1718" xr:uid="{00000000-0005-0000-0000-0000D2060000}"/>
    <cellStyle name="gs]_x000d__x000a_Window=0,0,640,480, , ,3_x000d__x000a_dir1=5,7,637,250,-1,-1,1,30,201,1905,231,G:\UGRC\RB\B-DADOS\FOX-PRO\CRED-VEN\KP" xfId="1719" xr:uid="{00000000-0005-0000-0000-0000D3060000}"/>
    <cellStyle name="H1 (2)_FCG046A" xfId="1720" xr:uid="{00000000-0005-0000-0000-0000D4060000}"/>
    <cellStyle name="Hard Percent" xfId="1721" xr:uid="{00000000-0005-0000-0000-0000D5060000}"/>
    <cellStyle name="Hauptkriterien" xfId="1722" xr:uid="{00000000-0005-0000-0000-0000D6060000}"/>
    <cellStyle name="Head/Foot" xfId="1723" xr:uid="{00000000-0005-0000-0000-0000D7060000}"/>
    <cellStyle name="HeadBig" xfId="1724" xr:uid="{00000000-0005-0000-0000-0000D8060000}"/>
    <cellStyle name="Header" xfId="1725" xr:uid="{00000000-0005-0000-0000-0000D9060000}"/>
    <cellStyle name="HEADER 2" xfId="1726" xr:uid="{00000000-0005-0000-0000-0000DA060000}"/>
    <cellStyle name="HEADER 3" xfId="1727" xr:uid="{00000000-0005-0000-0000-0000DB060000}"/>
    <cellStyle name="Header1" xfId="1728" xr:uid="{00000000-0005-0000-0000-0000DC060000}"/>
    <cellStyle name="Header2" xfId="1729" xr:uid="{00000000-0005-0000-0000-0000DD060000}"/>
    <cellStyle name="Heading" xfId="1730" xr:uid="{00000000-0005-0000-0000-0000DE060000}"/>
    <cellStyle name="Heading 1" xfId="2153" xr:uid="{00000000-0005-0000-0000-0000DF060000}"/>
    <cellStyle name="Heading 1 2" xfId="1731" xr:uid="{00000000-0005-0000-0000-0000E0060000}"/>
    <cellStyle name="Heading 1 3" xfId="1732" xr:uid="{00000000-0005-0000-0000-0000E1060000}"/>
    <cellStyle name="Heading 2" xfId="2154" xr:uid="{00000000-0005-0000-0000-0000E2060000}"/>
    <cellStyle name="Heading 2 2" xfId="1733" xr:uid="{00000000-0005-0000-0000-0000E3060000}"/>
    <cellStyle name="Heading 2 3" xfId="1734" xr:uid="{00000000-0005-0000-0000-0000E4060000}"/>
    <cellStyle name="Heading 3" xfId="2155" xr:uid="{00000000-0005-0000-0000-0000E5060000}"/>
    <cellStyle name="Heading 4" xfId="2156" xr:uid="{00000000-0005-0000-0000-0000E6060000}"/>
    <cellStyle name="Heading 5" xfId="1735" xr:uid="{00000000-0005-0000-0000-0000E7060000}"/>
    <cellStyle name="Heading 6" xfId="1736" xr:uid="{00000000-0005-0000-0000-0000E8060000}"/>
    <cellStyle name="Heading Left" xfId="1737" xr:uid="{00000000-0005-0000-0000-0000E9060000}"/>
    <cellStyle name="Heading No Underline_Worksheet in J: MARKETING Templates D&amp;T Templates Noviembre 2002 Informe Modelo" xfId="1738" xr:uid="{00000000-0005-0000-0000-0000EA060000}"/>
    <cellStyle name="Heading Right" xfId="1739" xr:uid="{00000000-0005-0000-0000-0000EB060000}"/>
    <cellStyle name="Heading With Underline_Worksheet in J: MARKETING Templates D&amp;T Templates Noviembre 2002 Informe Modelo" xfId="1740" xr:uid="{00000000-0005-0000-0000-0000EC060000}"/>
    <cellStyle name="Heading1" xfId="1741" xr:uid="{00000000-0005-0000-0000-0000ED060000}"/>
    <cellStyle name="Heading1 2" xfId="1742" xr:uid="{00000000-0005-0000-0000-0000EE060000}"/>
    <cellStyle name="Heading1 3" xfId="1743" xr:uid="{00000000-0005-0000-0000-0000EF060000}"/>
    <cellStyle name="Heading2" xfId="1744" xr:uid="{00000000-0005-0000-0000-0000F0060000}"/>
    <cellStyle name="Heading2 2" xfId="1745" xr:uid="{00000000-0005-0000-0000-0000F1060000}"/>
    <cellStyle name="Heading2 3" xfId="1746" xr:uid="{00000000-0005-0000-0000-0000F2060000}"/>
    <cellStyle name="HEADINGS" xfId="1747" xr:uid="{00000000-0005-0000-0000-0000F3060000}"/>
    <cellStyle name="HEADINGS 2" xfId="1748" xr:uid="{00000000-0005-0000-0000-0000F4060000}"/>
    <cellStyle name="HEADINGS 3" xfId="1749" xr:uid="{00000000-0005-0000-0000-0000F5060000}"/>
    <cellStyle name="HEADINGSTOP" xfId="1750" xr:uid="{00000000-0005-0000-0000-0000F6060000}"/>
    <cellStyle name="HEADINGSTOP 2" xfId="1751" xr:uid="{00000000-0005-0000-0000-0000F7060000}"/>
    <cellStyle name="HEADINGSTOP 3" xfId="1752" xr:uid="{00000000-0005-0000-0000-0000F8060000}"/>
    <cellStyle name="Headline3" xfId="1753" xr:uid="{00000000-0005-0000-0000-0000F9060000}"/>
    <cellStyle name="HeadMain" xfId="1754" xr:uid="{00000000-0005-0000-0000-0000FA060000}"/>
    <cellStyle name="HIDDEN" xfId="1755" xr:uid="{00000000-0005-0000-0000-0000FB060000}"/>
    <cellStyle name="HIGHLIGHT" xfId="1756" xr:uid="{00000000-0005-0000-0000-0000FC060000}"/>
    <cellStyle name="Hipervínculo" xfId="1757" xr:uid="{00000000-0005-0000-0000-0000FD060000}"/>
    <cellStyle name="Hipervínculo 2" xfId="1758" xr:uid="{00000000-0005-0000-0000-0000FE060000}"/>
    <cellStyle name="Hipervínculo 3" xfId="1759" xr:uid="{00000000-0005-0000-0000-0000FF060000}"/>
    <cellStyle name="Hipervínculo visitado" xfId="1760" xr:uid="{00000000-0005-0000-0000-000000070000}"/>
    <cellStyle name="Hipervínculo visitado 2" xfId="1761" xr:uid="{00000000-0005-0000-0000-000001070000}"/>
    <cellStyle name="Hipervínculo_060410-BA Mall Offices-v1" xfId="1762" xr:uid="{00000000-0005-0000-0000-000002070000}"/>
    <cellStyle name="hola" xfId="1763" xr:uid="{00000000-0005-0000-0000-000003070000}"/>
    <cellStyle name="Hyperlink 2" xfId="1764" xr:uid="{00000000-0005-0000-0000-000004070000}"/>
    <cellStyle name="Hyperlink 3" xfId="1765" xr:uid="{00000000-0005-0000-0000-000005070000}"/>
    <cellStyle name="Hyperlink 3 2" xfId="1766" xr:uid="{00000000-0005-0000-0000-000006070000}"/>
    <cellStyle name="I_x0008_" xfId="1767" xr:uid="{00000000-0005-0000-0000-000007070000}"/>
    <cellStyle name="Impsat" xfId="1768" xr:uid="{00000000-0005-0000-0000-000008070000}"/>
    <cellStyle name="Incorrecto 2" xfId="1769" xr:uid="{00000000-0005-0000-0000-000009070000}"/>
    <cellStyle name="Incorreto" xfId="1770" xr:uid="{00000000-0005-0000-0000-00000A070000}"/>
    <cellStyle name="Indent" xfId="1771" xr:uid="{00000000-0005-0000-0000-00000B070000}"/>
    <cellStyle name="inp.Dropdown" xfId="1772" xr:uid="{00000000-0005-0000-0000-00000C070000}"/>
    <cellStyle name="inp.Dropdown 2" xfId="1773" xr:uid="{00000000-0005-0000-0000-00000D070000}"/>
    <cellStyle name="inp.FX" xfId="1774" xr:uid="{00000000-0005-0000-0000-00000E070000}"/>
    <cellStyle name="inp.FX 2" xfId="1775" xr:uid="{00000000-0005-0000-0000-00000F070000}"/>
    <cellStyle name="inp.General" xfId="1776" xr:uid="{00000000-0005-0000-0000-000010070000}"/>
    <cellStyle name="inp.General 2" xfId="1777" xr:uid="{00000000-0005-0000-0000-000011070000}"/>
    <cellStyle name="inp.Number" xfId="1778" xr:uid="{00000000-0005-0000-0000-000012070000}"/>
    <cellStyle name="inp.Number 2" xfId="1779" xr:uid="{00000000-0005-0000-0000-000013070000}"/>
    <cellStyle name="inp.Percent" xfId="1780" xr:uid="{00000000-0005-0000-0000-000014070000}"/>
    <cellStyle name="inp.Protected" xfId="1781" xr:uid="{00000000-0005-0000-0000-000015070000}"/>
    <cellStyle name="inp.US$" xfId="1782" xr:uid="{00000000-0005-0000-0000-000016070000}"/>
    <cellStyle name="inp.US$ 2" xfId="1783" xr:uid="{00000000-0005-0000-0000-000017070000}"/>
    <cellStyle name="inp.YesNo" xfId="1784" xr:uid="{00000000-0005-0000-0000-000018070000}"/>
    <cellStyle name="inp.YesNo 2" xfId="1785" xr:uid="{00000000-0005-0000-0000-000019070000}"/>
    <cellStyle name="Input" xfId="2157" xr:uid="{00000000-0005-0000-0000-00001A070000}"/>
    <cellStyle name="Input %" xfId="1786" xr:uid="{00000000-0005-0000-0000-00001B070000}"/>
    <cellStyle name="Input (StyleA)" xfId="1787" xr:uid="{00000000-0005-0000-0000-00001C070000}"/>
    <cellStyle name="Input (StyleA) 2" xfId="1788" xr:uid="{00000000-0005-0000-0000-00001D070000}"/>
    <cellStyle name="Input [yellow]" xfId="1789" xr:uid="{00000000-0005-0000-0000-00001E070000}"/>
    <cellStyle name="Input [yellow] 2" xfId="1790" xr:uid="{00000000-0005-0000-0000-00001F070000}"/>
    <cellStyle name="Input [yellow] 3" xfId="1791" xr:uid="{00000000-0005-0000-0000-000020070000}"/>
    <cellStyle name="Input 1" xfId="1792" xr:uid="{00000000-0005-0000-0000-000021070000}"/>
    <cellStyle name="Input 2" xfId="1793" xr:uid="{00000000-0005-0000-0000-000022070000}"/>
    <cellStyle name="Input 3" xfId="1794" xr:uid="{00000000-0005-0000-0000-000023070000}"/>
    <cellStyle name="Input 4" xfId="1795" xr:uid="{00000000-0005-0000-0000-000024070000}"/>
    <cellStyle name="Input Cells" xfId="1796" xr:uid="{00000000-0005-0000-0000-000025070000}"/>
    <cellStyle name="Input Currency" xfId="1797" xr:uid="{00000000-0005-0000-0000-000026070000}"/>
    <cellStyle name="Input Currency 2" xfId="1798" xr:uid="{00000000-0005-0000-0000-000027070000}"/>
    <cellStyle name="input currency rates" xfId="1799" xr:uid="{00000000-0005-0000-0000-000028070000}"/>
    <cellStyle name="Input Currency_158105!" xfId="1800" xr:uid="{00000000-0005-0000-0000-000029070000}"/>
    <cellStyle name="Input Date" xfId="1801" xr:uid="{00000000-0005-0000-0000-00002A070000}"/>
    <cellStyle name="Input Multiple" xfId="1802" xr:uid="{00000000-0005-0000-0000-00002B070000}"/>
    <cellStyle name="Input Number" xfId="1803" xr:uid="{00000000-0005-0000-0000-00002C070000}"/>
    <cellStyle name="Input Percent" xfId="1804" xr:uid="{00000000-0005-0000-0000-00002D070000}"/>
    <cellStyle name="Input1" xfId="1805" xr:uid="{00000000-0005-0000-0000-00002E070000}"/>
    <cellStyle name="Input2" xfId="1806" xr:uid="{00000000-0005-0000-0000-00002F070000}"/>
    <cellStyle name="Input2 2" xfId="1807" xr:uid="{00000000-0005-0000-0000-000030070000}"/>
    <cellStyle name="Input2 3" xfId="1808" xr:uid="{00000000-0005-0000-0000-000031070000}"/>
    <cellStyle name="InputBlueFont" xfId="1809" xr:uid="{00000000-0005-0000-0000-000032070000}"/>
    <cellStyle name="Inputs" xfId="1810" xr:uid="{00000000-0005-0000-0000-000033070000}"/>
    <cellStyle name="Intern_OP Leitlinie zu OP 99 " xfId="1811" xr:uid="{00000000-0005-0000-0000-000034070000}"/>
    <cellStyle name="Italic" xfId="1812" xr:uid="{00000000-0005-0000-0000-000035070000}"/>
    <cellStyle name="Item_Current" xfId="1813" xr:uid="{00000000-0005-0000-0000-000036070000}"/>
    <cellStyle name="item1" xfId="1814" xr:uid="{00000000-0005-0000-0000-000037070000}"/>
    <cellStyle name="John Column Heading" xfId="1815" xr:uid="{00000000-0005-0000-0000-000038070000}"/>
    <cellStyle name="John Currency" xfId="1816" xr:uid="{00000000-0005-0000-0000-000039070000}"/>
    <cellStyle name="John Month-Yr Date" xfId="1817" xr:uid="{00000000-0005-0000-0000-00003A070000}"/>
    <cellStyle name="John Normal" xfId="1818" xr:uid="{00000000-0005-0000-0000-00003B070000}"/>
    <cellStyle name="John Times" xfId="1819" xr:uid="{00000000-0005-0000-0000-00003C070000}"/>
    <cellStyle name="John Times no-x" xfId="1820" xr:uid="{00000000-0005-0000-0000-00003D070000}"/>
    <cellStyle name="John Times-no x" xfId="1821" xr:uid="{00000000-0005-0000-0000-00003E070000}"/>
    <cellStyle name="Komma [0]_BINV" xfId="1822" xr:uid="{00000000-0005-0000-0000-00003F070000}"/>
    <cellStyle name="Komma_BINV" xfId="1823" xr:uid="{00000000-0005-0000-0000-000040070000}"/>
    <cellStyle name="Konto" xfId="1824" xr:uid="{00000000-0005-0000-0000-000041070000}"/>
    <cellStyle name="KPMG Heading 1" xfId="1825" xr:uid="{00000000-0005-0000-0000-000042070000}"/>
    <cellStyle name="KPMG Heading 2" xfId="1826" xr:uid="{00000000-0005-0000-0000-000043070000}"/>
    <cellStyle name="KPMG Heading 3" xfId="1827" xr:uid="{00000000-0005-0000-0000-000044070000}"/>
    <cellStyle name="KPMG Heading 4" xfId="1828" xr:uid="{00000000-0005-0000-0000-000045070000}"/>
    <cellStyle name="KPMG Normal" xfId="1829" xr:uid="{00000000-0005-0000-0000-000046070000}"/>
    <cellStyle name="KPMG Normal Text" xfId="1830" xr:uid="{00000000-0005-0000-0000-000047070000}"/>
    <cellStyle name="l]_x000d__x000a_Path=M:\RIOCEN01_x000d__x000a_Name=Carlos Emilio Brousse_x000d__x000a_DDEApps=nsf,nsg,nsh,ntf,ns2,ors,org_x000d__x000a_SmartIcons=Todos_x000d__x000a_" xfId="1831" xr:uid="{00000000-0005-0000-0000-000048070000}"/>
    <cellStyle name="Labels" xfId="1832" xr:uid="{00000000-0005-0000-0000-000049070000}"/>
    <cellStyle name="Lable8Left" xfId="1833" xr:uid="{00000000-0005-0000-0000-00004A070000}"/>
    <cellStyle name="Large" xfId="1834" xr:uid="{00000000-0005-0000-0000-00004B070000}"/>
    <cellStyle name="Layout" xfId="1835" xr:uid="{00000000-0005-0000-0000-00004C070000}"/>
    <cellStyle name="LayoutFormel" xfId="1836" xr:uid="{00000000-0005-0000-0000-00004D070000}"/>
    <cellStyle name="Lien hypertexte" xfId="1837" xr:uid="{00000000-0005-0000-0000-00004E070000}"/>
    <cellStyle name="Lien hypertexte visité" xfId="1838" xr:uid="{00000000-0005-0000-0000-00004F070000}"/>
    <cellStyle name="Lien hypertexte_MODELE COMPARABLES BOURSIERS Chablis1607" xfId="1839" xr:uid="{00000000-0005-0000-0000-000050070000}"/>
    <cellStyle name="Ligne" xfId="1840" xr:uid="{00000000-0005-0000-0000-000051070000}"/>
    <cellStyle name="LineItem" xfId="1841" xr:uid="{00000000-0005-0000-0000-000052070000}"/>
    <cellStyle name="linie unten" xfId="1842" xr:uid="{00000000-0005-0000-0000-000053070000}"/>
    <cellStyle name="linie unten 2" xfId="1843" xr:uid="{00000000-0005-0000-0000-000054070000}"/>
    <cellStyle name="linie unten 3" xfId="1844" xr:uid="{00000000-0005-0000-0000-000055070000}"/>
    <cellStyle name="Link Currency (0)" xfId="1845" xr:uid="{00000000-0005-0000-0000-000056070000}"/>
    <cellStyle name="Link Currency (2)" xfId="1846" xr:uid="{00000000-0005-0000-0000-000057070000}"/>
    <cellStyle name="Link Units (0)" xfId="1847" xr:uid="{00000000-0005-0000-0000-000058070000}"/>
    <cellStyle name="Link Units (1)" xfId="1848" xr:uid="{00000000-0005-0000-0000-000059070000}"/>
    <cellStyle name="Link Units (2)" xfId="1849" xr:uid="{00000000-0005-0000-0000-00005A070000}"/>
    <cellStyle name="Linked Cell" xfId="2158" xr:uid="{00000000-0005-0000-0000-00005B070000}"/>
    <cellStyle name="LISAM" xfId="1850" xr:uid="{00000000-0005-0000-0000-00005C070000}"/>
    <cellStyle name="locked" xfId="1851" xr:uid="{00000000-0005-0000-0000-00005D070000}"/>
    <cellStyle name="locked 2" xfId="1852" xr:uid="{00000000-0005-0000-0000-00005E070000}"/>
    <cellStyle name="locked 3" xfId="1853" xr:uid="{00000000-0005-0000-0000-00005F070000}"/>
    <cellStyle name="LookUpText" xfId="1854" xr:uid="{00000000-0005-0000-0000-000060070000}"/>
    <cellStyle name="MacroCode" xfId="1855" xr:uid="{00000000-0005-0000-0000-000061070000}"/>
    <cellStyle name="Magenta" xfId="1856" xr:uid="{00000000-0005-0000-0000-000062070000}"/>
    <cellStyle name="MARTA" xfId="1857" xr:uid="{00000000-0005-0000-0000-000063070000}"/>
    <cellStyle name="Medium" xfId="1858" xr:uid="{00000000-0005-0000-0000-000064070000}"/>
    <cellStyle name="Menu_Bkgrd" xfId="1859" xr:uid="{00000000-0005-0000-0000-000065070000}"/>
    <cellStyle name="mf[0,0]" xfId="1860" xr:uid="{00000000-0005-0000-0000-000066070000}"/>
    <cellStyle name="MidHead" xfId="1861" xr:uid="{00000000-0005-0000-0000-000067070000}"/>
    <cellStyle name="Migliaia (0)_1997" xfId="1862" xr:uid="{00000000-0005-0000-0000-000068070000}"/>
    <cellStyle name="Migliaia_1997" xfId="1863" xr:uid="{00000000-0005-0000-0000-000069070000}"/>
    <cellStyle name="Millares" xfId="2112" builtinId="3"/>
    <cellStyle name="Millares [0]" xfId="2178" builtinId="6"/>
    <cellStyle name="Millares [0] 2" xfId="1864" xr:uid="{00000000-0005-0000-0000-00006C070000}"/>
    <cellStyle name="Millares [0] 3" xfId="2159" xr:uid="{00000000-0005-0000-0000-00006D070000}"/>
    <cellStyle name="Millares [0] 4" xfId="2181" xr:uid="{00000000-0005-0000-0000-00006E070000}"/>
    <cellStyle name="Millares 10" xfId="1865" xr:uid="{00000000-0005-0000-0000-00006F070000}"/>
    <cellStyle name="Millares 11" xfId="1866" xr:uid="{00000000-0005-0000-0000-000070070000}"/>
    <cellStyle name="Millares 12" xfId="1867" xr:uid="{00000000-0005-0000-0000-000071070000}"/>
    <cellStyle name="Millares 12 2" xfId="1868" xr:uid="{00000000-0005-0000-0000-000072070000}"/>
    <cellStyle name="Millares 13" xfId="2160" xr:uid="{00000000-0005-0000-0000-000073070000}"/>
    <cellStyle name="Millares 14" xfId="2161" xr:uid="{00000000-0005-0000-0000-000074070000}"/>
    <cellStyle name="Millares 15" xfId="2184" xr:uid="{00000000-0005-0000-0000-000075070000}"/>
    <cellStyle name="Millares 2" xfId="1869" xr:uid="{00000000-0005-0000-0000-000076070000}"/>
    <cellStyle name="Millares 2 2" xfId="1870" xr:uid="{00000000-0005-0000-0000-000077070000}"/>
    <cellStyle name="Millares 2 2 2" xfId="1871" xr:uid="{00000000-0005-0000-0000-000078070000}"/>
    <cellStyle name="Millares 2 2 3" xfId="2114" xr:uid="{00000000-0005-0000-0000-000079070000}"/>
    <cellStyle name="Millares 2 3" xfId="1872" xr:uid="{00000000-0005-0000-0000-00007A070000}"/>
    <cellStyle name="Millares 2 3 2" xfId="2162" xr:uid="{00000000-0005-0000-0000-00007B070000}"/>
    <cellStyle name="Millares 2 4" xfId="3" xr:uid="{00000000-0005-0000-0000-00007C070000}"/>
    <cellStyle name="Millares 2 4 2" xfId="1873" xr:uid="{00000000-0005-0000-0000-00007D070000}"/>
    <cellStyle name="Millares 2 5" xfId="1874" xr:uid="{00000000-0005-0000-0000-00007E070000}"/>
    <cellStyle name="Millares 2 6" xfId="1875" xr:uid="{00000000-0005-0000-0000-00007F070000}"/>
    <cellStyle name="Millares 2 7" xfId="2163" xr:uid="{00000000-0005-0000-0000-000080070000}"/>
    <cellStyle name="Millares 21" xfId="1876" xr:uid="{00000000-0005-0000-0000-000081070000}"/>
    <cellStyle name="Millares 3" xfId="1877" xr:uid="{00000000-0005-0000-0000-000082070000}"/>
    <cellStyle name="Millares 3 2" xfId="1878" xr:uid="{00000000-0005-0000-0000-000083070000}"/>
    <cellStyle name="Millares 4" xfId="2" xr:uid="{00000000-0005-0000-0000-000084070000}"/>
    <cellStyle name="Millares 4 2" xfId="1879" xr:uid="{00000000-0005-0000-0000-000085070000}"/>
    <cellStyle name="Millares 4 3" xfId="2164" xr:uid="{00000000-0005-0000-0000-000086070000}"/>
    <cellStyle name="Millares 5" xfId="1880" xr:uid="{00000000-0005-0000-0000-000087070000}"/>
    <cellStyle name="Millares 6" xfId="1881" xr:uid="{00000000-0005-0000-0000-000088070000}"/>
    <cellStyle name="Millares 7" xfId="1882" xr:uid="{00000000-0005-0000-0000-000089070000}"/>
    <cellStyle name="Millares 8" xfId="1883" xr:uid="{00000000-0005-0000-0000-00008A070000}"/>
    <cellStyle name="Millares 9" xfId="1884" xr:uid="{00000000-0005-0000-0000-00008B070000}"/>
    <cellStyle name="Milliers [0]" xfId="1885" xr:uid="{00000000-0005-0000-0000-00008C070000}"/>
    <cellStyle name="Milliers_!!!GO" xfId="1886" xr:uid="{00000000-0005-0000-0000-00008D070000}"/>
    <cellStyle name="Minus (0)" xfId="1887" xr:uid="{00000000-0005-0000-0000-00008E070000}"/>
    <cellStyle name="MIS.SpaltenKopf" xfId="1888" xr:uid="{00000000-0005-0000-0000-00008F070000}"/>
    <cellStyle name="MֿMַM¿M·M¯M§M\" xfId="1889" xr:uid="{00000000-0005-0000-0000-000090070000}"/>
    <cellStyle name="MֿMַM¿M·M¯M§MגC_פרוט רו&quot;ה (2)_3" xfId="1890" xr:uid="{00000000-0005-0000-0000-000091070000}"/>
    <cellStyle name="Model" xfId="1891" xr:uid="{00000000-0005-0000-0000-000092070000}"/>
    <cellStyle name="Moeda [0]" xfId="1892" xr:uid="{00000000-0005-0000-0000-000093070000}"/>
    <cellStyle name="Moeda_Aval" xfId="1893" xr:uid="{00000000-0005-0000-0000-000094070000}"/>
    <cellStyle name="Moneda [0] 2" xfId="1894" xr:uid="{00000000-0005-0000-0000-000095070000}"/>
    <cellStyle name="Moneda 2" xfId="1895" xr:uid="{00000000-0005-0000-0000-000096070000}"/>
    <cellStyle name="Moneda 2 2" xfId="1896" xr:uid="{00000000-0005-0000-0000-000097070000}"/>
    <cellStyle name="Moneda 3" xfId="1897" xr:uid="{00000000-0005-0000-0000-000098070000}"/>
    <cellStyle name="Moneda 3 2" xfId="2120" xr:uid="{00000000-0005-0000-0000-000099070000}"/>
    <cellStyle name="Moneda 4" xfId="1898" xr:uid="{00000000-0005-0000-0000-00009A070000}"/>
    <cellStyle name="Moneda 5" xfId="1899" xr:uid="{00000000-0005-0000-0000-00009B070000}"/>
    <cellStyle name="Moneda 6" xfId="1900" xr:uid="{00000000-0005-0000-0000-00009C070000}"/>
    <cellStyle name="Moneda 7" xfId="2165" xr:uid="{00000000-0005-0000-0000-00009D070000}"/>
    <cellStyle name="Moneda 8" xfId="2166" xr:uid="{00000000-0005-0000-0000-00009E070000}"/>
    <cellStyle name="Moneda 9" xfId="2118" xr:uid="{00000000-0005-0000-0000-00009F070000}"/>
    <cellStyle name="Monétaire [0]" xfId="1901" xr:uid="{00000000-0005-0000-0000-0000A0070000}"/>
    <cellStyle name="Monétaire_!!!GO" xfId="1902" xr:uid="{00000000-0005-0000-0000-0000A1070000}"/>
    <cellStyle name="Monetario" xfId="1903" xr:uid="{00000000-0005-0000-0000-0000A2070000}"/>
    <cellStyle name="Monetario0" xfId="1904" xr:uid="{00000000-0005-0000-0000-0000A3070000}"/>
    <cellStyle name="Monetario0 2" xfId="1905" xr:uid="{00000000-0005-0000-0000-0000A4070000}"/>
    <cellStyle name="Monetario0 3" xfId="1906" xr:uid="{00000000-0005-0000-0000-0000A5070000}"/>
    <cellStyle name="Month" xfId="1907" xr:uid="{00000000-0005-0000-0000-0000A6070000}"/>
    <cellStyle name="Mon騁aire [0]_AR1194" xfId="1908" xr:uid="{00000000-0005-0000-0000-0000A7070000}"/>
    <cellStyle name="Mon騁aire_AR1194" xfId="1909" xr:uid="{00000000-0005-0000-0000-0000A8070000}"/>
    <cellStyle name="MS_English" xfId="1910" xr:uid="{00000000-0005-0000-0000-0000A9070000}"/>
    <cellStyle name="Multiple" xfId="1911" xr:uid="{00000000-0005-0000-0000-0000AA070000}"/>
    <cellStyle name="Multiple 2" xfId="1912" xr:uid="{00000000-0005-0000-0000-0000AB070000}"/>
    <cellStyle name="Multiple 3" xfId="1913" xr:uid="{00000000-0005-0000-0000-0000AC070000}"/>
    <cellStyle name="Multiple1" xfId="1914" xr:uid="{00000000-0005-0000-0000-0000AD070000}"/>
    <cellStyle name="MultipleBelow" xfId="1915" xr:uid="{00000000-0005-0000-0000-0000AE070000}"/>
    <cellStyle name="Multiples" xfId="1916" xr:uid="{00000000-0005-0000-0000-0000AF070000}"/>
    <cellStyle name="n" xfId="1917" xr:uid="{00000000-0005-0000-0000-0000B0070000}"/>
    <cellStyle name="n-" xfId="1918" xr:uid="{00000000-0005-0000-0000-0000B1070000}"/>
    <cellStyle name="n*" xfId="1919" xr:uid="{00000000-0005-0000-0000-0000B2070000}"/>
    <cellStyle name="n* 2" xfId="1920" xr:uid="{00000000-0005-0000-0000-0000B3070000}"/>
    <cellStyle name="n-_Balances de escisión" xfId="1921" xr:uid="{00000000-0005-0000-0000-0000B4070000}"/>
    <cellStyle name="n0" xfId="1922" xr:uid="{00000000-0005-0000-0000-0000B5070000}"/>
    <cellStyle name="n0'" xfId="1923" xr:uid="{00000000-0005-0000-0000-0000B6070000}"/>
    <cellStyle name="n0-" xfId="1924" xr:uid="{00000000-0005-0000-0000-0000B7070000}"/>
    <cellStyle name="n0_Balances de escisión" xfId="1925" xr:uid="{00000000-0005-0000-0000-0000B8070000}"/>
    <cellStyle name="n0'_Balances de escisión" xfId="1926" xr:uid="{00000000-0005-0000-0000-0000B9070000}"/>
    <cellStyle name="n00" xfId="1927" xr:uid="{00000000-0005-0000-0000-0000BA070000}"/>
    <cellStyle name="n00 2" xfId="1928" xr:uid="{00000000-0005-0000-0000-0000BB070000}"/>
    <cellStyle name="n000" xfId="1929" xr:uid="{00000000-0005-0000-0000-0000BC070000}"/>
    <cellStyle name="n0x" xfId="1930" xr:uid="{00000000-0005-0000-0000-0000BD070000}"/>
    <cellStyle name="n1" xfId="1931" xr:uid="{00000000-0005-0000-0000-0000BE070000}"/>
    <cellStyle name="n1`" xfId="1932" xr:uid="{00000000-0005-0000-0000-0000BF070000}"/>
    <cellStyle name="n1x" xfId="1933" xr:uid="{00000000-0005-0000-0000-0000C0070000}"/>
    <cellStyle name="n2" xfId="1934" xr:uid="{00000000-0005-0000-0000-0000C1070000}"/>
    <cellStyle name="n21x" xfId="1935" xr:uid="{00000000-0005-0000-0000-0000C2070000}"/>
    <cellStyle name="n2x" xfId="1936" xr:uid="{00000000-0005-0000-0000-0000C3070000}"/>
    <cellStyle name="n2z" xfId="1937" xr:uid="{00000000-0005-0000-0000-0000C4070000}"/>
    <cellStyle name="n3" xfId="1938" xr:uid="{00000000-0005-0000-0000-0000C5070000}"/>
    <cellStyle name="n3x" xfId="1939" xr:uid="{00000000-0005-0000-0000-0000C6070000}"/>
    <cellStyle name="n9" xfId="1940" xr:uid="{00000000-0005-0000-0000-0000C7070000}"/>
    <cellStyle name="nal (2)_RF (2)" xfId="1941" xr:uid="{00000000-0005-0000-0000-0000C8070000}"/>
    <cellStyle name="Neutra" xfId="1942" xr:uid="{00000000-0005-0000-0000-0000C9070000}"/>
    <cellStyle name="Neutral 2" xfId="1943" xr:uid="{00000000-0005-0000-0000-0000CA070000}"/>
    <cellStyle name="new" xfId="1944" xr:uid="{00000000-0005-0000-0000-0000CB070000}"/>
    <cellStyle name="nm0" xfId="1945" xr:uid="{00000000-0005-0000-0000-0000CC070000}"/>
    <cellStyle name="NMNBV" xfId="1946" xr:uid="{00000000-0005-0000-0000-0000CD070000}"/>
    <cellStyle name="nnx" xfId="1947" xr:uid="{00000000-0005-0000-0000-0000CE070000}"/>
    <cellStyle name="no" xfId="1948" xr:uid="{00000000-0005-0000-0000-0000CF070000}"/>
    <cellStyle name="no dec" xfId="1949" xr:uid="{00000000-0005-0000-0000-0000D0070000}"/>
    <cellStyle name="no dec 2" xfId="1950" xr:uid="{00000000-0005-0000-0000-0000D1070000}"/>
    <cellStyle name="no dec 3" xfId="1951" xr:uid="{00000000-0005-0000-0000-0000D2070000}"/>
    <cellStyle name="no_Balances de escisión" xfId="1952" xr:uid="{00000000-0005-0000-0000-0000D3070000}"/>
    <cellStyle name="No-definido" xfId="1953" xr:uid="{00000000-0005-0000-0000-0000D4070000}"/>
    <cellStyle name="Nomal0" xfId="1954" xr:uid="{00000000-0005-0000-0000-0000D5070000}"/>
    <cellStyle name="Norm??" xfId="1955" xr:uid="{00000000-0005-0000-0000-0000D6070000}"/>
    <cellStyle name="Normal" xfId="0" builtinId="0"/>
    <cellStyle name="Normal - Style1" xfId="1956" xr:uid="{00000000-0005-0000-0000-0000D8070000}"/>
    <cellStyle name="Normal - Style1 2" xfId="1957" xr:uid="{00000000-0005-0000-0000-0000D9070000}"/>
    <cellStyle name="Normal - Style1 3" xfId="1958" xr:uid="{00000000-0005-0000-0000-0000DA070000}"/>
    <cellStyle name="Normal - Style1 4" xfId="1959" xr:uid="{00000000-0005-0000-0000-0000DB070000}"/>
    <cellStyle name="Normal - Style2" xfId="1960" xr:uid="{00000000-0005-0000-0000-0000DC070000}"/>
    <cellStyle name="Normal - Style3" xfId="1961" xr:uid="{00000000-0005-0000-0000-0000DD070000}"/>
    <cellStyle name="Normal - Style4" xfId="1962" xr:uid="{00000000-0005-0000-0000-0000DE070000}"/>
    <cellStyle name="Normal - Style5" xfId="1963" xr:uid="{00000000-0005-0000-0000-0000DF070000}"/>
    <cellStyle name="Normal [0]" xfId="1964" xr:uid="{00000000-0005-0000-0000-0000E0070000}"/>
    <cellStyle name="Normal 10" xfId="1965" xr:uid="{00000000-0005-0000-0000-0000E1070000}"/>
    <cellStyle name="Normal 10 2" xfId="1966" xr:uid="{00000000-0005-0000-0000-0000E2070000}"/>
    <cellStyle name="Normal 10 3" xfId="1967" xr:uid="{00000000-0005-0000-0000-0000E3070000}"/>
    <cellStyle name="Normal 10 4" xfId="1968" xr:uid="{00000000-0005-0000-0000-0000E4070000}"/>
    <cellStyle name="Normal 10 5" xfId="1969" xr:uid="{00000000-0005-0000-0000-0000E5070000}"/>
    <cellStyle name="Normal 10 6" xfId="1970" xr:uid="{00000000-0005-0000-0000-0000E6070000}"/>
    <cellStyle name="Normal 11" xfId="1971" xr:uid="{00000000-0005-0000-0000-0000E7070000}"/>
    <cellStyle name="Normal 11 2" xfId="1972" xr:uid="{00000000-0005-0000-0000-0000E8070000}"/>
    <cellStyle name="Normal 12" xfId="1973" xr:uid="{00000000-0005-0000-0000-0000E9070000}"/>
    <cellStyle name="Normal 12 2" xfId="1974" xr:uid="{00000000-0005-0000-0000-0000EA070000}"/>
    <cellStyle name="Normal 12 3" xfId="2167" xr:uid="{00000000-0005-0000-0000-0000EB070000}"/>
    <cellStyle name="Normal 13" xfId="1975" xr:uid="{00000000-0005-0000-0000-0000EC070000}"/>
    <cellStyle name="Normal 13 2" xfId="1976" xr:uid="{00000000-0005-0000-0000-0000ED070000}"/>
    <cellStyle name="Normal 14" xfId="1977" xr:uid="{00000000-0005-0000-0000-0000EE070000}"/>
    <cellStyle name="Normal 14 2" xfId="1978" xr:uid="{00000000-0005-0000-0000-0000EF070000}"/>
    <cellStyle name="Normal 15" xfId="1979" xr:uid="{00000000-0005-0000-0000-0000F0070000}"/>
    <cellStyle name="Normal 15 2" xfId="1980" xr:uid="{00000000-0005-0000-0000-0000F1070000}"/>
    <cellStyle name="Normal 15 2 2 2" xfId="1981" xr:uid="{00000000-0005-0000-0000-0000F2070000}"/>
    <cellStyle name="Normal 15 2 2 2 2" xfId="1982" xr:uid="{00000000-0005-0000-0000-0000F3070000}"/>
    <cellStyle name="Normal 16" xfId="1983" xr:uid="{00000000-0005-0000-0000-0000F4070000}"/>
    <cellStyle name="Normal 16 2" xfId="1984" xr:uid="{00000000-0005-0000-0000-0000F5070000}"/>
    <cellStyle name="Normal 17" xfId="1985" xr:uid="{00000000-0005-0000-0000-0000F6070000}"/>
    <cellStyle name="Normal 17 2" xfId="1986" xr:uid="{00000000-0005-0000-0000-0000F7070000}"/>
    <cellStyle name="Normal 18" xfId="1987" xr:uid="{00000000-0005-0000-0000-0000F8070000}"/>
    <cellStyle name="Normal 18 2" xfId="1988" xr:uid="{00000000-0005-0000-0000-0000F9070000}"/>
    <cellStyle name="Normal 19" xfId="1989" xr:uid="{00000000-0005-0000-0000-0000FA070000}"/>
    <cellStyle name="Normal 19 2" xfId="1990" xr:uid="{00000000-0005-0000-0000-0000FB070000}"/>
    <cellStyle name="Normal 2" xfId="1991" xr:uid="{00000000-0005-0000-0000-0000FC070000}"/>
    <cellStyle name="Normal 2 2" xfId="1992" xr:uid="{00000000-0005-0000-0000-0000FD070000}"/>
    <cellStyle name="Normal 2 2 2" xfId="1993" xr:uid="{00000000-0005-0000-0000-0000FE070000}"/>
    <cellStyle name="Normal 2 2 2 2" xfId="1994" xr:uid="{00000000-0005-0000-0000-0000FF070000}"/>
    <cellStyle name="Normal 2 2 2 3" xfId="1995" xr:uid="{00000000-0005-0000-0000-000000080000}"/>
    <cellStyle name="Normal 2 2 3" xfId="1996" xr:uid="{00000000-0005-0000-0000-000001080000}"/>
    <cellStyle name="Normal 2 2 4" xfId="1997" xr:uid="{00000000-0005-0000-0000-000002080000}"/>
    <cellStyle name="Normal 2 2 4 2" xfId="1998" xr:uid="{00000000-0005-0000-0000-000003080000}"/>
    <cellStyle name="Normal 2 2 5" xfId="1999" xr:uid="{00000000-0005-0000-0000-000004080000}"/>
    <cellStyle name="Normal 2 2 6" xfId="2000" xr:uid="{00000000-0005-0000-0000-000005080000}"/>
    <cellStyle name="Normal 2 2 7" xfId="2001" xr:uid="{00000000-0005-0000-0000-000006080000}"/>
    <cellStyle name="Normal 2 2_BackUpDWH 1(trabajar)" xfId="2002" xr:uid="{00000000-0005-0000-0000-000007080000}"/>
    <cellStyle name="Normal 2 3" xfId="2003" xr:uid="{00000000-0005-0000-0000-000008080000}"/>
    <cellStyle name="Normal 2 3 14" xfId="2004" xr:uid="{00000000-0005-0000-0000-000009080000}"/>
    <cellStyle name="Normal 2 3 2" xfId="2005" xr:uid="{00000000-0005-0000-0000-00000A080000}"/>
    <cellStyle name="Normal 2 3 3" xfId="2168" xr:uid="{00000000-0005-0000-0000-00000B080000}"/>
    <cellStyle name="Normal 2 4" xfId="2006" xr:uid="{00000000-0005-0000-0000-00000C080000}"/>
    <cellStyle name="Normal 2 4 2 14" xfId="2007" xr:uid="{00000000-0005-0000-0000-00000D080000}"/>
    <cellStyle name="Normal 2 5" xfId="2008" xr:uid="{00000000-0005-0000-0000-00000E080000}"/>
    <cellStyle name="Normal 2 6" xfId="2009" xr:uid="{00000000-0005-0000-0000-00000F080000}"/>
    <cellStyle name="Normal 2 7" xfId="2010" xr:uid="{00000000-0005-0000-0000-000010080000}"/>
    <cellStyle name="Normal 2 8" xfId="2011" xr:uid="{00000000-0005-0000-0000-000011080000}"/>
    <cellStyle name="Normal 2_Hoja1" xfId="2012" xr:uid="{00000000-0005-0000-0000-000012080000}"/>
    <cellStyle name="Normal 20" xfId="2013" xr:uid="{00000000-0005-0000-0000-000013080000}"/>
    <cellStyle name="Normal 20 2" xfId="2014" xr:uid="{00000000-0005-0000-0000-000014080000}"/>
    <cellStyle name="Normal 21" xfId="2015" xr:uid="{00000000-0005-0000-0000-000015080000}"/>
    <cellStyle name="Normal 21 2" xfId="2016" xr:uid="{00000000-0005-0000-0000-000016080000}"/>
    <cellStyle name="Normal 22" xfId="2017" xr:uid="{00000000-0005-0000-0000-000017080000}"/>
    <cellStyle name="Normal 23" xfId="2018" xr:uid="{00000000-0005-0000-0000-000018080000}"/>
    <cellStyle name="Normal 24" xfId="2019" xr:uid="{00000000-0005-0000-0000-000019080000}"/>
    <cellStyle name="Normal 25" xfId="2020" xr:uid="{00000000-0005-0000-0000-00001A080000}"/>
    <cellStyle name="Normal 25 2 2 14" xfId="2021" xr:uid="{00000000-0005-0000-0000-00001B080000}"/>
    <cellStyle name="Normal 26" xfId="2022" xr:uid="{00000000-0005-0000-0000-00001C080000}"/>
    <cellStyle name="Normal 26 2" xfId="2023" xr:uid="{00000000-0005-0000-0000-00001D080000}"/>
    <cellStyle name="Normal 27" xfId="2169" xr:uid="{00000000-0005-0000-0000-00001E080000}"/>
    <cellStyle name="Normal 27 2" xfId="2170" xr:uid="{00000000-0005-0000-0000-00001F080000}"/>
    <cellStyle name="Normal 27 2 2" xfId="2171" xr:uid="{00000000-0005-0000-0000-000020080000}"/>
    <cellStyle name="Normal 27_REPORTING PACKAGE 2" xfId="2024" xr:uid="{00000000-0005-0000-0000-000021080000}"/>
    <cellStyle name="Normal 28" xfId="2172" xr:uid="{00000000-0005-0000-0000-000022080000}"/>
    <cellStyle name="Normal 28 2" xfId="2182" xr:uid="{00000000-0005-0000-0000-000023080000}"/>
    <cellStyle name="Normal 28 2 2 7" xfId="2025" xr:uid="{00000000-0005-0000-0000-000024080000}"/>
    <cellStyle name="Normal 29" xfId="2173" xr:uid="{00000000-0005-0000-0000-000025080000}"/>
    <cellStyle name="Normal 3" xfId="2026" xr:uid="{00000000-0005-0000-0000-000026080000}"/>
    <cellStyle name="Normal 3 2" xfId="2027" xr:uid="{00000000-0005-0000-0000-000027080000}"/>
    <cellStyle name="Normal 3 3" xfId="2028" xr:uid="{00000000-0005-0000-0000-000028080000}"/>
    <cellStyle name="Normal 3 4" xfId="2029" xr:uid="{00000000-0005-0000-0000-000029080000}"/>
    <cellStyle name="Normal 3 5" xfId="2117" xr:uid="{00000000-0005-0000-0000-00002A080000}"/>
    <cellStyle name="Normal 3_Hoja1" xfId="2030" xr:uid="{00000000-0005-0000-0000-00002B080000}"/>
    <cellStyle name="Normal 30" xfId="2031" xr:uid="{00000000-0005-0000-0000-00002C080000}"/>
    <cellStyle name="Normal 31" xfId="2032" xr:uid="{00000000-0005-0000-0000-00002D080000}"/>
    <cellStyle name="Normal 32" xfId="2033" xr:uid="{00000000-0005-0000-0000-00002E080000}"/>
    <cellStyle name="Normal 33" xfId="2116" xr:uid="{00000000-0005-0000-0000-00002F080000}"/>
    <cellStyle name="Normal 34" xfId="2180" xr:uid="{00000000-0005-0000-0000-000030080000}"/>
    <cellStyle name="Normal 35" xfId="2179" xr:uid="{00000000-0005-0000-0000-000031080000}"/>
    <cellStyle name="Normal 36" xfId="2183" xr:uid="{00000000-0005-0000-0000-000032080000}"/>
    <cellStyle name="Normal 4" xfId="2034" xr:uid="{00000000-0005-0000-0000-000033080000}"/>
    <cellStyle name="Normal 4 2" xfId="2035" xr:uid="{00000000-0005-0000-0000-000034080000}"/>
    <cellStyle name="Normal 4 2 2" xfId="2036" xr:uid="{00000000-0005-0000-0000-000035080000}"/>
    <cellStyle name="Normal 43" xfId="2037" xr:uid="{00000000-0005-0000-0000-000036080000}"/>
    <cellStyle name="Normal 5" xfId="2038" xr:uid="{00000000-0005-0000-0000-000037080000}"/>
    <cellStyle name="Normal 5 2" xfId="2039" xr:uid="{00000000-0005-0000-0000-000038080000}"/>
    <cellStyle name="Normal 5 3" xfId="4" xr:uid="{00000000-0005-0000-0000-000039080000}"/>
    <cellStyle name="Normal 5 3 2" xfId="2040" xr:uid="{00000000-0005-0000-0000-00003A080000}"/>
    <cellStyle name="Normal 5 4" xfId="2041" xr:uid="{00000000-0005-0000-0000-00003B080000}"/>
    <cellStyle name="Normal 6" xfId="2042" xr:uid="{00000000-0005-0000-0000-00003C080000}"/>
    <cellStyle name="Normal 6 2" xfId="2043" xr:uid="{00000000-0005-0000-0000-00003D080000}"/>
    <cellStyle name="Normal 6 3" xfId="2044" xr:uid="{00000000-0005-0000-0000-00003E080000}"/>
    <cellStyle name="Normal 69" xfId="2045" xr:uid="{00000000-0005-0000-0000-00003F080000}"/>
    <cellStyle name="Normal 7" xfId="2046" xr:uid="{00000000-0005-0000-0000-000040080000}"/>
    <cellStyle name="Normal 7 2" xfId="2047" xr:uid="{00000000-0005-0000-0000-000041080000}"/>
    <cellStyle name="Normal 7 3" xfId="2048" xr:uid="{00000000-0005-0000-0000-000042080000}"/>
    <cellStyle name="Normal 7 4" xfId="2049" xr:uid="{00000000-0005-0000-0000-000043080000}"/>
    <cellStyle name="Normal 79" xfId="2050" xr:uid="{00000000-0005-0000-0000-000044080000}"/>
    <cellStyle name="Normal 8" xfId="2051" xr:uid="{00000000-0005-0000-0000-000045080000}"/>
    <cellStyle name="Normal 8 2" xfId="2052" xr:uid="{00000000-0005-0000-0000-000046080000}"/>
    <cellStyle name="Normal 8 3" xfId="2053" xr:uid="{00000000-0005-0000-0000-000047080000}"/>
    <cellStyle name="Normal 9" xfId="2054" xr:uid="{00000000-0005-0000-0000-000048080000}"/>
    <cellStyle name="Normal 9 2" xfId="2055" xr:uid="{00000000-0005-0000-0000-000049080000}"/>
    <cellStyle name="Normal 9 3" xfId="2056" xr:uid="{00000000-0005-0000-0000-00004A080000}"/>
    <cellStyle name="Normal header" xfId="2057" xr:uid="{00000000-0005-0000-0000-00004B080000}"/>
    <cellStyle name="Normal header 2" xfId="2058" xr:uid="{00000000-0005-0000-0000-00004C080000}"/>
    <cellStyle name="Normal header 3" xfId="2059" xr:uid="{00000000-0005-0000-0000-00004D080000}"/>
    <cellStyle name="Normal welcome" xfId="2060" xr:uid="{00000000-0005-0000-0000-00004E080000}"/>
    <cellStyle name="Normal_B&amp;B93 2" xfId="2061" xr:uid="{00000000-0005-0000-0000-00004F080000}"/>
    <cellStyle name="Normal_Estados Financieros 2007 2" xfId="2113" xr:uid="{00000000-0005-0000-0000-000050080000}"/>
    <cellStyle name="Normal1" xfId="2062" xr:uid="{00000000-0005-0000-0000-000051080000}"/>
    <cellStyle name="Normale_01" xfId="2063" xr:uid="{00000000-0005-0000-0000-000052080000}"/>
    <cellStyle name="NormalGB" xfId="2064" xr:uid="{00000000-0005-0000-0000-000053080000}"/>
    <cellStyle name="NormalHelv" xfId="2065" xr:uid="{00000000-0005-0000-0000-000054080000}"/>
    <cellStyle name="NormalMultiple" xfId="2066" xr:uid="{00000000-0005-0000-0000-000055080000}"/>
    <cellStyle name="normálne_Workforce" xfId="2067" xr:uid="{00000000-0005-0000-0000-000056080000}"/>
    <cellStyle name="Normalny_June 1997_1" xfId="2068" xr:uid="{00000000-0005-0000-0000-000057080000}"/>
    <cellStyle name="Nota" xfId="2069" xr:uid="{00000000-0005-0000-0000-000058080000}"/>
    <cellStyle name="Notas 2" xfId="2070" xr:uid="{00000000-0005-0000-0000-000059080000}"/>
    <cellStyle name="Note" xfId="2174" xr:uid="{00000000-0005-0000-0000-00005A080000}"/>
    <cellStyle name="Nr" xfId="2071" xr:uid="{00000000-0005-0000-0000-00005B080000}"/>
    <cellStyle name="Nr 2" xfId="2072" xr:uid="{00000000-0005-0000-0000-00005C080000}"/>
    <cellStyle name="number" xfId="2073" xr:uid="{00000000-0005-0000-0000-00005D080000}"/>
    <cellStyle name="Number 1" xfId="2074" xr:uid="{00000000-0005-0000-0000-00005E080000}"/>
    <cellStyle name="Number II" xfId="2075" xr:uid="{00000000-0005-0000-0000-00005F080000}"/>
    <cellStyle name="Number_WACC_Odebrecht Comparativa" xfId="2076" xr:uid="{00000000-0005-0000-0000-000060080000}"/>
    <cellStyle name="Numberi" xfId="2077" xr:uid="{00000000-0005-0000-0000-000061080000}"/>
    <cellStyle name="nx" xfId="2078" xr:uid="{00000000-0005-0000-0000-000062080000}"/>
    <cellStyle name="Objekte" xfId="2079" xr:uid="{00000000-0005-0000-0000-000063080000}"/>
    <cellStyle name="Œ…‹æØ‚è [0.00]_!!!GO" xfId="2080" xr:uid="{00000000-0005-0000-0000-000064080000}"/>
    <cellStyle name="Œ…‹æØ‚è_!!!GO" xfId="2081" xr:uid="{00000000-0005-0000-0000-000065080000}"/>
    <cellStyle name="op header" xfId="2082" xr:uid="{00000000-0005-0000-0000-000066080000}"/>
    <cellStyle name="OScommands" xfId="2083" xr:uid="{00000000-0005-0000-0000-000067080000}"/>
    <cellStyle name="OSW_ColumnLabels" xfId="2084" xr:uid="{00000000-0005-0000-0000-000068080000}"/>
    <cellStyle name="Output" xfId="2175" xr:uid="{00000000-0005-0000-0000-000069080000}"/>
    <cellStyle name="Output Amounts" xfId="2085" xr:uid="{00000000-0005-0000-0000-00006A080000}"/>
    <cellStyle name="Output Amounts 2" xfId="2086" xr:uid="{00000000-0005-0000-0000-00006B080000}"/>
    <cellStyle name="Output Column Headings" xfId="2087" xr:uid="{00000000-0005-0000-0000-00006C080000}"/>
    <cellStyle name="Output Line Items" xfId="2088" xr:uid="{00000000-0005-0000-0000-00006D080000}"/>
    <cellStyle name="Output Report Heading" xfId="2089" xr:uid="{00000000-0005-0000-0000-00006E080000}"/>
    <cellStyle name="Output Report Title" xfId="2090" xr:uid="{00000000-0005-0000-0000-00006F080000}"/>
    <cellStyle name="Percent 2" xfId="2091" xr:uid="{00000000-0005-0000-0000-000070080000}"/>
    <cellStyle name="Percent 2 2" xfId="2092" xr:uid="{00000000-0005-0000-0000-000071080000}"/>
    <cellStyle name="Percent 3" xfId="2093" xr:uid="{00000000-0005-0000-0000-000072080000}"/>
    <cellStyle name="Percent 4" xfId="2094" xr:uid="{00000000-0005-0000-0000-000073080000}"/>
    <cellStyle name="Percent 5" xfId="2095" xr:uid="{00000000-0005-0000-0000-000074080000}"/>
    <cellStyle name="Porcentaje" xfId="1" builtinId="5"/>
    <cellStyle name="Porcentaje 2" xfId="2096" xr:uid="{00000000-0005-0000-0000-000076080000}"/>
    <cellStyle name="Porcentaje 2 2" xfId="2097" xr:uid="{00000000-0005-0000-0000-000077080000}"/>
    <cellStyle name="Porcentaje 3" xfId="2098" xr:uid="{00000000-0005-0000-0000-000078080000}"/>
    <cellStyle name="Porcentaje 4" xfId="2119" xr:uid="{00000000-0005-0000-0000-000079080000}"/>
    <cellStyle name="Porcentual 2" xfId="2099" xr:uid="{00000000-0005-0000-0000-00007A080000}"/>
    <cellStyle name="Porcentual 2 2" xfId="2100" xr:uid="{00000000-0005-0000-0000-00007B080000}"/>
    <cellStyle name="Porcentual 3" xfId="2101" xr:uid="{00000000-0005-0000-0000-00007C080000}"/>
    <cellStyle name="Result" xfId="2102" xr:uid="{00000000-0005-0000-0000-00007D080000}"/>
    <cellStyle name="Result2" xfId="2103" xr:uid="{00000000-0005-0000-0000-00007E080000}"/>
    <cellStyle name="Salida 2" xfId="2104" xr:uid="{00000000-0005-0000-0000-00007F080000}"/>
    <cellStyle name="Texto de advertencia 2" xfId="2105" xr:uid="{00000000-0005-0000-0000-000080080000}"/>
    <cellStyle name="Texto explicativo 2" xfId="2106" xr:uid="{00000000-0005-0000-0000-000081080000}"/>
    <cellStyle name="Title" xfId="2176" xr:uid="{00000000-0005-0000-0000-000082080000}"/>
    <cellStyle name="Título 1 2" xfId="2107" xr:uid="{00000000-0005-0000-0000-000083080000}"/>
    <cellStyle name="Título 2 2" xfId="2108" xr:uid="{00000000-0005-0000-0000-000084080000}"/>
    <cellStyle name="Título 3 2" xfId="2109" xr:uid="{00000000-0005-0000-0000-000085080000}"/>
    <cellStyle name="Título 4" xfId="2110" xr:uid="{00000000-0005-0000-0000-000086080000}"/>
    <cellStyle name="Total 2" xfId="2111" xr:uid="{00000000-0005-0000-0000-000087080000}"/>
    <cellStyle name="Warning Text" xfId="2177" xr:uid="{00000000-0005-0000-0000-00008808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9D9D9"/>
      <color rgb="FFB5FD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z\SERVIDOR\ARCHIVOS%20BASES\CONTABILIDADES\LORENA\CalendarioTributario_automatizado_para_2012%20revisori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contabilidades\archivos%20bases\CONTABILIDADES\046%20SILLA%20TRES%20SAS\16.%20NIIF\2-%20PT%20Activos%20intangibl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CONTABILIDADES\046%20SILLA%20TRES%20SAS\16.%20NIIF\2-%20PT%20Activos%20intangibl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contabilidades\ARCHIVOS%20BASES\ARCHIVOS%20BASES\WINDOWS\TEMP\notesFFF692\~732096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WINDOWS\TEMP\notesFFF692\~7320969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contabilidades\ARCHIVOS%20BASES\ARCHIVOS%20BASES\CONTABILIDADES\107%20JARU\NIIF\ESFA\13-%20PT%20Propiedad%20planta%20y%20equip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CONTABILIDADES\107%20JARU\NIIF\ESFA\13-%20PT%20Propiedad%20planta%20y%20equip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1\Aplic\Documents%20and%20Settings\lmvq2209\Configuraci&#243;n%20local\Archivos%20temporales%20de%20Internet\Content.Outlook\BQMJ23E7\Inversiones%20Oscar\GECC%20de%20Programa%20de%20las%20Inversiones%20en%20los%20EEFF%20Separad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CBFB716\2-%20PT%20Activos%20intangibl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r\archivos%20bases\Users\ADRIANA\Downloads\Obliga%20fras%20%20resumen%20contable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1\Aplic\ARCHIVOS%20BASES\ARCHIVOS%20BASES\archivos%20bases\archivos%20bases\archivos%20bases\archivos%20bases\archivos%20bases\archivos%20bases\archivos%20bases\Users\ADRIANA\Downloads\Obliga%20fras%20%20resumen%20contable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Users\Raul\Documents\TRABAJO\LEONISA\Junio%20Colombia\Arrendamientos\Contratos\Leasing\Votre\Financiero\Veh&#237;culos\501715\N17-F01-%20Formas%20201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r\ARCHIVOS%20BASES\archivos%20bases\archivos%20bases\ARCHIVOS%20BASES\ARCHIVOS%20BASES\ARCHIVOS%20BASES\ARCHIVOS%20BASES\archivos%20bases\CONTABILIDADES\046%20SILLA%20TRES%20SAS\16.%20NIIF\2-%20PT%20Activos%20intangibl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contabilidades\archivos%20bases\archivos%20bases\ARCHIVOS%20BASES\archivos%20bases\archivos%20bases\archivos%20bases\Users\Usuario\Downloads\HOJA%20BALANCE%20DE%20APERTURA%20SAN%20ROQUE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Users\Usuario\Downloads\HOJA%20BALANCE%20DE%20APERTURA%20SAN%20ROQU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.RES.F"/>
      <sheetName val="PRIMORDIAL"/>
      <sheetName val="DOÑA ELENA"/>
      <sheetName val="EL DORADO"/>
      <sheetName val="PISAS"/>
      <sheetName val="datos decreto y Resol"/>
      <sheetName val="Hoja1"/>
    </sheetNames>
    <sheetDataSet>
      <sheetData sheetId="0"/>
      <sheetData sheetId="1"/>
      <sheetData sheetId="2"/>
      <sheetData sheetId="3"/>
      <sheetData sheetId="4"/>
      <sheetData sheetId="5">
        <row r="7">
          <cell r="E7">
            <v>1</v>
          </cell>
          <cell r="F7" t="str">
            <v>8 de Marzo de 2012</v>
          </cell>
          <cell r="H7" t="str">
            <v>9 de Mayo de 2012</v>
          </cell>
          <cell r="J7" t="str">
            <v>10  de Julio de 2012</v>
          </cell>
          <cell r="L7" t="str">
            <v>10 de Septiembre de 2012</v>
          </cell>
          <cell r="N7" t="str">
            <v>9 de Noviembre de 2012</v>
          </cell>
          <cell r="P7" t="str">
            <v>10 de Enero de 2013</v>
          </cell>
        </row>
        <row r="8">
          <cell r="E8">
            <v>2</v>
          </cell>
          <cell r="F8" t="str">
            <v>9  de Marzo de 2012</v>
          </cell>
          <cell r="H8" t="str">
            <v>10 de Mayo de 2012</v>
          </cell>
          <cell r="J8" t="str">
            <v>11 de Julio de 2012</v>
          </cell>
          <cell r="L8" t="str">
            <v>11 de Septiembre de 2012</v>
          </cell>
          <cell r="N8" t="str">
            <v>13 de Noviembre de 2012</v>
          </cell>
          <cell r="P8" t="str">
            <v>11 de Enero de 2013</v>
          </cell>
        </row>
        <row r="9">
          <cell r="E9">
            <v>3</v>
          </cell>
          <cell r="F9" t="str">
            <v>12 de Marzo de 2012</v>
          </cell>
          <cell r="H9" t="str">
            <v>11 de Mayo de 2012</v>
          </cell>
          <cell r="J9" t="str">
            <v>12 de Julio de 2012</v>
          </cell>
          <cell r="L9" t="str">
            <v>12 de Septiembre de 2012</v>
          </cell>
          <cell r="N9" t="str">
            <v>14 de Noviembre de 2012</v>
          </cell>
          <cell r="P9" t="str">
            <v>14 de Enero de 2013</v>
          </cell>
        </row>
        <row r="10">
          <cell r="E10">
            <v>4</v>
          </cell>
          <cell r="F10" t="str">
            <v>13 de Marzo de 2012</v>
          </cell>
          <cell r="H10" t="str">
            <v>14 de Mayo de 2012</v>
          </cell>
          <cell r="J10" t="str">
            <v>13 de Julio de 2012</v>
          </cell>
          <cell r="L10" t="str">
            <v>13 de Septiembre de 2012</v>
          </cell>
          <cell r="N10" t="str">
            <v>15 de Noviembre de 2012</v>
          </cell>
          <cell r="P10" t="str">
            <v>15 de Enero de 2013</v>
          </cell>
        </row>
        <row r="11">
          <cell r="E11">
            <v>5</v>
          </cell>
          <cell r="F11" t="str">
            <v>14 de Marzo de 2012</v>
          </cell>
          <cell r="H11" t="str">
            <v>15 de Mayo de 2012</v>
          </cell>
          <cell r="J11" t="str">
            <v>16 de Julio de 2012</v>
          </cell>
          <cell r="L11" t="str">
            <v>14 de Septiembre de 2012</v>
          </cell>
          <cell r="N11" t="str">
            <v>16 de Noviembre de 2012</v>
          </cell>
          <cell r="P11" t="str">
            <v>16 de Enero de 2013</v>
          </cell>
        </row>
        <row r="12">
          <cell r="E12">
            <v>6</v>
          </cell>
          <cell r="F12" t="str">
            <v>15 de Marzo de 2012</v>
          </cell>
          <cell r="H12" t="str">
            <v>16 de Mayo de 2012</v>
          </cell>
          <cell r="J12" t="str">
            <v>17 de Julio de 2012</v>
          </cell>
          <cell r="L12" t="str">
            <v>17 de Septiembre de 2012</v>
          </cell>
          <cell r="N12" t="str">
            <v>19 de Noviembre de 2012</v>
          </cell>
          <cell r="P12" t="str">
            <v>17 de Enero de 2013</v>
          </cell>
        </row>
        <row r="13">
          <cell r="E13">
            <v>7</v>
          </cell>
          <cell r="F13" t="str">
            <v>16 de Marzo de 2012</v>
          </cell>
          <cell r="H13" t="str">
            <v>17 de Mayo de 2012</v>
          </cell>
          <cell r="J13" t="str">
            <v>18 de Julio de 2012</v>
          </cell>
          <cell r="L13" t="str">
            <v>18 de Septiembre de 2012</v>
          </cell>
          <cell r="N13" t="str">
            <v>20 de Noviembre de 2012</v>
          </cell>
          <cell r="P13" t="str">
            <v>18 de Enero de 2013</v>
          </cell>
        </row>
        <row r="14">
          <cell r="E14">
            <v>8</v>
          </cell>
          <cell r="F14" t="str">
            <v>20 de Marzo de 2012</v>
          </cell>
          <cell r="H14" t="str">
            <v>18 de Mayo de 2012</v>
          </cell>
          <cell r="J14" t="str">
            <v>19 de Julio de 2012</v>
          </cell>
          <cell r="L14" t="str">
            <v>19 de Septiembre de 2012</v>
          </cell>
          <cell r="N14" t="str">
            <v>21 de Noviembre de 2012</v>
          </cell>
          <cell r="P14" t="str">
            <v>21 de Enero de 2013</v>
          </cell>
        </row>
        <row r="15">
          <cell r="E15">
            <v>9</v>
          </cell>
          <cell r="F15" t="str">
            <v>21 de Marzo de 2012</v>
          </cell>
          <cell r="H15" t="str">
            <v>22 de Mayo de 2012</v>
          </cell>
          <cell r="J15" t="str">
            <v>23 de Julio de 2012</v>
          </cell>
          <cell r="L15" t="str">
            <v>20 de Septiembre de 2012</v>
          </cell>
          <cell r="N15" t="str">
            <v>22 de Noviembre de 2012</v>
          </cell>
          <cell r="P15" t="str">
            <v>22 de Enero de 2013</v>
          </cell>
        </row>
        <row r="16">
          <cell r="E16">
            <v>0</v>
          </cell>
          <cell r="F16" t="str">
            <v>22 de Marzo de 2012</v>
          </cell>
          <cell r="H16" t="str">
            <v>23 de Mayo de 2012</v>
          </cell>
          <cell r="J16" t="str">
            <v>24 de Julio de 2012</v>
          </cell>
          <cell r="L16" t="str">
            <v>21 de Septiembre de 2012</v>
          </cell>
          <cell r="N16" t="str">
            <v>23 de Noviembre de 2012</v>
          </cell>
          <cell r="P16" t="str">
            <v>23 de Enero de 2013</v>
          </cell>
        </row>
        <row r="25">
          <cell r="E25">
            <v>1</v>
          </cell>
          <cell r="F25" t="str">
            <v>8 de Febrero 2012</v>
          </cell>
          <cell r="G25" t="str">
            <v>8 de Marzo de 2012</v>
          </cell>
          <cell r="H25" t="str">
            <v>11 de Abril 2012</v>
          </cell>
          <cell r="I25" t="str">
            <v>9 de Mayo de 2012</v>
          </cell>
          <cell r="J25" t="str">
            <v>8 de Junio 2012</v>
          </cell>
          <cell r="K25" t="str">
            <v>10  de Julio de 2012</v>
          </cell>
          <cell r="L25" t="str">
            <v>9 de Agosto 2012</v>
          </cell>
          <cell r="M25" t="str">
            <v>10 de Septiembre de 2012</v>
          </cell>
          <cell r="N25" t="str">
            <v>08 de Octubre 2012</v>
          </cell>
          <cell r="O25" t="str">
            <v>9 de Noviembre de 2012</v>
          </cell>
          <cell r="P25" t="str">
            <v>10 de Diciembre 2012</v>
          </cell>
          <cell r="Q25" t="str">
            <v>10 de Enero de 2013</v>
          </cell>
        </row>
        <row r="26">
          <cell r="E26">
            <v>2</v>
          </cell>
          <cell r="F26" t="str">
            <v>9 de Febrero 2012</v>
          </cell>
          <cell r="G26" t="str">
            <v>9  de Marzo de 2012</v>
          </cell>
          <cell r="H26" t="str">
            <v>12 de Abril 2012</v>
          </cell>
          <cell r="I26" t="str">
            <v>10 de Mayo de 2012</v>
          </cell>
          <cell r="J26" t="str">
            <v>12 de Junio 2012</v>
          </cell>
          <cell r="K26" t="str">
            <v>11 de Julio de 2012</v>
          </cell>
          <cell r="L26" t="str">
            <v>10 de Agosto 2012</v>
          </cell>
          <cell r="M26" t="str">
            <v>11 de Septiembre de 2012</v>
          </cell>
          <cell r="N26" t="str">
            <v>09 de Octubre 2012</v>
          </cell>
          <cell r="O26" t="str">
            <v>13 de Noviembre de 2012</v>
          </cell>
          <cell r="P26" t="str">
            <v>11 de Diciembre 2012</v>
          </cell>
          <cell r="Q26" t="str">
            <v>11 de Enero de 2013</v>
          </cell>
        </row>
        <row r="27">
          <cell r="E27">
            <v>3</v>
          </cell>
          <cell r="F27" t="str">
            <v>10 de Febrero 2012</v>
          </cell>
          <cell r="G27" t="str">
            <v>12 de Marzo de 2012</v>
          </cell>
          <cell r="H27" t="str">
            <v>13 de Abril 2012</v>
          </cell>
          <cell r="I27" t="str">
            <v>11 de Mayo de 2012</v>
          </cell>
          <cell r="J27" t="str">
            <v>13 de Junio 2012</v>
          </cell>
          <cell r="K27" t="str">
            <v>12 de Julio de 2012</v>
          </cell>
          <cell r="L27" t="str">
            <v>13 de Agosto 2012</v>
          </cell>
          <cell r="M27" t="str">
            <v>12 de Septiembre de 2012</v>
          </cell>
          <cell r="N27" t="str">
            <v>10 de Octubre 2012</v>
          </cell>
          <cell r="O27" t="str">
            <v>14 de Noviembre de 2012</v>
          </cell>
          <cell r="P27" t="str">
            <v>12 de Diciembre 2012</v>
          </cell>
          <cell r="Q27" t="str">
            <v>14 de Enero de 2013</v>
          </cell>
        </row>
        <row r="28">
          <cell r="E28">
            <v>4</v>
          </cell>
          <cell r="F28" t="str">
            <v>13 de Febrero 2012</v>
          </cell>
          <cell r="G28" t="str">
            <v>13 de Marzo de 2012</v>
          </cell>
          <cell r="H28" t="str">
            <v>16 de Abril 2012</v>
          </cell>
          <cell r="I28" t="str">
            <v>14 de Mayo de 2012</v>
          </cell>
          <cell r="J28" t="str">
            <v>14 de Junio 2012</v>
          </cell>
          <cell r="K28" t="str">
            <v>13 de Julio de 2012</v>
          </cell>
          <cell r="L28" t="str">
            <v>14 de Agosto 2012</v>
          </cell>
          <cell r="M28" t="str">
            <v>13 de Septiembre de 2012</v>
          </cell>
          <cell r="N28" t="str">
            <v>11 de Octubre 2012</v>
          </cell>
          <cell r="O28" t="str">
            <v>15 de Noviembre de 2012</v>
          </cell>
          <cell r="P28" t="str">
            <v>13 de Diciembre 2012</v>
          </cell>
          <cell r="Q28" t="str">
            <v>15 de Enero de 2013</v>
          </cell>
        </row>
        <row r="29">
          <cell r="E29">
            <v>5</v>
          </cell>
          <cell r="F29" t="str">
            <v>14 de Febrero 2012</v>
          </cell>
          <cell r="G29" t="str">
            <v>14 de Marzo de 2012</v>
          </cell>
          <cell r="H29" t="str">
            <v>17 de Abril 2012</v>
          </cell>
          <cell r="I29" t="str">
            <v>15 de Mayo de 2012</v>
          </cell>
          <cell r="J29" t="str">
            <v>15 de Junio 2012</v>
          </cell>
          <cell r="K29" t="str">
            <v>16 de Julio de 2012</v>
          </cell>
          <cell r="L29" t="str">
            <v>15 de Agosto 2012</v>
          </cell>
          <cell r="M29" t="str">
            <v>14 de Septiembre de 2012</v>
          </cell>
          <cell r="N29" t="str">
            <v>12 de Octubre 2012</v>
          </cell>
          <cell r="O29" t="str">
            <v>16 de Noviembre de 2012</v>
          </cell>
          <cell r="P29" t="str">
            <v>14 de Diciembre 2012</v>
          </cell>
          <cell r="Q29" t="str">
            <v>16 de Enero de 2013</v>
          </cell>
        </row>
        <row r="30">
          <cell r="E30">
            <v>6</v>
          </cell>
          <cell r="F30" t="str">
            <v>15 de Febrero 2012</v>
          </cell>
          <cell r="G30" t="str">
            <v>15 de Marzo de 2012</v>
          </cell>
          <cell r="H30" t="str">
            <v>18 de Abril 2012</v>
          </cell>
          <cell r="I30" t="str">
            <v>16 de Mayo de 2012</v>
          </cell>
          <cell r="J30" t="str">
            <v>19 de Junio 2012</v>
          </cell>
          <cell r="K30" t="str">
            <v>17 de Julio de 2012</v>
          </cell>
          <cell r="L30" t="str">
            <v>16 de Agosto 2012</v>
          </cell>
          <cell r="M30" t="str">
            <v>17 de Septiembre de 2012</v>
          </cell>
          <cell r="N30" t="str">
            <v>16 de Octubre 2012</v>
          </cell>
          <cell r="O30" t="str">
            <v>19 de Noviembre de 2012</v>
          </cell>
          <cell r="P30" t="str">
            <v>17 de Diciembre 2012</v>
          </cell>
          <cell r="Q30" t="str">
            <v>17 de Enero de 2013</v>
          </cell>
        </row>
        <row r="31">
          <cell r="E31">
            <v>7</v>
          </cell>
          <cell r="F31" t="str">
            <v>16 de Febrero 2012</v>
          </cell>
          <cell r="G31" t="str">
            <v>16 de Marzo de 2012</v>
          </cell>
          <cell r="H31" t="str">
            <v>19 de Abril 2012</v>
          </cell>
          <cell r="I31" t="str">
            <v>17 de Mayo de 2012</v>
          </cell>
          <cell r="J31" t="str">
            <v>20 de Junio 2012</v>
          </cell>
          <cell r="K31" t="str">
            <v>18 de Julio de 2012</v>
          </cell>
          <cell r="L31" t="str">
            <v>17 de Agosto 2012</v>
          </cell>
          <cell r="M31" t="str">
            <v>18 de Septiembre de 2012</v>
          </cell>
          <cell r="N31" t="str">
            <v>17 de Octubre 2012</v>
          </cell>
          <cell r="O31" t="str">
            <v>20 de Noviembre de 2012</v>
          </cell>
          <cell r="P31" t="str">
            <v>18 de Diciembre 2012</v>
          </cell>
          <cell r="Q31" t="str">
            <v>18 de Enero de 2013</v>
          </cell>
        </row>
        <row r="32">
          <cell r="E32">
            <v>8</v>
          </cell>
          <cell r="F32" t="str">
            <v>17 de Febrero 2012</v>
          </cell>
          <cell r="G32" t="str">
            <v>20 de Marzo de 2012</v>
          </cell>
          <cell r="H32" t="str">
            <v>20 de Abril 2012</v>
          </cell>
          <cell r="I32" t="str">
            <v>18 de Mayo de 2012</v>
          </cell>
          <cell r="J32" t="str">
            <v>21 de Junio 2012</v>
          </cell>
          <cell r="K32" t="str">
            <v>19 de Julio de 2012</v>
          </cell>
          <cell r="L32" t="str">
            <v>21 de Agosto 2012</v>
          </cell>
          <cell r="M32" t="str">
            <v>19 de Septiembre de 2012</v>
          </cell>
          <cell r="N32" t="str">
            <v>18 de Octubre 2012</v>
          </cell>
          <cell r="O32" t="str">
            <v>21 de Noviembre de 2012</v>
          </cell>
          <cell r="P32" t="str">
            <v>19 de Diciembre 2012</v>
          </cell>
          <cell r="Q32" t="str">
            <v>21 de Enero de 2013</v>
          </cell>
        </row>
        <row r="33">
          <cell r="E33">
            <v>9</v>
          </cell>
          <cell r="F33" t="str">
            <v>20 de Febrero 2012</v>
          </cell>
          <cell r="G33" t="str">
            <v>21 de Marzo de 2012</v>
          </cell>
          <cell r="H33" t="str">
            <v>23 de Abril 2012</v>
          </cell>
          <cell r="I33" t="str">
            <v>22 de Mayo de 2012</v>
          </cell>
          <cell r="J33" t="str">
            <v>22 de Junio 2012</v>
          </cell>
          <cell r="K33" t="str">
            <v>23 de Julio de 2012</v>
          </cell>
          <cell r="L33" t="str">
            <v>22 de Agosto 2012</v>
          </cell>
          <cell r="M33" t="str">
            <v>20 de Septiembre de 2012</v>
          </cell>
          <cell r="N33" t="str">
            <v>19 de Octubre 2012</v>
          </cell>
          <cell r="O33" t="str">
            <v>22 de Noviembre de 2012</v>
          </cell>
          <cell r="P33" t="str">
            <v>20 de Diciembre 2012</v>
          </cell>
          <cell r="Q33" t="str">
            <v>22 de Enero de 2013</v>
          </cell>
        </row>
        <row r="34">
          <cell r="E34">
            <v>0</v>
          </cell>
          <cell r="F34" t="str">
            <v>21 de Febrero 2012</v>
          </cell>
          <cell r="G34" t="str">
            <v>22 de Marzo de 2012</v>
          </cell>
          <cell r="H34" t="str">
            <v>24 de Abril 2012</v>
          </cell>
          <cell r="I34" t="str">
            <v>23 de Mayo de 2012</v>
          </cell>
          <cell r="J34" t="str">
            <v>25 de Junio 2012</v>
          </cell>
          <cell r="K34" t="str">
            <v>24 de Julio de 2012</v>
          </cell>
          <cell r="L34" t="str">
            <v>23 de Agosto 2012</v>
          </cell>
          <cell r="M34" t="str">
            <v>21 de Septiembre de 2012</v>
          </cell>
          <cell r="N34" t="str">
            <v>22 de Octubre 2012</v>
          </cell>
          <cell r="O34" t="str">
            <v>23 de Noviembre de 2012</v>
          </cell>
          <cell r="P34" t="str">
            <v>21 de Diciembre 2012</v>
          </cell>
          <cell r="Q34" t="str">
            <v>23 de Enero de 2013</v>
          </cell>
        </row>
      </sheetData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ESTIONARIO"/>
      <sheetName val="IDENTIFICACION"/>
      <sheetName val="REEXPRESION"/>
      <sheetName val="REEXPRESION 2015"/>
      <sheetName val="ADOPCION PRIMERA VEZ"/>
      <sheetName val="PROGRAMA DE TRABAJO"/>
      <sheetName val="MATRIZ AJUSTES"/>
      <sheetName val="MATRIZ AJUSTES 2"/>
      <sheetName val="PT.ALV.001.H6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9">
          <cell r="B9" t="str">
            <v xml:space="preserve">Adquiridos de forma directa, </v>
          </cell>
        </row>
        <row r="10">
          <cell r="B10" t="str">
            <v>Arrendamiento financiero</v>
          </cell>
        </row>
        <row r="11">
          <cell r="B11" t="str">
            <v>Generados internamente</v>
          </cell>
        </row>
        <row r="12">
          <cell r="B12" t="str">
            <v>Subvención del gobierno</v>
          </cell>
        </row>
        <row r="13">
          <cell r="B13" t="str">
            <v>Recibidos de terceros</v>
          </cell>
        </row>
        <row r="14">
          <cell r="B14" t="str">
            <v>Acuerdos de concesión de servicios</v>
          </cell>
        </row>
        <row r="27">
          <cell r="B27" t="str">
            <v>SI</v>
          </cell>
        </row>
        <row r="28">
          <cell r="B28" t="str">
            <v>NO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ESTIONARIO"/>
      <sheetName val="IDENTIFICACION"/>
      <sheetName val="REEXPRESION"/>
      <sheetName val="REEXPRESION 2015"/>
      <sheetName val="ADOPCION PRIMERA VEZ"/>
      <sheetName val="PROGRAMA DE TRABAJO"/>
      <sheetName val="MATRIZ AJUSTES"/>
      <sheetName val="MATRIZ AJUSTES 2"/>
      <sheetName val="PT.ALV.001.H6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9">
          <cell r="B9" t="str">
            <v xml:space="preserve">Adquiridos de forma directa, </v>
          </cell>
        </row>
        <row r="10">
          <cell r="B10" t="str">
            <v>Arrendamiento financiero</v>
          </cell>
        </row>
        <row r="11">
          <cell r="B11" t="str">
            <v>Generados internamente</v>
          </cell>
        </row>
        <row r="12">
          <cell r="B12" t="str">
            <v>Subvención del gobierno</v>
          </cell>
        </row>
        <row r="13">
          <cell r="B13" t="str">
            <v>Recibidos de terceros</v>
          </cell>
        </row>
        <row r="14">
          <cell r="B14" t="str">
            <v>Acuerdos de concesión de servicios</v>
          </cell>
        </row>
        <row r="27">
          <cell r="B27" t="str">
            <v>SI</v>
          </cell>
        </row>
        <row r="28">
          <cell r="B28" t="str">
            <v>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T.ALV.001"/>
      <sheetName val="PT.ALV.002"/>
      <sheetName val="PT.ALV.001.H1"/>
      <sheetName val="Listas"/>
    </sheetNames>
    <sheetDataSet>
      <sheetData sheetId="0"/>
      <sheetData sheetId="1"/>
      <sheetData sheetId="2"/>
      <sheetData sheetId="3">
        <row r="19">
          <cell r="B19" t="str">
            <v>SI</v>
          </cell>
        </row>
        <row r="20">
          <cell r="B20" t="str">
            <v>NO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T.ALV.001"/>
      <sheetName val="PT.ALV.002"/>
      <sheetName val="PT.ALV.001.H1"/>
      <sheetName val="Listas"/>
    </sheetNames>
    <sheetDataSet>
      <sheetData sheetId="0"/>
      <sheetData sheetId="1"/>
      <sheetData sheetId="2"/>
      <sheetData sheetId="3">
        <row r="19">
          <cell r="B19" t="str">
            <v>SI</v>
          </cell>
        </row>
        <row r="20">
          <cell r="B20" t="str">
            <v>NO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ESTIONARIO"/>
      <sheetName val="BASE GENERAL"/>
      <sheetName val="TABLA"/>
      <sheetName val="VLR. CONTABLE"/>
      <sheetName val="REEXPRESION "/>
      <sheetName val="VALOR RAZONABLE"/>
      <sheetName val="COSTO REVALUADO"/>
      <sheetName val="VIDAS UTILES"/>
      <sheetName val="CONSTRUCCIONES EN CURSO - TRANS"/>
      <sheetName val="ESFA"/>
      <sheetName val="ACTIVIDADES"/>
      <sheetName val="PERMUTAS"/>
      <sheetName val="CONSOLIDADO"/>
      <sheetName val="Propiedad Planta y Equipo"/>
      <sheetName val="Hoja2"/>
      <sheetName val="Lista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9">
          <cell r="B9" t="str">
            <v>Costo revaluado bajo PCGA local</v>
          </cell>
        </row>
        <row r="10">
          <cell r="B10" t="str">
            <v>Reexpresar</v>
          </cell>
        </row>
        <row r="11">
          <cell r="B11" t="str">
            <v>Valor razonable</v>
          </cell>
        </row>
        <row r="15">
          <cell r="B15" t="str">
            <v>Propiedades de inversión</v>
          </cell>
        </row>
        <row r="16">
          <cell r="B16" t="str">
            <v>No cumple con los cristerios de reconocimiento bajo NIIF</v>
          </cell>
        </row>
        <row r="19">
          <cell r="B19" t="str">
            <v>SI</v>
          </cell>
        </row>
        <row r="20">
          <cell r="B20" t="str">
            <v>NO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ESTIONARIO"/>
      <sheetName val="BASE GENERAL"/>
      <sheetName val="TABLA"/>
      <sheetName val="VLR. CONTABLE"/>
      <sheetName val="REEXPRESION "/>
      <sheetName val="VALOR RAZONABLE"/>
      <sheetName val="COSTO REVALUADO"/>
      <sheetName val="VIDAS UTILES"/>
      <sheetName val="CONSTRUCCIONES EN CURSO - TRANS"/>
      <sheetName val="ESFA"/>
      <sheetName val="ACTIVIDADES"/>
      <sheetName val="PERMUTAS"/>
      <sheetName val="CONSOLIDADO"/>
      <sheetName val="Propiedad Planta y Equipo"/>
      <sheetName val="Hoja2"/>
      <sheetName val="Lista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9">
          <cell r="B9" t="str">
            <v>Costo revaluado bajo PCGA local</v>
          </cell>
        </row>
        <row r="10">
          <cell r="B10" t="str">
            <v>Reexpresar</v>
          </cell>
        </row>
        <row r="11">
          <cell r="B11" t="str">
            <v>Valor razonable</v>
          </cell>
        </row>
        <row r="15">
          <cell r="B15" t="str">
            <v>Propiedades de inversión</v>
          </cell>
        </row>
        <row r="16">
          <cell r="B16" t="str">
            <v>No cumple con los cristerios de reconocimiento bajo NIIF</v>
          </cell>
        </row>
        <row r="19">
          <cell r="B19" t="str">
            <v>SI</v>
          </cell>
        </row>
        <row r="20">
          <cell r="B20" t="str">
            <v>NO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ama de Trabajo"/>
      <sheetName val="Planilla 1 - Identificación "/>
      <sheetName val="Planilla 2 - Valorización Inv."/>
      <sheetName val="Listas"/>
      <sheetName val="Hoja1"/>
    </sheetNames>
    <sheetDataSet>
      <sheetData sheetId="0"/>
      <sheetData sheetId="1"/>
      <sheetData sheetId="2"/>
      <sheetData sheetId="3">
        <row r="9">
          <cell r="B9" t="str">
            <v>PCGA local</v>
          </cell>
        </row>
        <row r="13">
          <cell r="B13" t="str">
            <v>Subsidiaria</v>
          </cell>
        </row>
        <row r="14">
          <cell r="B14" t="str">
            <v>Asociada</v>
          </cell>
        </row>
        <row r="15">
          <cell r="B15" t="str">
            <v>Mantenida para  la venta</v>
          </cell>
        </row>
        <row r="16">
          <cell r="B16" t="str">
            <v>Negocios Conjunto</v>
          </cell>
        </row>
        <row r="17">
          <cell r="B17" t="str">
            <v>Instrumento financiero</v>
          </cell>
        </row>
      </sheetData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ESTIONARIO"/>
      <sheetName val="IDENTIFICACION"/>
      <sheetName val="REEXPRESION"/>
      <sheetName val="REEXPRESION 2015"/>
      <sheetName val="ADOPCION PRIMERA VEZ"/>
      <sheetName val="PROGRAMA DE TRABAJO"/>
      <sheetName val="MATRIZ AJUSTES"/>
      <sheetName val="MATRIZ AJUSTES 2"/>
      <sheetName val="PT.ALV.001.H6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9">
          <cell r="B9" t="str">
            <v xml:space="preserve">Adquiridos de forma directa, 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Obligaciones fras."/>
      <sheetName val="Hoja1"/>
    </sheetNames>
    <sheetDataSet>
      <sheetData sheetId="0"/>
      <sheetData sheetId="1">
        <row r="15">
          <cell r="J15">
            <v>0</v>
          </cell>
        </row>
        <row r="16">
          <cell r="E16">
            <v>0</v>
          </cell>
          <cell r="J16">
            <v>0</v>
          </cell>
        </row>
        <row r="17">
          <cell r="E17">
            <v>0</v>
          </cell>
          <cell r="J17">
            <v>345000000</v>
          </cell>
        </row>
        <row r="18">
          <cell r="E18">
            <v>0</v>
          </cell>
          <cell r="J18">
            <v>345000000</v>
          </cell>
        </row>
        <row r="19">
          <cell r="E19">
            <v>0</v>
          </cell>
          <cell r="J19">
            <v>0</v>
          </cell>
        </row>
        <row r="20">
          <cell r="E20">
            <v>345000000</v>
          </cell>
          <cell r="J20">
            <v>0</v>
          </cell>
        </row>
        <row r="21">
          <cell r="E21">
            <v>0</v>
          </cell>
          <cell r="J21">
            <v>0</v>
          </cell>
        </row>
        <row r="22">
          <cell r="E22">
            <v>6.9099999999999995E-2</v>
          </cell>
          <cell r="J22">
            <v>0</v>
          </cell>
        </row>
        <row r="23">
          <cell r="E23">
            <v>0</v>
          </cell>
          <cell r="J23">
            <v>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Obligaciones fras."/>
      <sheetName val="Hoja1"/>
    </sheetNames>
    <sheetDataSet>
      <sheetData sheetId="0"/>
      <sheetData sheetId="1">
        <row r="15">
          <cell r="J15">
            <v>0</v>
          </cell>
        </row>
        <row r="16">
          <cell r="E16">
            <v>0</v>
          </cell>
          <cell r="J16">
            <v>0</v>
          </cell>
        </row>
        <row r="17">
          <cell r="E17">
            <v>0</v>
          </cell>
          <cell r="J17">
            <v>345000000</v>
          </cell>
        </row>
        <row r="18">
          <cell r="E18">
            <v>0</v>
          </cell>
          <cell r="J18">
            <v>345000000</v>
          </cell>
        </row>
        <row r="19">
          <cell r="E19">
            <v>0</v>
          </cell>
          <cell r="J19">
            <v>0</v>
          </cell>
        </row>
        <row r="20">
          <cell r="E20">
            <v>345000000</v>
          </cell>
          <cell r="J20">
            <v>0</v>
          </cell>
        </row>
        <row r="21">
          <cell r="E21">
            <v>0</v>
          </cell>
          <cell r="J21">
            <v>0</v>
          </cell>
        </row>
        <row r="22">
          <cell r="E22">
            <v>6.9099999999999995E-2</v>
          </cell>
          <cell r="J22">
            <v>0</v>
          </cell>
        </row>
        <row r="23">
          <cell r="E23">
            <v>0</v>
          </cell>
          <cell r="J23">
            <v>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N17-01"/>
      <sheetName val="FN17-01 A"/>
      <sheetName val="FN17-02"/>
      <sheetName val="FN17-03"/>
      <sheetName val="FN17-04"/>
      <sheetName val="Datos"/>
    </sheetNames>
    <sheetDataSet>
      <sheetData sheetId="0"/>
      <sheetData sheetId="1"/>
      <sheetData sheetId="2"/>
      <sheetData sheetId="3"/>
      <sheetData sheetId="4"/>
      <sheetData sheetId="5">
        <row r="6">
          <cell r="C6" t="str">
            <v>Arrendamiento Operativo</v>
          </cell>
          <cell r="D6" t="str">
            <v>Periodicos</v>
          </cell>
        </row>
        <row r="7">
          <cell r="C7" t="str">
            <v>Arrendamiento Financiero</v>
          </cell>
          <cell r="D7" t="str">
            <v>No Periodicos</v>
          </cell>
        </row>
        <row r="8">
          <cell r="C8" t="str">
            <v>Otro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ESTIONARIO"/>
      <sheetName val="IDENTIFICACION"/>
      <sheetName val="REEXPRESION"/>
      <sheetName val="REEXPRESION 2015"/>
      <sheetName val="ADOPCION PRIMERA VEZ"/>
      <sheetName val="PROGRAMA DE TRABAJO"/>
      <sheetName val="MATRIZ AJUSTES"/>
      <sheetName val="MATRIZ AJUSTES 2"/>
      <sheetName val="PT.ALV.001.H6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9">
          <cell r="B9" t="str">
            <v xml:space="preserve">Adquiridos de forma directa, 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 NIIF DEP"/>
      <sheetName val="Balance detallado"/>
      <sheetName val="Hoja Trabajo"/>
      <sheetName val="Efectivo y equivalentes"/>
      <sheetName val="Inversiones adm liq"/>
      <sheetName val="Cuentas por cobrar"/>
      <sheetName val=" DETERIORO DE CARTERA"/>
      <sheetName val="DETERIORO GLOSAS"/>
      <sheetName val="Prestamos por cobrar"/>
      <sheetName val="PROVISION PRESTAMOS "/>
      <sheetName val="Inst Derivados"/>
      <sheetName val="Inventarios"/>
      <sheetName val="DETERIORO INVENTARIO"/>
      <sheetName val="PPE"/>
      <sheetName val="Prop Inversion"/>
      <sheetName val="Intangibles"/>
      <sheetName val="Arrendamientos"/>
      <sheetName val="Act Biologicos"/>
      <sheetName val="Activos Contingentes"/>
      <sheetName val="Deterioro Valor"/>
      <sheetName val="Cuentas por pagar"/>
      <sheetName val="Prestamos por pagar"/>
      <sheetName val="Beneficios a empleados"/>
      <sheetName val=" Provision Cesantias Retroactiv"/>
      <sheetName val=" Provision Pensiones"/>
      <sheetName val="Pasivos Contingentes"/>
      <sheetName val="Provisiones"/>
      <sheetName val="Subvenciones"/>
      <sheetName val="Reclasf patrimonio"/>
      <sheetName val="Estado financiero NIC"/>
      <sheetName val="Cambios en el patrimonio"/>
    </sheetNames>
    <sheetDataSet>
      <sheetData sheetId="0">
        <row r="2">
          <cell r="B2">
            <v>1</v>
          </cell>
          <cell r="J2" t="str">
            <v>1 ACTIVOS</v>
          </cell>
        </row>
        <row r="3">
          <cell r="B3">
            <v>11</v>
          </cell>
          <cell r="J3" t="str">
            <v>11 EFECTIVO Y EQUIVALENTES AL EFECTIVO</v>
          </cell>
        </row>
        <row r="4">
          <cell r="B4">
            <v>1105</v>
          </cell>
          <cell r="J4" t="str">
            <v>1105 CAJA</v>
          </cell>
        </row>
        <row r="5">
          <cell r="B5">
            <v>110501</v>
          </cell>
          <cell r="J5" t="str">
            <v>110501 Caja principal</v>
          </cell>
        </row>
        <row r="6">
          <cell r="B6">
            <v>11050101</v>
          </cell>
          <cell r="J6" t="str">
            <v>11050101 CAJA PRINCIPAL</v>
          </cell>
        </row>
        <row r="7">
          <cell r="B7">
            <v>11050102</v>
          </cell>
          <cell r="J7" t="str">
            <v>11050102 Base Caja Principal</v>
          </cell>
        </row>
        <row r="8">
          <cell r="B8">
            <v>11050103</v>
          </cell>
          <cell r="J8" t="str">
            <v>11050103 Base Caja de Urgencias</v>
          </cell>
        </row>
        <row r="9">
          <cell r="B9">
            <v>1110</v>
          </cell>
          <cell r="J9" t="str">
            <v>1110 DEPÓSITOS EN INSTITUCIONES FINANCIERAS</v>
          </cell>
        </row>
        <row r="10">
          <cell r="B10">
            <v>111005</v>
          </cell>
          <cell r="J10" t="str">
            <v>111005 Cuenta corriente</v>
          </cell>
        </row>
        <row r="11">
          <cell r="B11">
            <v>11100501</v>
          </cell>
          <cell r="J11" t="str">
            <v>11100501 Banco Agrario Cta. 1472-</v>
          </cell>
        </row>
        <row r="12">
          <cell r="B12">
            <v>11100506</v>
          </cell>
          <cell r="J12" t="str">
            <v>11100506 Bancolombia Cta 651-1546</v>
          </cell>
        </row>
        <row r="13">
          <cell r="B13">
            <v>111006</v>
          </cell>
          <cell r="J13" t="str">
            <v>111006 Cuenta de ahorro</v>
          </cell>
        </row>
        <row r="14">
          <cell r="B14">
            <v>11100601</v>
          </cell>
          <cell r="J14" t="str">
            <v>11100601 Cooperativa San Roque -</v>
          </cell>
        </row>
        <row r="15">
          <cell r="B15">
            <v>11100602</v>
          </cell>
          <cell r="J15" t="str">
            <v>11100602 Cooperativa Multiactiva</v>
          </cell>
        </row>
        <row r="16">
          <cell r="B16">
            <v>11100605</v>
          </cell>
          <cell r="J16" t="str">
            <v>11100605 BANAGRARIO 4-1472-2-0159</v>
          </cell>
        </row>
        <row r="17">
          <cell r="B17">
            <v>11100606</v>
          </cell>
          <cell r="J17" t="str">
            <v>11100606 DAVIVIENDA DAMAS - 03640</v>
          </cell>
        </row>
        <row r="18">
          <cell r="B18">
            <v>11100607</v>
          </cell>
          <cell r="J18" t="str">
            <v>11100607 BANCOLOMBIA - APS 163913</v>
          </cell>
        </row>
        <row r="19">
          <cell r="B19">
            <v>11100608</v>
          </cell>
          <cell r="J19" t="str">
            <v>11100608 TELEMEDICINA - 163-98498</v>
          </cell>
        </row>
        <row r="20">
          <cell r="B20">
            <v>11100609</v>
          </cell>
          <cell r="J20" t="str">
            <v>11100609 BANCOLOMBIA PROYECTOS -</v>
          </cell>
        </row>
        <row r="21">
          <cell r="B21">
            <v>111008</v>
          </cell>
          <cell r="J21" t="str">
            <v>111008 Certificado de deposito de ahorro a termino</v>
          </cell>
        </row>
        <row r="22">
          <cell r="B22">
            <v>11100801</v>
          </cell>
          <cell r="J22" t="str">
            <v>11100801 C.D.A.T</v>
          </cell>
        </row>
        <row r="23">
          <cell r="B23">
            <v>11100802</v>
          </cell>
          <cell r="J23" t="str">
            <v>11100802 Bancaf‚ Cta 265-10405-9</v>
          </cell>
        </row>
        <row r="24">
          <cell r="B24">
            <v>1132</v>
          </cell>
          <cell r="J24" t="str">
            <v>1132 EFECTIVO DE USO RESTRINGIDO</v>
          </cell>
        </row>
        <row r="25">
          <cell r="B25">
            <v>113210</v>
          </cell>
          <cell r="J25" t="str">
            <v xml:space="preserve">113210 Depósitos en Instituciones Financieras </v>
          </cell>
        </row>
        <row r="26">
          <cell r="B26">
            <v>11321001</v>
          </cell>
          <cell r="J26" t="str">
            <v>11321001 TELEMEDICINA - 163-98498</v>
          </cell>
        </row>
        <row r="27">
          <cell r="B27">
            <v>11321002</v>
          </cell>
          <cell r="J27" t="str">
            <v>11321002 BANCOLOMBIA PROYECTOS -</v>
          </cell>
        </row>
        <row r="28">
          <cell r="B28">
            <v>12</v>
          </cell>
          <cell r="J28" t="str">
            <v xml:space="preserve">12 INVERSIONES E INSTRUMENTOS DERIVADOS </v>
          </cell>
        </row>
        <row r="29">
          <cell r="B29">
            <v>1224</v>
          </cell>
          <cell r="J29" t="str">
            <v>1224 INVERSIONES DE ADMINISTRACIÓN DE LIQUIDEZ AL COSTO</v>
          </cell>
        </row>
        <row r="30">
          <cell r="B30">
            <v>122415</v>
          </cell>
          <cell r="J30" t="str">
            <v xml:space="preserve">122415 Cuotas o Partes de Interés Social </v>
          </cell>
        </row>
        <row r="31">
          <cell r="B31">
            <v>12241501</v>
          </cell>
          <cell r="J31" t="str">
            <v>12241501 Entidades del Sector Solidario COHAN</v>
          </cell>
        </row>
        <row r="32">
          <cell r="B32">
            <v>12241502</v>
          </cell>
          <cell r="J32" t="str">
            <v>12241502 Cooperativa San Roque -</v>
          </cell>
        </row>
        <row r="33">
          <cell r="B33">
            <v>13</v>
          </cell>
          <cell r="J33" t="str">
            <v>13 CUENTAS POR COBRAR</v>
          </cell>
        </row>
        <row r="34">
          <cell r="B34">
            <v>1319</v>
          </cell>
          <cell r="J34" t="str">
            <v>1319 PRESTACIÓN DE SERVICIOS DE SALUD</v>
          </cell>
        </row>
        <row r="35">
          <cell r="B35">
            <v>131901</v>
          </cell>
          <cell r="J35" t="str">
            <v>131901 Plan Obligatorio de Salud (POS - EPS) – Sin facturar o con facturacion pendiente por radicar</v>
          </cell>
        </row>
        <row r="36">
          <cell r="B36">
            <v>13190101</v>
          </cell>
          <cell r="J36" t="str">
            <v>13190101 Plan Obligatorio de Salud (POS-EPS) Sin Facturar</v>
          </cell>
        </row>
        <row r="37">
          <cell r="B37">
            <v>13190102</v>
          </cell>
          <cell r="J37" t="str">
            <v>13190102 Plan Obligatorio de Salud (POS-EPS) Sin Radicar</v>
          </cell>
        </row>
        <row r="38">
          <cell r="B38">
            <v>131902</v>
          </cell>
          <cell r="J38" t="str">
            <v>131902 Plan Obligatorio de Salud (POS - EPS</v>
          </cell>
        </row>
        <row r="39">
          <cell r="B39">
            <v>13190201</v>
          </cell>
          <cell r="J39" t="str">
            <v>13190201 Plan Obligatorio de Salud (POS - EPS) Con facturacion radicada</v>
          </cell>
        </row>
        <row r="40">
          <cell r="B40">
            <v>131903</v>
          </cell>
          <cell r="J40" t="str">
            <v>131903 Plan subsidiado de salud (POSS - EPS) – Sin facturar o con facturacion pendiente por radicar</v>
          </cell>
        </row>
        <row r="41">
          <cell r="B41">
            <v>13190301</v>
          </cell>
          <cell r="J41" t="str">
            <v>13190301 Plan subsidiado de salud (POSS - EPS) Sin Facturar</v>
          </cell>
        </row>
        <row r="42">
          <cell r="B42">
            <v>13190302</v>
          </cell>
          <cell r="J42" t="str">
            <v>13190302 Plan subsidiado de salud (POSS - EPS) Sin Radicar</v>
          </cell>
        </row>
        <row r="43">
          <cell r="B43">
            <v>131904</v>
          </cell>
          <cell r="J43" t="str">
            <v>131904 Plan subsidiado de salud (POSS - EPS)</v>
          </cell>
        </row>
        <row r="44">
          <cell r="B44">
            <v>13190401</v>
          </cell>
          <cell r="J44" t="str">
            <v>13190401 Plan subsidiado de salud (POSS - EPS)- Con facturacion radicada</v>
          </cell>
        </row>
        <row r="45">
          <cell r="B45">
            <v>131908</v>
          </cell>
          <cell r="J45" t="str">
            <v>131908 Servicios de Salud – IPS Privadas – Sin facturar o con facturacion pendiente por radicar</v>
          </cell>
        </row>
        <row r="46">
          <cell r="B46">
            <v>13190801</v>
          </cell>
          <cell r="J46" t="str">
            <v>13190801 Servicios de Salud – IPS Privadas – Sin facturar o con facturacion pendiente por radicar</v>
          </cell>
        </row>
        <row r="47">
          <cell r="B47">
            <v>131909</v>
          </cell>
          <cell r="J47" t="str">
            <v xml:space="preserve">131909 Servicios de Salud por IPS Privadas – Con facturación radicada </v>
          </cell>
        </row>
        <row r="48">
          <cell r="B48">
            <v>13190901</v>
          </cell>
          <cell r="J48" t="str">
            <v>13190901 Servicios de Salud por IPS Privadas  Facturacion Radicada</v>
          </cell>
        </row>
        <row r="49">
          <cell r="B49">
            <v>131910</v>
          </cell>
          <cell r="J49" t="str">
            <v>131910 Servicios de Salud por IPS Públicas – Sin facturar o con facturado pendiente por radicar</v>
          </cell>
        </row>
        <row r="50">
          <cell r="B50">
            <v>13191001</v>
          </cell>
          <cell r="J50" t="str">
            <v>13191001 Servicios de Salud por IPS Públicas Sin Facturar</v>
          </cell>
        </row>
        <row r="51">
          <cell r="B51">
            <v>13191002</v>
          </cell>
          <cell r="J51" t="str">
            <v>13191002 Servicios de Salud por IPS Públicas Sin Radicar</v>
          </cell>
        </row>
        <row r="52">
          <cell r="B52">
            <v>131911</v>
          </cell>
          <cell r="J52" t="str">
            <v xml:space="preserve">131911 Servicios de Salud por IPS Públicas – Con facturación radicada </v>
          </cell>
        </row>
        <row r="53">
          <cell r="B53">
            <v>13191101</v>
          </cell>
          <cell r="J53" t="str">
            <v xml:space="preserve">13191101 Servicios de Salud por IPS Públicas – Con facturación radicada </v>
          </cell>
        </row>
        <row r="54">
          <cell r="B54">
            <v>131912</v>
          </cell>
          <cell r="J54" t="str">
            <v>131912 Servicios de Salud  por compañías aseguradoras – Sin facturar o con facturado pendiente por radicar</v>
          </cell>
        </row>
        <row r="55">
          <cell r="B55">
            <v>13191201</v>
          </cell>
          <cell r="J55" t="str">
            <v>13191201 Servicios de Salud  por compañías aseguradoras Sin Facturar</v>
          </cell>
        </row>
        <row r="56">
          <cell r="B56">
            <v>13191202</v>
          </cell>
          <cell r="J56" t="str">
            <v>13191202 Servicios de Salud  por compañías aseguradoras Sin Radicar</v>
          </cell>
        </row>
        <row r="57">
          <cell r="B57">
            <v>131914</v>
          </cell>
          <cell r="J57" t="str">
            <v>131914 Servicios de Salud por Entidades con régimen especial – Sin facturar o con facturado pendiente por radicar</v>
          </cell>
        </row>
        <row r="58">
          <cell r="B58">
            <v>13191401</v>
          </cell>
          <cell r="J58" t="str">
            <v>13191401 Servicios de Salud por Entidades con régimen especial Sin Facturar</v>
          </cell>
        </row>
        <row r="59">
          <cell r="B59">
            <v>13191402</v>
          </cell>
          <cell r="J59" t="str">
            <v>13191402 Servicios de Salud por Entidades con régimen especial Sin Radicar</v>
          </cell>
        </row>
        <row r="60">
          <cell r="B60">
            <v>131917</v>
          </cell>
          <cell r="J60" t="str">
            <v>131917 Atención accidentes de tránsito SOAT – Compañías de seguros</v>
          </cell>
        </row>
        <row r="61">
          <cell r="B61">
            <v>13191701</v>
          </cell>
          <cell r="J61" t="str">
            <v>13191701 Atención accidentes de tránsito SOAT – Compañías de seguros Sin Facturar</v>
          </cell>
        </row>
        <row r="62">
          <cell r="B62">
            <v>13191702</v>
          </cell>
          <cell r="J62" t="str">
            <v>13191702 Atención accidentes de tránsito SOAT – Compañías de seguros</v>
          </cell>
        </row>
        <row r="63">
          <cell r="B63">
            <v>131918</v>
          </cell>
          <cell r="J63" t="str">
            <v xml:space="preserve">131918 Atención accidentes de tránsito SOAT – Compañías de seguros – Con facturación radicada </v>
          </cell>
        </row>
        <row r="64">
          <cell r="B64">
            <v>13191801</v>
          </cell>
          <cell r="J64" t="str">
            <v xml:space="preserve">13191801 Atención accidentes de tránsito SOAT – Compañías de seguros – Con facturación radicada </v>
          </cell>
        </row>
        <row r="65">
          <cell r="B65">
            <v>131921</v>
          </cell>
          <cell r="J65" t="str">
            <v>131921 Atención con cargo al subsidio a la oferta – Sin facturar o con facturado pendiente por radicar</v>
          </cell>
        </row>
        <row r="66">
          <cell r="B66">
            <v>13192101</v>
          </cell>
          <cell r="J66" t="str">
            <v>13192101 Atención con cargo al subsidio a la oferta Sin Facturar</v>
          </cell>
        </row>
        <row r="67">
          <cell r="B67">
            <v>13192102</v>
          </cell>
          <cell r="J67" t="str">
            <v>13192102 Atención con cargo al subsidio a la oferta  Sin radicar</v>
          </cell>
        </row>
        <row r="68">
          <cell r="B68">
            <v>131922</v>
          </cell>
          <cell r="J68" t="str">
            <v xml:space="preserve">131922 Atención con cargo al subsidio a la oferta facturación radicada </v>
          </cell>
        </row>
        <row r="69">
          <cell r="B69">
            <v>13192201</v>
          </cell>
          <cell r="J69" t="str">
            <v xml:space="preserve">13192201 Atención con cargo al subsidio a la oferta Facturación radicada </v>
          </cell>
        </row>
        <row r="70">
          <cell r="B70">
            <v>131923</v>
          </cell>
          <cell r="J70" t="str">
            <v>131923 Riesgos laborales (ARL) – Sin facturar o con facturado pendiente por radicar</v>
          </cell>
        </row>
        <row r="71">
          <cell r="B71">
            <v>13192301</v>
          </cell>
          <cell r="J71" t="str">
            <v>13192301 Riesgos laborales (ARL) Sin Facturar</v>
          </cell>
        </row>
        <row r="72">
          <cell r="B72">
            <v>13192302</v>
          </cell>
          <cell r="J72" t="str">
            <v>13192302 Riesgos laborales (ARL) Sin radicar</v>
          </cell>
        </row>
        <row r="73">
          <cell r="B73">
            <v>131924</v>
          </cell>
          <cell r="J73" t="str">
            <v xml:space="preserve">131924 Riesgos laborales (ARL) – Con facturación radicada </v>
          </cell>
        </row>
        <row r="74">
          <cell r="B74">
            <v>13192401</v>
          </cell>
          <cell r="J74" t="str">
            <v>13192401 Riesgos laborales (ARL) facturacion Radicada</v>
          </cell>
        </row>
        <row r="75">
          <cell r="B75">
            <v>1384</v>
          </cell>
          <cell r="J75" t="str">
            <v>1384 OTRAS CUENTAS POR COBRAR</v>
          </cell>
        </row>
        <row r="76">
          <cell r="B76">
            <v>138490</v>
          </cell>
          <cell r="J76" t="str">
            <v>138490 Otras Cuentas por Cobrar</v>
          </cell>
        </row>
        <row r="77">
          <cell r="B77">
            <v>13849002</v>
          </cell>
          <cell r="J77" t="str">
            <v>13849002 Telefonia Celular</v>
          </cell>
        </row>
        <row r="78">
          <cell r="B78">
            <v>1385</v>
          </cell>
          <cell r="J78" t="str">
            <v>1385 Cuentas por cobrar de dificil recaudo</v>
          </cell>
        </row>
        <row r="79">
          <cell r="B79">
            <v>138509</v>
          </cell>
          <cell r="J79" t="str">
            <v>138509 Prestaciòn de servicios de salud</v>
          </cell>
        </row>
        <row r="80">
          <cell r="B80">
            <v>13850901</v>
          </cell>
          <cell r="J80" t="str">
            <v>13850901 Plan Obligatorio de Salud</v>
          </cell>
        </row>
        <row r="81">
          <cell r="B81">
            <v>13850902</v>
          </cell>
          <cell r="J81" t="str">
            <v>13850902 Plan Subsidiado de Salud</v>
          </cell>
        </row>
        <row r="82">
          <cell r="B82">
            <v>13850903</v>
          </cell>
          <cell r="J82" t="str">
            <v>13850903 Servicios de Salud Parti</v>
          </cell>
        </row>
        <row r="83">
          <cell r="B83">
            <v>13850904</v>
          </cell>
          <cell r="J83" t="str">
            <v>13850904 IPS Publicas</v>
          </cell>
        </row>
        <row r="84">
          <cell r="B84">
            <v>13850905</v>
          </cell>
          <cell r="J84" t="str">
            <v>13850905 Entidades con Regimen Especial</v>
          </cell>
        </row>
        <row r="85">
          <cell r="B85">
            <v>13850906</v>
          </cell>
          <cell r="J85" t="str">
            <v>13850906 Atención con Cargo</v>
          </cell>
        </row>
        <row r="86">
          <cell r="B86">
            <v>13850907</v>
          </cell>
          <cell r="J86" t="str">
            <v>13850907 Riesgos Profesionales</v>
          </cell>
        </row>
        <row r="87">
          <cell r="B87">
            <v>13850908</v>
          </cell>
          <cell r="J87" t="str">
            <v>13850908 Atencion Accidentes de Transito</v>
          </cell>
        </row>
        <row r="88">
          <cell r="B88">
            <v>1386</v>
          </cell>
          <cell r="J88" t="str">
            <v>1386 DETERIORO ACUMULADO DE CUENTAS POR COBRAR (CR)</v>
          </cell>
        </row>
        <row r="89">
          <cell r="B89">
            <v>138609</v>
          </cell>
          <cell r="J89" t="str">
            <v xml:space="preserve">138609 Prestación de Servicios de salud </v>
          </cell>
        </row>
        <row r="90">
          <cell r="B90">
            <v>13860901</v>
          </cell>
          <cell r="J90" t="str">
            <v xml:space="preserve">13860901 Prestación de Servicios de salud </v>
          </cell>
        </row>
        <row r="91">
          <cell r="B91">
            <v>13860902</v>
          </cell>
          <cell r="J91" t="str">
            <v xml:space="preserve">13860902 Glosas </v>
          </cell>
        </row>
        <row r="92">
          <cell r="B92">
            <v>14</v>
          </cell>
          <cell r="J92" t="str">
            <v>14 PRÉSTAMOS POR COBRAR</v>
          </cell>
        </row>
        <row r="93">
          <cell r="B93">
            <v>1415</v>
          </cell>
          <cell r="J93" t="str">
            <v>1415 PRÉSTAMOS CONCEDIDOS</v>
          </cell>
        </row>
        <row r="94">
          <cell r="B94">
            <v>141525</v>
          </cell>
          <cell r="J94" t="str">
            <v xml:space="preserve">141525 Créditos a empleados </v>
          </cell>
        </row>
        <row r="95">
          <cell r="B95">
            <v>14152501</v>
          </cell>
          <cell r="J95" t="str">
            <v>14152501 Prestamos a empleados Fondo de Vivienda</v>
          </cell>
        </row>
        <row r="96">
          <cell r="B96">
            <v>14152502</v>
          </cell>
          <cell r="J96" t="str">
            <v xml:space="preserve">14152502 Prestamos a empleados Bienestar </v>
          </cell>
        </row>
        <row r="97">
          <cell r="B97">
            <v>15</v>
          </cell>
          <cell r="J97" t="str">
            <v>15 INVENTARIOS</v>
          </cell>
        </row>
        <row r="98">
          <cell r="B98">
            <v>1514</v>
          </cell>
          <cell r="J98" t="str">
            <v>1514 MATERIALES Y SUMINISTROS</v>
          </cell>
        </row>
        <row r="99">
          <cell r="B99">
            <v>151403</v>
          </cell>
          <cell r="J99" t="str">
            <v xml:space="preserve">151403 Medicamentos </v>
          </cell>
        </row>
        <row r="100">
          <cell r="B100">
            <v>15140301</v>
          </cell>
          <cell r="J100" t="str">
            <v>15140301 Medicamentos Hospital</v>
          </cell>
        </row>
        <row r="101">
          <cell r="B101">
            <v>15140302</v>
          </cell>
          <cell r="J101" t="str">
            <v>15140302 Medicamentos san Jose</v>
          </cell>
        </row>
        <row r="102">
          <cell r="B102">
            <v>15140303</v>
          </cell>
          <cell r="J102" t="str">
            <v>15140303 Medicamentos Cristales</v>
          </cell>
        </row>
        <row r="103">
          <cell r="B103">
            <v>15140304</v>
          </cell>
          <cell r="J103" t="str">
            <v>15140304 STOCK HOSPITAL SAN ROQUE</v>
          </cell>
        </row>
        <row r="104">
          <cell r="B104">
            <v>15140305</v>
          </cell>
          <cell r="J104" t="str">
            <v>15140305 STOCK CENTRO SALUD SAN J</v>
          </cell>
        </row>
        <row r="105">
          <cell r="B105">
            <v>15140306</v>
          </cell>
          <cell r="J105" t="str">
            <v>15140306 STOCK CENTRO SALUD CRIST</v>
          </cell>
        </row>
        <row r="106">
          <cell r="B106">
            <v>15140307</v>
          </cell>
          <cell r="J106" t="str">
            <v>15140307 STOCK PUESTO SALUD PROVI</v>
          </cell>
        </row>
        <row r="107">
          <cell r="B107">
            <v>15140308</v>
          </cell>
          <cell r="J107" t="str">
            <v>15140308 STOCK PUESTO SALUD MULAT</v>
          </cell>
        </row>
        <row r="108">
          <cell r="B108">
            <v>151404</v>
          </cell>
          <cell r="J108" t="str">
            <v xml:space="preserve">151404 Materiales médico - quirúrgicos </v>
          </cell>
        </row>
        <row r="109">
          <cell r="B109">
            <v>15140401</v>
          </cell>
          <cell r="J109" t="str">
            <v>15140401 Materiales médico - quirúrgicos Hospital</v>
          </cell>
        </row>
        <row r="110">
          <cell r="B110">
            <v>15140402</v>
          </cell>
          <cell r="J110" t="str">
            <v xml:space="preserve">15140402 Materiales médico - quirúrgicos San Jose </v>
          </cell>
        </row>
        <row r="111">
          <cell r="B111">
            <v>15140403</v>
          </cell>
          <cell r="J111" t="str">
            <v>15140403 Materiales médico - quirúrgicos Cristales</v>
          </cell>
        </row>
        <row r="112">
          <cell r="B112">
            <v>151405</v>
          </cell>
          <cell r="J112" t="str">
            <v xml:space="preserve">151405 Materiales reactivos y de laboratorio </v>
          </cell>
        </row>
        <row r="113">
          <cell r="B113">
            <v>15140501</v>
          </cell>
          <cell r="J113" t="str">
            <v>15140501 Materiales reactivos y de laboratorio Hospital</v>
          </cell>
        </row>
        <row r="114">
          <cell r="B114">
            <v>15140502</v>
          </cell>
          <cell r="J114" t="str">
            <v>15140502 Materiales reactivos y de laboratorio San Jose</v>
          </cell>
        </row>
        <row r="115">
          <cell r="B115">
            <v>15140503</v>
          </cell>
          <cell r="J115" t="str">
            <v>15140503 Materiales reactivos y de laboratorio Cristales</v>
          </cell>
        </row>
        <row r="116">
          <cell r="B116">
            <v>151406</v>
          </cell>
          <cell r="J116" t="str">
            <v xml:space="preserve">151406 Materiales odontológicos </v>
          </cell>
        </row>
        <row r="117">
          <cell r="B117">
            <v>15140601</v>
          </cell>
          <cell r="J117" t="str">
            <v>15140601 Materiales odontológicos Hospital</v>
          </cell>
        </row>
        <row r="118">
          <cell r="B118">
            <v>15140602</v>
          </cell>
          <cell r="J118" t="str">
            <v>15140602 Materiales odontológicos San Jose</v>
          </cell>
        </row>
        <row r="119">
          <cell r="B119">
            <v>151407</v>
          </cell>
          <cell r="J119" t="str">
            <v xml:space="preserve">151407 Materiales para imagenología </v>
          </cell>
        </row>
        <row r="120">
          <cell r="B120">
            <v>15140701</v>
          </cell>
          <cell r="J120" t="str">
            <v xml:space="preserve">15140701 Materiales para imagenología </v>
          </cell>
        </row>
        <row r="121">
          <cell r="B121">
            <v>16</v>
          </cell>
          <cell r="J121" t="str">
            <v>16 PROPIEDADES, PLANTA Y EQUIPO</v>
          </cell>
        </row>
        <row r="122">
          <cell r="B122">
            <v>1605</v>
          </cell>
          <cell r="J122" t="str">
            <v>1605 TERRENOS</v>
          </cell>
        </row>
        <row r="123">
          <cell r="B123">
            <v>160501</v>
          </cell>
          <cell r="J123" t="str">
            <v>160501 Urbanos</v>
          </cell>
        </row>
        <row r="124">
          <cell r="B124">
            <v>16050101</v>
          </cell>
          <cell r="J124" t="str">
            <v>16050101 Terrenos Urbanos</v>
          </cell>
        </row>
        <row r="125">
          <cell r="B125">
            <v>160502</v>
          </cell>
          <cell r="J125" t="str">
            <v>160502 Rurales</v>
          </cell>
        </row>
        <row r="126">
          <cell r="B126">
            <v>16050201</v>
          </cell>
          <cell r="J126" t="str">
            <v>16050201 Centro Salud San Jos‚ de</v>
          </cell>
        </row>
        <row r="127">
          <cell r="B127">
            <v>16050202</v>
          </cell>
          <cell r="J127" t="str">
            <v>16050202 Centro Salud Cristales</v>
          </cell>
        </row>
        <row r="128">
          <cell r="B128">
            <v>16050203</v>
          </cell>
          <cell r="J128" t="str">
            <v>16050203 Puesto de Salud Providen</v>
          </cell>
        </row>
        <row r="129">
          <cell r="B129">
            <v>1615</v>
          </cell>
          <cell r="J129" t="str">
            <v>1615 CONSTRUCCIONES EN CURSO</v>
          </cell>
        </row>
        <row r="130">
          <cell r="B130">
            <v>161501</v>
          </cell>
          <cell r="J130" t="str">
            <v>161501 Edificaciones</v>
          </cell>
        </row>
        <row r="131">
          <cell r="B131">
            <v>16150101</v>
          </cell>
          <cell r="J131" t="str">
            <v>16150101 Edificaciones</v>
          </cell>
        </row>
        <row r="132">
          <cell r="B132">
            <v>1620</v>
          </cell>
          <cell r="J132" t="str">
            <v>1620 MAQUINARIA, PLANTA Y EQUIPO EN MONTAJE</v>
          </cell>
        </row>
        <row r="133">
          <cell r="B133">
            <v>162003</v>
          </cell>
          <cell r="J133" t="str">
            <v>162003 Maquinaria y Equipo</v>
          </cell>
        </row>
        <row r="134">
          <cell r="B134">
            <v>16200301</v>
          </cell>
          <cell r="J134" t="str">
            <v>16200301 Equipo Medico y Cientifico</v>
          </cell>
        </row>
        <row r="135">
          <cell r="B135">
            <v>16200302</v>
          </cell>
          <cell r="J135" t="str">
            <v>16200302 Maquinaria y Equipo</v>
          </cell>
        </row>
        <row r="136">
          <cell r="B136">
            <v>162005</v>
          </cell>
          <cell r="J136" t="str">
            <v>162005 Equipos de comunicación y computación</v>
          </cell>
        </row>
        <row r="137">
          <cell r="B137">
            <v>16200501</v>
          </cell>
          <cell r="J137" t="str">
            <v>16200501 Equipos de comunicación y computación</v>
          </cell>
        </row>
        <row r="138">
          <cell r="B138">
            <v>162090</v>
          </cell>
          <cell r="J138" t="str">
            <v>162090 Otras maquinarias, planta y equipo en montaje</v>
          </cell>
        </row>
        <row r="139">
          <cell r="B139">
            <v>16209001</v>
          </cell>
          <cell r="J139" t="str">
            <v>16209001 Muebles y enseres</v>
          </cell>
        </row>
        <row r="140">
          <cell r="B140">
            <v>1640</v>
          </cell>
          <cell r="J140" t="str">
            <v>1640 EDIFICACIONES</v>
          </cell>
        </row>
        <row r="141">
          <cell r="B141">
            <v>164010</v>
          </cell>
          <cell r="J141" t="str">
            <v>164010 Clínicas y hospitales</v>
          </cell>
        </row>
        <row r="142">
          <cell r="B142">
            <v>16401001</v>
          </cell>
          <cell r="J142" t="str">
            <v>16401001 Hospital San Roque</v>
          </cell>
        </row>
        <row r="143">
          <cell r="B143">
            <v>16401002</v>
          </cell>
          <cell r="J143" t="str">
            <v>16401002 Centro de Salud San Jose</v>
          </cell>
        </row>
        <row r="144">
          <cell r="B144">
            <v>16401003</v>
          </cell>
          <cell r="J144" t="str">
            <v>16401003 Centro de Salud Cristale</v>
          </cell>
        </row>
        <row r="145">
          <cell r="B145">
            <v>16401004</v>
          </cell>
          <cell r="J145" t="str">
            <v>16401004 Puesto de Salud Providen</v>
          </cell>
        </row>
        <row r="146">
          <cell r="B146">
            <v>1645</v>
          </cell>
          <cell r="J146" t="str">
            <v>1645 PLANTAS, DUCTOS Y TÚNELES</v>
          </cell>
        </row>
        <row r="147">
          <cell r="B147">
            <v>164501</v>
          </cell>
          <cell r="J147" t="str">
            <v>164501 Plantas de generación</v>
          </cell>
        </row>
        <row r="148">
          <cell r="B148">
            <v>16450101</v>
          </cell>
          <cell r="J148" t="str">
            <v>16450101 Planta electrica</v>
          </cell>
        </row>
        <row r="149">
          <cell r="B149">
            <v>1650</v>
          </cell>
          <cell r="J149" t="str">
            <v>1650 REDES, LINEAS Y CABLES</v>
          </cell>
        </row>
        <row r="150">
          <cell r="B150">
            <v>165002</v>
          </cell>
          <cell r="J150" t="str">
            <v>165002 Rede sde Distribucion</v>
          </cell>
        </row>
        <row r="151">
          <cell r="B151">
            <v>16500201</v>
          </cell>
          <cell r="J151" t="str">
            <v xml:space="preserve">16500201 Redes de Disrtibuci¢n </v>
          </cell>
        </row>
        <row r="152">
          <cell r="B152">
            <v>165008</v>
          </cell>
          <cell r="J152" t="str">
            <v>165008 Líneas y cables de transmisión</v>
          </cell>
        </row>
        <row r="153">
          <cell r="B153">
            <v>16500801</v>
          </cell>
          <cell r="J153" t="str">
            <v>16500801 Lineas Telefonicas</v>
          </cell>
        </row>
        <row r="154">
          <cell r="B154">
            <v>1655</v>
          </cell>
          <cell r="J154" t="str">
            <v>1655 MAQUINARIA Y EQUIPO</v>
          </cell>
        </row>
        <row r="155">
          <cell r="B155">
            <v>165504</v>
          </cell>
          <cell r="J155" t="str">
            <v>165504 Maquinaria Industrial</v>
          </cell>
        </row>
        <row r="156">
          <cell r="B156">
            <v>16550401</v>
          </cell>
          <cell r="J156" t="str">
            <v>16550401 Equipo de Asepcia</v>
          </cell>
        </row>
        <row r="157">
          <cell r="B157">
            <v>165506</v>
          </cell>
          <cell r="J157" t="str">
            <v>165506 Equipo de recreación y deporte</v>
          </cell>
        </row>
        <row r="158">
          <cell r="B158">
            <v>16550601</v>
          </cell>
          <cell r="J158" t="str">
            <v>16550601 Equipo de recreación y deporte</v>
          </cell>
        </row>
        <row r="159">
          <cell r="B159">
            <v>165522</v>
          </cell>
          <cell r="J159" t="str">
            <v>165522 Equipo de Ayuda Audiovisual</v>
          </cell>
        </row>
        <row r="160">
          <cell r="B160">
            <v>16552201</v>
          </cell>
          <cell r="J160" t="str">
            <v>16552201 Equipo de Ayuda Audiovisual</v>
          </cell>
        </row>
        <row r="161">
          <cell r="B161">
            <v>1660</v>
          </cell>
          <cell r="J161" t="str">
            <v>1660 EQUIPO MEDICO Y CIENTIFICO</v>
          </cell>
        </row>
        <row r="162">
          <cell r="B162">
            <v>166002</v>
          </cell>
          <cell r="J162" t="str">
            <v>166002 Equipo de laboratorio</v>
          </cell>
        </row>
        <row r="163">
          <cell r="B163">
            <v>16600201</v>
          </cell>
          <cell r="J163" t="str">
            <v>16600201 Equipo de laboratorio</v>
          </cell>
        </row>
        <row r="164">
          <cell r="B164">
            <v>166003</v>
          </cell>
          <cell r="J164" t="str">
            <v>166003 Equipo de urgencias</v>
          </cell>
        </row>
        <row r="165">
          <cell r="B165">
            <v>16600301</v>
          </cell>
          <cell r="J165" t="str">
            <v>16600301 Equipo de urgencias</v>
          </cell>
        </row>
        <row r="166">
          <cell r="B166">
            <v>166005</v>
          </cell>
          <cell r="J166" t="str">
            <v>166005 Equipo de hospitalizaciòn</v>
          </cell>
        </row>
        <row r="167">
          <cell r="B167">
            <v>16600501</v>
          </cell>
          <cell r="J167" t="str">
            <v>16600501 Equipo de hospitalizaciòn</v>
          </cell>
        </row>
        <row r="168">
          <cell r="B168">
            <v>166006</v>
          </cell>
          <cell r="J168" t="str">
            <v>166006 Equipo de quirofanos y salas de parto</v>
          </cell>
        </row>
        <row r="169">
          <cell r="B169">
            <v>16600601</v>
          </cell>
          <cell r="J169" t="str">
            <v>16600601 Equipo de quirofanos y salas de parto</v>
          </cell>
        </row>
        <row r="170">
          <cell r="B170">
            <v>166007</v>
          </cell>
          <cell r="J170" t="str">
            <v>166007 Equipo de apoyo dianostico</v>
          </cell>
        </row>
        <row r="171">
          <cell r="B171">
            <v>16600701</v>
          </cell>
          <cell r="J171" t="str">
            <v>16600701 Equipo de apoyo dianostico</v>
          </cell>
        </row>
        <row r="172">
          <cell r="B172">
            <v>166008</v>
          </cell>
          <cell r="J172" t="str">
            <v>166008 Equipo de apoyo terapeutico</v>
          </cell>
        </row>
        <row r="173">
          <cell r="B173">
            <v>16600801</v>
          </cell>
          <cell r="J173" t="str">
            <v>16600801 Equipo de apoyo terapeutico</v>
          </cell>
        </row>
        <row r="174">
          <cell r="B174">
            <v>166009</v>
          </cell>
          <cell r="J174" t="str">
            <v>166009 Equipo de servicio ambulatorio</v>
          </cell>
        </row>
        <row r="175">
          <cell r="B175">
            <v>16600901</v>
          </cell>
          <cell r="J175" t="str">
            <v>16600901 Equipo Odontologico</v>
          </cell>
        </row>
        <row r="176">
          <cell r="B176">
            <v>16600902</v>
          </cell>
          <cell r="J176" t="str">
            <v>16600902 Equipo de Consulta Externa</v>
          </cell>
        </row>
        <row r="177">
          <cell r="B177">
            <v>16600903</v>
          </cell>
          <cell r="J177" t="str">
            <v>16600903 Equipo de Vacunacion</v>
          </cell>
        </row>
        <row r="178">
          <cell r="B178">
            <v>1665</v>
          </cell>
          <cell r="J178" t="str">
            <v>1665 MUEBLES, ENSERES Y EQUIPO DE OFICINA</v>
          </cell>
        </row>
        <row r="179">
          <cell r="B179">
            <v>166501</v>
          </cell>
          <cell r="J179" t="str">
            <v>166501 Muebles y Enseres</v>
          </cell>
        </row>
        <row r="180">
          <cell r="B180">
            <v>16650101</v>
          </cell>
          <cell r="J180" t="str">
            <v>16650101 Muebles y Enseres</v>
          </cell>
        </row>
        <row r="181">
          <cell r="B181">
            <v>1670</v>
          </cell>
          <cell r="J181" t="str">
            <v>1670 EQUIPOS DE COMUNICACIÓN Y COMPUTACIÓN</v>
          </cell>
        </row>
        <row r="182">
          <cell r="B182">
            <v>167001</v>
          </cell>
          <cell r="J182" t="str">
            <v>167001 Equipo de comunicación</v>
          </cell>
        </row>
        <row r="183">
          <cell r="B183">
            <v>16700101</v>
          </cell>
          <cell r="J183" t="str">
            <v>16700101 Equipo de comunicación</v>
          </cell>
        </row>
        <row r="184">
          <cell r="B184">
            <v>167002</v>
          </cell>
          <cell r="J184" t="str">
            <v>167002 Equipo de computación</v>
          </cell>
        </row>
        <row r="185">
          <cell r="B185">
            <v>16700201</v>
          </cell>
          <cell r="J185" t="str">
            <v>16700201 Equipo de computación</v>
          </cell>
        </row>
        <row r="186">
          <cell r="B186">
            <v>1675</v>
          </cell>
          <cell r="J186" t="str">
            <v>1675 EQUIPOS DE TRANSPORTE, TRACCIÓN Y ELEVACIÓN</v>
          </cell>
        </row>
        <row r="187">
          <cell r="B187">
            <v>167502</v>
          </cell>
          <cell r="J187" t="str">
            <v>167502 Terrestre</v>
          </cell>
        </row>
        <row r="188">
          <cell r="B188">
            <v>16750201</v>
          </cell>
          <cell r="J188" t="str">
            <v>16750201 Ambulancia</v>
          </cell>
        </row>
        <row r="189">
          <cell r="B189">
            <v>16750202</v>
          </cell>
          <cell r="J189" t="str">
            <v>16750202 Camionetas y Camperos</v>
          </cell>
        </row>
        <row r="190">
          <cell r="B190">
            <v>16750203</v>
          </cell>
          <cell r="J190" t="str">
            <v>16750203 Motocicletas</v>
          </cell>
        </row>
        <row r="191">
          <cell r="B191">
            <v>1685</v>
          </cell>
          <cell r="J191" t="str">
            <v>1685 DEPRECIACIÓN ACUMULADA DE PROPIEDADES, PLANTA Y EQUIPO (CR)</v>
          </cell>
        </row>
        <row r="192">
          <cell r="B192">
            <v>168501</v>
          </cell>
          <cell r="J192" t="str">
            <v xml:space="preserve">168501 Edificaciones </v>
          </cell>
        </row>
        <row r="193">
          <cell r="B193">
            <v>16850101</v>
          </cell>
          <cell r="J193" t="str">
            <v xml:space="preserve">16850101 Edificaciones </v>
          </cell>
        </row>
        <row r="194">
          <cell r="B194">
            <v>168502</v>
          </cell>
          <cell r="J194" t="str">
            <v>168502 Plantas, ductos y túneles</v>
          </cell>
        </row>
        <row r="195">
          <cell r="B195">
            <v>16850201</v>
          </cell>
          <cell r="J195" t="str">
            <v>16850201 Plantas, ductos y túneles</v>
          </cell>
        </row>
        <row r="196">
          <cell r="B196">
            <v>168503</v>
          </cell>
          <cell r="J196" t="str">
            <v>168503 Redes, líneas y cables</v>
          </cell>
        </row>
        <row r="197">
          <cell r="B197">
            <v>16850301</v>
          </cell>
          <cell r="J197" t="str">
            <v>16850301 Redes, líneas y cables</v>
          </cell>
        </row>
        <row r="198">
          <cell r="B198">
            <v>168504</v>
          </cell>
          <cell r="J198" t="str">
            <v>168504 Maquinaria y equipo</v>
          </cell>
        </row>
        <row r="199">
          <cell r="B199">
            <v>16850401</v>
          </cell>
          <cell r="J199" t="str">
            <v>16850401 Equipo Audiovisual</v>
          </cell>
        </row>
        <row r="200">
          <cell r="B200">
            <v>16850402</v>
          </cell>
          <cell r="J200" t="str">
            <v>16850402 Equipo de Gimnacio</v>
          </cell>
        </row>
        <row r="201">
          <cell r="B201">
            <v>16850403</v>
          </cell>
          <cell r="J201" t="str">
            <v>16850403 Equipo de Asepsia</v>
          </cell>
        </row>
        <row r="202">
          <cell r="B202">
            <v>168505</v>
          </cell>
          <cell r="J202" t="str">
            <v>168505 Equipo medico y cientifico</v>
          </cell>
        </row>
        <row r="203">
          <cell r="B203">
            <v>16850501</v>
          </cell>
          <cell r="J203" t="str">
            <v>16850501 Equipo de Laboratorio</v>
          </cell>
        </row>
        <row r="204">
          <cell r="B204">
            <v>16850502</v>
          </cell>
          <cell r="J204" t="str">
            <v>16850502 Equipo de Urgencias</v>
          </cell>
        </row>
        <row r="205">
          <cell r="B205">
            <v>16850503</v>
          </cell>
          <cell r="J205" t="str">
            <v>16850503 Equipo de Hospitalizacion</v>
          </cell>
        </row>
        <row r="206">
          <cell r="B206">
            <v>16850504</v>
          </cell>
          <cell r="J206" t="str">
            <v>16850504 Equipo de Quirofanos y S</v>
          </cell>
        </row>
        <row r="207">
          <cell r="B207">
            <v>16850505</v>
          </cell>
          <cell r="J207" t="str">
            <v>16850505 Equipo de Apoyo Diagnostico</v>
          </cell>
        </row>
        <row r="208">
          <cell r="B208">
            <v>16850506</v>
          </cell>
          <cell r="J208" t="str">
            <v>16850506 Equipo de Apoyo Terapeut</v>
          </cell>
        </row>
        <row r="209">
          <cell r="B209">
            <v>16850507</v>
          </cell>
          <cell r="J209" t="str">
            <v>16850507 Equipo Odontologico</v>
          </cell>
        </row>
        <row r="210">
          <cell r="B210">
            <v>16850508</v>
          </cell>
          <cell r="J210" t="str">
            <v>16850508 Equipo de Consulta Exter</v>
          </cell>
        </row>
        <row r="211">
          <cell r="B211">
            <v>16850510</v>
          </cell>
          <cell r="J211" t="str">
            <v>16850510 Equipo de Vacunacion</v>
          </cell>
        </row>
        <row r="212">
          <cell r="B212">
            <v>168506</v>
          </cell>
          <cell r="J212" t="str">
            <v>168506 Muebles, enseres y equipo de oficina</v>
          </cell>
        </row>
        <row r="213">
          <cell r="B213">
            <v>16850601</v>
          </cell>
          <cell r="J213" t="str">
            <v>16850601 Muebles, enseres y equipo de oficina</v>
          </cell>
        </row>
        <row r="214">
          <cell r="B214">
            <v>168507</v>
          </cell>
          <cell r="J214" t="str">
            <v>168507 Equipos de comunicación y computación</v>
          </cell>
        </row>
        <row r="215">
          <cell r="B215">
            <v>16850701</v>
          </cell>
          <cell r="J215" t="str">
            <v>16850701 Equipos de comunicación</v>
          </cell>
        </row>
        <row r="216">
          <cell r="B216">
            <v>16850702</v>
          </cell>
          <cell r="J216" t="str">
            <v>16850702 Equipos de  computación</v>
          </cell>
        </row>
        <row r="217">
          <cell r="B217">
            <v>168508</v>
          </cell>
          <cell r="J217" t="str">
            <v>168508 Equipos de transporte, tracción y elevación</v>
          </cell>
        </row>
        <row r="218">
          <cell r="B218">
            <v>16850801</v>
          </cell>
          <cell r="J218" t="str">
            <v>16850801 Ambulancias</v>
          </cell>
        </row>
        <row r="219">
          <cell r="B219">
            <v>16850802</v>
          </cell>
          <cell r="J219" t="str">
            <v>16850802 Camionetas y Camperos</v>
          </cell>
        </row>
        <row r="220">
          <cell r="B220">
            <v>16850803</v>
          </cell>
          <cell r="J220" t="str">
            <v>16850803 Motocicletas</v>
          </cell>
        </row>
        <row r="221">
          <cell r="B221">
            <v>19</v>
          </cell>
          <cell r="J221" t="str">
            <v>19 OTROS ACTIVOS</v>
          </cell>
        </row>
        <row r="222">
          <cell r="B222">
            <v>1905</v>
          </cell>
          <cell r="J222" t="str">
            <v xml:space="preserve">1905 BIENES Y SERVICIOS PAGADOS POR ANTICIPADO </v>
          </cell>
        </row>
        <row r="223">
          <cell r="B223">
            <v>190501</v>
          </cell>
          <cell r="J223" t="str">
            <v>190501 Seguros</v>
          </cell>
        </row>
        <row r="224">
          <cell r="B224">
            <v>19050101</v>
          </cell>
          <cell r="J224" t="str">
            <v>19050101 Seguros Multiriesgos</v>
          </cell>
        </row>
        <row r="225">
          <cell r="B225">
            <v>190511</v>
          </cell>
          <cell r="J225" t="str">
            <v>190511 Sueldos y Salarios</v>
          </cell>
        </row>
        <row r="226">
          <cell r="B226">
            <v>19051101</v>
          </cell>
          <cell r="J226" t="str">
            <v>19051101 Situado Fiscal Cesantias</v>
          </cell>
        </row>
        <row r="227">
          <cell r="B227">
            <v>190512</v>
          </cell>
          <cell r="J227" t="str">
            <v>190512 Contribuciones efectivas</v>
          </cell>
        </row>
        <row r="228">
          <cell r="B228">
            <v>19051201</v>
          </cell>
          <cell r="J228" t="str">
            <v>19051201 S.G.P. Aportes SALUD</v>
          </cell>
        </row>
        <row r="229">
          <cell r="B229">
            <v>19051202</v>
          </cell>
          <cell r="J229" t="str">
            <v>19051202 S.G.P. Aportes FONDOS PENSIONES</v>
          </cell>
        </row>
        <row r="230">
          <cell r="B230">
            <v>19051203</v>
          </cell>
          <cell r="J230" t="str">
            <v>19051203 S.G.P. Aportes A.R.P.</v>
          </cell>
        </row>
        <row r="231">
          <cell r="B231">
            <v>1970</v>
          </cell>
          <cell r="J231" t="str">
            <v>1970 ACTIVOS INTANGIBLES</v>
          </cell>
        </row>
        <row r="232">
          <cell r="B232">
            <v>197007</v>
          </cell>
          <cell r="J232" t="str">
            <v>197007 Licencias</v>
          </cell>
        </row>
        <row r="233">
          <cell r="B233">
            <v>19700701</v>
          </cell>
          <cell r="J233" t="str">
            <v>19700701 Licencias</v>
          </cell>
        </row>
        <row r="234">
          <cell r="B234">
            <v>1975</v>
          </cell>
          <cell r="J234" t="str">
            <v>1975 AMORTIZACIÓN ACUMULADA DE ACTIVOS INTANGIBLES (CR)</v>
          </cell>
        </row>
        <row r="235">
          <cell r="B235">
            <v>197507</v>
          </cell>
          <cell r="J235" t="str">
            <v>197507 Licencias</v>
          </cell>
        </row>
        <row r="236">
          <cell r="B236">
            <v>19750701</v>
          </cell>
          <cell r="J236" t="str">
            <v>19750701 Licencias</v>
          </cell>
        </row>
        <row r="237">
          <cell r="B237">
            <v>2</v>
          </cell>
          <cell r="J237" t="str">
            <v>2 PASIVOS</v>
          </cell>
        </row>
        <row r="238">
          <cell r="B238">
            <v>24</v>
          </cell>
          <cell r="J238" t="str">
            <v xml:space="preserve">24 CUENTAS POR PAGAR </v>
          </cell>
        </row>
        <row r="239">
          <cell r="B239">
            <v>2401</v>
          </cell>
          <cell r="J239" t="str">
            <v>2401 ADQUISICIÓN DE BIENES Y SERVICIOS NACIONALES</v>
          </cell>
        </row>
        <row r="240">
          <cell r="B240">
            <v>240101</v>
          </cell>
          <cell r="J240" t="str">
            <v>240101 Bienes y Servicios</v>
          </cell>
        </row>
        <row r="241">
          <cell r="B241">
            <v>24010101</v>
          </cell>
          <cell r="J241" t="str">
            <v>24010101 Bienes y Servicios</v>
          </cell>
        </row>
        <row r="242">
          <cell r="B242">
            <v>2429</v>
          </cell>
          <cell r="J242" t="str">
            <v>2429 SERVICIOS  Y HONORARIOS</v>
          </cell>
        </row>
        <row r="243">
          <cell r="B243">
            <v>242901</v>
          </cell>
          <cell r="J243" t="str">
            <v>242901 Honorarios</v>
          </cell>
        </row>
        <row r="244">
          <cell r="B244">
            <v>24290101</v>
          </cell>
          <cell r="J244" t="str">
            <v>24290101 Honorarios</v>
          </cell>
        </row>
        <row r="245">
          <cell r="B245">
            <v>242902</v>
          </cell>
          <cell r="J245" t="str">
            <v>242902 Servicios</v>
          </cell>
        </row>
        <row r="246">
          <cell r="B246">
            <v>24290201</v>
          </cell>
          <cell r="J246" t="str">
            <v>24290201 Servicios</v>
          </cell>
        </row>
        <row r="247">
          <cell r="B247">
            <v>2460</v>
          </cell>
          <cell r="J247" t="str">
            <v>2460 CREDITOS JUDICIALES</v>
          </cell>
        </row>
        <row r="248">
          <cell r="B248">
            <v>246002</v>
          </cell>
          <cell r="J248" t="str">
            <v>246002 Sentencias</v>
          </cell>
        </row>
        <row r="249">
          <cell r="B249">
            <v>24600201</v>
          </cell>
          <cell r="J249" t="str">
            <v>24600201 Sentencias</v>
          </cell>
        </row>
        <row r="250">
          <cell r="B250">
            <v>25</v>
          </cell>
          <cell r="J250" t="str">
            <v xml:space="preserve">25 BENEFICIOS A LOS EMPLEADOS </v>
          </cell>
        </row>
        <row r="251">
          <cell r="B251">
            <v>2511</v>
          </cell>
          <cell r="J251" t="str">
            <v>2511 BENEFICIOS A LOS EMPLEADOS A CORTO PLAZO</v>
          </cell>
        </row>
        <row r="252">
          <cell r="B252">
            <v>251101</v>
          </cell>
          <cell r="J252" t="str">
            <v>251101 Nomina por pagar</v>
          </cell>
        </row>
        <row r="253">
          <cell r="B253">
            <v>25110101</v>
          </cell>
          <cell r="J253" t="str">
            <v>25110101 Nomina por pagar</v>
          </cell>
        </row>
        <row r="254">
          <cell r="B254">
            <v>251102</v>
          </cell>
          <cell r="J254" t="str">
            <v>251102 Cesantías</v>
          </cell>
        </row>
        <row r="255">
          <cell r="B255">
            <v>25110201</v>
          </cell>
          <cell r="J255" t="str">
            <v>25110201 Cesantias</v>
          </cell>
        </row>
        <row r="256">
          <cell r="B256">
            <v>251103</v>
          </cell>
          <cell r="J256" t="str">
            <v>251103 Intereses sobre las Cesantias</v>
          </cell>
        </row>
        <row r="257">
          <cell r="B257">
            <v>25110301</v>
          </cell>
          <cell r="J257" t="str">
            <v>25110301 Intereses sobre las Cesantias</v>
          </cell>
        </row>
        <row r="258">
          <cell r="B258">
            <v>251104</v>
          </cell>
          <cell r="J258" t="str">
            <v>251104 Vacaciones</v>
          </cell>
        </row>
        <row r="259">
          <cell r="B259">
            <v>25110401</v>
          </cell>
          <cell r="J259" t="str">
            <v>25110401 Vacaciones</v>
          </cell>
        </row>
        <row r="260">
          <cell r="B260">
            <v>251105</v>
          </cell>
          <cell r="J260" t="str">
            <v>251105 Prima de vacaciones</v>
          </cell>
        </row>
        <row r="261">
          <cell r="B261">
            <v>25110501</v>
          </cell>
          <cell r="J261" t="str">
            <v>25110501 Prima de vacaciones</v>
          </cell>
        </row>
        <row r="262">
          <cell r="B262">
            <v>251106</v>
          </cell>
          <cell r="J262" t="str">
            <v>251106 Prima de servicios</v>
          </cell>
        </row>
        <row r="263">
          <cell r="B263">
            <v>25110601</v>
          </cell>
          <cell r="J263" t="str">
            <v>25110601 Prima de servicios</v>
          </cell>
        </row>
        <row r="264">
          <cell r="B264">
            <v>251107</v>
          </cell>
          <cell r="J264" t="str">
            <v>251107 Prima de Navidad</v>
          </cell>
        </row>
        <row r="265">
          <cell r="B265">
            <v>25110701</v>
          </cell>
          <cell r="J265" t="str">
            <v>25110701 Prima de Navidad</v>
          </cell>
        </row>
        <row r="266">
          <cell r="B266">
            <v>251109</v>
          </cell>
          <cell r="J266" t="str">
            <v>251109 Bonificaciones</v>
          </cell>
        </row>
        <row r="267">
          <cell r="B267">
            <v>25110901</v>
          </cell>
          <cell r="J267" t="str">
            <v>25110901 Bonificaciones</v>
          </cell>
        </row>
        <row r="268">
          <cell r="B268">
            <v>2512</v>
          </cell>
          <cell r="J268" t="str">
            <v>2512 BENEFICIO A LOS EMPLEADOS LARGO PLAZO</v>
          </cell>
        </row>
        <row r="269">
          <cell r="B269">
            <v>251290</v>
          </cell>
          <cell r="J269" t="str">
            <v>251290 Otros beneficios a los beneficios a largo plazo</v>
          </cell>
        </row>
        <row r="270">
          <cell r="B270">
            <v>25129001</v>
          </cell>
          <cell r="J270" t="str">
            <v>25129001 Cesantias retroactivas</v>
          </cell>
        </row>
        <row r="271">
          <cell r="B271">
            <v>25129002</v>
          </cell>
          <cell r="J271" t="str">
            <v>25129002 Pensiones por cuenta propia</v>
          </cell>
        </row>
        <row r="272">
          <cell r="B272">
            <v>27</v>
          </cell>
          <cell r="J272" t="str">
            <v>27 PROVISIONES</v>
          </cell>
        </row>
        <row r="273">
          <cell r="B273">
            <v>2701</v>
          </cell>
          <cell r="J273" t="str">
            <v>2701 LITIGIOS Y DEMANDAS</v>
          </cell>
        </row>
        <row r="274">
          <cell r="B274">
            <v>270101</v>
          </cell>
          <cell r="J274" t="str">
            <v>270101 Civiles</v>
          </cell>
        </row>
        <row r="275">
          <cell r="B275">
            <v>27010101</v>
          </cell>
          <cell r="J275" t="str">
            <v>27010101 Provisiones Litigios y Demandas</v>
          </cell>
        </row>
        <row r="276">
          <cell r="B276">
            <v>3</v>
          </cell>
          <cell r="J276" t="str">
            <v>3 PATRIMONIO</v>
          </cell>
        </row>
        <row r="277">
          <cell r="B277">
            <v>32</v>
          </cell>
          <cell r="J277" t="str">
            <v>32 PATRIMONIO DE LAS EMPRESAS</v>
          </cell>
        </row>
        <row r="278">
          <cell r="B278">
            <v>3208</v>
          </cell>
          <cell r="J278" t="str">
            <v>3208 CAPITAL FISCAL</v>
          </cell>
        </row>
        <row r="279">
          <cell r="B279">
            <v>320801</v>
          </cell>
          <cell r="J279" t="str">
            <v>320801 Capital fiscal</v>
          </cell>
        </row>
        <row r="280">
          <cell r="B280">
            <v>32080101</v>
          </cell>
          <cell r="J280" t="str">
            <v>32080101 Capital fiscal</v>
          </cell>
        </row>
        <row r="281">
          <cell r="B281">
            <v>3230</v>
          </cell>
          <cell r="J281" t="str">
            <v>3230 RESULTADOS DEL EJERCICIO</v>
          </cell>
        </row>
        <row r="282">
          <cell r="B282">
            <v>323001</v>
          </cell>
          <cell r="J282" t="str">
            <v>323001 Utilidad o excedente del ejercicio</v>
          </cell>
        </row>
        <row r="283">
          <cell r="B283">
            <v>32300101</v>
          </cell>
          <cell r="J283" t="str">
            <v>32300101 Utilidad o excedente del ejercicio</v>
          </cell>
        </row>
        <row r="284">
          <cell r="B284">
            <v>3268</v>
          </cell>
          <cell r="J284" t="str">
            <v>3268 IMPACTOS POR LA TRANSICIÓN AL NUEVO MARCO DE REGULACIÓN</v>
          </cell>
        </row>
        <row r="285">
          <cell r="B285">
            <v>326802</v>
          </cell>
          <cell r="J285" t="str">
            <v xml:space="preserve">326802 Inversiones e instrumentos derivados </v>
          </cell>
        </row>
        <row r="286">
          <cell r="B286">
            <v>32680202</v>
          </cell>
          <cell r="J286" t="str">
            <v>32680202 Revalorizacion de los aportes</v>
          </cell>
        </row>
        <row r="287">
          <cell r="B287">
            <v>32680203</v>
          </cell>
          <cell r="J287" t="str">
            <v>32680203 Ajuste por Diferencia en Inversiones</v>
          </cell>
        </row>
        <row r="288">
          <cell r="B288">
            <v>326803</v>
          </cell>
          <cell r="J288" t="str">
            <v xml:space="preserve">326803 Cuentas por Cobrar </v>
          </cell>
        </row>
        <row r="289">
          <cell r="B289">
            <v>32680302</v>
          </cell>
          <cell r="J289" t="str">
            <v xml:space="preserve">32680302 Baja en Provision </v>
          </cell>
        </row>
        <row r="290">
          <cell r="B290">
            <v>32680303</v>
          </cell>
          <cell r="J290" t="str">
            <v>32680303 Deterioro de la Cartera</v>
          </cell>
        </row>
        <row r="291">
          <cell r="B291">
            <v>32680305</v>
          </cell>
          <cell r="J291" t="str">
            <v>32680305 Deteriro de Glosas</v>
          </cell>
        </row>
        <row r="292">
          <cell r="B292">
            <v>326804</v>
          </cell>
          <cell r="J292" t="str">
            <v xml:space="preserve">326804 Préstamos por Cobrar </v>
          </cell>
        </row>
        <row r="293">
          <cell r="B293">
            <v>32680401</v>
          </cell>
          <cell r="J293" t="str">
            <v xml:space="preserve">32680401 Préstamos por Cobrar </v>
          </cell>
        </row>
        <row r="294">
          <cell r="B294">
            <v>326805</v>
          </cell>
          <cell r="J294" t="str">
            <v xml:space="preserve">326805 Inventarios </v>
          </cell>
        </row>
        <row r="295">
          <cell r="B295">
            <v>32680501</v>
          </cell>
          <cell r="J295" t="str">
            <v xml:space="preserve">32680501 Inventarios </v>
          </cell>
        </row>
        <row r="296">
          <cell r="B296">
            <v>326806</v>
          </cell>
          <cell r="J296" t="str">
            <v xml:space="preserve">326806 Propiedades, planta y equipo </v>
          </cell>
        </row>
        <row r="297">
          <cell r="B297">
            <v>32680601</v>
          </cell>
          <cell r="J297" t="str">
            <v>32680601 Ajuste en diferencia de terreno</v>
          </cell>
        </row>
        <row r="298">
          <cell r="B298">
            <v>32680602</v>
          </cell>
          <cell r="J298" t="str">
            <v>32680602 Ajuste en diferencia Edificios</v>
          </cell>
        </row>
        <row r="299">
          <cell r="B299">
            <v>32680605</v>
          </cell>
          <cell r="J299" t="str">
            <v>32680605 Ajuste por Valorizacion de Terreno</v>
          </cell>
        </row>
        <row r="300">
          <cell r="B300">
            <v>32680606</v>
          </cell>
          <cell r="J300" t="str">
            <v>32680606 Ajuste por Valorizacion de Edificios</v>
          </cell>
        </row>
        <row r="301">
          <cell r="B301">
            <v>326810</v>
          </cell>
          <cell r="J301" t="str">
            <v xml:space="preserve">326810 Otros activos </v>
          </cell>
        </row>
        <row r="302">
          <cell r="B302">
            <v>32681001</v>
          </cell>
          <cell r="J302" t="str">
            <v>32681001 Materiales y suministros</v>
          </cell>
        </row>
        <row r="303">
          <cell r="B303">
            <v>32681002</v>
          </cell>
          <cell r="J303" t="str">
            <v>32681002 Dotacion a Trabajadores</v>
          </cell>
        </row>
        <row r="304">
          <cell r="B304">
            <v>32681003</v>
          </cell>
          <cell r="J304" t="str">
            <v>32681003 Elementos de Lenceria</v>
          </cell>
        </row>
        <row r="305">
          <cell r="B305">
            <v>32681004</v>
          </cell>
          <cell r="J305" t="str">
            <v>32681004 Loza y Cristaleria</v>
          </cell>
        </row>
        <row r="306">
          <cell r="B306">
            <v>32681005</v>
          </cell>
          <cell r="J306" t="str">
            <v>32681005 Ropa Hospitalaria y Quirurgica</v>
          </cell>
        </row>
        <row r="307">
          <cell r="B307">
            <v>32681006</v>
          </cell>
          <cell r="J307" t="str">
            <v>32681006 Elementos de Lavanderia</v>
          </cell>
        </row>
        <row r="308">
          <cell r="B308">
            <v>32681007</v>
          </cell>
          <cell r="J308" t="str">
            <v>32681007 Combustibles y Lubricantes</v>
          </cell>
        </row>
        <row r="309">
          <cell r="B309">
            <v>32681008</v>
          </cell>
          <cell r="J309" t="str">
            <v>32681008 Utiles y papeleria</v>
          </cell>
        </row>
        <row r="310">
          <cell r="B310">
            <v>32681009</v>
          </cell>
          <cell r="J310" t="str">
            <v>32681009 Repuestos para Vehiculos</v>
          </cell>
        </row>
        <row r="311">
          <cell r="B311">
            <v>326815</v>
          </cell>
          <cell r="J311" t="str">
            <v xml:space="preserve">326815 Beneficios a empleados </v>
          </cell>
        </row>
        <row r="312">
          <cell r="B312">
            <v>32681502</v>
          </cell>
          <cell r="J312" t="str">
            <v>32681502 Calculo cesantias retroactivas</v>
          </cell>
        </row>
        <row r="313">
          <cell r="B313">
            <v>32681503</v>
          </cell>
          <cell r="J313" t="str">
            <v xml:space="preserve">32681503 Calculo pensiones </v>
          </cell>
        </row>
        <row r="314">
          <cell r="B314">
            <v>326817</v>
          </cell>
          <cell r="J314" t="str">
            <v xml:space="preserve">326817 Provisiones </v>
          </cell>
        </row>
        <row r="315">
          <cell r="B315">
            <v>32681701</v>
          </cell>
          <cell r="J315" t="str">
            <v xml:space="preserve">32681701 Provisiones </v>
          </cell>
        </row>
        <row r="316">
          <cell r="B316">
            <v>326890</v>
          </cell>
          <cell r="J316" t="str">
            <v>326890 Otros impactos por transición</v>
          </cell>
        </row>
        <row r="317">
          <cell r="B317">
            <v>32689001</v>
          </cell>
          <cell r="J317" t="str">
            <v>32689001 Donacion en Dinero</v>
          </cell>
        </row>
        <row r="318">
          <cell r="B318">
            <v>32689002</v>
          </cell>
          <cell r="J318" t="str">
            <v>32689002 En Especie</v>
          </cell>
        </row>
        <row r="319">
          <cell r="B319">
            <v>32689003</v>
          </cell>
          <cell r="J319" t="str">
            <v xml:space="preserve">32689003 Centro de Salud San Jose </v>
          </cell>
        </row>
        <row r="320">
          <cell r="B320">
            <v>32689004</v>
          </cell>
          <cell r="J320" t="str">
            <v>32689004 Centro de Salud Cristales</v>
          </cell>
        </row>
        <row r="321">
          <cell r="B321">
            <v>32689005</v>
          </cell>
          <cell r="J321" t="str">
            <v>32689005 Puesto de Salud Providen</v>
          </cell>
        </row>
        <row r="322">
          <cell r="B322">
            <v>32689006</v>
          </cell>
          <cell r="J322" t="str">
            <v>32689006 Terrenos Urbanos</v>
          </cell>
        </row>
        <row r="323">
          <cell r="B323">
            <v>32689007</v>
          </cell>
          <cell r="J323" t="str">
            <v>32689007 Terreno San Jose</v>
          </cell>
        </row>
        <row r="324">
          <cell r="B324">
            <v>32689008</v>
          </cell>
          <cell r="J324" t="str">
            <v>32689008 Terreno de Cristales</v>
          </cell>
        </row>
        <row r="325">
          <cell r="B325">
            <v>32689009</v>
          </cell>
          <cell r="J325" t="str">
            <v>32689009 Terreno de Providencia</v>
          </cell>
        </row>
        <row r="326">
          <cell r="B326">
            <v>32689010</v>
          </cell>
          <cell r="J326" t="str">
            <v>32689010 Edificaciones - Hospitales</v>
          </cell>
        </row>
        <row r="327">
          <cell r="J327" t="str">
            <v xml:space="preserve"> </v>
          </cell>
        </row>
        <row r="328">
          <cell r="J328" t="str">
            <v xml:space="preserve"> </v>
          </cell>
        </row>
        <row r="329">
          <cell r="J329" t="str">
            <v xml:space="preserve"> </v>
          </cell>
        </row>
        <row r="330">
          <cell r="J330" t="str">
            <v xml:space="preserve"> </v>
          </cell>
        </row>
        <row r="331">
          <cell r="J331" t="str">
            <v xml:space="preserve"> </v>
          </cell>
        </row>
        <row r="332">
          <cell r="J332" t="str">
            <v xml:space="preserve"> </v>
          </cell>
        </row>
        <row r="333">
          <cell r="J333" t="str">
            <v xml:space="preserve"> </v>
          </cell>
        </row>
        <row r="334">
          <cell r="J334" t="str">
            <v xml:space="preserve"> </v>
          </cell>
        </row>
        <row r="335">
          <cell r="J335" t="str">
            <v xml:space="preserve"> </v>
          </cell>
        </row>
        <row r="336">
          <cell r="J336" t="str">
            <v xml:space="preserve"> </v>
          </cell>
        </row>
        <row r="337">
          <cell r="J337" t="str">
            <v xml:space="preserve"> </v>
          </cell>
        </row>
        <row r="338">
          <cell r="J338" t="str">
            <v xml:space="preserve"> </v>
          </cell>
        </row>
        <row r="339">
          <cell r="J339" t="str">
            <v xml:space="preserve"> </v>
          </cell>
        </row>
        <row r="340">
          <cell r="J340" t="str">
            <v xml:space="preserve"> </v>
          </cell>
        </row>
        <row r="341">
          <cell r="J341" t="str">
            <v xml:space="preserve"> </v>
          </cell>
        </row>
        <row r="342">
          <cell r="J342" t="str">
            <v xml:space="preserve"> </v>
          </cell>
        </row>
        <row r="343">
          <cell r="J343" t="str">
            <v xml:space="preserve"> </v>
          </cell>
        </row>
        <row r="344">
          <cell r="J344" t="str">
            <v xml:space="preserve"> </v>
          </cell>
        </row>
        <row r="345">
          <cell r="J345" t="str">
            <v xml:space="preserve"> </v>
          </cell>
        </row>
        <row r="346">
          <cell r="J346" t="str">
            <v xml:space="preserve"> </v>
          </cell>
        </row>
        <row r="347">
          <cell r="J347" t="str">
            <v xml:space="preserve"> </v>
          </cell>
        </row>
        <row r="348">
          <cell r="J348" t="str">
            <v xml:space="preserve"> </v>
          </cell>
        </row>
        <row r="349">
          <cell r="J349" t="str">
            <v xml:space="preserve"> </v>
          </cell>
        </row>
        <row r="350">
          <cell r="J350" t="str">
            <v xml:space="preserve"> </v>
          </cell>
        </row>
        <row r="351">
          <cell r="J351" t="str">
            <v xml:space="preserve"> </v>
          </cell>
        </row>
        <row r="352">
          <cell r="J352" t="str">
            <v xml:space="preserve"> </v>
          </cell>
        </row>
        <row r="353">
          <cell r="J353" t="str">
            <v xml:space="preserve"> </v>
          </cell>
        </row>
        <row r="354">
          <cell r="J354" t="str">
            <v xml:space="preserve"> </v>
          </cell>
        </row>
        <row r="355">
          <cell r="J355" t="str">
            <v xml:space="preserve"> </v>
          </cell>
        </row>
        <row r="356">
          <cell r="J356" t="str">
            <v xml:space="preserve"> </v>
          </cell>
        </row>
        <row r="357">
          <cell r="J357" t="str">
            <v xml:space="preserve"> </v>
          </cell>
        </row>
        <row r="358">
          <cell r="J358" t="str">
            <v xml:space="preserve"> </v>
          </cell>
        </row>
        <row r="359">
          <cell r="J359" t="str">
            <v xml:space="preserve"> </v>
          </cell>
        </row>
        <row r="360">
          <cell r="J360" t="str">
            <v xml:space="preserve"> </v>
          </cell>
        </row>
        <row r="361">
          <cell r="J361" t="str">
            <v xml:space="preserve"> </v>
          </cell>
        </row>
        <row r="362">
          <cell r="J362" t="str">
            <v xml:space="preserve"> </v>
          </cell>
        </row>
        <row r="363">
          <cell r="J363" t="str">
            <v xml:space="preserve"> </v>
          </cell>
        </row>
        <row r="364">
          <cell r="J364" t="str">
            <v xml:space="preserve"> </v>
          </cell>
        </row>
        <row r="365">
          <cell r="J365" t="str">
            <v xml:space="preserve"> </v>
          </cell>
        </row>
        <row r="366">
          <cell r="J366" t="str">
            <v xml:space="preserve"> </v>
          </cell>
        </row>
        <row r="367">
          <cell r="J367" t="str">
            <v xml:space="preserve"> </v>
          </cell>
        </row>
        <row r="368">
          <cell r="J368" t="str">
            <v xml:space="preserve"> </v>
          </cell>
        </row>
        <row r="369">
          <cell r="J369" t="str">
            <v xml:space="preserve"> </v>
          </cell>
        </row>
        <row r="370">
          <cell r="J370" t="str">
            <v xml:space="preserve"> </v>
          </cell>
        </row>
        <row r="371">
          <cell r="J371" t="str">
            <v xml:space="preserve"> </v>
          </cell>
        </row>
        <row r="372">
          <cell r="J372" t="str">
            <v xml:space="preserve"> </v>
          </cell>
        </row>
        <row r="373">
          <cell r="J373" t="str">
            <v xml:space="preserve"> </v>
          </cell>
        </row>
        <row r="374">
          <cell r="J374" t="str">
            <v xml:space="preserve"> </v>
          </cell>
        </row>
        <row r="375">
          <cell r="J375" t="str">
            <v xml:space="preserve"> </v>
          </cell>
        </row>
        <row r="376">
          <cell r="J376" t="str">
            <v xml:space="preserve"> </v>
          </cell>
        </row>
        <row r="377">
          <cell r="J377" t="str">
            <v xml:space="preserve"> </v>
          </cell>
        </row>
        <row r="378">
          <cell r="J378" t="str">
            <v xml:space="preserve"> </v>
          </cell>
        </row>
        <row r="379">
          <cell r="J379" t="str">
            <v xml:space="preserve"> </v>
          </cell>
        </row>
        <row r="380">
          <cell r="J380" t="str">
            <v xml:space="preserve"> </v>
          </cell>
        </row>
        <row r="381">
          <cell r="J381" t="str">
            <v xml:space="preserve"> </v>
          </cell>
        </row>
        <row r="382">
          <cell r="J382" t="str">
            <v xml:space="preserve"> </v>
          </cell>
        </row>
        <row r="383">
          <cell r="J383" t="str">
            <v xml:space="preserve"> </v>
          </cell>
        </row>
        <row r="384">
          <cell r="J384" t="str">
            <v xml:space="preserve"> </v>
          </cell>
        </row>
        <row r="385">
          <cell r="J385" t="str">
            <v xml:space="preserve"> </v>
          </cell>
        </row>
        <row r="386">
          <cell r="J386" t="str">
            <v xml:space="preserve"> </v>
          </cell>
        </row>
        <row r="387">
          <cell r="J387" t="str">
            <v xml:space="preserve"> </v>
          </cell>
        </row>
        <row r="388">
          <cell r="J388" t="str">
            <v xml:space="preserve"> </v>
          </cell>
        </row>
        <row r="389">
          <cell r="J389" t="str">
            <v xml:space="preserve"> </v>
          </cell>
        </row>
        <row r="390">
          <cell r="J390" t="str">
            <v xml:space="preserve"> </v>
          </cell>
        </row>
        <row r="391">
          <cell r="J391" t="str">
            <v xml:space="preserve"> </v>
          </cell>
        </row>
        <row r="392">
          <cell r="J392" t="str">
            <v xml:space="preserve"> </v>
          </cell>
        </row>
        <row r="393">
          <cell r="J393" t="str">
            <v xml:space="preserve"> </v>
          </cell>
        </row>
        <row r="394">
          <cell r="J394" t="str">
            <v xml:space="preserve"> </v>
          </cell>
        </row>
        <row r="395">
          <cell r="J395" t="str">
            <v xml:space="preserve"> </v>
          </cell>
        </row>
        <row r="396">
          <cell r="J396" t="str">
            <v xml:space="preserve"> </v>
          </cell>
        </row>
        <row r="397">
          <cell r="J397" t="str">
            <v xml:space="preserve"> </v>
          </cell>
        </row>
        <row r="398">
          <cell r="J398" t="str">
            <v xml:space="preserve"> </v>
          </cell>
        </row>
        <row r="399">
          <cell r="J399" t="str">
            <v xml:space="preserve"> </v>
          </cell>
        </row>
        <row r="400">
          <cell r="J400" t="str">
            <v xml:space="preserve"> </v>
          </cell>
        </row>
        <row r="401">
          <cell r="J401" t="str">
            <v xml:space="preserve"> </v>
          </cell>
        </row>
        <row r="402">
          <cell r="J402" t="str">
            <v xml:space="preserve"> </v>
          </cell>
        </row>
        <row r="403">
          <cell r="J403" t="str">
            <v xml:space="preserve"> </v>
          </cell>
        </row>
        <row r="404">
          <cell r="J404" t="str">
            <v xml:space="preserve"> </v>
          </cell>
        </row>
        <row r="405">
          <cell r="J405" t="str">
            <v xml:space="preserve"> </v>
          </cell>
        </row>
        <row r="406">
          <cell r="J406" t="str">
            <v xml:space="preserve"> </v>
          </cell>
        </row>
        <row r="407">
          <cell r="J407" t="str">
            <v xml:space="preserve"> </v>
          </cell>
        </row>
        <row r="408">
          <cell r="J408" t="str">
            <v xml:space="preserve"> </v>
          </cell>
        </row>
        <row r="409">
          <cell r="J409" t="str">
            <v xml:space="preserve"> </v>
          </cell>
        </row>
        <row r="410">
          <cell r="J410" t="str">
            <v xml:space="preserve"> </v>
          </cell>
        </row>
        <row r="411">
          <cell r="J411" t="str">
            <v xml:space="preserve"> </v>
          </cell>
        </row>
        <row r="412">
          <cell r="J412" t="str">
            <v xml:space="preserve"> </v>
          </cell>
        </row>
        <row r="413">
          <cell r="J413" t="str">
            <v xml:space="preserve"> </v>
          </cell>
        </row>
        <row r="414">
          <cell r="J414" t="str">
            <v xml:space="preserve"> </v>
          </cell>
        </row>
        <row r="415">
          <cell r="J415" t="str">
            <v xml:space="preserve"> </v>
          </cell>
        </row>
        <row r="416">
          <cell r="J416" t="str">
            <v xml:space="preserve"> </v>
          </cell>
        </row>
        <row r="417">
          <cell r="J417" t="str">
            <v xml:space="preserve"> </v>
          </cell>
        </row>
        <row r="418">
          <cell r="J418" t="str">
            <v xml:space="preserve"> </v>
          </cell>
        </row>
        <row r="419">
          <cell r="J419" t="str">
            <v xml:space="preserve"> </v>
          </cell>
        </row>
        <row r="420">
          <cell r="J420" t="str">
            <v xml:space="preserve"> </v>
          </cell>
        </row>
        <row r="421">
          <cell r="J421" t="str">
            <v xml:space="preserve"> </v>
          </cell>
        </row>
        <row r="422">
          <cell r="J422" t="str">
            <v xml:space="preserve"> </v>
          </cell>
        </row>
        <row r="423">
          <cell r="J423" t="str">
            <v xml:space="preserve"> </v>
          </cell>
        </row>
        <row r="424">
          <cell r="J424" t="str">
            <v xml:space="preserve"> </v>
          </cell>
        </row>
        <row r="425">
          <cell r="J425" t="str">
            <v xml:space="preserve"> </v>
          </cell>
        </row>
        <row r="426">
          <cell r="J426" t="str">
            <v xml:space="preserve"> </v>
          </cell>
        </row>
        <row r="427">
          <cell r="J427" t="str">
            <v xml:space="preserve"> </v>
          </cell>
        </row>
        <row r="428">
          <cell r="J428" t="str">
            <v xml:space="preserve"> </v>
          </cell>
        </row>
        <row r="429">
          <cell r="J429" t="str">
            <v xml:space="preserve"> </v>
          </cell>
        </row>
        <row r="430">
          <cell r="J430" t="str">
            <v xml:space="preserve"> </v>
          </cell>
        </row>
        <row r="431">
          <cell r="J431" t="str">
            <v xml:space="preserve"> </v>
          </cell>
        </row>
        <row r="432">
          <cell r="J432" t="str">
            <v xml:space="preserve"> </v>
          </cell>
        </row>
        <row r="433">
          <cell r="J433" t="str">
            <v xml:space="preserve"> </v>
          </cell>
        </row>
        <row r="434">
          <cell r="J434" t="str">
            <v xml:space="preserve"> </v>
          </cell>
        </row>
        <row r="435">
          <cell r="J435" t="str">
            <v xml:space="preserve"> </v>
          </cell>
        </row>
        <row r="436">
          <cell r="J436" t="str">
            <v xml:space="preserve"> </v>
          </cell>
        </row>
        <row r="437">
          <cell r="J437" t="str">
            <v xml:space="preserve"> </v>
          </cell>
        </row>
        <row r="438">
          <cell r="J438" t="str">
            <v xml:space="preserve"> </v>
          </cell>
        </row>
        <row r="439">
          <cell r="J439" t="str">
            <v xml:space="preserve"> </v>
          </cell>
        </row>
        <row r="440">
          <cell r="J440" t="str">
            <v xml:space="preserve"> </v>
          </cell>
        </row>
        <row r="441">
          <cell r="J441" t="str">
            <v xml:space="preserve"> </v>
          </cell>
        </row>
        <row r="442">
          <cell r="J442" t="str">
            <v xml:space="preserve"> </v>
          </cell>
        </row>
        <row r="443">
          <cell r="J443" t="str">
            <v xml:space="preserve"> </v>
          </cell>
        </row>
        <row r="444">
          <cell r="J444" t="str">
            <v xml:space="preserve"> </v>
          </cell>
        </row>
        <row r="445">
          <cell r="J445" t="str">
            <v xml:space="preserve"> </v>
          </cell>
        </row>
        <row r="446">
          <cell r="J446" t="str">
            <v xml:space="preserve"> </v>
          </cell>
        </row>
        <row r="447">
          <cell r="J447" t="str">
            <v xml:space="preserve"> </v>
          </cell>
        </row>
        <row r="448">
          <cell r="J448" t="str">
            <v xml:space="preserve"> </v>
          </cell>
        </row>
        <row r="449">
          <cell r="J449" t="str">
            <v xml:space="preserve"> </v>
          </cell>
        </row>
        <row r="450">
          <cell r="J450" t="str">
            <v xml:space="preserve"> </v>
          </cell>
        </row>
        <row r="451">
          <cell r="J451" t="str">
            <v xml:space="preserve"> </v>
          </cell>
        </row>
        <row r="452">
          <cell r="J452" t="str">
            <v xml:space="preserve"> </v>
          </cell>
        </row>
        <row r="453">
          <cell r="J453" t="str">
            <v xml:space="preserve"> </v>
          </cell>
        </row>
        <row r="454">
          <cell r="J454" t="str">
            <v xml:space="preserve"> </v>
          </cell>
        </row>
        <row r="455">
          <cell r="J455" t="str">
            <v xml:space="preserve"> </v>
          </cell>
        </row>
        <row r="456">
          <cell r="J456" t="str">
            <v xml:space="preserve"> </v>
          </cell>
        </row>
        <row r="457">
          <cell r="J457" t="str">
            <v xml:space="preserve"> </v>
          </cell>
        </row>
        <row r="458">
          <cell r="J458" t="str">
            <v xml:space="preserve"> </v>
          </cell>
        </row>
        <row r="459">
          <cell r="J459" t="str">
            <v xml:space="preserve"> </v>
          </cell>
        </row>
        <row r="460">
          <cell r="J460" t="str">
            <v xml:space="preserve"> </v>
          </cell>
        </row>
        <row r="461">
          <cell r="J461" t="str">
            <v xml:space="preserve"> </v>
          </cell>
        </row>
        <row r="462">
          <cell r="J462" t="str">
            <v xml:space="preserve"> </v>
          </cell>
        </row>
        <row r="463">
          <cell r="J463" t="str">
            <v xml:space="preserve"> </v>
          </cell>
        </row>
        <row r="464">
          <cell r="J464" t="str">
            <v xml:space="preserve"> </v>
          </cell>
        </row>
        <row r="465">
          <cell r="J465" t="str">
            <v xml:space="preserve"> </v>
          </cell>
        </row>
        <row r="466">
          <cell r="J466" t="str">
            <v xml:space="preserve"> </v>
          </cell>
        </row>
        <row r="467">
          <cell r="J467" t="str">
            <v xml:space="preserve"> </v>
          </cell>
        </row>
        <row r="468">
          <cell r="J468" t="str">
            <v xml:space="preserve"> </v>
          </cell>
        </row>
        <row r="469">
          <cell r="J469" t="str">
            <v xml:space="preserve"> </v>
          </cell>
        </row>
        <row r="470">
          <cell r="J470" t="str">
            <v xml:space="preserve"> </v>
          </cell>
        </row>
        <row r="471">
          <cell r="J471" t="str">
            <v xml:space="preserve"> </v>
          </cell>
        </row>
        <row r="472">
          <cell r="J472" t="str">
            <v xml:space="preserve"> </v>
          </cell>
        </row>
        <row r="473">
          <cell r="J473" t="str">
            <v xml:space="preserve"> </v>
          </cell>
        </row>
        <row r="474">
          <cell r="J474" t="str">
            <v xml:space="preserve"> </v>
          </cell>
        </row>
        <row r="475">
          <cell r="J475" t="str">
            <v xml:space="preserve"> </v>
          </cell>
        </row>
        <row r="476">
          <cell r="J476" t="str">
            <v xml:space="preserve"> </v>
          </cell>
        </row>
        <row r="477">
          <cell r="J477" t="str">
            <v xml:space="preserve"> </v>
          </cell>
        </row>
        <row r="478">
          <cell r="J478" t="str">
            <v xml:space="preserve"> </v>
          </cell>
        </row>
        <row r="479">
          <cell r="J479" t="str">
            <v xml:space="preserve"> </v>
          </cell>
        </row>
        <row r="480">
          <cell r="J480" t="str">
            <v xml:space="preserve"> </v>
          </cell>
        </row>
        <row r="481">
          <cell r="J481" t="str">
            <v xml:space="preserve"> </v>
          </cell>
        </row>
        <row r="482">
          <cell r="J482" t="str">
            <v xml:space="preserve"> </v>
          </cell>
        </row>
        <row r="483">
          <cell r="J483" t="str">
            <v xml:space="preserve"> </v>
          </cell>
        </row>
        <row r="484">
          <cell r="J484" t="str">
            <v xml:space="preserve"> </v>
          </cell>
        </row>
        <row r="485">
          <cell r="J485" t="str">
            <v xml:space="preserve"> </v>
          </cell>
        </row>
        <row r="486">
          <cell r="J486" t="str">
            <v xml:space="preserve"> </v>
          </cell>
        </row>
        <row r="487">
          <cell r="J487" t="str">
            <v xml:space="preserve"> </v>
          </cell>
        </row>
        <row r="488">
          <cell r="J488" t="str">
            <v xml:space="preserve"> </v>
          </cell>
        </row>
        <row r="489">
          <cell r="J489" t="str">
            <v xml:space="preserve"> </v>
          </cell>
        </row>
        <row r="490">
          <cell r="J490" t="str">
            <v xml:space="preserve"> </v>
          </cell>
        </row>
        <row r="491">
          <cell r="J491" t="str">
            <v xml:space="preserve"> </v>
          </cell>
        </row>
        <row r="492">
          <cell r="J492" t="str">
            <v xml:space="preserve"> </v>
          </cell>
        </row>
        <row r="493">
          <cell r="J493" t="str">
            <v xml:space="preserve"> </v>
          </cell>
        </row>
        <row r="494">
          <cell r="J494" t="str">
            <v xml:space="preserve"> </v>
          </cell>
        </row>
        <row r="495">
          <cell r="J495" t="str">
            <v xml:space="preserve"> </v>
          </cell>
        </row>
        <row r="496">
          <cell r="J496" t="str">
            <v xml:space="preserve"> </v>
          </cell>
        </row>
        <row r="497">
          <cell r="J497" t="str">
            <v xml:space="preserve"> </v>
          </cell>
        </row>
        <row r="498">
          <cell r="J498" t="str">
            <v xml:space="preserve"> </v>
          </cell>
        </row>
        <row r="499">
          <cell r="J499" t="str">
            <v xml:space="preserve"> </v>
          </cell>
        </row>
        <row r="500">
          <cell r="J500" t="str">
            <v xml:space="preserve"> </v>
          </cell>
        </row>
        <row r="501">
          <cell r="J501" t="str">
            <v xml:space="preserve"> </v>
          </cell>
        </row>
        <row r="502">
          <cell r="J502" t="str">
            <v xml:space="preserve"> </v>
          </cell>
        </row>
        <row r="503">
          <cell r="J503" t="str">
            <v xml:space="preserve"> </v>
          </cell>
        </row>
        <row r="504">
          <cell r="J504" t="str">
            <v xml:space="preserve"> </v>
          </cell>
        </row>
        <row r="505">
          <cell r="J505" t="str">
            <v xml:space="preserve"> </v>
          </cell>
        </row>
        <row r="506">
          <cell r="J506" t="str">
            <v xml:space="preserve"> </v>
          </cell>
        </row>
        <row r="507">
          <cell r="J507" t="str">
            <v xml:space="preserve"> </v>
          </cell>
        </row>
        <row r="508">
          <cell r="J508" t="str">
            <v xml:space="preserve"> </v>
          </cell>
        </row>
        <row r="509">
          <cell r="J509" t="str">
            <v xml:space="preserve"> </v>
          </cell>
        </row>
        <row r="510">
          <cell r="J510" t="str">
            <v xml:space="preserve"> </v>
          </cell>
        </row>
        <row r="511">
          <cell r="J511" t="str">
            <v xml:space="preserve"> </v>
          </cell>
        </row>
        <row r="512">
          <cell r="J512" t="str">
            <v xml:space="preserve"> </v>
          </cell>
        </row>
        <row r="513">
          <cell r="J513" t="str">
            <v xml:space="preserve"> </v>
          </cell>
        </row>
        <row r="514">
          <cell r="J514" t="str">
            <v xml:space="preserve"> </v>
          </cell>
        </row>
        <row r="515">
          <cell r="J515" t="str">
            <v xml:space="preserve"> </v>
          </cell>
        </row>
        <row r="516">
          <cell r="J516" t="str">
            <v xml:space="preserve"> </v>
          </cell>
        </row>
        <row r="517">
          <cell r="J517" t="str">
            <v xml:space="preserve"> </v>
          </cell>
        </row>
        <row r="518">
          <cell r="J518" t="str">
            <v xml:space="preserve"> </v>
          </cell>
        </row>
        <row r="519">
          <cell r="J519" t="str">
            <v xml:space="preserve"> </v>
          </cell>
        </row>
        <row r="520">
          <cell r="J520" t="str">
            <v xml:space="preserve"> </v>
          </cell>
        </row>
        <row r="521">
          <cell r="J521" t="str">
            <v xml:space="preserve"> </v>
          </cell>
        </row>
        <row r="522">
          <cell r="J522" t="str">
            <v xml:space="preserve"> </v>
          </cell>
        </row>
        <row r="523">
          <cell r="J523" t="str">
            <v xml:space="preserve"> </v>
          </cell>
        </row>
        <row r="524">
          <cell r="J524" t="str">
            <v xml:space="preserve"> </v>
          </cell>
        </row>
        <row r="525">
          <cell r="J525" t="str">
            <v xml:space="preserve"> </v>
          </cell>
        </row>
        <row r="526">
          <cell r="J526" t="str">
            <v xml:space="preserve"> </v>
          </cell>
        </row>
        <row r="527">
          <cell r="J527" t="str">
            <v xml:space="preserve"> </v>
          </cell>
        </row>
        <row r="528">
          <cell r="J528" t="str">
            <v xml:space="preserve"> </v>
          </cell>
        </row>
        <row r="529">
          <cell r="J529" t="str">
            <v xml:space="preserve"> </v>
          </cell>
        </row>
        <row r="530">
          <cell r="J530" t="str">
            <v xml:space="preserve"> </v>
          </cell>
        </row>
        <row r="531">
          <cell r="J531" t="str">
            <v xml:space="preserve"> </v>
          </cell>
        </row>
        <row r="532">
          <cell r="J532" t="str">
            <v xml:space="preserve"> </v>
          </cell>
        </row>
        <row r="533">
          <cell r="J533" t="str">
            <v xml:space="preserve"> </v>
          </cell>
        </row>
        <row r="534">
          <cell r="J534" t="str">
            <v xml:space="preserve"> </v>
          </cell>
        </row>
        <row r="535">
          <cell r="J535" t="str">
            <v xml:space="preserve"> </v>
          </cell>
        </row>
        <row r="536">
          <cell r="J536" t="str">
            <v xml:space="preserve"> </v>
          </cell>
        </row>
        <row r="537">
          <cell r="J537" t="str">
            <v xml:space="preserve"> </v>
          </cell>
        </row>
        <row r="538">
          <cell r="J538" t="str">
            <v xml:space="preserve"> </v>
          </cell>
        </row>
        <row r="539">
          <cell r="J539" t="str">
            <v xml:space="preserve"> </v>
          </cell>
        </row>
        <row r="540">
          <cell r="J540" t="str">
            <v xml:space="preserve"> </v>
          </cell>
        </row>
        <row r="541">
          <cell r="J541" t="str">
            <v xml:space="preserve"> </v>
          </cell>
        </row>
        <row r="542">
          <cell r="J542" t="str">
            <v xml:space="preserve"> </v>
          </cell>
        </row>
        <row r="543">
          <cell r="J543" t="str">
            <v xml:space="preserve"> </v>
          </cell>
        </row>
        <row r="544">
          <cell r="J544" t="str">
            <v xml:space="preserve"> </v>
          </cell>
        </row>
        <row r="545">
          <cell r="J545" t="str">
            <v xml:space="preserve"> </v>
          </cell>
        </row>
        <row r="546">
          <cell r="J546" t="str">
            <v xml:space="preserve"> </v>
          </cell>
        </row>
        <row r="547">
          <cell r="J547" t="str">
            <v xml:space="preserve"> </v>
          </cell>
        </row>
        <row r="548">
          <cell r="J548" t="str">
            <v xml:space="preserve"> </v>
          </cell>
        </row>
        <row r="549">
          <cell r="J549" t="str">
            <v xml:space="preserve"> </v>
          </cell>
        </row>
        <row r="550">
          <cell r="J550" t="str">
            <v xml:space="preserve"> </v>
          </cell>
        </row>
        <row r="551">
          <cell r="J551" t="str">
            <v xml:space="preserve"> </v>
          </cell>
        </row>
        <row r="552">
          <cell r="J552" t="str">
            <v xml:space="preserve"> </v>
          </cell>
        </row>
        <row r="553">
          <cell r="J553" t="str">
            <v xml:space="preserve"> </v>
          </cell>
        </row>
        <row r="554">
          <cell r="J554" t="str">
            <v xml:space="preserve"> </v>
          </cell>
        </row>
        <row r="555">
          <cell r="J555" t="str">
            <v xml:space="preserve"> </v>
          </cell>
        </row>
        <row r="556">
          <cell r="J556" t="str">
            <v xml:space="preserve"> </v>
          </cell>
        </row>
        <row r="557">
          <cell r="J557" t="str">
            <v xml:space="preserve"> </v>
          </cell>
        </row>
        <row r="558">
          <cell r="J558" t="str">
            <v xml:space="preserve"> </v>
          </cell>
        </row>
        <row r="559">
          <cell r="J559" t="str">
            <v xml:space="preserve"> </v>
          </cell>
        </row>
        <row r="560">
          <cell r="J560" t="str">
            <v xml:space="preserve"> </v>
          </cell>
        </row>
        <row r="561">
          <cell r="J561" t="str">
            <v xml:space="preserve"> </v>
          </cell>
        </row>
        <row r="562">
          <cell r="J562" t="str">
            <v xml:space="preserve"> </v>
          </cell>
        </row>
        <row r="563">
          <cell r="J563" t="str">
            <v xml:space="preserve"> </v>
          </cell>
        </row>
        <row r="564">
          <cell r="J564" t="str">
            <v xml:space="preserve"> </v>
          </cell>
        </row>
        <row r="565">
          <cell r="J565" t="str">
            <v xml:space="preserve"> </v>
          </cell>
        </row>
        <row r="566">
          <cell r="J566" t="str">
            <v xml:space="preserve"> </v>
          </cell>
        </row>
        <row r="567">
          <cell r="J567" t="str">
            <v xml:space="preserve"> </v>
          </cell>
        </row>
        <row r="568">
          <cell r="J568" t="str">
            <v xml:space="preserve"> </v>
          </cell>
        </row>
        <row r="569">
          <cell r="J569" t="str">
            <v xml:space="preserve"> </v>
          </cell>
        </row>
        <row r="570">
          <cell r="J570" t="str">
            <v xml:space="preserve"> </v>
          </cell>
        </row>
        <row r="571">
          <cell r="J571" t="str">
            <v xml:space="preserve"> </v>
          </cell>
        </row>
        <row r="572">
          <cell r="J572" t="str">
            <v xml:space="preserve"> </v>
          </cell>
        </row>
        <row r="573">
          <cell r="J573" t="str">
            <v xml:space="preserve"> </v>
          </cell>
        </row>
        <row r="574">
          <cell r="J574" t="str">
            <v xml:space="preserve"> </v>
          </cell>
        </row>
        <row r="575">
          <cell r="J575" t="str">
            <v xml:space="preserve"> </v>
          </cell>
        </row>
        <row r="576">
          <cell r="J576" t="str">
            <v xml:space="preserve"> </v>
          </cell>
        </row>
        <row r="577">
          <cell r="J577" t="str">
            <v xml:space="preserve"> </v>
          </cell>
        </row>
        <row r="578">
          <cell r="J578" t="str">
            <v xml:space="preserve"> </v>
          </cell>
        </row>
        <row r="579">
          <cell r="J579" t="str">
            <v xml:space="preserve"> </v>
          </cell>
        </row>
        <row r="580">
          <cell r="J580" t="str">
            <v xml:space="preserve"> </v>
          </cell>
        </row>
        <row r="581">
          <cell r="J581" t="str">
            <v xml:space="preserve"> </v>
          </cell>
        </row>
        <row r="582">
          <cell r="J582" t="str">
            <v xml:space="preserve"> </v>
          </cell>
        </row>
        <row r="583">
          <cell r="J583" t="str">
            <v xml:space="preserve"> </v>
          </cell>
        </row>
        <row r="584">
          <cell r="J584" t="str">
            <v xml:space="preserve"> </v>
          </cell>
        </row>
        <row r="585">
          <cell r="J585" t="str">
            <v xml:space="preserve"> </v>
          </cell>
        </row>
        <row r="586">
          <cell r="J586" t="str">
            <v xml:space="preserve"> </v>
          </cell>
        </row>
        <row r="587">
          <cell r="J587" t="str">
            <v xml:space="preserve"> </v>
          </cell>
        </row>
        <row r="588">
          <cell r="J588" t="str">
            <v xml:space="preserve"> </v>
          </cell>
        </row>
        <row r="589">
          <cell r="J589" t="str">
            <v xml:space="preserve"> </v>
          </cell>
        </row>
        <row r="590">
          <cell r="J590" t="str">
            <v xml:space="preserve"> </v>
          </cell>
        </row>
        <row r="591">
          <cell r="J591" t="str">
            <v xml:space="preserve"> </v>
          </cell>
        </row>
        <row r="592">
          <cell r="J592" t="str">
            <v xml:space="preserve"> </v>
          </cell>
        </row>
        <row r="593">
          <cell r="J593" t="str">
            <v xml:space="preserve"> </v>
          </cell>
        </row>
        <row r="594">
          <cell r="J594" t="str">
            <v xml:space="preserve"> </v>
          </cell>
        </row>
        <row r="595">
          <cell r="J595" t="str">
            <v xml:space="preserve"> </v>
          </cell>
        </row>
        <row r="596">
          <cell r="J596" t="str">
            <v xml:space="preserve"> </v>
          </cell>
        </row>
        <row r="597">
          <cell r="J597" t="str">
            <v xml:space="preserve"> </v>
          </cell>
        </row>
        <row r="598">
          <cell r="J598" t="str">
            <v xml:space="preserve"> </v>
          </cell>
        </row>
        <row r="599">
          <cell r="J599" t="str">
            <v xml:space="preserve"> </v>
          </cell>
        </row>
        <row r="600">
          <cell r="J600" t="str">
            <v xml:space="preserve"> </v>
          </cell>
        </row>
        <row r="601">
          <cell r="J601" t="str">
            <v xml:space="preserve"> </v>
          </cell>
        </row>
        <row r="602">
          <cell r="J602" t="str">
            <v xml:space="preserve"> </v>
          </cell>
        </row>
        <row r="603">
          <cell r="J603" t="str">
            <v xml:space="preserve"> </v>
          </cell>
        </row>
        <row r="604">
          <cell r="J604" t="str">
            <v xml:space="preserve"> </v>
          </cell>
        </row>
        <row r="605">
          <cell r="J605" t="str">
            <v xml:space="preserve"> </v>
          </cell>
        </row>
        <row r="606">
          <cell r="J606" t="str">
            <v xml:space="preserve"> </v>
          </cell>
        </row>
        <row r="607">
          <cell r="J607" t="str">
            <v xml:space="preserve"> </v>
          </cell>
        </row>
        <row r="608">
          <cell r="J608" t="str">
            <v xml:space="preserve"> </v>
          </cell>
        </row>
        <row r="609">
          <cell r="J609" t="str">
            <v xml:space="preserve"> </v>
          </cell>
        </row>
        <row r="610">
          <cell r="J610" t="str">
            <v xml:space="preserve"> </v>
          </cell>
        </row>
        <row r="611">
          <cell r="J611" t="str">
            <v xml:space="preserve"> </v>
          </cell>
        </row>
        <row r="612">
          <cell r="J612" t="str">
            <v xml:space="preserve"> </v>
          </cell>
        </row>
        <row r="613">
          <cell r="J613" t="str">
            <v xml:space="preserve"> </v>
          </cell>
        </row>
        <row r="614">
          <cell r="J614" t="str">
            <v xml:space="preserve"> </v>
          </cell>
        </row>
        <row r="615">
          <cell r="J615" t="str">
            <v xml:space="preserve"> </v>
          </cell>
        </row>
        <row r="616">
          <cell r="J616" t="str">
            <v xml:space="preserve"> </v>
          </cell>
        </row>
        <row r="617">
          <cell r="J617" t="str">
            <v xml:space="preserve"> </v>
          </cell>
        </row>
        <row r="618">
          <cell r="J618" t="str">
            <v xml:space="preserve"> </v>
          </cell>
        </row>
        <row r="619">
          <cell r="J619" t="str">
            <v xml:space="preserve"> </v>
          </cell>
        </row>
        <row r="620">
          <cell r="J620" t="str">
            <v xml:space="preserve"> </v>
          </cell>
        </row>
        <row r="621">
          <cell r="J621" t="str">
            <v xml:space="preserve"> </v>
          </cell>
        </row>
        <row r="622">
          <cell r="J622" t="str">
            <v xml:space="preserve"> </v>
          </cell>
        </row>
        <row r="623">
          <cell r="J623" t="str">
            <v xml:space="preserve"> </v>
          </cell>
        </row>
        <row r="624">
          <cell r="J624" t="str">
            <v xml:space="preserve"> </v>
          </cell>
        </row>
        <row r="625">
          <cell r="J625" t="str">
            <v xml:space="preserve"> </v>
          </cell>
        </row>
        <row r="626">
          <cell r="J626" t="str">
            <v xml:space="preserve"> </v>
          </cell>
        </row>
        <row r="627">
          <cell r="J627" t="str">
            <v xml:space="preserve"> </v>
          </cell>
        </row>
        <row r="628">
          <cell r="J628" t="str">
            <v xml:space="preserve"> </v>
          </cell>
        </row>
        <row r="629">
          <cell r="J629" t="str">
            <v xml:space="preserve"> </v>
          </cell>
        </row>
        <row r="630">
          <cell r="J630" t="str">
            <v xml:space="preserve"> </v>
          </cell>
        </row>
        <row r="631">
          <cell r="J631" t="str">
            <v xml:space="preserve"> </v>
          </cell>
        </row>
        <row r="632">
          <cell r="J632" t="str">
            <v xml:space="preserve"> </v>
          </cell>
        </row>
        <row r="633">
          <cell r="J633" t="str">
            <v xml:space="preserve"> </v>
          </cell>
        </row>
        <row r="634">
          <cell r="J634" t="str">
            <v xml:space="preserve"> </v>
          </cell>
        </row>
        <row r="635">
          <cell r="J635" t="str">
            <v xml:space="preserve"> </v>
          </cell>
        </row>
        <row r="636">
          <cell r="J636" t="str">
            <v xml:space="preserve"> </v>
          </cell>
        </row>
        <row r="637">
          <cell r="J637" t="str">
            <v xml:space="preserve"> </v>
          </cell>
        </row>
        <row r="638">
          <cell r="J638" t="str">
            <v xml:space="preserve"> </v>
          </cell>
        </row>
        <row r="639">
          <cell r="J639" t="str">
            <v xml:space="preserve"> </v>
          </cell>
        </row>
        <row r="640">
          <cell r="J640" t="str">
            <v xml:space="preserve"> </v>
          </cell>
        </row>
        <row r="641">
          <cell r="J641" t="str">
            <v xml:space="preserve"> </v>
          </cell>
        </row>
        <row r="642">
          <cell r="J642" t="str">
            <v xml:space="preserve"> </v>
          </cell>
        </row>
        <row r="643">
          <cell r="J643" t="str">
            <v xml:space="preserve"> </v>
          </cell>
        </row>
        <row r="644">
          <cell r="J644" t="str">
            <v xml:space="preserve"> </v>
          </cell>
        </row>
        <row r="645">
          <cell r="J645" t="str">
            <v xml:space="preserve"> </v>
          </cell>
        </row>
        <row r="646">
          <cell r="J646" t="str">
            <v xml:space="preserve"> </v>
          </cell>
        </row>
        <row r="647">
          <cell r="J647" t="str">
            <v xml:space="preserve"> </v>
          </cell>
        </row>
        <row r="648">
          <cell r="J648" t="str">
            <v xml:space="preserve"> </v>
          </cell>
        </row>
        <row r="649">
          <cell r="J649" t="str">
            <v xml:space="preserve"> </v>
          </cell>
        </row>
        <row r="650">
          <cell r="J650" t="str">
            <v xml:space="preserve"> </v>
          </cell>
        </row>
        <row r="651">
          <cell r="J651" t="str">
            <v xml:space="preserve"> </v>
          </cell>
        </row>
        <row r="652">
          <cell r="J652" t="str">
            <v xml:space="preserve"> </v>
          </cell>
        </row>
        <row r="653">
          <cell r="J653" t="str">
            <v xml:space="preserve"> </v>
          </cell>
        </row>
        <row r="654">
          <cell r="J654" t="str">
            <v xml:space="preserve"> </v>
          </cell>
        </row>
        <row r="655">
          <cell r="J655" t="str">
            <v xml:space="preserve"> </v>
          </cell>
        </row>
        <row r="656">
          <cell r="J656" t="str">
            <v xml:space="preserve"> </v>
          </cell>
        </row>
        <row r="657">
          <cell r="J657" t="str">
            <v xml:space="preserve"> </v>
          </cell>
        </row>
        <row r="658">
          <cell r="J658" t="str">
            <v xml:space="preserve"> </v>
          </cell>
        </row>
        <row r="659">
          <cell r="J659" t="str">
            <v xml:space="preserve"> </v>
          </cell>
        </row>
        <row r="660">
          <cell r="J660" t="str">
            <v xml:space="preserve"> </v>
          </cell>
        </row>
        <row r="661">
          <cell r="J661" t="str">
            <v xml:space="preserve"> </v>
          </cell>
        </row>
        <row r="662">
          <cell r="J662" t="str">
            <v xml:space="preserve"> </v>
          </cell>
        </row>
        <row r="663">
          <cell r="J663" t="str">
            <v xml:space="preserve"> </v>
          </cell>
        </row>
        <row r="664">
          <cell r="J664" t="str">
            <v xml:space="preserve"> </v>
          </cell>
        </row>
        <row r="665">
          <cell r="J665" t="str">
            <v xml:space="preserve"> </v>
          </cell>
        </row>
        <row r="666">
          <cell r="J666" t="str">
            <v xml:space="preserve"> </v>
          </cell>
        </row>
        <row r="667">
          <cell r="J667" t="str">
            <v xml:space="preserve"> </v>
          </cell>
        </row>
        <row r="668">
          <cell r="J668" t="str">
            <v xml:space="preserve"> </v>
          </cell>
        </row>
        <row r="669">
          <cell r="J669" t="str">
            <v xml:space="preserve"> </v>
          </cell>
        </row>
        <row r="670">
          <cell r="J670" t="str">
            <v xml:space="preserve"> </v>
          </cell>
        </row>
        <row r="671">
          <cell r="J671" t="str">
            <v xml:space="preserve"> </v>
          </cell>
        </row>
        <row r="672">
          <cell r="J672" t="str">
            <v xml:space="preserve"> </v>
          </cell>
        </row>
        <row r="673">
          <cell r="J673" t="str">
            <v xml:space="preserve"> </v>
          </cell>
        </row>
        <row r="674">
          <cell r="J674" t="str">
            <v xml:space="preserve"> </v>
          </cell>
        </row>
        <row r="675">
          <cell r="J675" t="str">
            <v xml:space="preserve"> </v>
          </cell>
        </row>
        <row r="676">
          <cell r="J676" t="str">
            <v xml:space="preserve"> </v>
          </cell>
        </row>
        <row r="677">
          <cell r="J677" t="str">
            <v xml:space="preserve"> </v>
          </cell>
        </row>
        <row r="678">
          <cell r="J678" t="str">
            <v xml:space="preserve"> </v>
          </cell>
        </row>
        <row r="679">
          <cell r="J679" t="str">
            <v xml:space="preserve"> </v>
          </cell>
        </row>
        <row r="680">
          <cell r="J680" t="str">
            <v xml:space="preserve"> </v>
          </cell>
        </row>
        <row r="681">
          <cell r="J681" t="str">
            <v xml:space="preserve"> </v>
          </cell>
        </row>
        <row r="682">
          <cell r="J682" t="str">
            <v xml:space="preserve"> </v>
          </cell>
        </row>
        <row r="683">
          <cell r="J683" t="str">
            <v xml:space="preserve"> </v>
          </cell>
        </row>
        <row r="684">
          <cell r="J684" t="str">
            <v xml:space="preserve"> </v>
          </cell>
        </row>
        <row r="685">
          <cell r="J685" t="str">
            <v xml:space="preserve"> </v>
          </cell>
        </row>
        <row r="686">
          <cell r="J686" t="str">
            <v xml:space="preserve"> </v>
          </cell>
        </row>
        <row r="687">
          <cell r="J687" t="str">
            <v xml:space="preserve"> </v>
          </cell>
        </row>
        <row r="688">
          <cell r="J688" t="str">
            <v xml:space="preserve"> </v>
          </cell>
        </row>
        <row r="689">
          <cell r="J689" t="str">
            <v xml:space="preserve"> </v>
          </cell>
        </row>
        <row r="690">
          <cell r="J690" t="str">
            <v xml:space="preserve"> </v>
          </cell>
        </row>
        <row r="691">
          <cell r="J691" t="str">
            <v xml:space="preserve"> </v>
          </cell>
        </row>
        <row r="692">
          <cell r="J692" t="str">
            <v xml:space="preserve"> </v>
          </cell>
        </row>
        <row r="693">
          <cell r="J693" t="str">
            <v xml:space="preserve"> </v>
          </cell>
        </row>
        <row r="694">
          <cell r="J694" t="str">
            <v xml:space="preserve"> </v>
          </cell>
        </row>
        <row r="695">
          <cell r="J695" t="str">
            <v xml:space="preserve"> </v>
          </cell>
        </row>
        <row r="696">
          <cell r="J696" t="str">
            <v xml:space="preserve"> </v>
          </cell>
        </row>
        <row r="697">
          <cell r="J697" t="str">
            <v xml:space="preserve"> </v>
          </cell>
        </row>
        <row r="698">
          <cell r="J698" t="str">
            <v xml:space="preserve"> </v>
          </cell>
        </row>
        <row r="699">
          <cell r="J699" t="str">
            <v xml:space="preserve"> </v>
          </cell>
        </row>
        <row r="700">
          <cell r="J700" t="str">
            <v xml:space="preserve"> </v>
          </cell>
        </row>
        <row r="701">
          <cell r="J701" t="str">
            <v xml:space="preserve"> </v>
          </cell>
        </row>
        <row r="702">
          <cell r="J702" t="str">
            <v xml:space="preserve"> </v>
          </cell>
        </row>
        <row r="703">
          <cell r="J703" t="str">
            <v xml:space="preserve"> </v>
          </cell>
        </row>
        <row r="704">
          <cell r="J704" t="str">
            <v xml:space="preserve"> </v>
          </cell>
        </row>
        <row r="705">
          <cell r="J705" t="str">
            <v xml:space="preserve"> </v>
          </cell>
        </row>
        <row r="706">
          <cell r="J706" t="str">
            <v xml:space="preserve"> </v>
          </cell>
        </row>
        <row r="707">
          <cell r="J707" t="str">
            <v xml:space="preserve"> </v>
          </cell>
        </row>
        <row r="708">
          <cell r="J708" t="str">
            <v xml:space="preserve"> </v>
          </cell>
        </row>
        <row r="709">
          <cell r="J709" t="str">
            <v xml:space="preserve"> </v>
          </cell>
        </row>
        <row r="710">
          <cell r="J710" t="str">
            <v xml:space="preserve"> </v>
          </cell>
        </row>
        <row r="711">
          <cell r="J711" t="str">
            <v xml:space="preserve"> </v>
          </cell>
        </row>
        <row r="712">
          <cell r="J712" t="str">
            <v xml:space="preserve"> </v>
          </cell>
        </row>
        <row r="713">
          <cell r="J713" t="str">
            <v xml:space="preserve"> </v>
          </cell>
        </row>
        <row r="714">
          <cell r="J714" t="str">
            <v xml:space="preserve"> </v>
          </cell>
        </row>
        <row r="715">
          <cell r="J715" t="str">
            <v xml:space="preserve"> </v>
          </cell>
        </row>
        <row r="716">
          <cell r="J716" t="str">
            <v xml:space="preserve"> </v>
          </cell>
        </row>
        <row r="717">
          <cell r="J717" t="str">
            <v xml:space="preserve"> </v>
          </cell>
        </row>
        <row r="718">
          <cell r="J718" t="str">
            <v xml:space="preserve"> </v>
          </cell>
        </row>
        <row r="719">
          <cell r="J719" t="str">
            <v xml:space="preserve"> </v>
          </cell>
        </row>
        <row r="720">
          <cell r="J720" t="str">
            <v xml:space="preserve"> </v>
          </cell>
        </row>
        <row r="721">
          <cell r="J721" t="str">
            <v xml:space="preserve"> </v>
          </cell>
        </row>
        <row r="722">
          <cell r="J722" t="str">
            <v xml:space="preserve"> </v>
          </cell>
        </row>
        <row r="723">
          <cell r="J723" t="str">
            <v xml:space="preserve"> </v>
          </cell>
        </row>
        <row r="724">
          <cell r="J724" t="str">
            <v xml:space="preserve"> </v>
          </cell>
        </row>
        <row r="725">
          <cell r="J725" t="str">
            <v xml:space="preserve"> </v>
          </cell>
        </row>
        <row r="726">
          <cell r="J726" t="str">
            <v xml:space="preserve"> </v>
          </cell>
        </row>
        <row r="727">
          <cell r="J727" t="str">
            <v xml:space="preserve"> </v>
          </cell>
        </row>
        <row r="728">
          <cell r="J728" t="str">
            <v xml:space="preserve"> </v>
          </cell>
        </row>
        <row r="729">
          <cell r="J729" t="str">
            <v xml:space="preserve"> </v>
          </cell>
        </row>
        <row r="730">
          <cell r="J730" t="str">
            <v xml:space="preserve"> </v>
          </cell>
        </row>
        <row r="731">
          <cell r="J731" t="str">
            <v xml:space="preserve"> </v>
          </cell>
        </row>
        <row r="732">
          <cell r="J732" t="str">
            <v xml:space="preserve"> </v>
          </cell>
        </row>
        <row r="733">
          <cell r="J733" t="str">
            <v xml:space="preserve"> </v>
          </cell>
        </row>
        <row r="734">
          <cell r="J734" t="str">
            <v xml:space="preserve"> </v>
          </cell>
        </row>
        <row r="735">
          <cell r="J735" t="str">
            <v xml:space="preserve"> </v>
          </cell>
        </row>
        <row r="736">
          <cell r="J736" t="str">
            <v xml:space="preserve"> </v>
          </cell>
        </row>
        <row r="737">
          <cell r="J737" t="str">
            <v xml:space="preserve"> </v>
          </cell>
        </row>
        <row r="738">
          <cell r="J738" t="str">
            <v xml:space="preserve"> </v>
          </cell>
        </row>
        <row r="739">
          <cell r="J739" t="str">
            <v xml:space="preserve"> </v>
          </cell>
        </row>
        <row r="740">
          <cell r="J740" t="str">
            <v xml:space="preserve"> </v>
          </cell>
        </row>
        <row r="741">
          <cell r="J741" t="str">
            <v xml:space="preserve"> </v>
          </cell>
        </row>
        <row r="742">
          <cell r="J742" t="str">
            <v xml:space="preserve"> </v>
          </cell>
        </row>
        <row r="743">
          <cell r="J743" t="str">
            <v xml:space="preserve"> </v>
          </cell>
        </row>
        <row r="744">
          <cell r="J744" t="str">
            <v xml:space="preserve"> </v>
          </cell>
        </row>
        <row r="745">
          <cell r="J745" t="str">
            <v xml:space="preserve"> </v>
          </cell>
        </row>
        <row r="746">
          <cell r="J746" t="str">
            <v xml:space="preserve"> </v>
          </cell>
        </row>
        <row r="747">
          <cell r="J747" t="str">
            <v xml:space="preserve"> </v>
          </cell>
        </row>
        <row r="748">
          <cell r="J748" t="str">
            <v xml:space="preserve"> </v>
          </cell>
        </row>
        <row r="749">
          <cell r="J749" t="str">
            <v xml:space="preserve"> </v>
          </cell>
        </row>
        <row r="750">
          <cell r="J750" t="str">
            <v xml:space="preserve"> </v>
          </cell>
        </row>
        <row r="751">
          <cell r="J751" t="str">
            <v xml:space="preserve"> </v>
          </cell>
        </row>
        <row r="752">
          <cell r="J752" t="str">
            <v xml:space="preserve"> </v>
          </cell>
        </row>
        <row r="753">
          <cell r="J753" t="str">
            <v xml:space="preserve"> </v>
          </cell>
        </row>
        <row r="754">
          <cell r="J754" t="str">
            <v xml:space="preserve"> </v>
          </cell>
        </row>
        <row r="755">
          <cell r="J755" t="str">
            <v xml:space="preserve"> </v>
          </cell>
        </row>
        <row r="756">
          <cell r="J756" t="str">
            <v xml:space="preserve"> </v>
          </cell>
        </row>
        <row r="757">
          <cell r="J757" t="str">
            <v xml:space="preserve"> </v>
          </cell>
        </row>
        <row r="758">
          <cell r="J758" t="str">
            <v xml:space="preserve"> </v>
          </cell>
        </row>
        <row r="759">
          <cell r="J759" t="str">
            <v xml:space="preserve"> </v>
          </cell>
        </row>
        <row r="760">
          <cell r="J760" t="str">
            <v xml:space="preserve"> </v>
          </cell>
        </row>
        <row r="761">
          <cell r="J761" t="str">
            <v xml:space="preserve"> </v>
          </cell>
        </row>
        <row r="762">
          <cell r="J762" t="str">
            <v xml:space="preserve"> </v>
          </cell>
        </row>
        <row r="763">
          <cell r="J763" t="str">
            <v xml:space="preserve"> </v>
          </cell>
        </row>
        <row r="764">
          <cell r="J764" t="str">
            <v xml:space="preserve"> </v>
          </cell>
        </row>
        <row r="765">
          <cell r="J765" t="str">
            <v xml:space="preserve"> </v>
          </cell>
        </row>
        <row r="766">
          <cell r="J766" t="str">
            <v xml:space="preserve"> </v>
          </cell>
        </row>
        <row r="767">
          <cell r="J767" t="str">
            <v xml:space="preserve"> </v>
          </cell>
        </row>
        <row r="768">
          <cell r="J768" t="str">
            <v xml:space="preserve"> </v>
          </cell>
        </row>
        <row r="769">
          <cell r="J769" t="str">
            <v xml:space="preserve"> </v>
          </cell>
        </row>
        <row r="770">
          <cell r="J770" t="str">
            <v xml:space="preserve"> </v>
          </cell>
        </row>
        <row r="771">
          <cell r="J771" t="str">
            <v xml:space="preserve"> </v>
          </cell>
        </row>
        <row r="772">
          <cell r="J772" t="str">
            <v xml:space="preserve"> </v>
          </cell>
        </row>
        <row r="773">
          <cell r="J773" t="str">
            <v xml:space="preserve"> </v>
          </cell>
        </row>
        <row r="774">
          <cell r="J774" t="str">
            <v xml:space="preserve"> </v>
          </cell>
        </row>
        <row r="775">
          <cell r="J775" t="str">
            <v xml:space="preserve"> </v>
          </cell>
        </row>
        <row r="776">
          <cell r="J776" t="str">
            <v xml:space="preserve"> </v>
          </cell>
        </row>
        <row r="777">
          <cell r="J777" t="str">
            <v xml:space="preserve"> </v>
          </cell>
        </row>
        <row r="778">
          <cell r="J778" t="str">
            <v xml:space="preserve"> </v>
          </cell>
        </row>
        <row r="779">
          <cell r="J779" t="str">
            <v xml:space="preserve"> </v>
          </cell>
        </row>
        <row r="780">
          <cell r="J780" t="str">
            <v xml:space="preserve"> </v>
          </cell>
        </row>
        <row r="781">
          <cell r="J781" t="str">
            <v xml:space="preserve"> </v>
          </cell>
        </row>
        <row r="782">
          <cell r="J782" t="str">
            <v xml:space="preserve"> </v>
          </cell>
        </row>
        <row r="783">
          <cell r="J783" t="str">
            <v xml:space="preserve"> </v>
          </cell>
        </row>
        <row r="784">
          <cell r="J784" t="str">
            <v xml:space="preserve"> </v>
          </cell>
        </row>
        <row r="785">
          <cell r="J785" t="str">
            <v xml:space="preserve"> </v>
          </cell>
        </row>
        <row r="786">
          <cell r="J786" t="str">
            <v xml:space="preserve"> </v>
          </cell>
        </row>
        <row r="787">
          <cell r="J787" t="str">
            <v xml:space="preserve"> </v>
          </cell>
        </row>
        <row r="788">
          <cell r="J788" t="str">
            <v xml:space="preserve"> </v>
          </cell>
        </row>
        <row r="789">
          <cell r="J789" t="str">
            <v xml:space="preserve"> </v>
          </cell>
        </row>
        <row r="790">
          <cell r="J790" t="str">
            <v xml:space="preserve"> </v>
          </cell>
        </row>
        <row r="791">
          <cell r="J791" t="str">
            <v xml:space="preserve"> </v>
          </cell>
        </row>
        <row r="792">
          <cell r="J792" t="str">
            <v xml:space="preserve"> </v>
          </cell>
        </row>
        <row r="793">
          <cell r="J793" t="str">
            <v xml:space="preserve"> </v>
          </cell>
        </row>
        <row r="794">
          <cell r="J794" t="str">
            <v xml:space="preserve"> </v>
          </cell>
        </row>
        <row r="795">
          <cell r="J795" t="str">
            <v xml:space="preserve"> </v>
          </cell>
        </row>
        <row r="796">
          <cell r="J796" t="str">
            <v xml:space="preserve"> </v>
          </cell>
        </row>
        <row r="797">
          <cell r="J797" t="str">
            <v xml:space="preserve"> </v>
          </cell>
        </row>
        <row r="798">
          <cell r="J798" t="str">
            <v xml:space="preserve"> </v>
          </cell>
        </row>
        <row r="799">
          <cell r="J799" t="str">
            <v xml:space="preserve"> </v>
          </cell>
        </row>
        <row r="800">
          <cell r="J800" t="str">
            <v xml:space="preserve"> </v>
          </cell>
        </row>
        <row r="801">
          <cell r="J801" t="str">
            <v xml:space="preserve"> </v>
          </cell>
        </row>
        <row r="802">
          <cell r="J802" t="str">
            <v xml:space="preserve"> </v>
          </cell>
        </row>
        <row r="803">
          <cell r="J803" t="str">
            <v xml:space="preserve"> </v>
          </cell>
        </row>
        <row r="804">
          <cell r="J804" t="str">
            <v xml:space="preserve"> </v>
          </cell>
        </row>
        <row r="805">
          <cell r="J805" t="str">
            <v xml:space="preserve"> </v>
          </cell>
        </row>
        <row r="806">
          <cell r="J806" t="str">
            <v xml:space="preserve"> </v>
          </cell>
        </row>
        <row r="807">
          <cell r="J807" t="str">
            <v xml:space="preserve"> </v>
          </cell>
        </row>
        <row r="808">
          <cell r="J808" t="str">
            <v xml:space="preserve"> </v>
          </cell>
        </row>
        <row r="809">
          <cell r="J809" t="str">
            <v xml:space="preserve"> </v>
          </cell>
        </row>
        <row r="810">
          <cell r="J810" t="str">
            <v xml:space="preserve"> </v>
          </cell>
        </row>
        <row r="811">
          <cell r="J811" t="str">
            <v xml:space="preserve"> </v>
          </cell>
        </row>
        <row r="812">
          <cell r="J812" t="str">
            <v xml:space="preserve"> </v>
          </cell>
        </row>
        <row r="813">
          <cell r="J813" t="str">
            <v xml:space="preserve"> </v>
          </cell>
        </row>
        <row r="814">
          <cell r="J814" t="str">
            <v xml:space="preserve"> </v>
          </cell>
        </row>
        <row r="815">
          <cell r="J815" t="str">
            <v xml:space="preserve"> </v>
          </cell>
        </row>
        <row r="816">
          <cell r="J816" t="str">
            <v xml:space="preserve"> </v>
          </cell>
        </row>
        <row r="817">
          <cell r="J817" t="str">
            <v xml:space="preserve"> </v>
          </cell>
        </row>
        <row r="818">
          <cell r="J818" t="str">
            <v xml:space="preserve"> </v>
          </cell>
        </row>
        <row r="819">
          <cell r="J819" t="str">
            <v xml:space="preserve"> </v>
          </cell>
        </row>
        <row r="820">
          <cell r="J820" t="str">
            <v xml:space="preserve"> </v>
          </cell>
        </row>
        <row r="821">
          <cell r="J821" t="str">
            <v xml:space="preserve"> </v>
          </cell>
        </row>
        <row r="822">
          <cell r="J822" t="str">
            <v xml:space="preserve"> </v>
          </cell>
        </row>
        <row r="823">
          <cell r="J823" t="str">
            <v xml:space="preserve"> </v>
          </cell>
        </row>
        <row r="824">
          <cell r="J824" t="str">
            <v xml:space="preserve"> </v>
          </cell>
        </row>
        <row r="825">
          <cell r="J825" t="str">
            <v xml:space="preserve"> </v>
          </cell>
        </row>
        <row r="826">
          <cell r="J826" t="str">
            <v xml:space="preserve"> </v>
          </cell>
        </row>
        <row r="827">
          <cell r="J827" t="str">
            <v xml:space="preserve"> </v>
          </cell>
        </row>
        <row r="828">
          <cell r="J828" t="str">
            <v xml:space="preserve"> </v>
          </cell>
        </row>
        <row r="829">
          <cell r="J829" t="str">
            <v xml:space="preserve"> </v>
          </cell>
        </row>
        <row r="830">
          <cell r="J830" t="str">
            <v xml:space="preserve"> </v>
          </cell>
        </row>
        <row r="831">
          <cell r="J831" t="str">
            <v xml:space="preserve"> </v>
          </cell>
        </row>
        <row r="832">
          <cell r="J832" t="str">
            <v xml:space="preserve"> </v>
          </cell>
        </row>
        <row r="833">
          <cell r="J833" t="str">
            <v xml:space="preserve"> </v>
          </cell>
        </row>
        <row r="834">
          <cell r="J834" t="str">
            <v xml:space="preserve"> </v>
          </cell>
        </row>
        <row r="835">
          <cell r="J835" t="str">
            <v xml:space="preserve"> </v>
          </cell>
        </row>
        <row r="836">
          <cell r="J836" t="str">
            <v xml:space="preserve"> </v>
          </cell>
        </row>
        <row r="837">
          <cell r="J837" t="str">
            <v xml:space="preserve"> </v>
          </cell>
        </row>
        <row r="838">
          <cell r="J838" t="str">
            <v xml:space="preserve"> </v>
          </cell>
        </row>
        <row r="839">
          <cell r="J839" t="str">
            <v xml:space="preserve"> </v>
          </cell>
        </row>
        <row r="840">
          <cell r="J840" t="str">
            <v xml:space="preserve"> </v>
          </cell>
        </row>
        <row r="841">
          <cell r="J841" t="str">
            <v xml:space="preserve"> </v>
          </cell>
        </row>
        <row r="842">
          <cell r="J842" t="str">
            <v xml:space="preserve"> </v>
          </cell>
        </row>
        <row r="843">
          <cell r="J843" t="str">
            <v xml:space="preserve"> </v>
          </cell>
        </row>
        <row r="844">
          <cell r="J844" t="str">
            <v xml:space="preserve"> </v>
          </cell>
        </row>
        <row r="845">
          <cell r="J845" t="str">
            <v xml:space="preserve"> </v>
          </cell>
        </row>
        <row r="846">
          <cell r="J846" t="str">
            <v xml:space="preserve"> </v>
          </cell>
        </row>
        <row r="847">
          <cell r="J847" t="str">
            <v xml:space="preserve"> </v>
          </cell>
        </row>
        <row r="848">
          <cell r="J848" t="str">
            <v xml:space="preserve"> </v>
          </cell>
        </row>
        <row r="849">
          <cell r="J849" t="str">
            <v xml:space="preserve"> </v>
          </cell>
        </row>
        <row r="850">
          <cell r="J850" t="str">
            <v xml:space="preserve"> </v>
          </cell>
        </row>
        <row r="851">
          <cell r="J851" t="str">
            <v xml:space="preserve"> </v>
          </cell>
        </row>
        <row r="852">
          <cell r="J852" t="str">
            <v xml:space="preserve"> </v>
          </cell>
        </row>
        <row r="853">
          <cell r="J853" t="str">
            <v xml:space="preserve"> </v>
          </cell>
        </row>
        <row r="854">
          <cell r="J854" t="str">
            <v xml:space="preserve"> </v>
          </cell>
        </row>
        <row r="855">
          <cell r="J855" t="str">
            <v xml:space="preserve"> </v>
          </cell>
        </row>
        <row r="856">
          <cell r="J856" t="str">
            <v xml:space="preserve"> </v>
          </cell>
        </row>
        <row r="857">
          <cell r="J857" t="str">
            <v xml:space="preserve"> </v>
          </cell>
        </row>
        <row r="858">
          <cell r="J858" t="str">
            <v xml:space="preserve"> </v>
          </cell>
        </row>
        <row r="859">
          <cell r="J859" t="str">
            <v xml:space="preserve"> </v>
          </cell>
        </row>
        <row r="860">
          <cell r="J860" t="str">
            <v xml:space="preserve"> </v>
          </cell>
        </row>
        <row r="861">
          <cell r="J861" t="str">
            <v xml:space="preserve"> </v>
          </cell>
        </row>
        <row r="862">
          <cell r="J862" t="str">
            <v xml:space="preserve"> </v>
          </cell>
        </row>
        <row r="863">
          <cell r="J863" t="str">
            <v xml:space="preserve"> </v>
          </cell>
        </row>
        <row r="864">
          <cell r="J864" t="str">
            <v xml:space="preserve"> </v>
          </cell>
        </row>
        <row r="865">
          <cell r="J865" t="str">
            <v xml:space="preserve"> </v>
          </cell>
        </row>
        <row r="866">
          <cell r="J866" t="str">
            <v xml:space="preserve"> </v>
          </cell>
        </row>
        <row r="867">
          <cell r="J867" t="str">
            <v xml:space="preserve"> </v>
          </cell>
        </row>
        <row r="868">
          <cell r="J868" t="str">
            <v xml:space="preserve"> </v>
          </cell>
        </row>
        <row r="869">
          <cell r="J869" t="str">
            <v xml:space="preserve"> </v>
          </cell>
        </row>
        <row r="870">
          <cell r="J870" t="str">
            <v xml:space="preserve"> </v>
          </cell>
        </row>
        <row r="871">
          <cell r="J871" t="str">
            <v xml:space="preserve"> </v>
          </cell>
        </row>
        <row r="872">
          <cell r="J872" t="str">
            <v xml:space="preserve"> </v>
          </cell>
        </row>
        <row r="873">
          <cell r="J873" t="str">
            <v xml:space="preserve"> </v>
          </cell>
        </row>
        <row r="874">
          <cell r="J874" t="str">
            <v xml:space="preserve"> </v>
          </cell>
        </row>
        <row r="875">
          <cell r="J875" t="str">
            <v xml:space="preserve"> </v>
          </cell>
        </row>
        <row r="876">
          <cell r="J876" t="str">
            <v xml:space="preserve"> </v>
          </cell>
        </row>
        <row r="877">
          <cell r="J877" t="str">
            <v xml:space="preserve"> </v>
          </cell>
        </row>
        <row r="878">
          <cell r="J878" t="str">
            <v xml:space="preserve"> </v>
          </cell>
        </row>
        <row r="879">
          <cell r="J879" t="str">
            <v xml:space="preserve"> </v>
          </cell>
        </row>
        <row r="880">
          <cell r="J880" t="str">
            <v xml:space="preserve"> </v>
          </cell>
        </row>
        <row r="881">
          <cell r="J881" t="str">
            <v xml:space="preserve"> </v>
          </cell>
        </row>
        <row r="882">
          <cell r="J882" t="str">
            <v xml:space="preserve"> </v>
          </cell>
        </row>
        <row r="883">
          <cell r="J883" t="str">
            <v xml:space="preserve"> </v>
          </cell>
        </row>
        <row r="884">
          <cell r="J884" t="str">
            <v xml:space="preserve"> </v>
          </cell>
        </row>
        <row r="885">
          <cell r="J885" t="str">
            <v xml:space="preserve"> </v>
          </cell>
        </row>
        <row r="886">
          <cell r="J886" t="str">
            <v xml:space="preserve"> </v>
          </cell>
        </row>
        <row r="887">
          <cell r="J887" t="str">
            <v xml:space="preserve"> </v>
          </cell>
        </row>
        <row r="888">
          <cell r="J888" t="str">
            <v xml:space="preserve"> </v>
          </cell>
        </row>
        <row r="889">
          <cell r="J889" t="str">
            <v xml:space="preserve"> </v>
          </cell>
        </row>
        <row r="890">
          <cell r="J890" t="str">
            <v xml:space="preserve"> </v>
          </cell>
        </row>
        <row r="891">
          <cell r="J891" t="str">
            <v xml:space="preserve"> </v>
          </cell>
        </row>
        <row r="892">
          <cell r="J892" t="str">
            <v xml:space="preserve"> </v>
          </cell>
        </row>
        <row r="893">
          <cell r="J893" t="str">
            <v xml:space="preserve"> </v>
          </cell>
        </row>
        <row r="894">
          <cell r="J894" t="str">
            <v xml:space="preserve"> </v>
          </cell>
        </row>
        <row r="895">
          <cell r="J895" t="str">
            <v xml:space="preserve"> </v>
          </cell>
        </row>
        <row r="896">
          <cell r="J896" t="str">
            <v xml:space="preserve"> </v>
          </cell>
        </row>
        <row r="897">
          <cell r="J897" t="str">
            <v xml:space="preserve"> </v>
          </cell>
        </row>
        <row r="898">
          <cell r="J898" t="str">
            <v xml:space="preserve"> </v>
          </cell>
        </row>
        <row r="899">
          <cell r="J899" t="str">
            <v xml:space="preserve"> </v>
          </cell>
        </row>
        <row r="900">
          <cell r="J900" t="str">
            <v xml:space="preserve"> </v>
          </cell>
        </row>
        <row r="901">
          <cell r="J901" t="str">
            <v xml:space="preserve"> </v>
          </cell>
        </row>
        <row r="902">
          <cell r="J902" t="str">
            <v xml:space="preserve"> </v>
          </cell>
        </row>
        <row r="903">
          <cell r="J903" t="str">
            <v xml:space="preserve"> </v>
          </cell>
        </row>
        <row r="904">
          <cell r="J904" t="str">
            <v xml:space="preserve"> </v>
          </cell>
        </row>
        <row r="905">
          <cell r="J905" t="str">
            <v xml:space="preserve"> </v>
          </cell>
        </row>
        <row r="906">
          <cell r="J906" t="str">
            <v xml:space="preserve"> </v>
          </cell>
        </row>
        <row r="907">
          <cell r="J907" t="str">
            <v xml:space="preserve"> </v>
          </cell>
        </row>
        <row r="908">
          <cell r="J908" t="str">
            <v xml:space="preserve"> </v>
          </cell>
        </row>
        <row r="909">
          <cell r="J909" t="str">
            <v xml:space="preserve"> </v>
          </cell>
        </row>
        <row r="910">
          <cell r="J910" t="str">
            <v xml:space="preserve"> </v>
          </cell>
        </row>
        <row r="911">
          <cell r="J911" t="str">
            <v xml:space="preserve"> </v>
          </cell>
        </row>
        <row r="912">
          <cell r="J912" t="str">
            <v xml:space="preserve"> </v>
          </cell>
        </row>
        <row r="913">
          <cell r="J913" t="str">
            <v xml:space="preserve"> </v>
          </cell>
        </row>
        <row r="914">
          <cell r="J914" t="str">
            <v xml:space="preserve"> </v>
          </cell>
        </row>
        <row r="915">
          <cell r="J915" t="str">
            <v xml:space="preserve"> </v>
          </cell>
        </row>
        <row r="916">
          <cell r="J916" t="str">
            <v xml:space="preserve"> </v>
          </cell>
        </row>
        <row r="917">
          <cell r="J917" t="str">
            <v xml:space="preserve"> </v>
          </cell>
        </row>
        <row r="918">
          <cell r="J918" t="str">
            <v xml:space="preserve"> </v>
          </cell>
        </row>
        <row r="919">
          <cell r="J919" t="str">
            <v xml:space="preserve"> </v>
          </cell>
        </row>
        <row r="920">
          <cell r="J920" t="str">
            <v xml:space="preserve"> </v>
          </cell>
        </row>
        <row r="921">
          <cell r="J921" t="str">
            <v xml:space="preserve"> </v>
          </cell>
        </row>
        <row r="922">
          <cell r="J922" t="str">
            <v xml:space="preserve"> </v>
          </cell>
        </row>
        <row r="923">
          <cell r="J923" t="str">
            <v xml:space="preserve"> </v>
          </cell>
        </row>
        <row r="924">
          <cell r="J924" t="str">
            <v xml:space="preserve"> </v>
          </cell>
        </row>
        <row r="925">
          <cell r="J925" t="str">
            <v xml:space="preserve"> </v>
          </cell>
        </row>
        <row r="926">
          <cell r="J926" t="str">
            <v xml:space="preserve"> </v>
          </cell>
        </row>
        <row r="927">
          <cell r="J927" t="str">
            <v xml:space="preserve"> </v>
          </cell>
        </row>
        <row r="928">
          <cell r="J928" t="str">
            <v xml:space="preserve"> </v>
          </cell>
        </row>
        <row r="929">
          <cell r="J929" t="str">
            <v xml:space="preserve"> </v>
          </cell>
        </row>
        <row r="930">
          <cell r="J930" t="str">
            <v xml:space="preserve"> </v>
          </cell>
        </row>
        <row r="931">
          <cell r="J931" t="str">
            <v xml:space="preserve"> </v>
          </cell>
        </row>
        <row r="932">
          <cell r="J932" t="str">
            <v xml:space="preserve"> </v>
          </cell>
        </row>
        <row r="933">
          <cell r="J933" t="str">
            <v xml:space="preserve"> </v>
          </cell>
        </row>
        <row r="934">
          <cell r="J934" t="str">
            <v xml:space="preserve"> </v>
          </cell>
        </row>
        <row r="935">
          <cell r="J935" t="str">
            <v xml:space="preserve"> </v>
          </cell>
        </row>
        <row r="936">
          <cell r="J936" t="str">
            <v xml:space="preserve"> </v>
          </cell>
        </row>
        <row r="937">
          <cell r="J937" t="str">
            <v xml:space="preserve"> </v>
          </cell>
        </row>
        <row r="938">
          <cell r="J938" t="str">
            <v xml:space="preserve"> </v>
          </cell>
        </row>
        <row r="939">
          <cell r="J939" t="str">
            <v xml:space="preserve"> </v>
          </cell>
        </row>
        <row r="940">
          <cell r="J940" t="str">
            <v xml:space="preserve"> </v>
          </cell>
        </row>
        <row r="941">
          <cell r="J941" t="str">
            <v xml:space="preserve"> </v>
          </cell>
        </row>
        <row r="942">
          <cell r="J942" t="str">
            <v xml:space="preserve"> </v>
          </cell>
        </row>
        <row r="943">
          <cell r="J943" t="str">
            <v xml:space="preserve"> </v>
          </cell>
        </row>
        <row r="944">
          <cell r="J944" t="str">
            <v xml:space="preserve"> </v>
          </cell>
        </row>
        <row r="945">
          <cell r="J945" t="str">
            <v xml:space="preserve"> </v>
          </cell>
        </row>
        <row r="946">
          <cell r="J946" t="str">
            <v xml:space="preserve"> </v>
          </cell>
        </row>
        <row r="947">
          <cell r="J947" t="str">
            <v xml:space="preserve"> </v>
          </cell>
        </row>
        <row r="948">
          <cell r="J948" t="str">
            <v xml:space="preserve"> </v>
          </cell>
        </row>
        <row r="949">
          <cell r="J949" t="str">
            <v xml:space="preserve"> </v>
          </cell>
        </row>
        <row r="950">
          <cell r="J950" t="str">
            <v xml:space="preserve"> </v>
          </cell>
        </row>
        <row r="951">
          <cell r="J951" t="str">
            <v xml:space="preserve"> </v>
          </cell>
        </row>
        <row r="952">
          <cell r="J952" t="str">
            <v xml:space="preserve"> </v>
          </cell>
        </row>
        <row r="953">
          <cell r="J953" t="str">
            <v xml:space="preserve"> </v>
          </cell>
        </row>
        <row r="954">
          <cell r="J954" t="str">
            <v xml:space="preserve"> </v>
          </cell>
        </row>
        <row r="955">
          <cell r="J955" t="str">
            <v xml:space="preserve"> </v>
          </cell>
        </row>
        <row r="956">
          <cell r="J956" t="str">
            <v xml:space="preserve"> </v>
          </cell>
        </row>
        <row r="957">
          <cell r="J957" t="str">
            <v xml:space="preserve"> </v>
          </cell>
        </row>
        <row r="958">
          <cell r="J958" t="str">
            <v xml:space="preserve"> </v>
          </cell>
        </row>
        <row r="959">
          <cell r="J959" t="str">
            <v xml:space="preserve"> </v>
          </cell>
        </row>
        <row r="960">
          <cell r="J960" t="str">
            <v xml:space="preserve"> </v>
          </cell>
        </row>
        <row r="961">
          <cell r="J961" t="str">
            <v xml:space="preserve"> </v>
          </cell>
        </row>
        <row r="962">
          <cell r="J962" t="str">
            <v xml:space="preserve"> </v>
          </cell>
        </row>
        <row r="963">
          <cell r="J963" t="str">
            <v xml:space="preserve"> </v>
          </cell>
        </row>
        <row r="964">
          <cell r="J964" t="str">
            <v xml:space="preserve"> </v>
          </cell>
        </row>
        <row r="965">
          <cell r="J965" t="str">
            <v xml:space="preserve"> </v>
          </cell>
        </row>
        <row r="966">
          <cell r="J966" t="str">
            <v xml:space="preserve"> </v>
          </cell>
        </row>
        <row r="967">
          <cell r="J967" t="str">
            <v xml:space="preserve"> </v>
          </cell>
        </row>
        <row r="968">
          <cell r="J968" t="str">
            <v xml:space="preserve"> </v>
          </cell>
        </row>
        <row r="969">
          <cell r="J969" t="str">
            <v xml:space="preserve"> </v>
          </cell>
        </row>
        <row r="970">
          <cell r="J970" t="str">
            <v xml:space="preserve"> </v>
          </cell>
        </row>
        <row r="971">
          <cell r="J971" t="str">
            <v xml:space="preserve"> </v>
          </cell>
        </row>
        <row r="972">
          <cell r="J972" t="str">
            <v xml:space="preserve"> </v>
          </cell>
        </row>
        <row r="973">
          <cell r="J973" t="str">
            <v xml:space="preserve"> </v>
          </cell>
        </row>
        <row r="974">
          <cell r="J974" t="str">
            <v xml:space="preserve"> </v>
          </cell>
        </row>
        <row r="975">
          <cell r="J975" t="str">
            <v xml:space="preserve"> </v>
          </cell>
        </row>
        <row r="976">
          <cell r="J976" t="str">
            <v xml:space="preserve"> </v>
          </cell>
        </row>
        <row r="977">
          <cell r="J977" t="str">
            <v xml:space="preserve"> </v>
          </cell>
        </row>
        <row r="978">
          <cell r="J978" t="str">
            <v xml:space="preserve"> </v>
          </cell>
        </row>
        <row r="979">
          <cell r="J979" t="str">
            <v xml:space="preserve"> </v>
          </cell>
        </row>
        <row r="980">
          <cell r="J980" t="str">
            <v xml:space="preserve"> </v>
          </cell>
        </row>
        <row r="981">
          <cell r="J981" t="str">
            <v xml:space="preserve"> </v>
          </cell>
        </row>
        <row r="982">
          <cell r="J982" t="str">
            <v xml:space="preserve"> </v>
          </cell>
        </row>
        <row r="983">
          <cell r="J983" t="str">
            <v xml:space="preserve"> </v>
          </cell>
        </row>
        <row r="984">
          <cell r="J984" t="str">
            <v xml:space="preserve"> </v>
          </cell>
        </row>
        <row r="985">
          <cell r="J985" t="str">
            <v xml:space="preserve"> </v>
          </cell>
        </row>
        <row r="986">
          <cell r="J986" t="str">
            <v xml:space="preserve"> </v>
          </cell>
        </row>
        <row r="987">
          <cell r="J987" t="str">
            <v xml:space="preserve"> </v>
          </cell>
        </row>
        <row r="988">
          <cell r="J988" t="str">
            <v xml:space="preserve"> </v>
          </cell>
        </row>
        <row r="989">
          <cell r="J989" t="str">
            <v xml:space="preserve"> </v>
          </cell>
        </row>
        <row r="990">
          <cell r="J990" t="str">
            <v xml:space="preserve"> </v>
          </cell>
        </row>
        <row r="991">
          <cell r="J991" t="str">
            <v xml:space="preserve"> </v>
          </cell>
        </row>
        <row r="992">
          <cell r="J992" t="str">
            <v xml:space="preserve"> </v>
          </cell>
        </row>
        <row r="993">
          <cell r="J993" t="str">
            <v xml:space="preserve"> </v>
          </cell>
        </row>
        <row r="994">
          <cell r="J994" t="str">
            <v xml:space="preserve"> </v>
          </cell>
        </row>
        <row r="995">
          <cell r="J995" t="str">
            <v xml:space="preserve"> </v>
          </cell>
        </row>
        <row r="996">
          <cell r="J996" t="str">
            <v xml:space="preserve"> </v>
          </cell>
        </row>
        <row r="997">
          <cell r="J997" t="str">
            <v xml:space="preserve"> </v>
          </cell>
        </row>
        <row r="998">
          <cell r="J998" t="str">
            <v xml:space="preserve"> </v>
          </cell>
        </row>
        <row r="999">
          <cell r="J999" t="str">
            <v xml:space="preserve"> </v>
          </cell>
        </row>
        <row r="1000">
          <cell r="J1000" t="str">
            <v xml:space="preserve"> </v>
          </cell>
        </row>
      </sheetData>
      <sheetData sheetId="1">
        <row r="7">
          <cell r="K7" t="str">
            <v>1 ACTIVO</v>
          </cell>
        </row>
        <row r="8">
          <cell r="K8" t="str">
            <v>11 EFECTIVO</v>
          </cell>
        </row>
        <row r="9">
          <cell r="K9" t="str">
            <v>1105 CAJA</v>
          </cell>
        </row>
        <row r="10">
          <cell r="K10" t="str">
            <v>110501 CAJA PRINCIPAL</v>
          </cell>
        </row>
        <row r="11">
          <cell r="K11" t="str">
            <v>11050101 CAJA PRINCIPAL</v>
          </cell>
        </row>
        <row r="12">
          <cell r="K12" t="str">
            <v>11050102 Base Caja Principal</v>
          </cell>
        </row>
        <row r="13">
          <cell r="K13" t="str">
            <v>11050103 Base Caja de Urgencias</v>
          </cell>
        </row>
        <row r="14">
          <cell r="K14" t="str">
            <v>1110 DEPÓSITOS EN INSTITUCIONES F</v>
          </cell>
        </row>
        <row r="15">
          <cell r="K15" t="str">
            <v>111005 CUENTA CORRIENTE</v>
          </cell>
        </row>
        <row r="16">
          <cell r="K16" t="str">
            <v>11100501 Banco Agrario Cta. 1472-</v>
          </cell>
        </row>
        <row r="17">
          <cell r="K17" t="str">
            <v>11100505 Bancaf‚ Cta 265-10405-9</v>
          </cell>
        </row>
        <row r="18">
          <cell r="K18" t="str">
            <v>11100506 Bancolombia Cta 651-1546</v>
          </cell>
        </row>
        <row r="19">
          <cell r="K19" t="str">
            <v>111006 CUENTA DE AHORRO</v>
          </cell>
        </row>
        <row r="20">
          <cell r="K20" t="str">
            <v>11100601 Cooperativa San Roque -</v>
          </cell>
        </row>
        <row r="21">
          <cell r="K21" t="str">
            <v>11100602 Cooperativa Multiactiva</v>
          </cell>
        </row>
        <row r="22">
          <cell r="K22" t="str">
            <v>11100605 BANAGRARIO 4-1472-2-0159</v>
          </cell>
        </row>
        <row r="23">
          <cell r="K23" t="str">
            <v>11100606 DAVIVIENDA DAMAS - 03640</v>
          </cell>
        </row>
        <row r="24">
          <cell r="K24" t="str">
            <v>11100607 BANCOLOMBIA - APS 163913</v>
          </cell>
        </row>
        <row r="25">
          <cell r="K25" t="str">
            <v>11100608 TELEMEDICINA - 163-98498</v>
          </cell>
        </row>
        <row r="26">
          <cell r="K26" t="str">
            <v>11100609 BANCOLOMBIA PROYECTOS -</v>
          </cell>
        </row>
        <row r="27">
          <cell r="K27" t="str">
            <v>111008 CERTIFICADO DE DEPOSITO DE</v>
          </cell>
        </row>
        <row r="28">
          <cell r="K28" t="str">
            <v>11100801 C.D.A.T</v>
          </cell>
        </row>
        <row r="29">
          <cell r="K29" t="str">
            <v>12 INVERSIONES E INSTRUMENTOS DER</v>
          </cell>
        </row>
        <row r="30">
          <cell r="K30" t="str">
            <v>1202 INVERSIONES ADMINISTRACIÓN D</v>
          </cell>
        </row>
        <row r="31">
          <cell r="K31" t="str">
            <v>120201 ACCIONES ORDINARIAS</v>
          </cell>
        </row>
        <row r="32">
          <cell r="K32" t="str">
            <v>12020101 Acciones ordinarias</v>
          </cell>
        </row>
        <row r="33">
          <cell r="K33" t="str">
            <v>1207 INVERSIONES PATRIMONIALES EN</v>
          </cell>
        </row>
        <row r="34">
          <cell r="K34" t="str">
            <v>120750 ENTIDADES DEL SECTOR SOLID</v>
          </cell>
        </row>
        <row r="35">
          <cell r="K35" t="str">
            <v>12075001 Entidades del Sector Sol</v>
          </cell>
        </row>
        <row r="36">
          <cell r="K36" t="str">
            <v>14 DEUDORES</v>
          </cell>
        </row>
        <row r="37">
          <cell r="K37" t="str">
            <v>1409 SERVICIOS DE SALUD</v>
          </cell>
        </row>
        <row r="38">
          <cell r="K38" t="str">
            <v>140901 PLAN OBLIGATORIO DE SALUD</v>
          </cell>
        </row>
        <row r="39">
          <cell r="K39" t="str">
            <v>14090101 POS-EPS FACTUR.PEND.RADI</v>
          </cell>
        </row>
        <row r="40">
          <cell r="K40" t="str">
            <v>140903 PLAN SUBSIDIADO DE SALUD P</v>
          </cell>
        </row>
        <row r="41">
          <cell r="K41" t="str">
            <v>14090301 PLAN SUBSID. POSS-FACT.P</v>
          </cell>
        </row>
        <row r="42">
          <cell r="K42" t="str">
            <v>140909 SERVICIOS DE SALUD - IPS P</v>
          </cell>
        </row>
        <row r="43">
          <cell r="K43" t="str">
            <v>14090901 Servicios de salud - IPS</v>
          </cell>
        </row>
        <row r="44">
          <cell r="K44" t="str">
            <v>140910 SERVICIOS DE SALUD - ENTID</v>
          </cell>
        </row>
        <row r="45">
          <cell r="K45" t="str">
            <v>14091001 Regimen Especial FACT.PE</v>
          </cell>
        </row>
        <row r="46">
          <cell r="K46" t="str">
            <v>140912 RIESGOS PROFESIONALES - AR</v>
          </cell>
        </row>
        <row r="47">
          <cell r="K47" t="str">
            <v>14091201 A.R.P. FACTURAC.PENDIEN.</v>
          </cell>
        </row>
        <row r="48">
          <cell r="K48" t="str">
            <v>140914 ATENCION ACCIDENTES DE TRA</v>
          </cell>
        </row>
        <row r="49">
          <cell r="K49" t="str">
            <v>14091401 SOAT y Cias Seguros FACT</v>
          </cell>
        </row>
        <row r="50">
          <cell r="K50" t="str">
            <v>140920 PLAN OBLIGATORIO SALUD FAC</v>
          </cell>
        </row>
        <row r="51">
          <cell r="K51" t="str">
            <v>14092001 PLAN OBLIGATORIO SALUD F</v>
          </cell>
        </row>
        <row r="52">
          <cell r="K52" t="str">
            <v>140921 PLAN SUBSIDIADO DE SALUD F</v>
          </cell>
        </row>
        <row r="53">
          <cell r="K53" t="str">
            <v>14092101 PLAN SUBSID. SALUD POS-S</v>
          </cell>
        </row>
        <row r="54">
          <cell r="K54" t="str">
            <v>140925 SERVICIOS DE SALUD IPS PUB</v>
          </cell>
        </row>
        <row r="55">
          <cell r="K55" t="str">
            <v>14092501 IPS PUBLICAS FACTURACION</v>
          </cell>
        </row>
        <row r="56">
          <cell r="K56" t="str">
            <v>140926 SERVICIOS SALUD EMPRESAS R</v>
          </cell>
        </row>
        <row r="57">
          <cell r="K57" t="str">
            <v>14092601 REGIMEN ESPECIAL FACTUR.</v>
          </cell>
        </row>
        <row r="58">
          <cell r="K58" t="str">
            <v>140927 ATENCION CON CARGO OF. RAD</v>
          </cell>
        </row>
        <row r="59">
          <cell r="K59" t="str">
            <v>14092701 ATENCION OF. RADICADA</v>
          </cell>
        </row>
        <row r="60">
          <cell r="K60" t="str">
            <v>140928 RIESGOS PROFESIONALES ARP</v>
          </cell>
        </row>
        <row r="61">
          <cell r="K61" t="str">
            <v>14092801 RIESGOS PROFESIONALES AR</v>
          </cell>
        </row>
        <row r="62">
          <cell r="K62" t="str">
            <v>140929 ATENCION ACCIDENTES TRANSI</v>
          </cell>
        </row>
        <row r="63">
          <cell r="K63" t="str">
            <v>14092901 SOAT FACTURACION RADICAD</v>
          </cell>
        </row>
        <row r="64">
          <cell r="K64" t="str">
            <v>1470 OTROS DEUDORES</v>
          </cell>
        </row>
        <row r="65">
          <cell r="K65" t="str">
            <v>147012 CREDITO A EMPLEADOS</v>
          </cell>
        </row>
        <row r="66">
          <cell r="K66" t="str">
            <v>14701201 CREDITOS A EMPLEADOS - F</v>
          </cell>
        </row>
        <row r="67">
          <cell r="K67" t="str">
            <v>14701202 CREDITO A EMPLEADOS - BI</v>
          </cell>
        </row>
        <row r="68">
          <cell r="K68" t="str">
            <v>147090 OTROS DEUDORES</v>
          </cell>
        </row>
        <row r="69">
          <cell r="K69" t="str">
            <v>14709002 TELEFONIA CELULAR</v>
          </cell>
        </row>
        <row r="70">
          <cell r="K70" t="str">
            <v>1475 DEUDAS DE DIFÍCIL COBRO</v>
          </cell>
        </row>
        <row r="71">
          <cell r="K71" t="str">
            <v>147511 SERVICIOS DE SALUD</v>
          </cell>
        </row>
        <row r="72">
          <cell r="K72" t="str">
            <v>14751101 Plan Obligatorio de Salu</v>
          </cell>
        </row>
        <row r="73">
          <cell r="K73" t="str">
            <v>14751103 Plan Subsidiado de Salud</v>
          </cell>
        </row>
        <row r="74">
          <cell r="K74" t="str">
            <v>14751107 Servicios de Salud Parti</v>
          </cell>
        </row>
        <row r="75">
          <cell r="K75" t="str">
            <v>14751109 IPS Publicas</v>
          </cell>
        </row>
        <row r="76">
          <cell r="K76" t="str">
            <v>14751110 Entidades con Regimen Es</v>
          </cell>
        </row>
        <row r="77">
          <cell r="K77" t="str">
            <v>14751111 Atenci¢n con Cargo al Su</v>
          </cell>
        </row>
        <row r="78">
          <cell r="K78" t="str">
            <v>14751112 Riesgos Profesionales -</v>
          </cell>
        </row>
        <row r="79">
          <cell r="K79" t="str">
            <v>14751114 Atencion Accidentes de T</v>
          </cell>
        </row>
        <row r="80">
          <cell r="K80" t="str">
            <v>1480 PROVISIÓN PARA DEUDORES (CR)</v>
          </cell>
        </row>
        <row r="81">
          <cell r="K81" t="str">
            <v>148014 SERVICIOS DE SALUD</v>
          </cell>
        </row>
        <row r="82">
          <cell r="K82" t="str">
            <v>14801401 Servicios de salud</v>
          </cell>
        </row>
        <row r="83">
          <cell r="K83" t="str">
            <v>15 INVENTARIOS</v>
          </cell>
        </row>
        <row r="84">
          <cell r="K84" t="str">
            <v>1518 MATERIALES PARA LA PRESTACIÓ</v>
          </cell>
        </row>
        <row r="85">
          <cell r="K85" t="str">
            <v>151801 MEDICAMENTOS</v>
          </cell>
        </row>
        <row r="86">
          <cell r="K86" t="str">
            <v>15180101 Medicamentos Hospital</v>
          </cell>
        </row>
        <row r="87">
          <cell r="K87" t="str">
            <v>15180102 Medicamentos San Jos‚</v>
          </cell>
        </row>
        <row r="88">
          <cell r="K88" t="str">
            <v>15180103 Medicamentos Cristales</v>
          </cell>
        </row>
        <row r="89">
          <cell r="K89" t="str">
            <v>15180104 STOCK HOSPITAL SAN ROQUE</v>
          </cell>
        </row>
        <row r="90">
          <cell r="K90" t="str">
            <v>15180105 STOCK CENTRO SALUD SAN J</v>
          </cell>
        </row>
        <row r="91">
          <cell r="K91" t="str">
            <v>15180106 STOCK CENTRO SALUD CRIST</v>
          </cell>
        </row>
        <row r="92">
          <cell r="K92" t="str">
            <v>15180107 STOCK PUESTO SALUD PROVI</v>
          </cell>
        </row>
        <row r="93">
          <cell r="K93" t="str">
            <v>15180108 STOCK PUESTO SALUD MULAT</v>
          </cell>
        </row>
        <row r="94">
          <cell r="K94" t="str">
            <v>151802 MATERIALES MEDICO - QUIRUR</v>
          </cell>
        </row>
        <row r="95">
          <cell r="K95" t="str">
            <v>15180201 Materiales medico - quir</v>
          </cell>
        </row>
        <row r="96">
          <cell r="K96" t="str">
            <v>15180202 M.M.Q. San Jos‚</v>
          </cell>
        </row>
        <row r="97">
          <cell r="K97" t="str">
            <v>15180203 M.M.Q. Cristales</v>
          </cell>
        </row>
        <row r="98">
          <cell r="K98" t="str">
            <v>151803 MATERIALES REACTIVOS Y DE</v>
          </cell>
        </row>
        <row r="99">
          <cell r="K99" t="str">
            <v>15180301 Material de laboratorio</v>
          </cell>
        </row>
        <row r="100">
          <cell r="K100" t="str">
            <v>15180302 Mat. Laborat. San Jos‚</v>
          </cell>
        </row>
        <row r="101">
          <cell r="K101" t="str">
            <v>15180303 Mat. Laborat. Cristales</v>
          </cell>
        </row>
        <row r="102">
          <cell r="K102" t="str">
            <v>151804 MATERIALES ODONTOLOGICOS</v>
          </cell>
        </row>
        <row r="103">
          <cell r="K103" t="str">
            <v>15180401 Materiales odontol¢gicos</v>
          </cell>
        </row>
        <row r="104">
          <cell r="K104" t="str">
            <v>15180402 Mater. Odontolog. San Jo</v>
          </cell>
        </row>
        <row r="105">
          <cell r="K105" t="str">
            <v>151805 MATERIALES PARA IMAGENOLOG</v>
          </cell>
        </row>
        <row r="106">
          <cell r="K106" t="str">
            <v>15180501 Materiales para imagenol</v>
          </cell>
        </row>
        <row r="107">
          <cell r="K107" t="str">
            <v>151821 ELEMENTOS Y ACCESORIOS DE</v>
          </cell>
        </row>
        <row r="108">
          <cell r="K108" t="str">
            <v>15182101 LINEA HIGIENICA Y OTROS</v>
          </cell>
        </row>
        <row r="109">
          <cell r="K109" t="str">
            <v>15182102 LINEA HIGIENICA SAN JOSE</v>
          </cell>
        </row>
        <row r="110">
          <cell r="K110" t="str">
            <v>16 PROPIEDADES, PLANTA Y EQUIPO</v>
          </cell>
        </row>
        <row r="111">
          <cell r="K111" t="str">
            <v>1605 TERRENOS</v>
          </cell>
        </row>
        <row r="112">
          <cell r="K112" t="str">
            <v>160501 URBANOS</v>
          </cell>
        </row>
        <row r="113">
          <cell r="K113" t="str">
            <v>16050101 Urbanos</v>
          </cell>
        </row>
        <row r="114">
          <cell r="K114" t="str">
            <v>160502 RURALES</v>
          </cell>
        </row>
        <row r="115">
          <cell r="K115" t="str">
            <v>16050201 Centro Salud San Jos‚ de</v>
          </cell>
        </row>
        <row r="116">
          <cell r="K116" t="str">
            <v>16050202 Centro Salud Cristales</v>
          </cell>
        </row>
        <row r="117">
          <cell r="K117" t="str">
            <v>16050203 Puesto de Salud Providen</v>
          </cell>
        </row>
        <row r="118">
          <cell r="K118" t="str">
            <v>1615 CONSTRUCCIONES EN CURSO</v>
          </cell>
        </row>
        <row r="119">
          <cell r="K119" t="str">
            <v>161501 EDIFICACIONES</v>
          </cell>
        </row>
        <row r="120">
          <cell r="K120" t="str">
            <v>16150101 Edificaciones</v>
          </cell>
        </row>
        <row r="121">
          <cell r="K121" t="str">
            <v>1635 BIENES MUEBLES EN BODEGA</v>
          </cell>
        </row>
        <row r="122">
          <cell r="K122" t="str">
            <v>163502 EQUIPO MEDICO Y CIENTIFICO</v>
          </cell>
        </row>
        <row r="123">
          <cell r="K123" t="str">
            <v>16350201 Equipo M‚dico y Cient¡fi</v>
          </cell>
        </row>
        <row r="124">
          <cell r="K124" t="str">
            <v>163503 MUEBLES ENSERES Y EQUIPO D</v>
          </cell>
        </row>
        <row r="125">
          <cell r="K125" t="str">
            <v>16350301 Muebles, enseres y equip</v>
          </cell>
        </row>
        <row r="126">
          <cell r="K126" t="str">
            <v>163504 EQUIPO DE COMUNICACIÓN Y C</v>
          </cell>
        </row>
        <row r="127">
          <cell r="K127" t="str">
            <v>16350401 Equipo de comunicaci¢n y</v>
          </cell>
        </row>
        <row r="128">
          <cell r="K128" t="str">
            <v>1640 EDIFICACIONES</v>
          </cell>
        </row>
        <row r="129">
          <cell r="K129" t="str">
            <v>164010 CLINICAS Y HOSPITALES</v>
          </cell>
        </row>
        <row r="130">
          <cell r="K130" t="str">
            <v>16401001 Hospital San Roque</v>
          </cell>
        </row>
        <row r="131">
          <cell r="K131" t="str">
            <v>16401002 Centro de Salud San Jos‚</v>
          </cell>
        </row>
        <row r="132">
          <cell r="K132" t="str">
            <v>16401003 Centro de Salud Cristale</v>
          </cell>
        </row>
        <row r="133">
          <cell r="K133" t="str">
            <v>16401004 Puesto de Salud Providen</v>
          </cell>
        </row>
        <row r="134">
          <cell r="K134" t="str">
            <v>1645 PLANTAS, DUCTOS Y TÚNELES</v>
          </cell>
        </row>
        <row r="135">
          <cell r="K135" t="str">
            <v>164501 PLANTAS DE GENERACION</v>
          </cell>
        </row>
        <row r="136">
          <cell r="K136" t="str">
            <v>16450101 Plantas de generaci¢n</v>
          </cell>
        </row>
        <row r="137">
          <cell r="K137" t="str">
            <v>1650 REDES, LINEAS Y CABLES</v>
          </cell>
        </row>
        <row r="138">
          <cell r="K138" t="str">
            <v>165002 REDES DE DISTRIBUCION</v>
          </cell>
        </row>
        <row r="139">
          <cell r="K139" t="str">
            <v>16500201 Redes de Disrtibuci¢n -</v>
          </cell>
        </row>
        <row r="140">
          <cell r="K140" t="str">
            <v>165008 LINEAS Y CABLES DE TRANSMI</v>
          </cell>
        </row>
        <row r="141">
          <cell r="K141" t="str">
            <v>16500801 L¡neas Tel‚fonicas</v>
          </cell>
        </row>
        <row r="142">
          <cell r="K142" t="str">
            <v>1655 MAQUINARIA Y EQUIPO</v>
          </cell>
        </row>
        <row r="143">
          <cell r="K143" t="str">
            <v>165504 Maquinaria Industrial</v>
          </cell>
        </row>
        <row r="144">
          <cell r="K144" t="str">
            <v>16550401 EQUIPO DE ASEPSIA</v>
          </cell>
        </row>
        <row r="145">
          <cell r="K145" t="str">
            <v>165506 EQUIPO DE RECREACION Y DEP</v>
          </cell>
        </row>
        <row r="146">
          <cell r="K146" t="str">
            <v>16550601 EQUIPO DE GIMNACIO</v>
          </cell>
        </row>
        <row r="147">
          <cell r="K147" t="str">
            <v>165522 EQUIPO DE AYUDA AUDIOVISUA</v>
          </cell>
        </row>
        <row r="148">
          <cell r="K148" t="str">
            <v>16552201 Equipo de ayuda audiovis</v>
          </cell>
        </row>
        <row r="149">
          <cell r="K149" t="str">
            <v>1660 EQUIPO MÉDICO Y CIENTÍFICO</v>
          </cell>
        </row>
        <row r="150">
          <cell r="K150" t="str">
            <v>166002 EQUIPO DE LABORATORIO</v>
          </cell>
        </row>
        <row r="151">
          <cell r="K151" t="str">
            <v>16600201 Equipo de laboratorio</v>
          </cell>
        </row>
        <row r="152">
          <cell r="K152" t="str">
            <v>166003 EQUIPO DE URGENCIAS</v>
          </cell>
        </row>
        <row r="153">
          <cell r="K153" t="str">
            <v>16600301 Equipo de urgencias</v>
          </cell>
        </row>
        <row r="154">
          <cell r="K154" t="str">
            <v>166005 EQUIPO DE HOSPITALIZACION</v>
          </cell>
        </row>
        <row r="155">
          <cell r="K155" t="str">
            <v>16600501 Equipo de hospitalizaci¢</v>
          </cell>
        </row>
        <row r="156">
          <cell r="K156" t="str">
            <v>166006 EQUIPO DE QUIROFANO Y SALA</v>
          </cell>
        </row>
        <row r="157">
          <cell r="K157" t="str">
            <v>16600601 Equipo de quir¢fanos y s</v>
          </cell>
        </row>
        <row r="158">
          <cell r="K158" t="str">
            <v>166007 EQUIPO DE APOYO DIAGNOSTIC</v>
          </cell>
        </row>
        <row r="159">
          <cell r="K159" t="str">
            <v>16600701 Equipo de apoyo diagn¢st</v>
          </cell>
        </row>
        <row r="160">
          <cell r="K160" t="str">
            <v>166008 EQUIPO DE APOYO TERAPEUTIC</v>
          </cell>
        </row>
        <row r="161">
          <cell r="K161" t="str">
            <v>16600801 Equipo de apoyo terapeut</v>
          </cell>
        </row>
        <row r="162">
          <cell r="K162" t="str">
            <v>166009 EQUIPO DE SERVICIOS AMBULA</v>
          </cell>
        </row>
        <row r="163">
          <cell r="K163" t="str">
            <v>16600901 Equipo Odontol¢gico</v>
          </cell>
        </row>
        <row r="164">
          <cell r="K164" t="str">
            <v>16600902 Equipo Consulta Externa</v>
          </cell>
        </row>
        <row r="165">
          <cell r="K165" t="str">
            <v>16600903 Equipo Vacunaci¢n</v>
          </cell>
        </row>
        <row r="166">
          <cell r="K166" t="str">
            <v>1665 MUEBLES, ENSERES Y EQUIPOS D</v>
          </cell>
        </row>
        <row r="167">
          <cell r="K167" t="str">
            <v>166501 MUEBLES Y ENSERES</v>
          </cell>
        </row>
        <row r="168">
          <cell r="K168" t="str">
            <v>16650101 Muebles y enseres</v>
          </cell>
        </row>
        <row r="169">
          <cell r="K169" t="str">
            <v>1670 EQUIPOS DE COMUNICACIÓN Y CO</v>
          </cell>
        </row>
        <row r="170">
          <cell r="K170" t="str">
            <v>167001 EQUIPO DE COMUNICACIÓN</v>
          </cell>
        </row>
        <row r="171">
          <cell r="K171" t="str">
            <v>16700101 Equipo de comunicaci¢n</v>
          </cell>
        </row>
        <row r="172">
          <cell r="K172" t="str">
            <v>167002 EQUIPO DE COMPUTACION</v>
          </cell>
        </row>
        <row r="173">
          <cell r="K173" t="str">
            <v>16700201 Equipo de computaci¢n</v>
          </cell>
        </row>
        <row r="174">
          <cell r="K174" t="str">
            <v>1675 EQUIPO DE TRANSPORTE, TRACCI</v>
          </cell>
        </row>
        <row r="175">
          <cell r="K175" t="str">
            <v>167502 TERRESTRE</v>
          </cell>
        </row>
        <row r="176">
          <cell r="K176" t="str">
            <v>16750201 Ambulancia</v>
          </cell>
        </row>
        <row r="177">
          <cell r="K177" t="str">
            <v>16750202 Camionetas y Camperos</v>
          </cell>
        </row>
        <row r="178">
          <cell r="K178" t="str">
            <v>16750204 Motocicletas</v>
          </cell>
        </row>
        <row r="179">
          <cell r="K179" t="str">
            <v>1685 DEPRECIACIÓN ACUMULADA (CR)</v>
          </cell>
        </row>
        <row r="180">
          <cell r="K180" t="str">
            <v>168501 EDIFICACIONES</v>
          </cell>
        </row>
        <row r="181">
          <cell r="K181" t="str">
            <v>16850101 Edificaciones</v>
          </cell>
        </row>
        <row r="182">
          <cell r="K182" t="str">
            <v>168502 PLANTAS, DUCTOS Y TUNELES</v>
          </cell>
        </row>
        <row r="183">
          <cell r="K183" t="str">
            <v>16850201 Plantas, ductos y tunele</v>
          </cell>
        </row>
        <row r="184">
          <cell r="K184" t="str">
            <v>168503 REDES, LINEAS Y CABLES</v>
          </cell>
        </row>
        <row r="185">
          <cell r="K185" t="str">
            <v>16850301 REDES LINEAS Y CABLES</v>
          </cell>
        </row>
        <row r="186">
          <cell r="K186" t="str">
            <v>168504 MAQUINARIA Y EQUIPO</v>
          </cell>
        </row>
        <row r="187">
          <cell r="K187" t="str">
            <v>16850401 Equipo Audiovisual</v>
          </cell>
        </row>
        <row r="188">
          <cell r="K188" t="str">
            <v>16850402 Equipo de Gimnacio</v>
          </cell>
        </row>
        <row r="189">
          <cell r="K189" t="str">
            <v>16850404 Equipo de Asepsia</v>
          </cell>
        </row>
        <row r="190">
          <cell r="K190" t="str">
            <v>168505 EQUIPO MEDICO Y CIENTIFICO</v>
          </cell>
        </row>
        <row r="191">
          <cell r="K191" t="str">
            <v>16850501 Equipo de Laboratorio</v>
          </cell>
        </row>
        <row r="192">
          <cell r="K192" t="str">
            <v>16850502 Equipo de Urgencias</v>
          </cell>
        </row>
        <row r="193">
          <cell r="K193" t="str">
            <v>16850503 Equipo de Hospitalizaci¢</v>
          </cell>
        </row>
        <row r="194">
          <cell r="K194" t="str">
            <v>16850504 Equipo de Quirofanos y S</v>
          </cell>
        </row>
        <row r="195">
          <cell r="K195" t="str">
            <v>16850505 Equipo de Apoyo Diagn¢st</v>
          </cell>
        </row>
        <row r="196">
          <cell r="K196" t="str">
            <v>16850506 Equipo de Apoyo Terapeut</v>
          </cell>
        </row>
        <row r="197">
          <cell r="K197" t="str">
            <v>16850507 Equipo Odontologico</v>
          </cell>
        </row>
        <row r="198">
          <cell r="K198" t="str">
            <v>16850508 Equipo de Consulta Exter</v>
          </cell>
        </row>
        <row r="199">
          <cell r="K199" t="str">
            <v>16850510 Equipo de Vacunaci¢n</v>
          </cell>
        </row>
        <row r="200">
          <cell r="K200" t="str">
            <v>168506 MUEBLES, ENSERES Y EQUIPOS</v>
          </cell>
        </row>
        <row r="201">
          <cell r="K201" t="str">
            <v>16850601 Muebles y Enseres</v>
          </cell>
        </row>
        <row r="202">
          <cell r="K202" t="str">
            <v>168507 EQUIPOS DE COMUNICACIÓN Y</v>
          </cell>
        </row>
        <row r="203">
          <cell r="K203" t="str">
            <v>16850701 Equipo de comunicacion</v>
          </cell>
        </row>
        <row r="204">
          <cell r="K204" t="str">
            <v>16850702 Equipo de Computaci¢n</v>
          </cell>
        </row>
        <row r="205">
          <cell r="K205" t="str">
            <v>168508 EQUIPO DE TRANSPORTE, TRAC</v>
          </cell>
        </row>
        <row r="206">
          <cell r="K206" t="str">
            <v>16850801 Ambulancias</v>
          </cell>
        </row>
        <row r="207">
          <cell r="K207" t="str">
            <v>16850802 Camionetas y Camperos</v>
          </cell>
        </row>
        <row r="208">
          <cell r="K208" t="str">
            <v>16850803 Motocicletas</v>
          </cell>
        </row>
        <row r="209">
          <cell r="K209" t="str">
            <v>19 OTROS ACTIVOS</v>
          </cell>
        </row>
        <row r="210">
          <cell r="K210" t="str">
            <v>1905 GASTOS PAGADOS POR ANTICIPAD</v>
          </cell>
        </row>
        <row r="211">
          <cell r="K211" t="str">
            <v>190501 SEGUROS</v>
          </cell>
        </row>
        <row r="212">
          <cell r="K212" t="str">
            <v>19050101 Seguros</v>
          </cell>
        </row>
        <row r="213">
          <cell r="K213" t="str">
            <v>190511 SUELDOS Y SALARIOS</v>
          </cell>
        </row>
        <row r="214">
          <cell r="K214" t="str">
            <v>19051101 Situado Fiscal Cesantias</v>
          </cell>
        </row>
        <row r="215">
          <cell r="K215" t="str">
            <v>190512 CONTRIBUCIONES EFECTIVAS</v>
          </cell>
        </row>
        <row r="216">
          <cell r="K216" t="str">
            <v>19051201 S.G.P. Aportes SALUD</v>
          </cell>
        </row>
        <row r="217">
          <cell r="K217" t="str">
            <v>19051202 S.G.P. Aportes FONDOS PE</v>
          </cell>
        </row>
        <row r="218">
          <cell r="K218" t="str">
            <v>19051203 COLMENA ARP</v>
          </cell>
        </row>
        <row r="219">
          <cell r="K219" t="str">
            <v>1910 CARGOS DIFERIDOS</v>
          </cell>
        </row>
        <row r="220">
          <cell r="K220" t="str">
            <v>191001 MATERIALES Y SUMINISTROS</v>
          </cell>
        </row>
        <row r="221">
          <cell r="K221" t="str">
            <v>19100101 Utiles y papeleria</v>
          </cell>
        </row>
        <row r="222">
          <cell r="K222" t="str">
            <v>19100103 Repuestos para Vehiculo.</v>
          </cell>
        </row>
        <row r="223">
          <cell r="K223" t="str">
            <v>19100104 Materiales y suministros</v>
          </cell>
        </row>
        <row r="224">
          <cell r="K224" t="str">
            <v>191004 DOTACION A TRABAJADORES</v>
          </cell>
        </row>
        <row r="225">
          <cell r="K225" t="str">
            <v>19100401 Dotaci¢n a trabajadores</v>
          </cell>
        </row>
        <row r="226">
          <cell r="K226" t="str">
            <v>191005 ELEMENTOS DE LENCERIA</v>
          </cell>
        </row>
        <row r="227">
          <cell r="K227" t="str">
            <v>19100501 Elementos de lenceria</v>
          </cell>
        </row>
        <row r="228">
          <cell r="K228" t="str">
            <v>191006 LOZA Y CRISTALERIA</v>
          </cell>
        </row>
        <row r="229">
          <cell r="K229" t="str">
            <v>19100601 Loza y cristaler¡a</v>
          </cell>
        </row>
        <row r="230">
          <cell r="K230" t="str">
            <v>191020 ROPA HOSPITALARIA Y QUIRUR</v>
          </cell>
        </row>
        <row r="231">
          <cell r="K231" t="str">
            <v>19102001 Ropa hospitalaria y quir</v>
          </cell>
        </row>
        <row r="232">
          <cell r="K232" t="str">
            <v>191021 ELEMENTOS DE ASEO, LAVANDE</v>
          </cell>
        </row>
        <row r="233">
          <cell r="K233" t="str">
            <v>19102101 Elementos de aseo, lavan</v>
          </cell>
        </row>
        <row r="234">
          <cell r="K234" t="str">
            <v>191022 COMBUSTIBLES Y LUBRICANTES</v>
          </cell>
        </row>
        <row r="235">
          <cell r="K235" t="str">
            <v>19102201 Combustibles y lubricant</v>
          </cell>
        </row>
        <row r="236">
          <cell r="K236" t="str">
            <v>1970 INTANGIBLES</v>
          </cell>
        </row>
        <row r="237">
          <cell r="K237" t="str">
            <v>197007 LICENCIAS</v>
          </cell>
        </row>
        <row r="238">
          <cell r="K238" t="str">
            <v>19700701 Licencias</v>
          </cell>
        </row>
        <row r="239">
          <cell r="K239" t="str">
            <v>1975 AMORTIZACIÓN ACUMULADA DE IN</v>
          </cell>
        </row>
        <row r="240">
          <cell r="K240" t="str">
            <v>197507 LICENCIAS</v>
          </cell>
        </row>
        <row r="241">
          <cell r="K241" t="str">
            <v>19750701 Licencias</v>
          </cell>
        </row>
        <row r="242">
          <cell r="K242" t="str">
            <v>1999 VALORIZACIONES</v>
          </cell>
        </row>
        <row r="243">
          <cell r="K243" t="str">
            <v>199952 TERRENOS</v>
          </cell>
        </row>
        <row r="244">
          <cell r="K244" t="str">
            <v>19995201 Terrenos Urbanos</v>
          </cell>
        </row>
        <row r="245">
          <cell r="K245" t="str">
            <v>19995202 Terreno San Jose</v>
          </cell>
        </row>
        <row r="246">
          <cell r="K246" t="str">
            <v>19995203 Terreno Cristales</v>
          </cell>
        </row>
        <row r="247">
          <cell r="K247" t="str">
            <v>19995204 Terreno Providencia</v>
          </cell>
        </row>
        <row r="248">
          <cell r="K248" t="str">
            <v>199962 EDIFICACIONES</v>
          </cell>
        </row>
        <row r="249">
          <cell r="K249" t="str">
            <v>19996201 Hospitales</v>
          </cell>
        </row>
        <row r="250">
          <cell r="K250" t="str">
            <v>2 PASIVO</v>
          </cell>
        </row>
        <row r="251">
          <cell r="K251" t="str">
            <v>24 CUENTAS POR PAGAR</v>
          </cell>
        </row>
        <row r="252">
          <cell r="K252" t="str">
            <v>2401 ADQUISICIÓN DE BIENES Y SERV</v>
          </cell>
        </row>
        <row r="253">
          <cell r="K253" t="str">
            <v>240101 BIENES Y SERVICIOS</v>
          </cell>
        </row>
        <row r="254">
          <cell r="K254" t="str">
            <v>24010101 Bienes y servicios</v>
          </cell>
        </row>
        <row r="255">
          <cell r="K255" t="str">
            <v>2425 ACREEDORES</v>
          </cell>
        </row>
        <row r="256">
          <cell r="K256" t="str">
            <v>242552 HONORARIOS</v>
          </cell>
        </row>
        <row r="257">
          <cell r="K257" t="str">
            <v>24255201 Honorarios</v>
          </cell>
        </row>
        <row r="258">
          <cell r="K258" t="str">
            <v>242553 SERVICIOS</v>
          </cell>
        </row>
        <row r="259">
          <cell r="K259" t="str">
            <v>24255301 Servicios</v>
          </cell>
        </row>
        <row r="260">
          <cell r="K260" t="str">
            <v>2460 CREDITOS JUDICIALES</v>
          </cell>
        </row>
        <row r="261">
          <cell r="K261" t="str">
            <v>246002 SENTENCIAS Y CONCILIACIONE</v>
          </cell>
        </row>
        <row r="262">
          <cell r="K262" t="str">
            <v>24600201 Sentencias y Conciliacio</v>
          </cell>
        </row>
        <row r="263">
          <cell r="K263" t="str">
            <v>25 OBLIGACIONES LABORALES Y DE SE</v>
          </cell>
        </row>
        <row r="264">
          <cell r="K264" t="str">
            <v>2505 SALARIOS Y PRESTACIONES SOCI</v>
          </cell>
        </row>
        <row r="265">
          <cell r="K265" t="str">
            <v>250501 NOMINA POR PAGAR</v>
          </cell>
        </row>
        <row r="266">
          <cell r="K266" t="str">
            <v>25050101 N¢mina por Pagar</v>
          </cell>
        </row>
        <row r="267">
          <cell r="K267" t="str">
            <v>250502 CESANTIAS</v>
          </cell>
        </row>
        <row r="268">
          <cell r="K268" t="str">
            <v>25050201 Cesant¡as Ley 50</v>
          </cell>
        </row>
        <row r="269">
          <cell r="K269" t="str">
            <v>25050202 Cesantias Retroactivas</v>
          </cell>
        </row>
        <row r="270">
          <cell r="K270" t="str">
            <v>250503 INTERESES SOBRE CESANTIAS</v>
          </cell>
        </row>
        <row r="271">
          <cell r="K271" t="str">
            <v>25050301 Intereses sobre cesant¡a</v>
          </cell>
        </row>
        <row r="272">
          <cell r="K272" t="str">
            <v>250504 VACACIONES</v>
          </cell>
        </row>
        <row r="273">
          <cell r="K273" t="str">
            <v>25050401 Vacaciones</v>
          </cell>
        </row>
        <row r="274">
          <cell r="K274" t="str">
            <v>250505 PRIMA DE VACACIONES</v>
          </cell>
        </row>
        <row r="275">
          <cell r="K275" t="str">
            <v>25050501 Prima de vacaciones</v>
          </cell>
        </row>
        <row r="276">
          <cell r="K276" t="str">
            <v>250506 PRIMA DE SERVICIOS</v>
          </cell>
        </row>
        <row r="277">
          <cell r="K277" t="str">
            <v>25050601 Prima de servicios</v>
          </cell>
        </row>
        <row r="278">
          <cell r="K278" t="str">
            <v>250507 PRIMA DE NAVIDAD</v>
          </cell>
        </row>
        <row r="279">
          <cell r="K279" t="str">
            <v>25050701 Prima de navidad</v>
          </cell>
        </row>
        <row r="280">
          <cell r="K280" t="str">
            <v>250512 BONIFICACIONES</v>
          </cell>
        </row>
        <row r="281">
          <cell r="K281" t="str">
            <v>25051201 Bonificacion Especial de</v>
          </cell>
        </row>
        <row r="282">
          <cell r="K282" t="str">
            <v>27 PASIVOS ESTIMADOS</v>
          </cell>
        </row>
        <row r="283">
          <cell r="K283" t="str">
            <v>2710 PROVISIÓN PARA CONTINGENCIAS</v>
          </cell>
        </row>
        <row r="284">
          <cell r="K284" t="str">
            <v>271005 LITIGIOS Y DEMANDAS</v>
          </cell>
        </row>
        <row r="285">
          <cell r="K285" t="str">
            <v>27100501 Litigios o demandas</v>
          </cell>
        </row>
        <row r="286">
          <cell r="K286" t="str">
            <v>3 PATRIMONIO</v>
          </cell>
        </row>
        <row r="287">
          <cell r="K287" t="str">
            <v>32 PATRIMONIO INSTITUCIONAL</v>
          </cell>
        </row>
        <row r="288">
          <cell r="K288" t="str">
            <v>3208 CAPITAL FISCAL</v>
          </cell>
        </row>
        <row r="289">
          <cell r="K289" t="str">
            <v>320801 CAPITAL FISCAL</v>
          </cell>
        </row>
        <row r="290">
          <cell r="K290" t="str">
            <v>32080101 Capital fiscal</v>
          </cell>
        </row>
        <row r="291">
          <cell r="K291" t="str">
            <v>3230 RESULTADOS DEL EJERCICIO</v>
          </cell>
        </row>
        <row r="292">
          <cell r="K292" t="str">
            <v>323001 Utilidad o Excedente del Ejercicio</v>
          </cell>
        </row>
        <row r="293">
          <cell r="K293" t="str">
            <v>32300101 Utilidad del Ejercicio</v>
          </cell>
        </row>
        <row r="294">
          <cell r="K294" t="str">
            <v>3235 SUPERÁVIT POR DONACIÓN</v>
          </cell>
        </row>
        <row r="295">
          <cell r="K295" t="str">
            <v>323501 EN DINERO</v>
          </cell>
        </row>
        <row r="296">
          <cell r="K296" t="str">
            <v>32350101 En dinero</v>
          </cell>
        </row>
        <row r="297">
          <cell r="K297" t="str">
            <v>323502 EN ESPECIE</v>
          </cell>
        </row>
        <row r="298">
          <cell r="K298" t="str">
            <v>32350201 En Especie</v>
          </cell>
        </row>
        <row r="299">
          <cell r="K299" t="str">
            <v>32350202 Centro Salud San Josè de</v>
          </cell>
        </row>
        <row r="300">
          <cell r="K300" t="str">
            <v>32350203 Centro Salud Cristales</v>
          </cell>
        </row>
        <row r="301">
          <cell r="K301" t="str">
            <v>32350204 Puesto de Salud Providen</v>
          </cell>
        </row>
        <row r="302">
          <cell r="K302" t="str">
            <v>3240 SUPERÁVIT POR VALORIZACIÓN</v>
          </cell>
        </row>
        <row r="303">
          <cell r="K303" t="str">
            <v>324052 TERRENOS</v>
          </cell>
        </row>
        <row r="304">
          <cell r="K304" t="str">
            <v>32405201 Terrenos Urbanos</v>
          </cell>
        </row>
        <row r="305">
          <cell r="K305" t="str">
            <v>32405202 Terreno San Jose</v>
          </cell>
        </row>
        <row r="306">
          <cell r="K306" t="str">
            <v>32405203 Terreno Cristales</v>
          </cell>
        </row>
        <row r="307">
          <cell r="K307" t="str">
            <v>32405204 Terreno Providencia</v>
          </cell>
        </row>
        <row r="308">
          <cell r="K308" t="str">
            <v>324062 EDIFICACIONES</v>
          </cell>
        </row>
        <row r="309">
          <cell r="K309" t="str">
            <v>32406201 Hospitales</v>
          </cell>
        </row>
        <row r="310">
          <cell r="K310" t="str">
            <v xml:space="preserve"> </v>
          </cell>
        </row>
        <row r="311">
          <cell r="K311" t="str">
            <v xml:space="preserve"> </v>
          </cell>
        </row>
        <row r="312">
          <cell r="K312" t="str">
            <v xml:space="preserve"> </v>
          </cell>
        </row>
        <row r="313">
          <cell r="K313" t="str">
            <v xml:space="preserve"> </v>
          </cell>
        </row>
        <row r="314">
          <cell r="K314" t="str">
            <v xml:space="preserve"> </v>
          </cell>
        </row>
        <row r="315">
          <cell r="K315" t="str">
            <v xml:space="preserve"> </v>
          </cell>
        </row>
        <row r="316">
          <cell r="K316" t="str">
            <v xml:space="preserve"> </v>
          </cell>
        </row>
        <row r="317">
          <cell r="K317" t="str">
            <v xml:space="preserve"> </v>
          </cell>
        </row>
        <row r="318">
          <cell r="K318" t="str">
            <v xml:space="preserve"> </v>
          </cell>
        </row>
        <row r="319">
          <cell r="K319" t="str">
            <v xml:space="preserve"> </v>
          </cell>
        </row>
        <row r="320">
          <cell r="K320" t="str">
            <v xml:space="preserve"> </v>
          </cell>
        </row>
        <row r="321">
          <cell r="K321" t="str">
            <v xml:space="preserve"> </v>
          </cell>
        </row>
        <row r="322">
          <cell r="K322" t="str">
            <v xml:space="preserve"> </v>
          </cell>
        </row>
        <row r="323">
          <cell r="K323" t="str">
            <v xml:space="preserve"> </v>
          </cell>
        </row>
        <row r="324">
          <cell r="K324" t="str">
            <v xml:space="preserve"> </v>
          </cell>
        </row>
        <row r="325">
          <cell r="K325" t="str">
            <v xml:space="preserve"> </v>
          </cell>
        </row>
        <row r="326">
          <cell r="K326" t="str">
            <v xml:space="preserve"> </v>
          </cell>
        </row>
        <row r="327">
          <cell r="K327" t="str">
            <v xml:space="preserve"> </v>
          </cell>
        </row>
        <row r="328">
          <cell r="K328" t="str">
            <v xml:space="preserve"> </v>
          </cell>
        </row>
        <row r="329">
          <cell r="K329" t="str">
            <v xml:space="preserve"> </v>
          </cell>
        </row>
        <row r="330">
          <cell r="K330" t="str">
            <v xml:space="preserve"> </v>
          </cell>
        </row>
        <row r="331">
          <cell r="K331" t="str">
            <v xml:space="preserve"> </v>
          </cell>
        </row>
        <row r="332">
          <cell r="K332" t="str">
            <v xml:space="preserve"> </v>
          </cell>
        </row>
        <row r="333">
          <cell r="K333" t="str">
            <v xml:space="preserve"> </v>
          </cell>
        </row>
        <row r="334">
          <cell r="K334" t="str">
            <v xml:space="preserve"> </v>
          </cell>
        </row>
        <row r="335">
          <cell r="K335" t="str">
            <v xml:space="preserve"> </v>
          </cell>
        </row>
        <row r="336">
          <cell r="K336" t="str">
            <v xml:space="preserve"> </v>
          </cell>
        </row>
        <row r="337">
          <cell r="K337" t="str">
            <v xml:space="preserve"> </v>
          </cell>
        </row>
        <row r="338">
          <cell r="K338" t="str">
            <v xml:space="preserve"> </v>
          </cell>
        </row>
        <row r="339">
          <cell r="K339" t="str">
            <v xml:space="preserve"> </v>
          </cell>
        </row>
        <row r="340">
          <cell r="K340" t="str">
            <v xml:space="preserve"> </v>
          </cell>
        </row>
        <row r="341">
          <cell r="K341" t="str">
            <v xml:space="preserve"> </v>
          </cell>
        </row>
        <row r="342">
          <cell r="K342" t="str">
            <v xml:space="preserve"> </v>
          </cell>
        </row>
        <row r="343">
          <cell r="K343" t="str">
            <v xml:space="preserve"> </v>
          </cell>
        </row>
        <row r="344">
          <cell r="K344" t="str">
            <v xml:space="preserve"> </v>
          </cell>
        </row>
        <row r="345">
          <cell r="K345" t="str">
            <v xml:space="preserve"> </v>
          </cell>
        </row>
        <row r="346">
          <cell r="K346" t="str">
            <v xml:space="preserve"> </v>
          </cell>
        </row>
        <row r="347">
          <cell r="K347" t="str">
            <v xml:space="preserve"> </v>
          </cell>
        </row>
        <row r="348">
          <cell r="K348" t="str">
            <v xml:space="preserve"> </v>
          </cell>
        </row>
        <row r="349">
          <cell r="K349" t="str">
            <v xml:space="preserve"> </v>
          </cell>
        </row>
        <row r="350">
          <cell r="K350" t="str">
            <v xml:space="preserve"> </v>
          </cell>
        </row>
        <row r="351">
          <cell r="K351" t="str">
            <v xml:space="preserve"> </v>
          </cell>
        </row>
        <row r="352">
          <cell r="K352" t="str">
            <v xml:space="preserve"> </v>
          </cell>
        </row>
        <row r="353">
          <cell r="K353" t="str">
            <v xml:space="preserve"> </v>
          </cell>
        </row>
        <row r="354">
          <cell r="K354" t="str">
            <v xml:space="preserve"> </v>
          </cell>
        </row>
        <row r="355">
          <cell r="K355" t="str">
            <v xml:space="preserve"> </v>
          </cell>
        </row>
        <row r="356">
          <cell r="K356" t="str">
            <v xml:space="preserve"> </v>
          </cell>
        </row>
        <row r="357">
          <cell r="K357" t="str">
            <v xml:space="preserve"> </v>
          </cell>
        </row>
        <row r="358">
          <cell r="K358" t="str">
            <v xml:space="preserve"> </v>
          </cell>
        </row>
        <row r="359">
          <cell r="K359" t="str">
            <v xml:space="preserve"> </v>
          </cell>
        </row>
        <row r="360">
          <cell r="K360" t="str">
            <v xml:space="preserve"> </v>
          </cell>
        </row>
        <row r="361">
          <cell r="K361" t="str">
            <v xml:space="preserve"> </v>
          </cell>
        </row>
        <row r="362">
          <cell r="K362" t="str">
            <v xml:space="preserve"> </v>
          </cell>
        </row>
        <row r="363">
          <cell r="K363" t="str">
            <v xml:space="preserve"> </v>
          </cell>
        </row>
        <row r="364">
          <cell r="K364" t="str">
            <v xml:space="preserve"> </v>
          </cell>
        </row>
        <row r="365">
          <cell r="K365" t="str">
            <v xml:space="preserve"> </v>
          </cell>
        </row>
        <row r="366">
          <cell r="K366" t="str">
            <v xml:space="preserve"> </v>
          </cell>
        </row>
        <row r="367">
          <cell r="K367" t="str">
            <v xml:space="preserve"> </v>
          </cell>
        </row>
        <row r="368">
          <cell r="K368" t="str">
            <v xml:space="preserve"> </v>
          </cell>
        </row>
        <row r="369">
          <cell r="K369" t="str">
            <v xml:space="preserve"> </v>
          </cell>
        </row>
        <row r="370">
          <cell r="K370" t="str">
            <v xml:space="preserve"> </v>
          </cell>
        </row>
        <row r="371">
          <cell r="K371" t="str">
            <v xml:space="preserve"> </v>
          </cell>
        </row>
        <row r="372">
          <cell r="K372" t="str">
            <v xml:space="preserve"> </v>
          </cell>
        </row>
        <row r="373">
          <cell r="K373" t="str">
            <v xml:space="preserve"> </v>
          </cell>
        </row>
        <row r="374">
          <cell r="K374" t="str">
            <v xml:space="preserve"> </v>
          </cell>
        </row>
        <row r="375">
          <cell r="K375" t="str">
            <v xml:space="preserve"> </v>
          </cell>
        </row>
        <row r="376">
          <cell r="K376" t="str">
            <v xml:space="preserve"> </v>
          </cell>
        </row>
        <row r="377">
          <cell r="K377" t="str">
            <v xml:space="preserve"> </v>
          </cell>
        </row>
        <row r="378">
          <cell r="K378" t="str">
            <v xml:space="preserve"> </v>
          </cell>
        </row>
        <row r="379">
          <cell r="K379" t="str">
            <v xml:space="preserve"> </v>
          </cell>
        </row>
        <row r="380">
          <cell r="K380" t="str">
            <v xml:space="preserve"> </v>
          </cell>
        </row>
        <row r="381">
          <cell r="K381" t="str">
            <v xml:space="preserve"> </v>
          </cell>
        </row>
        <row r="382">
          <cell r="K382" t="str">
            <v xml:space="preserve"> </v>
          </cell>
        </row>
        <row r="383">
          <cell r="K383" t="str">
            <v xml:space="preserve"> </v>
          </cell>
        </row>
        <row r="384">
          <cell r="K384" t="str">
            <v xml:space="preserve"> </v>
          </cell>
        </row>
        <row r="385">
          <cell r="K385" t="str">
            <v xml:space="preserve"> </v>
          </cell>
        </row>
        <row r="386">
          <cell r="K386" t="str">
            <v xml:space="preserve"> </v>
          </cell>
        </row>
        <row r="387">
          <cell r="K387" t="str">
            <v xml:space="preserve"> </v>
          </cell>
        </row>
        <row r="388">
          <cell r="K388" t="str">
            <v xml:space="preserve"> </v>
          </cell>
        </row>
        <row r="389">
          <cell r="K389" t="str">
            <v xml:space="preserve"> </v>
          </cell>
        </row>
        <row r="390">
          <cell r="K390" t="str">
            <v xml:space="preserve"> </v>
          </cell>
        </row>
        <row r="391">
          <cell r="K391" t="str">
            <v xml:space="preserve"> </v>
          </cell>
        </row>
        <row r="392">
          <cell r="K392" t="str">
            <v xml:space="preserve"> </v>
          </cell>
        </row>
        <row r="393">
          <cell r="K393" t="str">
            <v xml:space="preserve"> </v>
          </cell>
        </row>
        <row r="394">
          <cell r="K394" t="str">
            <v xml:space="preserve"> </v>
          </cell>
        </row>
        <row r="395">
          <cell r="K395" t="str">
            <v xml:space="preserve"> </v>
          </cell>
        </row>
        <row r="396">
          <cell r="K396" t="str">
            <v xml:space="preserve"> </v>
          </cell>
        </row>
        <row r="397">
          <cell r="K397" t="str">
            <v xml:space="preserve"> </v>
          </cell>
        </row>
        <row r="398">
          <cell r="K398" t="str">
            <v xml:space="preserve"> </v>
          </cell>
        </row>
        <row r="399">
          <cell r="K399" t="str">
            <v xml:space="preserve"> </v>
          </cell>
        </row>
        <row r="400">
          <cell r="K400" t="str">
            <v xml:space="preserve"> </v>
          </cell>
        </row>
        <row r="401">
          <cell r="K401" t="str">
            <v xml:space="preserve"> </v>
          </cell>
        </row>
        <row r="402">
          <cell r="K402" t="str">
            <v xml:space="preserve"> </v>
          </cell>
        </row>
        <row r="403">
          <cell r="K403" t="str">
            <v xml:space="preserve"> </v>
          </cell>
        </row>
        <row r="404">
          <cell r="K404" t="str">
            <v xml:space="preserve"> </v>
          </cell>
        </row>
        <row r="405">
          <cell r="K405" t="str">
            <v xml:space="preserve"> </v>
          </cell>
        </row>
        <row r="406">
          <cell r="K406" t="str">
            <v xml:space="preserve"> </v>
          </cell>
        </row>
        <row r="407">
          <cell r="K407" t="str">
            <v xml:space="preserve"> </v>
          </cell>
        </row>
        <row r="408">
          <cell r="K408" t="str">
            <v xml:space="preserve"> </v>
          </cell>
        </row>
        <row r="409">
          <cell r="K409" t="str">
            <v xml:space="preserve"> </v>
          </cell>
        </row>
        <row r="410">
          <cell r="K410" t="str">
            <v xml:space="preserve"> </v>
          </cell>
        </row>
        <row r="411">
          <cell r="K411" t="str">
            <v xml:space="preserve"> </v>
          </cell>
        </row>
        <row r="412">
          <cell r="K412" t="str">
            <v xml:space="preserve"> </v>
          </cell>
        </row>
        <row r="413">
          <cell r="K413" t="str">
            <v xml:space="preserve"> </v>
          </cell>
        </row>
        <row r="414">
          <cell r="K414" t="str">
            <v xml:space="preserve"> </v>
          </cell>
        </row>
        <row r="415">
          <cell r="K415" t="str">
            <v xml:space="preserve"> </v>
          </cell>
        </row>
        <row r="416">
          <cell r="K416" t="str">
            <v xml:space="preserve"> </v>
          </cell>
        </row>
        <row r="417">
          <cell r="K417" t="str">
            <v xml:space="preserve"> </v>
          </cell>
        </row>
        <row r="418">
          <cell r="K418" t="str">
            <v xml:space="preserve"> </v>
          </cell>
        </row>
        <row r="419">
          <cell r="K419" t="str">
            <v xml:space="preserve"> </v>
          </cell>
        </row>
        <row r="420">
          <cell r="K420" t="str">
            <v xml:space="preserve"> </v>
          </cell>
        </row>
        <row r="421">
          <cell r="K421" t="str">
            <v xml:space="preserve"> </v>
          </cell>
        </row>
        <row r="422">
          <cell r="K422" t="str">
            <v xml:space="preserve"> </v>
          </cell>
        </row>
        <row r="423">
          <cell r="K423" t="str">
            <v xml:space="preserve"> </v>
          </cell>
        </row>
        <row r="424">
          <cell r="K424" t="str">
            <v xml:space="preserve"> </v>
          </cell>
        </row>
        <row r="425">
          <cell r="K425" t="str">
            <v xml:space="preserve"> </v>
          </cell>
        </row>
        <row r="426">
          <cell r="K426" t="str">
            <v xml:space="preserve"> </v>
          </cell>
        </row>
        <row r="427">
          <cell r="K427" t="str">
            <v xml:space="preserve"> </v>
          </cell>
        </row>
        <row r="428">
          <cell r="K428" t="str">
            <v xml:space="preserve"> </v>
          </cell>
        </row>
        <row r="429">
          <cell r="K429" t="str">
            <v xml:space="preserve"> </v>
          </cell>
        </row>
        <row r="430">
          <cell r="K430" t="str">
            <v xml:space="preserve"> </v>
          </cell>
        </row>
        <row r="431">
          <cell r="K431" t="str">
            <v xml:space="preserve"> </v>
          </cell>
        </row>
        <row r="432">
          <cell r="K432" t="str">
            <v xml:space="preserve"> </v>
          </cell>
        </row>
        <row r="433">
          <cell r="K433" t="str">
            <v xml:space="preserve"> </v>
          </cell>
        </row>
        <row r="434">
          <cell r="K434" t="str">
            <v xml:space="preserve"> </v>
          </cell>
        </row>
        <row r="435">
          <cell r="K435" t="str">
            <v xml:space="preserve"> </v>
          </cell>
        </row>
        <row r="436">
          <cell r="K436" t="str">
            <v xml:space="preserve"> </v>
          </cell>
        </row>
        <row r="437">
          <cell r="K437" t="str">
            <v xml:space="preserve"> </v>
          </cell>
        </row>
        <row r="438">
          <cell r="K438" t="str">
            <v xml:space="preserve"> </v>
          </cell>
        </row>
        <row r="439">
          <cell r="K439" t="str">
            <v xml:space="preserve"> </v>
          </cell>
        </row>
        <row r="440">
          <cell r="K440" t="str">
            <v xml:space="preserve"> </v>
          </cell>
        </row>
        <row r="441">
          <cell r="K441" t="str">
            <v xml:space="preserve"> </v>
          </cell>
        </row>
        <row r="442">
          <cell r="K442" t="str">
            <v xml:space="preserve"> </v>
          </cell>
        </row>
        <row r="443">
          <cell r="K443" t="str">
            <v xml:space="preserve"> </v>
          </cell>
        </row>
        <row r="444">
          <cell r="K444" t="str">
            <v xml:space="preserve"> </v>
          </cell>
        </row>
        <row r="445">
          <cell r="K445" t="str">
            <v xml:space="preserve"> </v>
          </cell>
        </row>
        <row r="446">
          <cell r="K446" t="str">
            <v xml:space="preserve"> </v>
          </cell>
        </row>
        <row r="447">
          <cell r="K447" t="str">
            <v xml:space="preserve"> </v>
          </cell>
        </row>
        <row r="448">
          <cell r="K448" t="str">
            <v xml:space="preserve"> </v>
          </cell>
        </row>
        <row r="449">
          <cell r="K449" t="str">
            <v xml:space="preserve"> </v>
          </cell>
        </row>
        <row r="450">
          <cell r="K450" t="str">
            <v xml:space="preserve"> </v>
          </cell>
        </row>
        <row r="451">
          <cell r="K451" t="str">
            <v xml:space="preserve"> </v>
          </cell>
        </row>
        <row r="452">
          <cell r="K452" t="str">
            <v xml:space="preserve"> </v>
          </cell>
        </row>
        <row r="453">
          <cell r="K453" t="str">
            <v xml:space="preserve"> </v>
          </cell>
        </row>
        <row r="454">
          <cell r="K454" t="str">
            <v xml:space="preserve"> </v>
          </cell>
        </row>
        <row r="455">
          <cell r="K455" t="str">
            <v xml:space="preserve"> </v>
          </cell>
        </row>
        <row r="456">
          <cell r="K456" t="str">
            <v xml:space="preserve"> </v>
          </cell>
        </row>
        <row r="457">
          <cell r="K457" t="str">
            <v xml:space="preserve"> </v>
          </cell>
        </row>
        <row r="458">
          <cell r="K458" t="str">
            <v xml:space="preserve"> </v>
          </cell>
        </row>
        <row r="459">
          <cell r="K459" t="str">
            <v xml:space="preserve"> </v>
          </cell>
        </row>
        <row r="460">
          <cell r="K460" t="str">
            <v xml:space="preserve"> </v>
          </cell>
        </row>
        <row r="461">
          <cell r="K461" t="str">
            <v xml:space="preserve"> </v>
          </cell>
        </row>
        <row r="462">
          <cell r="K462" t="str">
            <v xml:space="preserve"> </v>
          </cell>
        </row>
        <row r="463">
          <cell r="K463" t="str">
            <v xml:space="preserve"> </v>
          </cell>
        </row>
        <row r="464">
          <cell r="K464" t="str">
            <v xml:space="preserve"> </v>
          </cell>
        </row>
        <row r="465">
          <cell r="K465" t="str">
            <v xml:space="preserve"> </v>
          </cell>
        </row>
        <row r="466">
          <cell r="K466" t="str">
            <v xml:space="preserve"> </v>
          </cell>
        </row>
        <row r="467">
          <cell r="K467" t="str">
            <v xml:space="preserve"> </v>
          </cell>
        </row>
        <row r="468">
          <cell r="K468" t="str">
            <v xml:space="preserve"> </v>
          </cell>
        </row>
        <row r="469">
          <cell r="K469" t="str">
            <v xml:space="preserve"> </v>
          </cell>
        </row>
        <row r="470">
          <cell r="K470" t="str">
            <v xml:space="preserve"> </v>
          </cell>
        </row>
        <row r="471">
          <cell r="K471" t="str">
            <v xml:space="preserve"> </v>
          </cell>
        </row>
        <row r="472">
          <cell r="K472" t="str">
            <v xml:space="preserve"> </v>
          </cell>
        </row>
        <row r="473">
          <cell r="K473" t="str">
            <v xml:space="preserve"> </v>
          </cell>
        </row>
        <row r="474">
          <cell r="K474" t="str">
            <v xml:space="preserve"> </v>
          </cell>
        </row>
        <row r="475">
          <cell r="K475" t="str">
            <v xml:space="preserve"> </v>
          </cell>
        </row>
        <row r="476">
          <cell r="K476" t="str">
            <v xml:space="preserve"> </v>
          </cell>
        </row>
        <row r="477">
          <cell r="K477" t="str">
            <v xml:space="preserve"> </v>
          </cell>
        </row>
        <row r="478">
          <cell r="K478" t="str">
            <v xml:space="preserve"> </v>
          </cell>
        </row>
        <row r="479">
          <cell r="K479" t="str">
            <v xml:space="preserve"> </v>
          </cell>
        </row>
        <row r="480">
          <cell r="K480" t="str">
            <v xml:space="preserve"> </v>
          </cell>
        </row>
        <row r="481">
          <cell r="K481" t="str">
            <v xml:space="preserve"> </v>
          </cell>
        </row>
        <row r="482">
          <cell r="K482" t="str">
            <v xml:space="preserve"> </v>
          </cell>
        </row>
        <row r="483">
          <cell r="K483" t="str">
            <v xml:space="preserve"> </v>
          </cell>
        </row>
        <row r="484">
          <cell r="K484" t="str">
            <v xml:space="preserve"> </v>
          </cell>
        </row>
        <row r="485">
          <cell r="K485" t="str">
            <v xml:space="preserve"> </v>
          </cell>
        </row>
        <row r="486">
          <cell r="K486" t="str">
            <v xml:space="preserve"> </v>
          </cell>
        </row>
        <row r="487">
          <cell r="K487" t="str">
            <v xml:space="preserve"> </v>
          </cell>
        </row>
        <row r="488">
          <cell r="K488" t="str">
            <v xml:space="preserve"> </v>
          </cell>
        </row>
        <row r="489">
          <cell r="K489" t="str">
            <v xml:space="preserve"> </v>
          </cell>
        </row>
        <row r="490">
          <cell r="K490" t="str">
            <v xml:space="preserve"> </v>
          </cell>
        </row>
        <row r="491">
          <cell r="K491" t="str">
            <v xml:space="preserve"> </v>
          </cell>
        </row>
        <row r="492">
          <cell r="K492" t="str">
            <v xml:space="preserve"> </v>
          </cell>
        </row>
        <row r="493">
          <cell r="K493" t="str">
            <v xml:space="preserve"> </v>
          </cell>
        </row>
        <row r="494">
          <cell r="K494" t="str">
            <v xml:space="preserve"> </v>
          </cell>
        </row>
        <row r="495">
          <cell r="K495" t="str">
            <v xml:space="preserve"> </v>
          </cell>
        </row>
        <row r="496">
          <cell r="K496" t="str">
            <v xml:space="preserve"> </v>
          </cell>
        </row>
        <row r="497">
          <cell r="K497" t="str">
            <v xml:space="preserve"> </v>
          </cell>
        </row>
        <row r="498">
          <cell r="K498" t="str">
            <v xml:space="preserve"> </v>
          </cell>
        </row>
        <row r="499">
          <cell r="K499" t="str">
            <v xml:space="preserve"> </v>
          </cell>
        </row>
        <row r="500">
          <cell r="K500" t="str">
            <v xml:space="preserve"> </v>
          </cell>
        </row>
        <row r="501">
          <cell r="K501" t="str">
            <v xml:space="preserve"> </v>
          </cell>
        </row>
        <row r="502">
          <cell r="K502" t="str">
            <v xml:space="preserve"> </v>
          </cell>
        </row>
        <row r="503">
          <cell r="K503" t="str">
            <v xml:space="preserve"> </v>
          </cell>
        </row>
        <row r="504">
          <cell r="K504" t="str">
            <v xml:space="preserve"> </v>
          </cell>
        </row>
        <row r="505">
          <cell r="K505" t="str">
            <v xml:space="preserve"> </v>
          </cell>
        </row>
        <row r="506">
          <cell r="K506" t="str">
            <v xml:space="preserve"> </v>
          </cell>
        </row>
        <row r="507">
          <cell r="K507" t="str">
            <v xml:space="preserve"> </v>
          </cell>
        </row>
        <row r="508">
          <cell r="K508" t="str">
            <v xml:space="preserve"> </v>
          </cell>
        </row>
        <row r="509">
          <cell r="K509" t="str">
            <v xml:space="preserve"> </v>
          </cell>
        </row>
        <row r="510">
          <cell r="K510" t="str">
            <v xml:space="preserve"> </v>
          </cell>
        </row>
        <row r="511">
          <cell r="K511" t="str">
            <v xml:space="preserve"> </v>
          </cell>
        </row>
        <row r="512">
          <cell r="K512" t="str">
            <v xml:space="preserve"> </v>
          </cell>
        </row>
        <row r="513">
          <cell r="K513" t="str">
            <v xml:space="preserve"> </v>
          </cell>
        </row>
        <row r="514">
          <cell r="K514" t="str">
            <v xml:space="preserve"> </v>
          </cell>
        </row>
        <row r="515">
          <cell r="K515" t="str">
            <v xml:space="preserve"> </v>
          </cell>
        </row>
        <row r="516">
          <cell r="K516" t="str">
            <v xml:space="preserve"> </v>
          </cell>
        </row>
        <row r="517">
          <cell r="K517" t="str">
            <v xml:space="preserve"> </v>
          </cell>
        </row>
        <row r="518">
          <cell r="K518" t="str">
            <v xml:space="preserve"> </v>
          </cell>
        </row>
        <row r="519">
          <cell r="K519" t="str">
            <v xml:space="preserve"> </v>
          </cell>
        </row>
        <row r="520">
          <cell r="K520" t="str">
            <v xml:space="preserve"> </v>
          </cell>
        </row>
        <row r="521">
          <cell r="K521" t="str">
            <v xml:space="preserve"> </v>
          </cell>
        </row>
        <row r="522">
          <cell r="K522" t="str">
            <v xml:space="preserve"> </v>
          </cell>
        </row>
        <row r="523">
          <cell r="K523" t="str">
            <v xml:space="preserve"> </v>
          </cell>
        </row>
        <row r="524">
          <cell r="K524" t="str">
            <v xml:space="preserve"> </v>
          </cell>
        </row>
        <row r="525">
          <cell r="K525" t="str">
            <v xml:space="preserve"> </v>
          </cell>
        </row>
        <row r="526">
          <cell r="K526" t="str">
            <v xml:space="preserve"> </v>
          </cell>
        </row>
        <row r="527">
          <cell r="K527" t="str">
            <v xml:space="preserve"> </v>
          </cell>
        </row>
        <row r="528">
          <cell r="K528" t="str">
            <v xml:space="preserve"> </v>
          </cell>
        </row>
        <row r="529">
          <cell r="K529" t="str">
            <v xml:space="preserve"> </v>
          </cell>
        </row>
        <row r="530">
          <cell r="K530" t="str">
            <v xml:space="preserve"> </v>
          </cell>
        </row>
        <row r="531">
          <cell r="K531" t="str">
            <v xml:space="preserve"> </v>
          </cell>
        </row>
        <row r="532">
          <cell r="K532" t="str">
            <v xml:space="preserve"> </v>
          </cell>
        </row>
        <row r="533">
          <cell r="K533" t="str">
            <v xml:space="preserve"> </v>
          </cell>
        </row>
        <row r="534">
          <cell r="K534" t="str">
            <v xml:space="preserve"> </v>
          </cell>
        </row>
        <row r="535">
          <cell r="K535" t="str">
            <v xml:space="preserve"> </v>
          </cell>
        </row>
        <row r="536">
          <cell r="K536" t="str">
            <v xml:space="preserve"> </v>
          </cell>
        </row>
        <row r="537">
          <cell r="K537" t="str">
            <v xml:space="preserve"> </v>
          </cell>
        </row>
        <row r="538">
          <cell r="K538" t="str">
            <v xml:space="preserve"> </v>
          </cell>
        </row>
        <row r="539">
          <cell r="K539" t="str">
            <v xml:space="preserve"> </v>
          </cell>
        </row>
        <row r="540">
          <cell r="K540" t="str">
            <v xml:space="preserve"> </v>
          </cell>
        </row>
        <row r="541">
          <cell r="K541" t="str">
            <v xml:space="preserve"> </v>
          </cell>
        </row>
        <row r="542">
          <cell r="K542" t="str">
            <v xml:space="preserve"> </v>
          </cell>
        </row>
        <row r="543">
          <cell r="K543" t="str">
            <v xml:space="preserve"> </v>
          </cell>
        </row>
        <row r="544">
          <cell r="K544" t="str">
            <v xml:space="preserve"> </v>
          </cell>
        </row>
        <row r="545">
          <cell r="K545" t="str">
            <v xml:space="preserve"> </v>
          </cell>
        </row>
        <row r="546">
          <cell r="K546" t="str">
            <v xml:space="preserve"> </v>
          </cell>
        </row>
        <row r="547">
          <cell r="K547" t="str">
            <v xml:space="preserve"> </v>
          </cell>
        </row>
        <row r="548">
          <cell r="K548" t="str">
            <v xml:space="preserve"> </v>
          </cell>
        </row>
        <row r="549">
          <cell r="K549" t="str">
            <v xml:space="preserve"> </v>
          </cell>
        </row>
        <row r="550">
          <cell r="K550" t="str">
            <v xml:space="preserve"> </v>
          </cell>
        </row>
        <row r="551">
          <cell r="K551" t="str">
            <v xml:space="preserve"> </v>
          </cell>
        </row>
        <row r="552">
          <cell r="K552" t="str">
            <v xml:space="preserve"> </v>
          </cell>
        </row>
        <row r="553">
          <cell r="K553" t="str">
            <v xml:space="preserve"> </v>
          </cell>
        </row>
        <row r="554">
          <cell r="K554" t="str">
            <v xml:space="preserve"> </v>
          </cell>
        </row>
        <row r="555">
          <cell r="K555" t="str">
            <v xml:space="preserve"> </v>
          </cell>
        </row>
        <row r="556">
          <cell r="K556" t="str">
            <v xml:space="preserve"> </v>
          </cell>
        </row>
        <row r="557">
          <cell r="K557" t="str">
            <v xml:space="preserve"> </v>
          </cell>
        </row>
        <row r="558">
          <cell r="K558" t="str">
            <v xml:space="preserve"> </v>
          </cell>
        </row>
        <row r="559">
          <cell r="K559" t="str">
            <v xml:space="preserve"> </v>
          </cell>
        </row>
        <row r="560">
          <cell r="K560" t="str">
            <v xml:space="preserve"> </v>
          </cell>
        </row>
        <row r="561">
          <cell r="K561" t="str">
            <v xml:space="preserve"> </v>
          </cell>
        </row>
        <row r="562">
          <cell r="K562" t="str">
            <v xml:space="preserve"> </v>
          </cell>
        </row>
        <row r="563">
          <cell r="K563" t="str">
            <v xml:space="preserve"> </v>
          </cell>
        </row>
        <row r="564">
          <cell r="K564" t="str">
            <v xml:space="preserve"> </v>
          </cell>
        </row>
        <row r="565">
          <cell r="K565" t="str">
            <v xml:space="preserve"> </v>
          </cell>
        </row>
        <row r="566">
          <cell r="K566" t="str">
            <v xml:space="preserve"> </v>
          </cell>
        </row>
        <row r="567">
          <cell r="K567" t="str">
            <v xml:space="preserve"> </v>
          </cell>
        </row>
        <row r="568">
          <cell r="K568" t="str">
            <v xml:space="preserve"> </v>
          </cell>
        </row>
        <row r="569">
          <cell r="K569" t="str">
            <v xml:space="preserve"> </v>
          </cell>
        </row>
        <row r="570">
          <cell r="K570" t="str">
            <v xml:space="preserve"> </v>
          </cell>
        </row>
        <row r="571">
          <cell r="K571" t="str">
            <v xml:space="preserve"> </v>
          </cell>
        </row>
        <row r="572">
          <cell r="K572" t="str">
            <v xml:space="preserve"> </v>
          </cell>
        </row>
        <row r="573">
          <cell r="K573" t="str">
            <v xml:space="preserve"> </v>
          </cell>
        </row>
        <row r="574">
          <cell r="K574" t="str">
            <v xml:space="preserve"> </v>
          </cell>
        </row>
        <row r="575">
          <cell r="K575" t="str">
            <v xml:space="preserve"> </v>
          </cell>
        </row>
        <row r="576">
          <cell r="K576" t="str">
            <v xml:space="preserve"> </v>
          </cell>
        </row>
        <row r="577">
          <cell r="K577" t="str">
            <v xml:space="preserve"> </v>
          </cell>
        </row>
        <row r="578">
          <cell r="K578" t="str">
            <v xml:space="preserve"> </v>
          </cell>
        </row>
        <row r="579">
          <cell r="K579" t="str">
            <v xml:space="preserve"> </v>
          </cell>
        </row>
        <row r="580">
          <cell r="K580" t="str">
            <v xml:space="preserve"> </v>
          </cell>
        </row>
        <row r="581">
          <cell r="K581" t="str">
            <v xml:space="preserve"> </v>
          </cell>
        </row>
        <row r="582">
          <cell r="K582" t="str">
            <v xml:space="preserve"> </v>
          </cell>
        </row>
        <row r="583">
          <cell r="K583" t="str">
            <v xml:space="preserve"> </v>
          </cell>
        </row>
        <row r="584">
          <cell r="K584" t="str">
            <v xml:space="preserve"> </v>
          </cell>
        </row>
        <row r="585">
          <cell r="K585" t="str">
            <v xml:space="preserve"> </v>
          </cell>
        </row>
        <row r="586">
          <cell r="K586" t="str">
            <v xml:space="preserve"> </v>
          </cell>
        </row>
        <row r="587">
          <cell r="K587" t="str">
            <v xml:space="preserve"> </v>
          </cell>
        </row>
        <row r="588">
          <cell r="K588" t="str">
            <v xml:space="preserve"> </v>
          </cell>
        </row>
        <row r="589">
          <cell r="K589" t="str">
            <v xml:space="preserve"> </v>
          </cell>
        </row>
        <row r="590">
          <cell r="K590" t="str">
            <v xml:space="preserve"> </v>
          </cell>
        </row>
        <row r="591">
          <cell r="K591" t="str">
            <v xml:space="preserve"> </v>
          </cell>
        </row>
        <row r="592">
          <cell r="K592" t="str">
            <v xml:space="preserve"> </v>
          </cell>
        </row>
        <row r="593">
          <cell r="K593" t="str">
            <v xml:space="preserve"> </v>
          </cell>
        </row>
        <row r="594">
          <cell r="K594" t="str">
            <v xml:space="preserve"> </v>
          </cell>
        </row>
        <row r="595">
          <cell r="K595" t="str">
            <v xml:space="preserve"> </v>
          </cell>
        </row>
        <row r="596">
          <cell r="K596" t="str">
            <v xml:space="preserve"> </v>
          </cell>
        </row>
        <row r="597">
          <cell r="K597" t="str">
            <v xml:space="preserve"> </v>
          </cell>
        </row>
        <row r="598">
          <cell r="K598" t="str">
            <v xml:space="preserve"> </v>
          </cell>
        </row>
        <row r="599">
          <cell r="K599" t="str">
            <v xml:space="preserve"> </v>
          </cell>
        </row>
        <row r="600">
          <cell r="K600" t="str">
            <v xml:space="preserve"> </v>
          </cell>
        </row>
        <row r="601">
          <cell r="K601" t="str">
            <v xml:space="preserve"> </v>
          </cell>
        </row>
        <row r="602">
          <cell r="K602" t="str">
            <v xml:space="preserve"> </v>
          </cell>
        </row>
        <row r="603">
          <cell r="K603" t="str">
            <v xml:space="preserve"> </v>
          </cell>
        </row>
        <row r="604">
          <cell r="K604" t="str">
            <v xml:space="preserve"> </v>
          </cell>
        </row>
        <row r="605">
          <cell r="K605" t="str">
            <v xml:space="preserve"> </v>
          </cell>
        </row>
        <row r="606">
          <cell r="K606" t="str">
            <v xml:space="preserve"> </v>
          </cell>
        </row>
        <row r="607">
          <cell r="K607" t="str">
            <v xml:space="preserve"> </v>
          </cell>
        </row>
        <row r="608">
          <cell r="K608" t="str">
            <v xml:space="preserve"> </v>
          </cell>
        </row>
        <row r="609">
          <cell r="K609" t="str">
            <v xml:space="preserve"> </v>
          </cell>
        </row>
        <row r="610">
          <cell r="K610" t="str">
            <v xml:space="preserve"> </v>
          </cell>
        </row>
        <row r="611">
          <cell r="K611" t="str">
            <v xml:space="preserve"> </v>
          </cell>
        </row>
        <row r="612">
          <cell r="K612" t="str">
            <v xml:space="preserve"> </v>
          </cell>
        </row>
        <row r="613">
          <cell r="K613" t="str">
            <v xml:space="preserve"> </v>
          </cell>
        </row>
        <row r="614">
          <cell r="K614" t="str">
            <v xml:space="preserve"> </v>
          </cell>
        </row>
        <row r="615">
          <cell r="K615" t="str">
            <v xml:space="preserve"> </v>
          </cell>
        </row>
        <row r="616">
          <cell r="K616" t="str">
            <v xml:space="preserve"> </v>
          </cell>
        </row>
        <row r="617">
          <cell r="K617" t="str">
            <v xml:space="preserve"> </v>
          </cell>
        </row>
        <row r="618">
          <cell r="K618" t="str">
            <v xml:space="preserve"> </v>
          </cell>
        </row>
        <row r="619">
          <cell r="K619" t="str">
            <v xml:space="preserve"> </v>
          </cell>
        </row>
        <row r="620">
          <cell r="K620" t="str">
            <v xml:space="preserve"> </v>
          </cell>
        </row>
        <row r="621">
          <cell r="K621" t="str">
            <v xml:space="preserve"> </v>
          </cell>
        </row>
        <row r="622">
          <cell r="K622" t="str">
            <v xml:space="preserve"> </v>
          </cell>
        </row>
        <row r="623">
          <cell r="K623" t="str">
            <v xml:space="preserve"> </v>
          </cell>
        </row>
        <row r="624">
          <cell r="K624" t="str">
            <v xml:space="preserve"> </v>
          </cell>
        </row>
        <row r="625">
          <cell r="K625" t="str">
            <v xml:space="preserve"> </v>
          </cell>
        </row>
        <row r="626">
          <cell r="K626" t="str">
            <v xml:space="preserve"> </v>
          </cell>
        </row>
        <row r="627">
          <cell r="K627" t="str">
            <v xml:space="preserve"> </v>
          </cell>
        </row>
        <row r="628">
          <cell r="K628" t="str">
            <v xml:space="preserve"> </v>
          </cell>
        </row>
        <row r="629">
          <cell r="K629" t="str">
            <v xml:space="preserve"> </v>
          </cell>
        </row>
        <row r="630">
          <cell r="K630" t="str">
            <v xml:space="preserve"> </v>
          </cell>
        </row>
        <row r="631">
          <cell r="K631" t="str">
            <v xml:space="preserve"> </v>
          </cell>
        </row>
        <row r="632">
          <cell r="K632" t="str">
            <v xml:space="preserve"> </v>
          </cell>
        </row>
        <row r="633">
          <cell r="K633" t="str">
            <v xml:space="preserve"> </v>
          </cell>
        </row>
        <row r="634">
          <cell r="K634" t="str">
            <v xml:space="preserve"> </v>
          </cell>
        </row>
        <row r="635">
          <cell r="K635" t="str">
            <v xml:space="preserve"> </v>
          </cell>
        </row>
        <row r="636">
          <cell r="K636" t="str">
            <v xml:space="preserve"> </v>
          </cell>
        </row>
        <row r="637">
          <cell r="K637" t="str">
            <v xml:space="preserve"> </v>
          </cell>
        </row>
        <row r="638">
          <cell r="K638" t="str">
            <v xml:space="preserve"> </v>
          </cell>
        </row>
        <row r="639">
          <cell r="K639" t="str">
            <v xml:space="preserve"> </v>
          </cell>
        </row>
        <row r="640">
          <cell r="K640" t="str">
            <v xml:space="preserve"> </v>
          </cell>
        </row>
        <row r="641">
          <cell r="K641" t="str">
            <v xml:space="preserve"> </v>
          </cell>
        </row>
        <row r="642">
          <cell r="K642" t="str">
            <v xml:space="preserve"> </v>
          </cell>
        </row>
        <row r="643">
          <cell r="K643" t="str">
            <v xml:space="preserve"> </v>
          </cell>
        </row>
        <row r="644">
          <cell r="K644" t="str">
            <v xml:space="preserve"> </v>
          </cell>
        </row>
        <row r="645">
          <cell r="K645" t="str">
            <v xml:space="preserve"> </v>
          </cell>
        </row>
        <row r="646">
          <cell r="K646" t="str">
            <v xml:space="preserve"> </v>
          </cell>
        </row>
        <row r="647">
          <cell r="K647" t="str">
            <v xml:space="preserve"> </v>
          </cell>
        </row>
        <row r="648">
          <cell r="K648" t="str">
            <v xml:space="preserve"> </v>
          </cell>
        </row>
        <row r="649">
          <cell r="K649" t="str">
            <v xml:space="preserve"> </v>
          </cell>
        </row>
        <row r="650">
          <cell r="K650" t="str">
            <v xml:space="preserve"> </v>
          </cell>
        </row>
        <row r="651">
          <cell r="K651" t="str">
            <v xml:space="preserve"> </v>
          </cell>
        </row>
        <row r="652">
          <cell r="K652" t="str">
            <v xml:space="preserve"> </v>
          </cell>
        </row>
        <row r="653">
          <cell r="K653" t="str">
            <v xml:space="preserve"> </v>
          </cell>
        </row>
        <row r="654">
          <cell r="K654" t="str">
            <v xml:space="preserve"> </v>
          </cell>
        </row>
        <row r="655">
          <cell r="K655" t="str">
            <v xml:space="preserve"> </v>
          </cell>
        </row>
        <row r="656">
          <cell r="K656" t="str">
            <v xml:space="preserve"> </v>
          </cell>
        </row>
        <row r="657">
          <cell r="K657" t="str">
            <v xml:space="preserve"> </v>
          </cell>
        </row>
        <row r="658">
          <cell r="K658" t="str">
            <v xml:space="preserve"> </v>
          </cell>
        </row>
        <row r="659">
          <cell r="K659" t="str">
            <v xml:space="preserve"> </v>
          </cell>
        </row>
        <row r="660">
          <cell r="K660" t="str">
            <v xml:space="preserve"> </v>
          </cell>
        </row>
        <row r="661">
          <cell r="K661" t="str">
            <v xml:space="preserve"> </v>
          </cell>
        </row>
        <row r="662">
          <cell r="K662" t="str">
            <v xml:space="preserve"> </v>
          </cell>
        </row>
        <row r="663">
          <cell r="K663" t="str">
            <v xml:space="preserve"> </v>
          </cell>
        </row>
        <row r="664">
          <cell r="K664" t="str">
            <v xml:space="preserve"> </v>
          </cell>
        </row>
        <row r="665">
          <cell r="K665" t="str">
            <v xml:space="preserve"> </v>
          </cell>
        </row>
        <row r="666">
          <cell r="K666" t="str">
            <v xml:space="preserve"> </v>
          </cell>
        </row>
        <row r="667">
          <cell r="K667" t="str">
            <v xml:space="preserve"> </v>
          </cell>
        </row>
        <row r="668">
          <cell r="K668" t="str">
            <v xml:space="preserve"> </v>
          </cell>
        </row>
        <row r="669">
          <cell r="K669" t="str">
            <v xml:space="preserve"> </v>
          </cell>
        </row>
        <row r="670">
          <cell r="K670" t="str">
            <v xml:space="preserve"> </v>
          </cell>
        </row>
        <row r="671">
          <cell r="K671" t="str">
            <v xml:space="preserve"> </v>
          </cell>
        </row>
        <row r="672">
          <cell r="K672" t="str">
            <v xml:space="preserve"> </v>
          </cell>
        </row>
        <row r="673">
          <cell r="K673" t="str">
            <v xml:space="preserve"> </v>
          </cell>
        </row>
        <row r="674">
          <cell r="K674" t="str">
            <v xml:space="preserve"> </v>
          </cell>
        </row>
        <row r="675">
          <cell r="K675" t="str">
            <v xml:space="preserve"> </v>
          </cell>
        </row>
        <row r="676">
          <cell r="K676" t="str">
            <v xml:space="preserve"> </v>
          </cell>
        </row>
        <row r="677">
          <cell r="K677" t="str">
            <v xml:space="preserve"> </v>
          </cell>
        </row>
        <row r="678">
          <cell r="K678" t="str">
            <v xml:space="preserve"> </v>
          </cell>
        </row>
        <row r="679">
          <cell r="K679" t="str">
            <v xml:space="preserve"> </v>
          </cell>
        </row>
        <row r="680">
          <cell r="K680" t="str">
            <v xml:space="preserve"> </v>
          </cell>
        </row>
        <row r="681">
          <cell r="K681" t="str">
            <v xml:space="preserve"> </v>
          </cell>
        </row>
        <row r="682">
          <cell r="K682" t="str">
            <v xml:space="preserve"> </v>
          </cell>
        </row>
        <row r="683">
          <cell r="K683" t="str">
            <v xml:space="preserve"> </v>
          </cell>
        </row>
        <row r="684">
          <cell r="K684" t="str">
            <v xml:space="preserve"> </v>
          </cell>
        </row>
        <row r="685">
          <cell r="K685" t="str">
            <v xml:space="preserve"> </v>
          </cell>
        </row>
        <row r="686">
          <cell r="K686" t="str">
            <v xml:space="preserve"> </v>
          </cell>
        </row>
        <row r="687">
          <cell r="K687" t="str">
            <v xml:space="preserve"> </v>
          </cell>
        </row>
        <row r="688">
          <cell r="K688" t="str">
            <v xml:space="preserve"> </v>
          </cell>
        </row>
        <row r="689">
          <cell r="K689" t="str">
            <v xml:space="preserve"> </v>
          </cell>
        </row>
        <row r="690">
          <cell r="K690" t="str">
            <v xml:space="preserve"> </v>
          </cell>
        </row>
        <row r="691">
          <cell r="K691" t="str">
            <v xml:space="preserve"> </v>
          </cell>
        </row>
        <row r="692">
          <cell r="K692" t="str">
            <v xml:space="preserve"> </v>
          </cell>
        </row>
        <row r="693">
          <cell r="K693" t="str">
            <v xml:space="preserve"> </v>
          </cell>
        </row>
        <row r="694">
          <cell r="K694" t="str">
            <v xml:space="preserve"> </v>
          </cell>
        </row>
        <row r="695">
          <cell r="K695" t="str">
            <v xml:space="preserve"> </v>
          </cell>
        </row>
        <row r="696">
          <cell r="K696" t="str">
            <v xml:space="preserve"> </v>
          </cell>
        </row>
        <row r="697">
          <cell r="K697" t="str">
            <v xml:space="preserve"> </v>
          </cell>
        </row>
        <row r="698">
          <cell r="K698" t="str">
            <v xml:space="preserve"> </v>
          </cell>
        </row>
        <row r="699">
          <cell r="K699" t="str">
            <v xml:space="preserve"> </v>
          </cell>
        </row>
        <row r="700">
          <cell r="K700" t="str">
            <v xml:space="preserve"> </v>
          </cell>
        </row>
        <row r="701">
          <cell r="K701" t="str">
            <v xml:space="preserve"> </v>
          </cell>
        </row>
        <row r="702">
          <cell r="K702" t="str">
            <v xml:space="preserve"> </v>
          </cell>
        </row>
        <row r="703">
          <cell r="K703" t="str">
            <v xml:space="preserve"> </v>
          </cell>
        </row>
        <row r="704">
          <cell r="K704" t="str">
            <v xml:space="preserve"> </v>
          </cell>
        </row>
        <row r="705">
          <cell r="K705" t="str">
            <v xml:space="preserve"> </v>
          </cell>
        </row>
        <row r="706">
          <cell r="K706" t="str">
            <v xml:space="preserve"> </v>
          </cell>
        </row>
        <row r="707">
          <cell r="K707" t="str">
            <v xml:space="preserve"> </v>
          </cell>
        </row>
        <row r="708">
          <cell r="K708" t="str">
            <v xml:space="preserve"> </v>
          </cell>
        </row>
        <row r="709">
          <cell r="K709" t="str">
            <v xml:space="preserve"> </v>
          </cell>
        </row>
        <row r="710">
          <cell r="K710" t="str">
            <v xml:space="preserve"> </v>
          </cell>
        </row>
        <row r="711">
          <cell r="K711" t="str">
            <v xml:space="preserve"> </v>
          </cell>
        </row>
        <row r="712">
          <cell r="K712" t="str">
            <v xml:space="preserve"> </v>
          </cell>
        </row>
        <row r="713">
          <cell r="K713" t="str">
            <v xml:space="preserve"> </v>
          </cell>
        </row>
        <row r="714">
          <cell r="K714" t="str">
            <v xml:space="preserve"> </v>
          </cell>
        </row>
        <row r="715">
          <cell r="K715" t="str">
            <v xml:space="preserve"> </v>
          </cell>
        </row>
        <row r="716">
          <cell r="K716" t="str">
            <v xml:space="preserve"> </v>
          </cell>
        </row>
        <row r="717">
          <cell r="K717" t="str">
            <v xml:space="preserve"> </v>
          </cell>
        </row>
        <row r="718">
          <cell r="K718" t="str">
            <v xml:space="preserve"> </v>
          </cell>
        </row>
        <row r="719">
          <cell r="K719" t="str">
            <v xml:space="preserve"> </v>
          </cell>
        </row>
        <row r="720">
          <cell r="K720" t="str">
            <v xml:space="preserve"> </v>
          </cell>
        </row>
        <row r="721">
          <cell r="K721" t="str">
            <v xml:space="preserve"> </v>
          </cell>
        </row>
        <row r="722">
          <cell r="K722" t="str">
            <v xml:space="preserve"> </v>
          </cell>
        </row>
        <row r="723">
          <cell r="K723" t="str">
            <v xml:space="preserve"> </v>
          </cell>
        </row>
        <row r="724">
          <cell r="K724" t="str">
            <v xml:space="preserve"> </v>
          </cell>
        </row>
        <row r="725">
          <cell r="K725" t="str">
            <v xml:space="preserve"> </v>
          </cell>
        </row>
        <row r="726">
          <cell r="K726" t="str">
            <v xml:space="preserve"> </v>
          </cell>
        </row>
        <row r="727">
          <cell r="K727" t="str">
            <v xml:space="preserve"> </v>
          </cell>
        </row>
        <row r="728">
          <cell r="K728" t="str">
            <v xml:space="preserve"> </v>
          </cell>
        </row>
        <row r="729">
          <cell r="K729" t="str">
            <v xml:space="preserve"> </v>
          </cell>
        </row>
        <row r="730">
          <cell r="K730" t="str">
            <v xml:space="preserve"> </v>
          </cell>
        </row>
        <row r="731">
          <cell r="K731" t="str">
            <v xml:space="preserve"> </v>
          </cell>
        </row>
        <row r="732">
          <cell r="K732" t="str">
            <v xml:space="preserve"> </v>
          </cell>
        </row>
        <row r="733">
          <cell r="K733" t="str">
            <v xml:space="preserve"> </v>
          </cell>
        </row>
        <row r="734">
          <cell r="K734" t="str">
            <v xml:space="preserve"> </v>
          </cell>
        </row>
        <row r="735">
          <cell r="K735" t="str">
            <v xml:space="preserve"> </v>
          </cell>
        </row>
        <row r="736">
          <cell r="K736" t="str">
            <v xml:space="preserve"> </v>
          </cell>
        </row>
        <row r="737">
          <cell r="K737" t="str">
            <v xml:space="preserve"> </v>
          </cell>
        </row>
        <row r="738">
          <cell r="K738" t="str">
            <v xml:space="preserve"> </v>
          </cell>
        </row>
        <row r="739">
          <cell r="K739" t="str">
            <v xml:space="preserve"> </v>
          </cell>
        </row>
        <row r="740">
          <cell r="K740" t="str">
            <v xml:space="preserve"> </v>
          </cell>
        </row>
        <row r="741">
          <cell r="K741" t="str">
            <v xml:space="preserve"> </v>
          </cell>
        </row>
        <row r="742">
          <cell r="K742" t="str">
            <v xml:space="preserve"> </v>
          </cell>
        </row>
        <row r="743">
          <cell r="K743" t="str">
            <v xml:space="preserve"> </v>
          </cell>
        </row>
        <row r="744">
          <cell r="K744" t="str">
            <v xml:space="preserve"> </v>
          </cell>
        </row>
        <row r="745">
          <cell r="K745" t="str">
            <v xml:space="preserve"> </v>
          </cell>
        </row>
        <row r="746">
          <cell r="K746" t="str">
            <v xml:space="preserve"> </v>
          </cell>
        </row>
        <row r="747">
          <cell r="K747" t="str">
            <v xml:space="preserve"> </v>
          </cell>
        </row>
        <row r="748">
          <cell r="K748" t="str">
            <v xml:space="preserve"> </v>
          </cell>
        </row>
        <row r="749">
          <cell r="K749" t="str">
            <v xml:space="preserve"> </v>
          </cell>
        </row>
        <row r="750">
          <cell r="K750" t="str">
            <v xml:space="preserve"> </v>
          </cell>
        </row>
        <row r="751">
          <cell r="K751" t="str">
            <v xml:space="preserve"> </v>
          </cell>
        </row>
        <row r="752">
          <cell r="K752" t="str">
            <v xml:space="preserve"> </v>
          </cell>
        </row>
        <row r="753">
          <cell r="K753" t="str">
            <v xml:space="preserve"> </v>
          </cell>
        </row>
        <row r="754">
          <cell r="K754" t="str">
            <v xml:space="preserve"> </v>
          </cell>
        </row>
        <row r="755">
          <cell r="K755" t="str">
            <v xml:space="preserve"> </v>
          </cell>
        </row>
        <row r="756">
          <cell r="K756" t="str">
            <v xml:space="preserve"> </v>
          </cell>
        </row>
        <row r="757">
          <cell r="K757" t="str">
            <v xml:space="preserve"> </v>
          </cell>
        </row>
        <row r="758">
          <cell r="K758" t="str">
            <v xml:space="preserve"> </v>
          </cell>
        </row>
        <row r="759">
          <cell r="K759" t="str">
            <v xml:space="preserve"> </v>
          </cell>
        </row>
        <row r="760">
          <cell r="K760" t="str">
            <v xml:space="preserve"> </v>
          </cell>
        </row>
        <row r="761">
          <cell r="K761" t="str">
            <v xml:space="preserve"> </v>
          </cell>
        </row>
        <row r="762">
          <cell r="K762" t="str">
            <v xml:space="preserve"> </v>
          </cell>
        </row>
        <row r="763">
          <cell r="K763" t="str">
            <v xml:space="preserve"> </v>
          </cell>
        </row>
        <row r="764">
          <cell r="K764" t="str">
            <v xml:space="preserve"> </v>
          </cell>
        </row>
        <row r="765">
          <cell r="K765" t="str">
            <v xml:space="preserve"> </v>
          </cell>
        </row>
        <row r="766">
          <cell r="K766" t="str">
            <v xml:space="preserve"> </v>
          </cell>
        </row>
        <row r="767">
          <cell r="K767" t="str">
            <v xml:space="preserve"> </v>
          </cell>
        </row>
        <row r="768">
          <cell r="K768" t="str">
            <v xml:space="preserve"> </v>
          </cell>
        </row>
        <row r="769">
          <cell r="K769" t="str">
            <v xml:space="preserve"> </v>
          </cell>
        </row>
        <row r="770">
          <cell r="K770" t="str">
            <v xml:space="preserve"> </v>
          </cell>
        </row>
        <row r="771">
          <cell r="K771" t="str">
            <v xml:space="preserve"> </v>
          </cell>
        </row>
        <row r="772">
          <cell r="K772" t="str">
            <v xml:space="preserve"> </v>
          </cell>
        </row>
        <row r="773">
          <cell r="K773" t="str">
            <v xml:space="preserve"> </v>
          </cell>
        </row>
        <row r="774">
          <cell r="K774" t="str">
            <v xml:space="preserve"> </v>
          </cell>
        </row>
        <row r="775">
          <cell r="K775" t="str">
            <v xml:space="preserve"> </v>
          </cell>
        </row>
        <row r="776">
          <cell r="K776" t="str">
            <v xml:space="preserve"> </v>
          </cell>
        </row>
        <row r="777">
          <cell r="K777" t="str">
            <v xml:space="preserve"> </v>
          </cell>
        </row>
        <row r="778">
          <cell r="K778" t="str">
            <v xml:space="preserve"> </v>
          </cell>
        </row>
        <row r="779">
          <cell r="K779" t="str">
            <v xml:space="preserve"> </v>
          </cell>
        </row>
        <row r="780">
          <cell r="K780" t="str">
            <v xml:space="preserve"> </v>
          </cell>
        </row>
        <row r="781">
          <cell r="K781" t="str">
            <v xml:space="preserve"> </v>
          </cell>
        </row>
        <row r="782">
          <cell r="K782" t="str">
            <v xml:space="preserve"> </v>
          </cell>
        </row>
        <row r="783">
          <cell r="K783" t="str">
            <v xml:space="preserve"> </v>
          </cell>
        </row>
        <row r="784">
          <cell r="K784" t="str">
            <v xml:space="preserve"> </v>
          </cell>
        </row>
        <row r="785">
          <cell r="K785" t="str">
            <v xml:space="preserve"> </v>
          </cell>
        </row>
        <row r="786">
          <cell r="K786" t="str">
            <v xml:space="preserve"> </v>
          </cell>
        </row>
        <row r="787">
          <cell r="K787" t="str">
            <v xml:space="preserve"> </v>
          </cell>
        </row>
        <row r="788">
          <cell r="K788" t="str">
            <v xml:space="preserve"> </v>
          </cell>
        </row>
        <row r="789">
          <cell r="K789" t="str">
            <v xml:space="preserve"> </v>
          </cell>
        </row>
        <row r="790">
          <cell r="K790" t="str">
            <v xml:space="preserve"> </v>
          </cell>
        </row>
        <row r="791">
          <cell r="K791" t="str">
            <v xml:space="preserve"> </v>
          </cell>
        </row>
        <row r="792">
          <cell r="K792" t="str">
            <v xml:space="preserve"> </v>
          </cell>
        </row>
        <row r="793">
          <cell r="K793" t="str">
            <v xml:space="preserve"> </v>
          </cell>
        </row>
        <row r="794">
          <cell r="K794" t="str">
            <v xml:space="preserve"> </v>
          </cell>
        </row>
        <row r="795">
          <cell r="K795" t="str">
            <v xml:space="preserve"> </v>
          </cell>
        </row>
        <row r="796">
          <cell r="K796" t="str">
            <v xml:space="preserve"> </v>
          </cell>
        </row>
        <row r="797">
          <cell r="K797" t="str">
            <v xml:space="preserve"> </v>
          </cell>
        </row>
        <row r="798">
          <cell r="K798" t="str">
            <v xml:space="preserve"> </v>
          </cell>
        </row>
        <row r="799">
          <cell r="K799" t="str">
            <v xml:space="preserve"> </v>
          </cell>
        </row>
        <row r="800">
          <cell r="K800" t="str">
            <v xml:space="preserve"> </v>
          </cell>
        </row>
        <row r="801">
          <cell r="K801" t="str">
            <v xml:space="preserve"> </v>
          </cell>
        </row>
        <row r="802">
          <cell r="K802" t="str">
            <v xml:space="preserve"> </v>
          </cell>
        </row>
        <row r="803">
          <cell r="K803" t="str">
            <v xml:space="preserve"> </v>
          </cell>
        </row>
        <row r="804">
          <cell r="K804" t="str">
            <v xml:space="preserve"> </v>
          </cell>
        </row>
        <row r="805">
          <cell r="K805" t="str">
            <v xml:space="preserve"> </v>
          </cell>
        </row>
        <row r="806">
          <cell r="K806" t="str">
            <v xml:space="preserve"> </v>
          </cell>
        </row>
        <row r="807">
          <cell r="K807" t="str">
            <v xml:space="preserve"> </v>
          </cell>
        </row>
        <row r="808">
          <cell r="K808" t="str">
            <v xml:space="preserve"> </v>
          </cell>
        </row>
        <row r="809">
          <cell r="K809" t="str">
            <v xml:space="preserve"> </v>
          </cell>
        </row>
        <row r="810">
          <cell r="K810" t="str">
            <v xml:space="preserve"> </v>
          </cell>
        </row>
        <row r="811">
          <cell r="K811" t="str">
            <v xml:space="preserve"> </v>
          </cell>
        </row>
        <row r="812">
          <cell r="K812" t="str">
            <v xml:space="preserve"> </v>
          </cell>
        </row>
        <row r="813">
          <cell r="K813" t="str">
            <v xml:space="preserve"> </v>
          </cell>
        </row>
        <row r="814">
          <cell r="K814" t="str">
            <v xml:space="preserve"> </v>
          </cell>
        </row>
        <row r="815">
          <cell r="K815" t="str">
            <v xml:space="preserve"> </v>
          </cell>
        </row>
        <row r="816">
          <cell r="K816" t="str">
            <v xml:space="preserve"> </v>
          </cell>
        </row>
        <row r="817">
          <cell r="K817" t="str">
            <v xml:space="preserve"> </v>
          </cell>
        </row>
        <row r="818">
          <cell r="K818" t="str">
            <v xml:space="preserve"> </v>
          </cell>
        </row>
        <row r="819">
          <cell r="K819" t="str">
            <v xml:space="preserve"> </v>
          </cell>
        </row>
        <row r="820">
          <cell r="K820" t="str">
            <v xml:space="preserve"> </v>
          </cell>
        </row>
        <row r="821">
          <cell r="K821" t="str">
            <v xml:space="preserve"> </v>
          </cell>
        </row>
        <row r="822">
          <cell r="K822" t="str">
            <v xml:space="preserve"> </v>
          </cell>
        </row>
        <row r="823">
          <cell r="K823" t="str">
            <v xml:space="preserve"> </v>
          </cell>
        </row>
        <row r="824">
          <cell r="K824" t="str">
            <v xml:space="preserve"> </v>
          </cell>
        </row>
        <row r="825">
          <cell r="K825" t="str">
            <v xml:space="preserve"> </v>
          </cell>
        </row>
        <row r="826">
          <cell r="K826" t="str">
            <v xml:space="preserve"> </v>
          </cell>
        </row>
        <row r="827">
          <cell r="K827" t="str">
            <v xml:space="preserve"> </v>
          </cell>
        </row>
        <row r="828">
          <cell r="K828" t="str">
            <v xml:space="preserve"> </v>
          </cell>
        </row>
        <row r="829">
          <cell r="K829" t="str">
            <v xml:space="preserve"> </v>
          </cell>
        </row>
        <row r="830">
          <cell r="K830" t="str">
            <v xml:space="preserve"> </v>
          </cell>
        </row>
        <row r="831">
          <cell r="K831" t="str">
            <v xml:space="preserve"> </v>
          </cell>
        </row>
        <row r="832">
          <cell r="K832" t="str">
            <v xml:space="preserve"> </v>
          </cell>
        </row>
        <row r="833">
          <cell r="K833" t="str">
            <v xml:space="preserve"> </v>
          </cell>
        </row>
        <row r="834">
          <cell r="K834" t="str">
            <v xml:space="preserve"> </v>
          </cell>
        </row>
        <row r="835">
          <cell r="K835" t="str">
            <v xml:space="preserve"> </v>
          </cell>
        </row>
        <row r="836">
          <cell r="K836" t="str">
            <v xml:space="preserve"> </v>
          </cell>
        </row>
        <row r="837">
          <cell r="K837" t="str">
            <v xml:space="preserve"> </v>
          </cell>
        </row>
        <row r="838">
          <cell r="K838" t="str">
            <v xml:space="preserve"> </v>
          </cell>
        </row>
        <row r="839">
          <cell r="K839" t="str">
            <v xml:space="preserve"> </v>
          </cell>
        </row>
        <row r="840">
          <cell r="K840" t="str">
            <v xml:space="preserve"> </v>
          </cell>
        </row>
        <row r="841">
          <cell r="K841" t="str">
            <v xml:space="preserve"> </v>
          </cell>
        </row>
        <row r="842">
          <cell r="K842" t="str">
            <v xml:space="preserve"> </v>
          </cell>
        </row>
        <row r="843">
          <cell r="K843" t="str">
            <v xml:space="preserve"> </v>
          </cell>
        </row>
        <row r="844">
          <cell r="K844" t="str">
            <v xml:space="preserve"> </v>
          </cell>
        </row>
        <row r="845">
          <cell r="K845" t="str">
            <v xml:space="preserve"> </v>
          </cell>
        </row>
        <row r="846">
          <cell r="K846" t="str">
            <v xml:space="preserve"> </v>
          </cell>
        </row>
        <row r="847">
          <cell r="K847" t="str">
            <v xml:space="preserve"> </v>
          </cell>
        </row>
        <row r="848">
          <cell r="K848" t="str">
            <v xml:space="preserve"> </v>
          </cell>
        </row>
        <row r="849">
          <cell r="K849" t="str">
            <v xml:space="preserve"> </v>
          </cell>
        </row>
        <row r="850">
          <cell r="K850" t="str">
            <v xml:space="preserve"> </v>
          </cell>
        </row>
        <row r="851">
          <cell r="K851" t="str">
            <v xml:space="preserve"> </v>
          </cell>
        </row>
        <row r="852">
          <cell r="K852" t="str">
            <v xml:space="preserve"> </v>
          </cell>
        </row>
        <row r="853">
          <cell r="K853" t="str">
            <v xml:space="preserve"> </v>
          </cell>
        </row>
        <row r="854">
          <cell r="K854" t="str">
            <v xml:space="preserve"> </v>
          </cell>
        </row>
        <row r="855">
          <cell r="K855" t="str">
            <v xml:space="preserve"> </v>
          </cell>
        </row>
        <row r="856">
          <cell r="K856" t="str">
            <v xml:space="preserve"> </v>
          </cell>
        </row>
        <row r="857">
          <cell r="K857" t="str">
            <v xml:space="preserve"> </v>
          </cell>
        </row>
        <row r="858">
          <cell r="K858" t="str">
            <v xml:space="preserve"> </v>
          </cell>
        </row>
        <row r="859">
          <cell r="K859" t="str">
            <v xml:space="preserve"> </v>
          </cell>
        </row>
        <row r="860">
          <cell r="K860" t="str">
            <v xml:space="preserve"> </v>
          </cell>
        </row>
        <row r="861">
          <cell r="K861" t="str">
            <v xml:space="preserve"> </v>
          </cell>
        </row>
        <row r="862">
          <cell r="K862" t="str">
            <v xml:space="preserve"> </v>
          </cell>
        </row>
        <row r="863">
          <cell r="K863" t="str">
            <v xml:space="preserve"> </v>
          </cell>
        </row>
        <row r="864">
          <cell r="K864" t="str">
            <v xml:space="preserve"> </v>
          </cell>
        </row>
        <row r="865">
          <cell r="K865" t="str">
            <v xml:space="preserve"> </v>
          </cell>
        </row>
        <row r="866">
          <cell r="K866" t="str">
            <v xml:space="preserve"> </v>
          </cell>
        </row>
        <row r="867">
          <cell r="K867" t="str">
            <v xml:space="preserve"> </v>
          </cell>
        </row>
        <row r="868">
          <cell r="K868" t="str">
            <v xml:space="preserve"> </v>
          </cell>
        </row>
        <row r="869">
          <cell r="K869" t="str">
            <v xml:space="preserve"> </v>
          </cell>
        </row>
        <row r="870">
          <cell r="K870" t="str">
            <v xml:space="preserve"> </v>
          </cell>
        </row>
        <row r="871">
          <cell r="K871" t="str">
            <v xml:space="preserve"> </v>
          </cell>
        </row>
        <row r="872">
          <cell r="K872" t="str">
            <v xml:space="preserve"> </v>
          </cell>
        </row>
        <row r="873">
          <cell r="K873" t="str">
            <v xml:space="preserve"> </v>
          </cell>
        </row>
        <row r="874">
          <cell r="K874" t="str">
            <v xml:space="preserve"> </v>
          </cell>
        </row>
        <row r="875">
          <cell r="K875" t="str">
            <v xml:space="preserve"> </v>
          </cell>
        </row>
        <row r="876">
          <cell r="K876" t="str">
            <v xml:space="preserve"> </v>
          </cell>
        </row>
        <row r="877">
          <cell r="K877" t="str">
            <v xml:space="preserve"> </v>
          </cell>
        </row>
        <row r="878">
          <cell r="K878" t="str">
            <v xml:space="preserve"> </v>
          </cell>
        </row>
        <row r="879">
          <cell r="K879" t="str">
            <v xml:space="preserve"> </v>
          </cell>
        </row>
        <row r="880">
          <cell r="K880" t="str">
            <v xml:space="preserve"> </v>
          </cell>
        </row>
        <row r="881">
          <cell r="K881" t="str">
            <v xml:space="preserve"> </v>
          </cell>
        </row>
        <row r="882">
          <cell r="K882" t="str">
            <v xml:space="preserve"> </v>
          </cell>
        </row>
        <row r="883">
          <cell r="K883" t="str">
            <v xml:space="preserve"> </v>
          </cell>
        </row>
        <row r="884">
          <cell r="K884" t="str">
            <v xml:space="preserve"> </v>
          </cell>
        </row>
        <row r="885">
          <cell r="K885" t="str">
            <v xml:space="preserve"> </v>
          </cell>
        </row>
        <row r="886">
          <cell r="K886" t="str">
            <v xml:space="preserve"> </v>
          </cell>
        </row>
        <row r="887">
          <cell r="K887" t="str">
            <v xml:space="preserve"> </v>
          </cell>
        </row>
        <row r="888">
          <cell r="K888" t="str">
            <v xml:space="preserve"> </v>
          </cell>
        </row>
        <row r="889">
          <cell r="K889" t="str">
            <v xml:space="preserve"> </v>
          </cell>
        </row>
        <row r="890">
          <cell r="K890" t="str">
            <v xml:space="preserve"> </v>
          </cell>
        </row>
        <row r="891">
          <cell r="K891" t="str">
            <v xml:space="preserve"> </v>
          </cell>
        </row>
        <row r="892">
          <cell r="K892" t="str">
            <v xml:space="preserve"> </v>
          </cell>
        </row>
        <row r="893">
          <cell r="K893" t="str">
            <v xml:space="preserve"> </v>
          </cell>
        </row>
        <row r="894">
          <cell r="K894" t="str">
            <v xml:space="preserve"> </v>
          </cell>
        </row>
        <row r="895">
          <cell r="K895" t="str">
            <v xml:space="preserve"> </v>
          </cell>
        </row>
        <row r="896">
          <cell r="K896" t="str">
            <v xml:space="preserve"> </v>
          </cell>
        </row>
        <row r="897">
          <cell r="K897" t="str">
            <v xml:space="preserve"> </v>
          </cell>
        </row>
        <row r="898">
          <cell r="K898" t="str">
            <v xml:space="preserve"> </v>
          </cell>
        </row>
        <row r="899">
          <cell r="K899" t="str">
            <v xml:space="preserve"> </v>
          </cell>
        </row>
        <row r="900">
          <cell r="K900" t="str">
            <v xml:space="preserve"> </v>
          </cell>
        </row>
        <row r="901">
          <cell r="K901" t="str">
            <v xml:space="preserve"> </v>
          </cell>
        </row>
        <row r="902">
          <cell r="K902" t="str">
            <v xml:space="preserve"> </v>
          </cell>
        </row>
        <row r="903">
          <cell r="K903" t="str">
            <v xml:space="preserve"> </v>
          </cell>
        </row>
        <row r="904">
          <cell r="K904" t="str">
            <v xml:space="preserve"> </v>
          </cell>
        </row>
        <row r="905">
          <cell r="K905" t="str">
            <v xml:space="preserve"> </v>
          </cell>
        </row>
        <row r="906">
          <cell r="K906" t="str">
            <v xml:space="preserve"> </v>
          </cell>
        </row>
        <row r="907">
          <cell r="K907" t="str">
            <v xml:space="preserve"> </v>
          </cell>
        </row>
        <row r="908">
          <cell r="K908" t="str">
            <v xml:space="preserve"> </v>
          </cell>
        </row>
        <row r="909">
          <cell r="K909" t="str">
            <v xml:space="preserve"> </v>
          </cell>
        </row>
        <row r="910">
          <cell r="K910" t="str">
            <v xml:space="preserve"> </v>
          </cell>
        </row>
        <row r="911">
          <cell r="K911" t="str">
            <v xml:space="preserve"> </v>
          </cell>
        </row>
        <row r="912">
          <cell r="K912" t="str">
            <v xml:space="preserve"> </v>
          </cell>
        </row>
        <row r="913">
          <cell r="K913" t="str">
            <v xml:space="preserve"> </v>
          </cell>
        </row>
        <row r="914">
          <cell r="K914" t="str">
            <v xml:space="preserve"> </v>
          </cell>
        </row>
        <row r="915">
          <cell r="K915" t="str">
            <v xml:space="preserve"> </v>
          </cell>
        </row>
        <row r="916">
          <cell r="K916" t="str">
            <v xml:space="preserve"> </v>
          </cell>
        </row>
        <row r="917">
          <cell r="K917" t="str">
            <v xml:space="preserve"> </v>
          </cell>
        </row>
        <row r="918">
          <cell r="K918" t="str">
            <v xml:space="preserve"> </v>
          </cell>
        </row>
        <row r="919">
          <cell r="K919" t="str">
            <v xml:space="preserve"> </v>
          </cell>
        </row>
        <row r="920">
          <cell r="K920" t="str">
            <v xml:space="preserve"> </v>
          </cell>
        </row>
        <row r="921">
          <cell r="K921" t="str">
            <v xml:space="preserve"> </v>
          </cell>
        </row>
        <row r="922">
          <cell r="K922" t="str">
            <v xml:space="preserve"> </v>
          </cell>
        </row>
        <row r="923">
          <cell r="K923" t="str">
            <v xml:space="preserve"> </v>
          </cell>
        </row>
        <row r="924">
          <cell r="K924" t="str">
            <v xml:space="preserve"> </v>
          </cell>
        </row>
        <row r="925">
          <cell r="K925" t="str">
            <v xml:space="preserve"> </v>
          </cell>
        </row>
        <row r="926">
          <cell r="K926" t="str">
            <v xml:space="preserve"> </v>
          </cell>
        </row>
        <row r="927">
          <cell r="K927" t="str">
            <v xml:space="preserve"> </v>
          </cell>
        </row>
        <row r="928">
          <cell r="K928" t="str">
            <v xml:space="preserve"> </v>
          </cell>
        </row>
        <row r="929">
          <cell r="K929" t="str">
            <v xml:space="preserve"> </v>
          </cell>
        </row>
        <row r="930">
          <cell r="K930" t="str">
            <v xml:space="preserve"> </v>
          </cell>
        </row>
        <row r="931">
          <cell r="K931" t="str">
            <v xml:space="preserve"> </v>
          </cell>
        </row>
        <row r="932">
          <cell r="K932" t="str">
            <v xml:space="preserve"> </v>
          </cell>
        </row>
        <row r="933">
          <cell r="K933" t="str">
            <v xml:space="preserve"> </v>
          </cell>
        </row>
        <row r="934">
          <cell r="K934" t="str">
            <v xml:space="preserve"> </v>
          </cell>
        </row>
        <row r="935">
          <cell r="K935" t="str">
            <v xml:space="preserve"> </v>
          </cell>
        </row>
        <row r="936">
          <cell r="K936" t="str">
            <v xml:space="preserve"> </v>
          </cell>
        </row>
        <row r="937">
          <cell r="K937" t="str">
            <v xml:space="preserve"> </v>
          </cell>
        </row>
        <row r="938">
          <cell r="K938" t="str">
            <v xml:space="preserve"> </v>
          </cell>
        </row>
        <row r="939">
          <cell r="K939" t="str">
            <v xml:space="preserve"> </v>
          </cell>
        </row>
        <row r="940">
          <cell r="K940" t="str">
            <v xml:space="preserve"> </v>
          </cell>
        </row>
        <row r="941">
          <cell r="K941" t="str">
            <v xml:space="preserve"> </v>
          </cell>
        </row>
        <row r="942">
          <cell r="K942" t="str">
            <v xml:space="preserve"> </v>
          </cell>
        </row>
        <row r="943">
          <cell r="K943" t="str">
            <v xml:space="preserve"> </v>
          </cell>
        </row>
        <row r="944">
          <cell r="K944" t="str">
            <v xml:space="preserve"> </v>
          </cell>
        </row>
        <row r="945">
          <cell r="K945" t="str">
            <v xml:space="preserve"> </v>
          </cell>
        </row>
        <row r="946">
          <cell r="K946" t="str">
            <v xml:space="preserve"> </v>
          </cell>
        </row>
        <row r="947">
          <cell r="K947" t="str">
            <v xml:space="preserve"> </v>
          </cell>
        </row>
        <row r="948">
          <cell r="K948" t="str">
            <v xml:space="preserve"> </v>
          </cell>
        </row>
        <row r="949">
          <cell r="K949" t="str">
            <v xml:space="preserve"> </v>
          </cell>
        </row>
        <row r="950">
          <cell r="K950" t="str">
            <v xml:space="preserve"> </v>
          </cell>
        </row>
        <row r="951">
          <cell r="K951" t="str">
            <v xml:space="preserve"> </v>
          </cell>
        </row>
        <row r="952">
          <cell r="K952" t="str">
            <v xml:space="preserve"> </v>
          </cell>
        </row>
        <row r="953">
          <cell r="K953" t="str">
            <v xml:space="preserve"> </v>
          </cell>
        </row>
        <row r="954">
          <cell r="K954" t="str">
            <v xml:space="preserve"> </v>
          </cell>
        </row>
        <row r="955">
          <cell r="K955" t="str">
            <v xml:space="preserve"> </v>
          </cell>
        </row>
        <row r="956">
          <cell r="K956" t="str">
            <v xml:space="preserve"> </v>
          </cell>
        </row>
        <row r="957">
          <cell r="K957" t="str">
            <v xml:space="preserve"> </v>
          </cell>
        </row>
        <row r="958">
          <cell r="K958" t="str">
            <v xml:space="preserve"> </v>
          </cell>
        </row>
        <row r="959">
          <cell r="K959" t="str">
            <v xml:space="preserve"> </v>
          </cell>
        </row>
        <row r="960">
          <cell r="K960" t="str">
            <v xml:space="preserve"> </v>
          </cell>
        </row>
        <row r="961">
          <cell r="K961" t="str">
            <v xml:space="preserve"> </v>
          </cell>
        </row>
        <row r="962">
          <cell r="K962" t="str">
            <v xml:space="preserve"> </v>
          </cell>
        </row>
        <row r="963">
          <cell r="K963" t="str">
            <v xml:space="preserve"> </v>
          </cell>
        </row>
        <row r="964">
          <cell r="K964" t="str">
            <v xml:space="preserve"> </v>
          </cell>
        </row>
        <row r="965">
          <cell r="K965" t="str">
            <v xml:space="preserve"> </v>
          </cell>
        </row>
        <row r="966">
          <cell r="K966" t="str">
            <v xml:space="preserve"> </v>
          </cell>
        </row>
        <row r="967">
          <cell r="K967" t="str">
            <v xml:space="preserve"> </v>
          </cell>
        </row>
        <row r="968">
          <cell r="K968" t="str">
            <v xml:space="preserve"> </v>
          </cell>
        </row>
        <row r="969">
          <cell r="K969" t="str">
            <v xml:space="preserve"> </v>
          </cell>
        </row>
        <row r="970">
          <cell r="K970" t="str">
            <v xml:space="preserve"> </v>
          </cell>
        </row>
        <row r="971">
          <cell r="K971" t="str">
            <v xml:space="preserve"> </v>
          </cell>
        </row>
        <row r="972">
          <cell r="K972" t="str">
            <v xml:space="preserve"> </v>
          </cell>
        </row>
        <row r="973">
          <cell r="K973" t="str">
            <v xml:space="preserve"> </v>
          </cell>
        </row>
        <row r="974">
          <cell r="K974" t="str">
            <v xml:space="preserve"> </v>
          </cell>
        </row>
        <row r="975">
          <cell r="K975" t="str">
            <v xml:space="preserve"> </v>
          </cell>
        </row>
        <row r="976">
          <cell r="K976" t="str">
            <v xml:space="preserve"> </v>
          </cell>
        </row>
        <row r="977">
          <cell r="K977" t="str">
            <v xml:space="preserve"> </v>
          </cell>
        </row>
        <row r="978">
          <cell r="K978" t="str">
            <v xml:space="preserve"> </v>
          </cell>
        </row>
        <row r="979">
          <cell r="K979" t="str">
            <v xml:space="preserve"> </v>
          </cell>
        </row>
        <row r="980">
          <cell r="K980" t="str">
            <v xml:space="preserve"> </v>
          </cell>
        </row>
        <row r="981">
          <cell r="K981" t="str">
            <v xml:space="preserve"> </v>
          </cell>
        </row>
        <row r="982">
          <cell r="K982" t="str">
            <v xml:space="preserve"> </v>
          </cell>
        </row>
        <row r="983">
          <cell r="K983" t="str">
            <v xml:space="preserve"> </v>
          </cell>
        </row>
        <row r="984">
          <cell r="K984" t="str">
            <v xml:space="preserve"> </v>
          </cell>
        </row>
        <row r="985">
          <cell r="K985" t="str">
            <v xml:space="preserve"> </v>
          </cell>
        </row>
        <row r="986">
          <cell r="K986" t="str">
            <v xml:space="preserve"> </v>
          </cell>
        </row>
        <row r="987">
          <cell r="K987" t="str">
            <v xml:space="preserve"> </v>
          </cell>
        </row>
        <row r="988">
          <cell r="K988" t="str">
            <v xml:space="preserve"> </v>
          </cell>
        </row>
        <row r="989">
          <cell r="K989" t="str">
            <v xml:space="preserve"> </v>
          </cell>
        </row>
        <row r="990">
          <cell r="K990" t="str">
            <v xml:space="preserve"> </v>
          </cell>
        </row>
        <row r="991">
          <cell r="K991" t="str">
            <v xml:space="preserve"> </v>
          </cell>
        </row>
        <row r="992">
          <cell r="K992" t="str">
            <v xml:space="preserve"> </v>
          </cell>
        </row>
        <row r="993">
          <cell r="K993" t="str">
            <v xml:space="preserve"> </v>
          </cell>
        </row>
        <row r="994">
          <cell r="K994" t="str">
            <v xml:space="preserve"> </v>
          </cell>
        </row>
        <row r="995">
          <cell r="K995" t="str">
            <v xml:space="preserve"> </v>
          </cell>
        </row>
        <row r="996">
          <cell r="K996" t="str">
            <v xml:space="preserve"> </v>
          </cell>
        </row>
        <row r="997">
          <cell r="K997" t="str">
            <v xml:space="preserve"> </v>
          </cell>
        </row>
        <row r="998">
          <cell r="K998" t="str">
            <v xml:space="preserve"> </v>
          </cell>
        </row>
        <row r="999">
          <cell r="K999" t="str">
            <v xml:space="preserve"> </v>
          </cell>
        </row>
        <row r="1000">
          <cell r="K1000" t="str">
            <v xml:space="preserve"> </v>
          </cell>
        </row>
        <row r="1001">
          <cell r="K1001" t="str">
            <v xml:space="preserve"> </v>
          </cell>
        </row>
        <row r="1002">
          <cell r="K1002" t="str">
            <v xml:space="preserve"> </v>
          </cell>
        </row>
        <row r="1003">
          <cell r="K1003" t="str">
            <v xml:space="preserve"> </v>
          </cell>
        </row>
        <row r="1004">
          <cell r="K1004" t="str">
            <v xml:space="preserve"> </v>
          </cell>
        </row>
        <row r="1005">
          <cell r="K1005" t="str">
            <v xml:space="preserve"> </v>
          </cell>
        </row>
        <row r="1006">
          <cell r="K1006" t="str">
            <v xml:space="preserve"> </v>
          </cell>
        </row>
        <row r="1007">
          <cell r="K1007" t="str">
            <v xml:space="preserve"> </v>
          </cell>
        </row>
        <row r="1008">
          <cell r="K1008" t="str">
            <v xml:space="preserve"> </v>
          </cell>
        </row>
        <row r="1009">
          <cell r="K1009" t="str">
            <v xml:space="preserve"> </v>
          </cell>
        </row>
        <row r="1010">
          <cell r="K1010" t="str">
            <v xml:space="preserve"> </v>
          </cell>
        </row>
        <row r="1011">
          <cell r="K1011" t="str">
            <v xml:space="preserve"> </v>
          </cell>
        </row>
        <row r="1012">
          <cell r="K1012" t="str">
            <v xml:space="preserve"> </v>
          </cell>
        </row>
        <row r="1013">
          <cell r="K1013" t="str">
            <v xml:space="preserve"> </v>
          </cell>
        </row>
        <row r="1014">
          <cell r="K1014" t="str">
            <v xml:space="preserve"> </v>
          </cell>
        </row>
        <row r="1015">
          <cell r="K1015" t="str">
            <v xml:space="preserve"> </v>
          </cell>
        </row>
        <row r="1016">
          <cell r="K1016" t="str">
            <v xml:space="preserve"> </v>
          </cell>
        </row>
        <row r="1017">
          <cell r="K1017" t="str">
            <v xml:space="preserve"> </v>
          </cell>
        </row>
        <row r="1018">
          <cell r="K1018" t="str">
            <v xml:space="preserve"> </v>
          </cell>
        </row>
        <row r="1019">
          <cell r="K1019" t="str">
            <v xml:space="preserve"> </v>
          </cell>
        </row>
        <row r="1020">
          <cell r="K1020" t="str">
            <v xml:space="preserve"> </v>
          </cell>
        </row>
        <row r="1021">
          <cell r="K1021" t="str">
            <v xml:space="preserve"> </v>
          </cell>
        </row>
        <row r="1022">
          <cell r="K1022" t="str">
            <v xml:space="preserve"> </v>
          </cell>
        </row>
        <row r="1023">
          <cell r="K1023" t="str">
            <v xml:space="preserve"> </v>
          </cell>
        </row>
        <row r="1024">
          <cell r="K1024" t="str">
            <v xml:space="preserve"> </v>
          </cell>
        </row>
        <row r="1025">
          <cell r="K1025" t="str">
            <v xml:space="preserve"> </v>
          </cell>
        </row>
        <row r="1026">
          <cell r="K1026" t="str">
            <v xml:space="preserve"> </v>
          </cell>
        </row>
        <row r="1027">
          <cell r="K1027" t="str">
            <v xml:space="preserve"> </v>
          </cell>
        </row>
        <row r="1028">
          <cell r="K1028" t="str">
            <v xml:space="preserve"> </v>
          </cell>
        </row>
        <row r="1029">
          <cell r="K1029" t="str">
            <v xml:space="preserve"> </v>
          </cell>
        </row>
        <row r="1030">
          <cell r="K1030" t="str">
            <v xml:space="preserve"> </v>
          </cell>
        </row>
        <row r="1031">
          <cell r="K1031" t="str">
            <v xml:space="preserve"> </v>
          </cell>
        </row>
        <row r="1032">
          <cell r="K1032" t="str">
            <v xml:space="preserve"> </v>
          </cell>
        </row>
        <row r="1033">
          <cell r="K1033" t="str">
            <v xml:space="preserve"> </v>
          </cell>
        </row>
        <row r="1034">
          <cell r="K1034" t="str">
            <v xml:space="preserve"> </v>
          </cell>
        </row>
        <row r="1035">
          <cell r="K1035" t="str">
            <v xml:space="preserve"> </v>
          </cell>
        </row>
        <row r="1036">
          <cell r="K1036" t="str">
            <v xml:space="preserve"> </v>
          </cell>
        </row>
        <row r="1037">
          <cell r="K1037" t="str">
            <v xml:space="preserve"> </v>
          </cell>
        </row>
        <row r="1038">
          <cell r="K1038" t="str">
            <v xml:space="preserve"> </v>
          </cell>
        </row>
        <row r="1039">
          <cell r="K1039" t="str">
            <v xml:space="preserve"> </v>
          </cell>
        </row>
        <row r="1040">
          <cell r="K1040" t="str">
            <v xml:space="preserve"> </v>
          </cell>
        </row>
        <row r="1041">
          <cell r="K1041" t="str">
            <v xml:space="preserve"> </v>
          </cell>
        </row>
        <row r="1042">
          <cell r="K1042" t="str">
            <v xml:space="preserve"> </v>
          </cell>
        </row>
        <row r="1043">
          <cell r="K1043" t="str">
            <v xml:space="preserve"> </v>
          </cell>
        </row>
        <row r="1044">
          <cell r="K1044" t="str">
            <v xml:space="preserve"> </v>
          </cell>
        </row>
        <row r="1045">
          <cell r="K1045" t="str">
            <v xml:space="preserve"> </v>
          </cell>
        </row>
        <row r="1046">
          <cell r="K1046" t="str">
            <v xml:space="preserve"> </v>
          </cell>
        </row>
        <row r="1047">
          <cell r="K1047" t="str">
            <v xml:space="preserve"> </v>
          </cell>
        </row>
        <row r="1048">
          <cell r="K1048" t="str">
            <v xml:space="preserve"> </v>
          </cell>
        </row>
        <row r="1049">
          <cell r="K1049" t="str">
            <v xml:space="preserve"> </v>
          </cell>
        </row>
        <row r="1050">
          <cell r="K1050" t="str">
            <v xml:space="preserve"> </v>
          </cell>
        </row>
        <row r="1051">
          <cell r="K1051" t="str">
            <v xml:space="preserve"> </v>
          </cell>
        </row>
        <row r="1052">
          <cell r="K1052" t="str">
            <v xml:space="preserve"> </v>
          </cell>
        </row>
        <row r="1053">
          <cell r="K1053" t="str">
            <v xml:space="preserve"> </v>
          </cell>
        </row>
        <row r="1054">
          <cell r="K1054" t="str">
            <v xml:space="preserve"> </v>
          </cell>
        </row>
        <row r="1055">
          <cell r="K1055" t="str">
            <v xml:space="preserve"> </v>
          </cell>
        </row>
        <row r="1056">
          <cell r="K1056" t="str">
            <v xml:space="preserve"> </v>
          </cell>
        </row>
        <row r="1057">
          <cell r="K1057" t="str">
            <v xml:space="preserve"> </v>
          </cell>
        </row>
        <row r="1058">
          <cell r="K1058" t="str">
            <v xml:space="preserve"> </v>
          </cell>
        </row>
        <row r="1059">
          <cell r="K1059" t="str">
            <v xml:space="preserve"> </v>
          </cell>
        </row>
        <row r="1060">
          <cell r="K1060" t="str">
            <v xml:space="preserve"> </v>
          </cell>
        </row>
        <row r="1061">
          <cell r="K1061" t="str">
            <v xml:space="preserve"> </v>
          </cell>
        </row>
        <row r="1062">
          <cell r="K1062" t="str">
            <v xml:space="preserve"> </v>
          </cell>
        </row>
        <row r="1063">
          <cell r="K1063" t="str">
            <v xml:space="preserve"> </v>
          </cell>
        </row>
        <row r="1064">
          <cell r="K1064" t="str">
            <v xml:space="preserve"> </v>
          </cell>
        </row>
        <row r="1065">
          <cell r="K1065" t="str">
            <v xml:space="preserve"> </v>
          </cell>
        </row>
        <row r="1066">
          <cell r="K1066" t="str">
            <v xml:space="preserve"> </v>
          </cell>
        </row>
        <row r="1067">
          <cell r="K1067" t="str">
            <v xml:space="preserve"> </v>
          </cell>
        </row>
        <row r="1068">
          <cell r="K1068" t="str">
            <v xml:space="preserve"> </v>
          </cell>
        </row>
        <row r="1069">
          <cell r="K1069" t="str">
            <v xml:space="preserve"> </v>
          </cell>
        </row>
        <row r="1070">
          <cell r="K1070" t="str">
            <v xml:space="preserve"> </v>
          </cell>
        </row>
        <row r="1071">
          <cell r="K1071" t="str">
            <v xml:space="preserve"> </v>
          </cell>
        </row>
        <row r="1072">
          <cell r="K1072" t="str">
            <v xml:space="preserve"> </v>
          </cell>
        </row>
        <row r="1073">
          <cell r="K1073" t="str">
            <v xml:space="preserve"> </v>
          </cell>
        </row>
        <row r="1074">
          <cell r="K1074" t="str">
            <v xml:space="preserve"> </v>
          </cell>
        </row>
        <row r="1075">
          <cell r="K1075" t="str">
            <v xml:space="preserve"> </v>
          </cell>
        </row>
        <row r="1076">
          <cell r="K1076" t="str">
            <v xml:space="preserve"> </v>
          </cell>
        </row>
        <row r="1077">
          <cell r="K1077" t="str">
            <v xml:space="preserve"> </v>
          </cell>
        </row>
        <row r="1078">
          <cell r="K1078" t="str">
            <v xml:space="preserve"> </v>
          </cell>
        </row>
        <row r="1079">
          <cell r="K1079" t="str">
            <v xml:space="preserve"> </v>
          </cell>
        </row>
        <row r="1080">
          <cell r="K1080" t="str">
            <v xml:space="preserve"> </v>
          </cell>
        </row>
        <row r="1081">
          <cell r="K1081" t="str">
            <v xml:space="preserve"> </v>
          </cell>
        </row>
        <row r="1082">
          <cell r="K1082" t="str">
            <v xml:space="preserve"> </v>
          </cell>
        </row>
        <row r="1083">
          <cell r="K1083" t="str">
            <v xml:space="preserve"> </v>
          </cell>
        </row>
        <row r="1084">
          <cell r="K1084" t="str">
            <v xml:space="preserve"> </v>
          </cell>
        </row>
        <row r="1085">
          <cell r="K1085" t="str">
            <v xml:space="preserve"> </v>
          </cell>
        </row>
        <row r="1086">
          <cell r="K1086" t="str">
            <v xml:space="preserve"> </v>
          </cell>
        </row>
        <row r="1087">
          <cell r="K1087" t="str">
            <v xml:space="preserve"> </v>
          </cell>
        </row>
        <row r="1088">
          <cell r="K1088" t="str">
            <v xml:space="preserve"> </v>
          </cell>
        </row>
        <row r="1089">
          <cell r="K1089" t="str">
            <v xml:space="preserve"> </v>
          </cell>
        </row>
        <row r="1090">
          <cell r="K1090" t="str">
            <v xml:space="preserve"> </v>
          </cell>
        </row>
        <row r="1091">
          <cell r="K1091" t="str">
            <v xml:space="preserve"> </v>
          </cell>
        </row>
        <row r="1092">
          <cell r="K1092" t="str">
            <v xml:space="preserve"> </v>
          </cell>
        </row>
        <row r="1093">
          <cell r="K1093" t="str">
            <v xml:space="preserve"> </v>
          </cell>
        </row>
        <row r="1094">
          <cell r="K1094" t="str">
            <v xml:space="preserve"> </v>
          </cell>
        </row>
        <row r="1095">
          <cell r="K1095" t="str">
            <v xml:space="preserve"> </v>
          </cell>
        </row>
        <row r="1096">
          <cell r="K1096" t="str">
            <v xml:space="preserve"> </v>
          </cell>
        </row>
        <row r="1097">
          <cell r="K1097" t="str">
            <v xml:space="preserve"> </v>
          </cell>
        </row>
        <row r="1098">
          <cell r="K1098" t="str">
            <v xml:space="preserve"> </v>
          </cell>
        </row>
        <row r="1099">
          <cell r="K1099" t="str">
            <v xml:space="preserve"> </v>
          </cell>
        </row>
        <row r="1100">
          <cell r="K1100" t="str">
            <v xml:space="preserve"> </v>
          </cell>
        </row>
        <row r="1101">
          <cell r="K1101" t="str">
            <v xml:space="preserve"> </v>
          </cell>
        </row>
        <row r="1102">
          <cell r="K1102" t="str">
            <v xml:space="preserve"> </v>
          </cell>
        </row>
        <row r="1103">
          <cell r="K1103" t="str">
            <v xml:space="preserve"> </v>
          </cell>
        </row>
        <row r="1104">
          <cell r="K1104" t="str">
            <v xml:space="preserve"> </v>
          </cell>
        </row>
        <row r="1105">
          <cell r="K1105" t="str">
            <v xml:space="preserve"> </v>
          </cell>
        </row>
        <row r="1106">
          <cell r="K1106" t="str">
            <v xml:space="preserve"> </v>
          </cell>
        </row>
        <row r="1107">
          <cell r="K1107" t="str">
            <v xml:space="preserve"> </v>
          </cell>
        </row>
        <row r="1108">
          <cell r="K1108" t="str">
            <v xml:space="preserve"> </v>
          </cell>
        </row>
        <row r="1109">
          <cell r="K1109" t="str">
            <v xml:space="preserve"> </v>
          </cell>
        </row>
        <row r="1110">
          <cell r="K1110" t="str">
            <v xml:space="preserve"> </v>
          </cell>
        </row>
        <row r="1111">
          <cell r="K1111" t="str">
            <v xml:space="preserve"> </v>
          </cell>
        </row>
        <row r="1112">
          <cell r="K1112" t="str">
            <v xml:space="preserve"> </v>
          </cell>
        </row>
        <row r="1113">
          <cell r="K1113" t="str">
            <v xml:space="preserve"> </v>
          </cell>
        </row>
        <row r="1114">
          <cell r="K1114" t="str">
            <v xml:space="preserve"> </v>
          </cell>
        </row>
        <row r="1115">
          <cell r="K1115" t="str">
            <v xml:space="preserve"> </v>
          </cell>
        </row>
        <row r="1116">
          <cell r="K1116" t="str">
            <v xml:space="preserve"> </v>
          </cell>
        </row>
        <row r="1117">
          <cell r="K1117" t="str">
            <v xml:space="preserve"> </v>
          </cell>
        </row>
        <row r="1118">
          <cell r="K1118" t="str">
            <v xml:space="preserve"> </v>
          </cell>
        </row>
        <row r="1119">
          <cell r="K1119" t="str">
            <v xml:space="preserve"> </v>
          </cell>
        </row>
        <row r="1120">
          <cell r="K1120" t="str">
            <v xml:space="preserve"> </v>
          </cell>
        </row>
        <row r="1121">
          <cell r="K1121" t="str">
            <v xml:space="preserve"> </v>
          </cell>
        </row>
        <row r="1122">
          <cell r="K1122" t="str">
            <v xml:space="preserve"> </v>
          </cell>
        </row>
        <row r="1123">
          <cell r="K1123" t="str">
            <v xml:space="preserve"> </v>
          </cell>
        </row>
        <row r="1124">
          <cell r="K1124" t="str">
            <v xml:space="preserve"> </v>
          </cell>
        </row>
        <row r="1125">
          <cell r="K1125" t="str">
            <v xml:space="preserve"> </v>
          </cell>
        </row>
        <row r="1126">
          <cell r="K1126" t="str">
            <v xml:space="preserve"> </v>
          </cell>
        </row>
        <row r="1127">
          <cell r="K1127" t="str">
            <v xml:space="preserve"> </v>
          </cell>
        </row>
        <row r="1128">
          <cell r="K1128" t="str">
            <v xml:space="preserve"> </v>
          </cell>
        </row>
        <row r="1129">
          <cell r="K1129" t="str">
            <v xml:space="preserve"> </v>
          </cell>
        </row>
        <row r="1130">
          <cell r="K1130" t="str">
            <v xml:space="preserve"> </v>
          </cell>
        </row>
        <row r="1131">
          <cell r="K1131" t="str">
            <v xml:space="preserve"> </v>
          </cell>
        </row>
        <row r="1132">
          <cell r="K1132" t="str">
            <v xml:space="preserve"> </v>
          </cell>
        </row>
        <row r="1133">
          <cell r="K1133" t="str">
            <v xml:space="preserve"> </v>
          </cell>
        </row>
        <row r="1134">
          <cell r="K1134" t="str">
            <v xml:space="preserve"> </v>
          </cell>
        </row>
        <row r="1135">
          <cell r="K1135" t="str">
            <v xml:space="preserve"> </v>
          </cell>
        </row>
        <row r="1136">
          <cell r="K1136" t="str">
            <v xml:space="preserve"> </v>
          </cell>
        </row>
        <row r="1137">
          <cell r="K1137" t="str">
            <v xml:space="preserve"> </v>
          </cell>
        </row>
        <row r="1138">
          <cell r="K1138" t="str">
            <v xml:space="preserve"> </v>
          </cell>
        </row>
        <row r="1139">
          <cell r="K1139" t="str">
            <v xml:space="preserve"> </v>
          </cell>
        </row>
        <row r="1140">
          <cell r="K1140" t="str">
            <v xml:space="preserve"> </v>
          </cell>
        </row>
        <row r="1141">
          <cell r="K1141" t="str">
            <v xml:space="preserve"> </v>
          </cell>
        </row>
        <row r="1142">
          <cell r="K1142" t="str">
            <v xml:space="preserve"> </v>
          </cell>
        </row>
        <row r="1143">
          <cell r="K1143" t="str">
            <v xml:space="preserve"> </v>
          </cell>
        </row>
        <row r="1144">
          <cell r="K1144" t="str">
            <v xml:space="preserve"> </v>
          </cell>
        </row>
        <row r="1145">
          <cell r="K1145" t="str">
            <v xml:space="preserve"> </v>
          </cell>
        </row>
        <row r="1146">
          <cell r="K1146" t="str">
            <v xml:space="preserve"> </v>
          </cell>
        </row>
        <row r="1147">
          <cell r="K1147" t="str">
            <v xml:space="preserve"> </v>
          </cell>
        </row>
        <row r="1148">
          <cell r="K1148" t="str">
            <v xml:space="preserve"> </v>
          </cell>
        </row>
        <row r="1149">
          <cell r="K1149" t="str">
            <v xml:space="preserve"> </v>
          </cell>
        </row>
        <row r="1150">
          <cell r="K1150" t="str">
            <v xml:space="preserve"> </v>
          </cell>
        </row>
        <row r="1151">
          <cell r="K1151" t="str">
            <v xml:space="preserve"> </v>
          </cell>
        </row>
        <row r="1152">
          <cell r="K1152" t="str">
            <v xml:space="preserve"> </v>
          </cell>
        </row>
        <row r="1153">
          <cell r="K1153" t="str">
            <v xml:space="preserve"> </v>
          </cell>
        </row>
        <row r="1154">
          <cell r="K1154" t="str">
            <v xml:space="preserve"> </v>
          </cell>
        </row>
        <row r="1155">
          <cell r="K1155" t="str">
            <v xml:space="preserve"> </v>
          </cell>
        </row>
        <row r="1156">
          <cell r="K1156" t="str">
            <v xml:space="preserve"> </v>
          </cell>
        </row>
        <row r="1157">
          <cell r="K1157" t="str">
            <v xml:space="preserve"> </v>
          </cell>
        </row>
        <row r="1158">
          <cell r="K1158" t="str">
            <v xml:space="preserve"> </v>
          </cell>
        </row>
        <row r="1159">
          <cell r="K1159" t="str">
            <v xml:space="preserve"> </v>
          </cell>
        </row>
        <row r="1160">
          <cell r="K1160" t="str">
            <v xml:space="preserve"> </v>
          </cell>
        </row>
        <row r="1161">
          <cell r="K1161" t="str">
            <v xml:space="preserve"> </v>
          </cell>
        </row>
        <row r="1162">
          <cell r="K1162" t="str">
            <v xml:space="preserve"> </v>
          </cell>
        </row>
        <row r="1163">
          <cell r="K1163" t="str">
            <v xml:space="preserve"> </v>
          </cell>
        </row>
        <row r="1164">
          <cell r="K1164" t="str">
            <v xml:space="preserve"> </v>
          </cell>
        </row>
        <row r="1165">
          <cell r="K1165" t="str">
            <v xml:space="preserve"> </v>
          </cell>
        </row>
        <row r="1166">
          <cell r="K1166" t="str">
            <v xml:space="preserve"> </v>
          </cell>
        </row>
        <row r="1167">
          <cell r="K1167" t="str">
            <v xml:space="preserve"> </v>
          </cell>
        </row>
        <row r="1168">
          <cell r="K1168" t="str">
            <v xml:space="preserve"> </v>
          </cell>
        </row>
        <row r="1169">
          <cell r="K1169" t="str">
            <v xml:space="preserve"> </v>
          </cell>
        </row>
        <row r="1170">
          <cell r="K1170" t="str">
            <v xml:space="preserve"> </v>
          </cell>
        </row>
        <row r="1171">
          <cell r="K1171" t="str">
            <v xml:space="preserve"> </v>
          </cell>
        </row>
        <row r="1172">
          <cell r="K1172" t="str">
            <v xml:space="preserve"> </v>
          </cell>
        </row>
        <row r="1173">
          <cell r="K1173" t="str">
            <v xml:space="preserve"> </v>
          </cell>
        </row>
        <row r="1174">
          <cell r="K1174" t="str">
            <v xml:space="preserve"> </v>
          </cell>
        </row>
        <row r="1175">
          <cell r="K1175" t="str">
            <v xml:space="preserve"> </v>
          </cell>
        </row>
        <row r="1176">
          <cell r="K1176" t="str">
            <v xml:space="preserve"> </v>
          </cell>
        </row>
        <row r="1177">
          <cell r="K1177" t="str">
            <v xml:space="preserve"> </v>
          </cell>
        </row>
        <row r="1178">
          <cell r="K1178" t="str">
            <v xml:space="preserve"> </v>
          </cell>
        </row>
        <row r="1179">
          <cell r="K1179" t="str">
            <v xml:space="preserve"> </v>
          </cell>
        </row>
        <row r="1180">
          <cell r="K1180" t="str">
            <v xml:space="preserve"> </v>
          </cell>
        </row>
        <row r="1181">
          <cell r="K1181" t="str">
            <v xml:space="preserve"> </v>
          </cell>
        </row>
        <row r="1182">
          <cell r="K1182" t="str">
            <v xml:space="preserve"> </v>
          </cell>
        </row>
        <row r="1183">
          <cell r="K1183" t="str">
            <v xml:space="preserve"> </v>
          </cell>
        </row>
        <row r="1184">
          <cell r="K1184" t="str">
            <v xml:space="preserve"> </v>
          </cell>
        </row>
        <row r="1185">
          <cell r="K1185" t="str">
            <v xml:space="preserve"> </v>
          </cell>
        </row>
        <row r="1186">
          <cell r="K1186" t="str">
            <v xml:space="preserve"> </v>
          </cell>
        </row>
        <row r="1187">
          <cell r="K1187" t="str">
            <v xml:space="preserve"> </v>
          </cell>
        </row>
        <row r="1188">
          <cell r="K1188" t="str">
            <v xml:space="preserve"> </v>
          </cell>
        </row>
        <row r="1189">
          <cell r="K1189" t="str">
            <v xml:space="preserve"> </v>
          </cell>
        </row>
        <row r="1190">
          <cell r="K1190" t="str">
            <v xml:space="preserve"> </v>
          </cell>
        </row>
        <row r="1191">
          <cell r="K1191" t="str">
            <v xml:space="preserve"> </v>
          </cell>
        </row>
        <row r="1192">
          <cell r="K1192" t="str">
            <v xml:space="preserve"> </v>
          </cell>
        </row>
        <row r="1193">
          <cell r="K1193" t="str">
            <v xml:space="preserve"> </v>
          </cell>
        </row>
        <row r="1194">
          <cell r="K1194" t="str">
            <v xml:space="preserve"> </v>
          </cell>
        </row>
        <row r="1195">
          <cell r="K1195" t="str">
            <v xml:space="preserve"> </v>
          </cell>
        </row>
        <row r="1196">
          <cell r="K1196" t="str">
            <v xml:space="preserve"> </v>
          </cell>
        </row>
        <row r="1197">
          <cell r="K1197" t="str">
            <v xml:space="preserve"> </v>
          </cell>
        </row>
        <row r="1198">
          <cell r="K1198" t="str">
            <v xml:space="preserve"> </v>
          </cell>
        </row>
        <row r="1199">
          <cell r="K1199" t="str">
            <v xml:space="preserve"> </v>
          </cell>
        </row>
        <row r="1200">
          <cell r="K1200" t="str">
            <v xml:space="preserve"> </v>
          </cell>
        </row>
        <row r="1201">
          <cell r="K1201" t="str">
            <v xml:space="preserve"> </v>
          </cell>
        </row>
        <row r="1202">
          <cell r="K1202" t="str">
            <v xml:space="preserve"> </v>
          </cell>
        </row>
        <row r="1203">
          <cell r="K1203" t="str">
            <v xml:space="preserve"> </v>
          </cell>
        </row>
        <row r="1204">
          <cell r="K1204" t="str">
            <v xml:space="preserve"> </v>
          </cell>
        </row>
        <row r="1205">
          <cell r="K1205" t="str">
            <v xml:space="preserve"> </v>
          </cell>
        </row>
        <row r="1206">
          <cell r="K1206" t="str">
            <v xml:space="preserve"> </v>
          </cell>
        </row>
        <row r="1207">
          <cell r="K1207" t="str">
            <v xml:space="preserve"> </v>
          </cell>
        </row>
        <row r="1208">
          <cell r="K1208" t="str">
            <v xml:space="preserve"> </v>
          </cell>
        </row>
        <row r="1209">
          <cell r="K1209" t="str">
            <v xml:space="preserve"> </v>
          </cell>
        </row>
        <row r="1210">
          <cell r="K1210" t="str">
            <v xml:space="preserve"> </v>
          </cell>
        </row>
        <row r="1211">
          <cell r="K1211" t="str">
            <v xml:space="preserve"> </v>
          </cell>
        </row>
        <row r="1212">
          <cell r="K1212" t="str">
            <v xml:space="preserve"> </v>
          </cell>
        </row>
        <row r="1213">
          <cell r="K1213" t="str">
            <v xml:space="preserve"> </v>
          </cell>
        </row>
        <row r="1214">
          <cell r="K1214" t="str">
            <v xml:space="preserve"> </v>
          </cell>
        </row>
        <row r="1215">
          <cell r="K1215" t="str">
            <v xml:space="preserve"> </v>
          </cell>
        </row>
        <row r="1216">
          <cell r="K1216" t="str">
            <v xml:space="preserve"> </v>
          </cell>
        </row>
        <row r="1217">
          <cell r="K1217" t="str">
            <v xml:space="preserve"> </v>
          </cell>
        </row>
        <row r="1218">
          <cell r="K1218" t="str">
            <v xml:space="preserve"> </v>
          </cell>
        </row>
        <row r="1219">
          <cell r="K1219" t="str">
            <v xml:space="preserve"> </v>
          </cell>
        </row>
        <row r="1220">
          <cell r="K1220" t="str">
            <v xml:space="preserve"> </v>
          </cell>
        </row>
        <row r="1221">
          <cell r="K1221" t="str">
            <v xml:space="preserve"> </v>
          </cell>
        </row>
        <row r="1222">
          <cell r="K1222" t="str">
            <v xml:space="preserve"> </v>
          </cell>
        </row>
        <row r="1223">
          <cell r="K1223" t="str">
            <v xml:space="preserve"> </v>
          </cell>
        </row>
        <row r="1224">
          <cell r="K1224" t="str">
            <v xml:space="preserve"> </v>
          </cell>
        </row>
        <row r="1225">
          <cell r="K1225" t="str">
            <v xml:space="preserve"> </v>
          </cell>
        </row>
        <row r="1226">
          <cell r="K1226" t="str">
            <v xml:space="preserve"> </v>
          </cell>
        </row>
        <row r="1227">
          <cell r="K1227" t="str">
            <v xml:space="preserve"> </v>
          </cell>
        </row>
        <row r="1228">
          <cell r="K1228" t="str">
            <v xml:space="preserve"> </v>
          </cell>
        </row>
        <row r="1229">
          <cell r="K1229" t="str">
            <v xml:space="preserve"> </v>
          </cell>
        </row>
        <row r="1230">
          <cell r="K1230" t="str">
            <v xml:space="preserve"> </v>
          </cell>
        </row>
        <row r="1231">
          <cell r="K1231" t="str">
            <v xml:space="preserve"> </v>
          </cell>
        </row>
        <row r="1232">
          <cell r="K1232" t="str">
            <v xml:space="preserve"> </v>
          </cell>
        </row>
        <row r="1233">
          <cell r="K1233" t="str">
            <v xml:space="preserve"> </v>
          </cell>
        </row>
        <row r="1234">
          <cell r="K1234" t="str">
            <v xml:space="preserve"> </v>
          </cell>
        </row>
        <row r="1235">
          <cell r="K1235" t="str">
            <v xml:space="preserve"> </v>
          </cell>
        </row>
        <row r="1236">
          <cell r="K1236" t="str">
            <v xml:space="preserve"> </v>
          </cell>
        </row>
        <row r="1237">
          <cell r="K1237" t="str">
            <v xml:space="preserve"> </v>
          </cell>
        </row>
        <row r="1238">
          <cell r="K1238" t="str">
            <v xml:space="preserve"> </v>
          </cell>
        </row>
        <row r="1239">
          <cell r="K1239" t="str">
            <v xml:space="preserve"> </v>
          </cell>
        </row>
        <row r="1240">
          <cell r="K1240" t="str">
            <v xml:space="preserve"> </v>
          </cell>
        </row>
        <row r="1241">
          <cell r="K1241" t="str">
            <v xml:space="preserve"> </v>
          </cell>
        </row>
        <row r="1242">
          <cell r="K1242" t="str">
            <v xml:space="preserve"> </v>
          </cell>
        </row>
        <row r="1243">
          <cell r="K1243" t="str">
            <v xml:space="preserve"> </v>
          </cell>
        </row>
        <row r="1244">
          <cell r="K1244" t="str">
            <v xml:space="preserve"> </v>
          </cell>
        </row>
        <row r="1245">
          <cell r="K1245" t="str">
            <v xml:space="preserve"> </v>
          </cell>
        </row>
        <row r="1246">
          <cell r="K1246" t="str">
            <v xml:space="preserve"> </v>
          </cell>
        </row>
        <row r="1247">
          <cell r="K1247" t="str">
            <v xml:space="preserve"> </v>
          </cell>
        </row>
        <row r="1248">
          <cell r="K1248" t="str">
            <v xml:space="preserve"> </v>
          </cell>
        </row>
        <row r="1249">
          <cell r="K1249" t="str">
            <v xml:space="preserve"> </v>
          </cell>
        </row>
        <row r="1250">
          <cell r="K1250" t="str">
            <v xml:space="preserve"> </v>
          </cell>
        </row>
        <row r="1251">
          <cell r="K1251" t="str">
            <v xml:space="preserve"> </v>
          </cell>
        </row>
        <row r="1252">
          <cell r="K1252" t="str">
            <v xml:space="preserve"> </v>
          </cell>
        </row>
        <row r="1253">
          <cell r="K1253" t="str">
            <v xml:space="preserve"> </v>
          </cell>
        </row>
        <row r="1254">
          <cell r="K1254" t="str">
            <v xml:space="preserve"> </v>
          </cell>
        </row>
        <row r="1255">
          <cell r="K1255" t="str">
            <v xml:space="preserve"> </v>
          </cell>
        </row>
        <row r="1256">
          <cell r="K1256" t="str">
            <v xml:space="preserve"> </v>
          </cell>
        </row>
        <row r="1257">
          <cell r="K1257" t="str">
            <v xml:space="preserve"> </v>
          </cell>
        </row>
        <row r="1258">
          <cell r="K1258" t="str">
            <v xml:space="preserve"> </v>
          </cell>
        </row>
        <row r="1259">
          <cell r="K1259" t="str">
            <v xml:space="preserve"> </v>
          </cell>
        </row>
        <row r="1260">
          <cell r="K1260" t="str">
            <v xml:space="preserve"> </v>
          </cell>
        </row>
        <row r="1261">
          <cell r="K1261" t="str">
            <v xml:space="preserve"> </v>
          </cell>
        </row>
        <row r="1262">
          <cell r="K1262" t="str">
            <v xml:space="preserve"> </v>
          </cell>
        </row>
        <row r="1263">
          <cell r="K1263" t="str">
            <v xml:space="preserve"> </v>
          </cell>
        </row>
        <row r="1264">
          <cell r="K1264" t="str">
            <v xml:space="preserve"> </v>
          </cell>
        </row>
        <row r="1265">
          <cell r="K1265" t="str">
            <v xml:space="preserve"> </v>
          </cell>
        </row>
        <row r="1266">
          <cell r="K1266" t="str">
            <v xml:space="preserve"> </v>
          </cell>
        </row>
        <row r="1267">
          <cell r="K1267" t="str">
            <v xml:space="preserve"> </v>
          </cell>
        </row>
        <row r="1268">
          <cell r="K1268" t="str">
            <v xml:space="preserve"> </v>
          </cell>
        </row>
        <row r="1269">
          <cell r="K1269" t="str">
            <v xml:space="preserve"> </v>
          </cell>
        </row>
        <row r="1270">
          <cell r="K1270" t="str">
            <v xml:space="preserve"> </v>
          </cell>
        </row>
        <row r="1271">
          <cell r="K1271" t="str">
            <v xml:space="preserve"> </v>
          </cell>
        </row>
        <row r="1272">
          <cell r="K1272" t="str">
            <v xml:space="preserve"> </v>
          </cell>
        </row>
        <row r="1273">
          <cell r="K1273" t="str">
            <v xml:space="preserve"> </v>
          </cell>
        </row>
        <row r="1274">
          <cell r="K1274" t="str">
            <v xml:space="preserve"> </v>
          </cell>
        </row>
        <row r="1275">
          <cell r="K1275" t="str">
            <v xml:space="preserve"> </v>
          </cell>
        </row>
        <row r="1276">
          <cell r="K1276" t="str">
            <v xml:space="preserve"> </v>
          </cell>
        </row>
        <row r="1277">
          <cell r="K1277" t="str">
            <v xml:space="preserve"> </v>
          </cell>
        </row>
        <row r="1278">
          <cell r="K1278" t="str">
            <v xml:space="preserve"> </v>
          </cell>
        </row>
        <row r="1279">
          <cell r="K1279" t="str">
            <v xml:space="preserve"> </v>
          </cell>
        </row>
        <row r="1280">
          <cell r="K1280" t="str">
            <v xml:space="preserve"> </v>
          </cell>
        </row>
        <row r="1281">
          <cell r="K1281" t="str">
            <v xml:space="preserve"> </v>
          </cell>
        </row>
        <row r="1282">
          <cell r="K1282" t="str">
            <v xml:space="preserve"> </v>
          </cell>
        </row>
        <row r="1283">
          <cell r="K1283" t="str">
            <v xml:space="preserve"> </v>
          </cell>
        </row>
        <row r="1284">
          <cell r="K1284" t="str">
            <v xml:space="preserve"> </v>
          </cell>
        </row>
        <row r="1285">
          <cell r="K1285" t="str">
            <v xml:space="preserve"> </v>
          </cell>
        </row>
        <row r="1286">
          <cell r="K1286" t="str">
            <v xml:space="preserve"> </v>
          </cell>
        </row>
        <row r="1287">
          <cell r="K1287" t="str">
            <v xml:space="preserve"> </v>
          </cell>
        </row>
        <row r="1288">
          <cell r="K1288" t="str">
            <v xml:space="preserve"> </v>
          </cell>
        </row>
        <row r="1289">
          <cell r="K1289" t="str">
            <v xml:space="preserve"> </v>
          </cell>
        </row>
        <row r="1290">
          <cell r="K1290" t="str">
            <v xml:space="preserve"> </v>
          </cell>
        </row>
        <row r="1291">
          <cell r="K1291" t="str">
            <v xml:space="preserve"> </v>
          </cell>
        </row>
        <row r="1292">
          <cell r="K1292" t="str">
            <v xml:space="preserve"> </v>
          </cell>
        </row>
        <row r="1293">
          <cell r="K1293" t="str">
            <v xml:space="preserve"> </v>
          </cell>
        </row>
        <row r="1294">
          <cell r="K1294" t="str">
            <v xml:space="preserve"> </v>
          </cell>
        </row>
        <row r="1295">
          <cell r="K1295" t="str">
            <v xml:space="preserve"> </v>
          </cell>
        </row>
        <row r="1296">
          <cell r="K1296" t="str">
            <v xml:space="preserve"> </v>
          </cell>
        </row>
        <row r="1297">
          <cell r="K1297" t="str">
            <v xml:space="preserve"> </v>
          </cell>
        </row>
        <row r="1298">
          <cell r="K1298" t="str">
            <v xml:space="preserve"> </v>
          </cell>
        </row>
        <row r="1299">
          <cell r="K1299" t="str">
            <v xml:space="preserve"> </v>
          </cell>
        </row>
        <row r="1300">
          <cell r="K1300" t="str">
            <v xml:space="preserve"> </v>
          </cell>
        </row>
        <row r="1301">
          <cell r="K1301" t="str">
            <v xml:space="preserve"> </v>
          </cell>
        </row>
        <row r="1302">
          <cell r="K1302" t="str">
            <v xml:space="preserve"> </v>
          </cell>
        </row>
        <row r="1303">
          <cell r="K1303" t="str">
            <v xml:space="preserve"> </v>
          </cell>
        </row>
        <row r="1304">
          <cell r="K1304" t="str">
            <v xml:space="preserve"> </v>
          </cell>
        </row>
        <row r="1305">
          <cell r="K1305" t="str">
            <v xml:space="preserve"> </v>
          </cell>
        </row>
        <row r="1306">
          <cell r="K1306" t="str">
            <v xml:space="preserve"> </v>
          </cell>
        </row>
        <row r="1307">
          <cell r="K1307" t="str">
            <v xml:space="preserve"> </v>
          </cell>
        </row>
        <row r="1308">
          <cell r="K1308" t="str">
            <v xml:space="preserve"> </v>
          </cell>
        </row>
        <row r="1309">
          <cell r="K1309" t="str">
            <v xml:space="preserve"> </v>
          </cell>
        </row>
        <row r="1310">
          <cell r="K1310" t="str">
            <v xml:space="preserve"> </v>
          </cell>
        </row>
        <row r="1311">
          <cell r="K1311" t="str">
            <v xml:space="preserve"> </v>
          </cell>
        </row>
        <row r="1312">
          <cell r="K1312" t="str">
            <v xml:space="preserve"> </v>
          </cell>
        </row>
        <row r="1313">
          <cell r="K1313" t="str">
            <v xml:space="preserve"> </v>
          </cell>
        </row>
        <row r="1314">
          <cell r="K1314" t="str">
            <v xml:space="preserve"> </v>
          </cell>
        </row>
        <row r="1315">
          <cell r="K1315" t="str">
            <v xml:space="preserve"> </v>
          </cell>
        </row>
        <row r="1316">
          <cell r="K1316" t="str">
            <v xml:space="preserve"> </v>
          </cell>
        </row>
        <row r="1317">
          <cell r="K1317" t="str">
            <v xml:space="preserve"> </v>
          </cell>
        </row>
        <row r="1318">
          <cell r="K1318" t="str">
            <v xml:space="preserve"> </v>
          </cell>
        </row>
        <row r="1319">
          <cell r="K1319" t="str">
            <v xml:space="preserve"> </v>
          </cell>
        </row>
        <row r="1320">
          <cell r="K1320" t="str">
            <v xml:space="preserve"> </v>
          </cell>
        </row>
        <row r="1321">
          <cell r="K1321" t="str">
            <v xml:space="preserve"> </v>
          </cell>
        </row>
        <row r="1322">
          <cell r="K1322" t="str">
            <v xml:space="preserve"> </v>
          </cell>
        </row>
        <row r="1323">
          <cell r="K1323" t="str">
            <v xml:space="preserve"> </v>
          </cell>
        </row>
        <row r="1324">
          <cell r="K1324" t="str">
            <v xml:space="preserve"> </v>
          </cell>
        </row>
        <row r="1325">
          <cell r="K1325" t="str">
            <v xml:space="preserve"> </v>
          </cell>
        </row>
        <row r="1326">
          <cell r="K1326" t="str">
            <v xml:space="preserve"> </v>
          </cell>
        </row>
        <row r="1327">
          <cell r="K1327" t="str">
            <v xml:space="preserve"> </v>
          </cell>
        </row>
        <row r="1328">
          <cell r="K1328" t="str">
            <v xml:space="preserve"> </v>
          </cell>
        </row>
        <row r="1329">
          <cell r="K1329" t="str">
            <v xml:space="preserve"> </v>
          </cell>
        </row>
        <row r="1330">
          <cell r="K1330" t="str">
            <v xml:space="preserve"> </v>
          </cell>
        </row>
        <row r="1331">
          <cell r="K1331" t="str">
            <v xml:space="preserve"> </v>
          </cell>
        </row>
        <row r="1332">
          <cell r="K1332" t="str">
            <v xml:space="preserve"> </v>
          </cell>
        </row>
        <row r="1333">
          <cell r="K1333" t="str">
            <v xml:space="preserve"> </v>
          </cell>
        </row>
        <row r="1334">
          <cell r="K1334" t="str">
            <v xml:space="preserve"> </v>
          </cell>
        </row>
        <row r="1335">
          <cell r="K1335" t="str">
            <v xml:space="preserve"> </v>
          </cell>
        </row>
        <row r="1336">
          <cell r="K1336" t="str">
            <v xml:space="preserve"> </v>
          </cell>
        </row>
        <row r="1337">
          <cell r="K1337" t="str">
            <v xml:space="preserve"> </v>
          </cell>
        </row>
        <row r="1338">
          <cell r="K1338" t="str">
            <v xml:space="preserve"> </v>
          </cell>
        </row>
        <row r="1339">
          <cell r="K1339" t="str">
            <v xml:space="preserve"> </v>
          </cell>
        </row>
        <row r="1340">
          <cell r="K1340" t="str">
            <v xml:space="preserve"> </v>
          </cell>
        </row>
        <row r="1341">
          <cell r="K1341" t="str">
            <v xml:space="preserve"> </v>
          </cell>
        </row>
        <row r="1342">
          <cell r="K1342" t="str">
            <v xml:space="preserve"> </v>
          </cell>
        </row>
        <row r="1343">
          <cell r="K1343" t="str">
            <v xml:space="preserve"> </v>
          </cell>
        </row>
        <row r="1344">
          <cell r="K1344" t="str">
            <v xml:space="preserve"> </v>
          </cell>
        </row>
        <row r="1345">
          <cell r="K1345" t="str">
            <v xml:space="preserve"> </v>
          </cell>
        </row>
        <row r="1346">
          <cell r="K1346" t="str">
            <v xml:space="preserve"> </v>
          </cell>
        </row>
        <row r="1347">
          <cell r="K1347" t="str">
            <v xml:space="preserve"> </v>
          </cell>
        </row>
        <row r="1348">
          <cell r="K1348" t="str">
            <v xml:space="preserve"> </v>
          </cell>
        </row>
        <row r="1349">
          <cell r="K1349" t="str">
            <v xml:space="preserve"> </v>
          </cell>
        </row>
        <row r="1350">
          <cell r="K1350" t="str">
            <v xml:space="preserve"> </v>
          </cell>
        </row>
        <row r="1351">
          <cell r="K1351" t="str">
            <v xml:space="preserve"> </v>
          </cell>
        </row>
        <row r="1352">
          <cell r="K1352" t="str">
            <v xml:space="preserve"> </v>
          </cell>
        </row>
        <row r="1353">
          <cell r="K1353" t="str">
            <v xml:space="preserve"> </v>
          </cell>
        </row>
        <row r="1354">
          <cell r="K1354" t="str">
            <v xml:space="preserve"> </v>
          </cell>
        </row>
        <row r="1355">
          <cell r="K1355" t="str">
            <v xml:space="preserve"> </v>
          </cell>
        </row>
        <row r="1356">
          <cell r="K1356" t="str">
            <v xml:space="preserve"> </v>
          </cell>
        </row>
        <row r="1357">
          <cell r="K1357" t="str">
            <v xml:space="preserve"> </v>
          </cell>
        </row>
        <row r="1358">
          <cell r="K1358" t="str">
            <v xml:space="preserve"> </v>
          </cell>
        </row>
        <row r="1359">
          <cell r="K1359" t="str">
            <v xml:space="preserve"> </v>
          </cell>
        </row>
        <row r="1360">
          <cell r="K1360" t="str">
            <v xml:space="preserve"> </v>
          </cell>
        </row>
        <row r="1361">
          <cell r="K1361" t="str">
            <v xml:space="preserve"> </v>
          </cell>
        </row>
        <row r="1362">
          <cell r="K1362" t="str">
            <v xml:space="preserve"> </v>
          </cell>
        </row>
        <row r="1363">
          <cell r="K1363" t="str">
            <v xml:space="preserve"> </v>
          </cell>
        </row>
        <row r="1364">
          <cell r="K1364" t="str">
            <v xml:space="preserve"> </v>
          </cell>
        </row>
        <row r="1365">
          <cell r="K1365" t="str">
            <v xml:space="preserve"> </v>
          </cell>
        </row>
        <row r="1366">
          <cell r="K1366" t="str">
            <v xml:space="preserve"> </v>
          </cell>
        </row>
        <row r="1367">
          <cell r="K1367" t="str">
            <v xml:space="preserve"> </v>
          </cell>
        </row>
        <row r="1368">
          <cell r="K1368" t="str">
            <v xml:space="preserve"> </v>
          </cell>
        </row>
        <row r="1369">
          <cell r="K1369" t="str">
            <v xml:space="preserve"> </v>
          </cell>
        </row>
        <row r="1370">
          <cell r="K1370" t="str">
            <v xml:space="preserve"> </v>
          </cell>
        </row>
        <row r="1371">
          <cell r="K1371" t="str">
            <v xml:space="preserve"> </v>
          </cell>
        </row>
        <row r="1372">
          <cell r="K1372" t="str">
            <v xml:space="preserve"> </v>
          </cell>
        </row>
        <row r="1373">
          <cell r="K1373" t="str">
            <v xml:space="preserve"> </v>
          </cell>
        </row>
        <row r="1374">
          <cell r="K1374" t="str">
            <v xml:space="preserve"> </v>
          </cell>
        </row>
        <row r="1375">
          <cell r="K1375" t="str">
            <v xml:space="preserve"> </v>
          </cell>
        </row>
        <row r="1376">
          <cell r="K1376" t="str">
            <v xml:space="preserve"> </v>
          </cell>
        </row>
        <row r="1377">
          <cell r="K1377" t="str">
            <v xml:space="preserve"> </v>
          </cell>
        </row>
        <row r="1378">
          <cell r="K1378" t="str">
            <v xml:space="preserve"> </v>
          </cell>
        </row>
        <row r="1379">
          <cell r="K1379" t="str">
            <v xml:space="preserve"> </v>
          </cell>
        </row>
        <row r="1380">
          <cell r="K1380" t="str">
            <v xml:space="preserve"> </v>
          </cell>
        </row>
        <row r="1381">
          <cell r="K1381" t="str">
            <v xml:space="preserve"> </v>
          </cell>
        </row>
        <row r="1382">
          <cell r="K1382" t="str">
            <v xml:space="preserve"> </v>
          </cell>
        </row>
        <row r="1383">
          <cell r="K1383" t="str">
            <v xml:space="preserve"> </v>
          </cell>
        </row>
        <row r="1384">
          <cell r="K1384" t="str">
            <v xml:space="preserve"> </v>
          </cell>
        </row>
        <row r="1385">
          <cell r="K1385" t="str">
            <v xml:space="preserve"> </v>
          </cell>
        </row>
        <row r="1386">
          <cell r="K1386" t="str">
            <v xml:space="preserve"> </v>
          </cell>
        </row>
        <row r="1387">
          <cell r="K1387" t="str">
            <v xml:space="preserve"> </v>
          </cell>
        </row>
        <row r="1388">
          <cell r="K1388" t="str">
            <v xml:space="preserve"> </v>
          </cell>
        </row>
        <row r="1389">
          <cell r="K1389" t="str">
            <v xml:space="preserve"> </v>
          </cell>
        </row>
        <row r="1390">
          <cell r="K1390" t="str">
            <v xml:space="preserve"> </v>
          </cell>
        </row>
        <row r="1391">
          <cell r="K1391" t="str">
            <v xml:space="preserve"> </v>
          </cell>
        </row>
        <row r="1392">
          <cell r="K1392" t="str">
            <v xml:space="preserve"> </v>
          </cell>
        </row>
        <row r="1393">
          <cell r="K1393" t="str">
            <v xml:space="preserve"> </v>
          </cell>
        </row>
        <row r="1394">
          <cell r="K1394" t="str">
            <v xml:space="preserve"> </v>
          </cell>
        </row>
        <row r="1395">
          <cell r="K1395" t="str">
            <v xml:space="preserve"> </v>
          </cell>
        </row>
        <row r="1396">
          <cell r="K1396" t="str">
            <v xml:space="preserve"> </v>
          </cell>
        </row>
        <row r="1397">
          <cell r="K1397" t="str">
            <v xml:space="preserve"> </v>
          </cell>
        </row>
        <row r="1398">
          <cell r="K1398" t="str">
            <v xml:space="preserve"> </v>
          </cell>
        </row>
        <row r="1399">
          <cell r="K1399" t="str">
            <v xml:space="preserve"> </v>
          </cell>
        </row>
        <row r="1400">
          <cell r="K1400" t="str">
            <v xml:space="preserve"> </v>
          </cell>
        </row>
        <row r="1401">
          <cell r="K1401" t="str">
            <v xml:space="preserve"> </v>
          </cell>
        </row>
        <row r="1402">
          <cell r="K1402" t="str">
            <v xml:space="preserve"> </v>
          </cell>
        </row>
        <row r="1403">
          <cell r="K1403" t="str">
            <v xml:space="preserve"> </v>
          </cell>
        </row>
        <row r="1404">
          <cell r="K1404" t="str">
            <v xml:space="preserve"> </v>
          </cell>
        </row>
        <row r="1405">
          <cell r="K1405" t="str">
            <v xml:space="preserve"> </v>
          </cell>
        </row>
        <row r="1406">
          <cell r="K1406" t="str">
            <v xml:space="preserve"> </v>
          </cell>
        </row>
        <row r="1407">
          <cell r="K1407" t="str">
            <v xml:space="preserve"> </v>
          </cell>
        </row>
        <row r="1408">
          <cell r="K1408" t="str">
            <v xml:space="preserve"> </v>
          </cell>
        </row>
        <row r="1409">
          <cell r="K1409" t="str">
            <v xml:space="preserve"> </v>
          </cell>
        </row>
        <row r="1410">
          <cell r="K1410" t="str">
            <v xml:space="preserve"> </v>
          </cell>
        </row>
        <row r="1411">
          <cell r="K1411" t="str">
            <v xml:space="preserve"> </v>
          </cell>
        </row>
        <row r="1412">
          <cell r="K1412" t="str">
            <v xml:space="preserve"> </v>
          </cell>
        </row>
        <row r="1413">
          <cell r="K1413" t="str">
            <v xml:space="preserve"> </v>
          </cell>
        </row>
        <row r="1414">
          <cell r="K1414" t="str">
            <v xml:space="preserve"> </v>
          </cell>
        </row>
        <row r="1415">
          <cell r="K1415" t="str">
            <v xml:space="preserve"> </v>
          </cell>
        </row>
        <row r="1416">
          <cell r="K1416" t="str">
            <v xml:space="preserve"> </v>
          </cell>
        </row>
        <row r="1417">
          <cell r="K1417" t="str">
            <v xml:space="preserve"> </v>
          </cell>
        </row>
        <row r="1418">
          <cell r="K1418" t="str">
            <v xml:space="preserve"> </v>
          </cell>
        </row>
        <row r="1419">
          <cell r="K1419" t="str">
            <v xml:space="preserve"> </v>
          </cell>
        </row>
        <row r="1420">
          <cell r="K1420" t="str">
            <v xml:space="preserve"> </v>
          </cell>
        </row>
        <row r="1421">
          <cell r="K1421" t="str">
            <v xml:space="preserve"> </v>
          </cell>
        </row>
        <row r="1422">
          <cell r="K1422" t="str">
            <v xml:space="preserve"> </v>
          </cell>
        </row>
        <row r="1423">
          <cell r="K1423" t="str">
            <v xml:space="preserve"> </v>
          </cell>
        </row>
        <row r="1424">
          <cell r="K1424" t="str">
            <v xml:space="preserve"> </v>
          </cell>
        </row>
        <row r="1425">
          <cell r="K1425" t="str">
            <v xml:space="preserve"> </v>
          </cell>
        </row>
        <row r="1426">
          <cell r="K1426" t="str">
            <v xml:space="preserve"> </v>
          </cell>
        </row>
        <row r="1427">
          <cell r="K1427" t="str">
            <v xml:space="preserve"> </v>
          </cell>
        </row>
        <row r="1428">
          <cell r="K1428" t="str">
            <v xml:space="preserve"> </v>
          </cell>
        </row>
        <row r="1429">
          <cell r="K1429" t="str">
            <v xml:space="preserve"> </v>
          </cell>
        </row>
        <row r="1430">
          <cell r="K1430" t="str">
            <v xml:space="preserve"> </v>
          </cell>
        </row>
        <row r="1431">
          <cell r="K1431" t="str">
            <v xml:space="preserve"> </v>
          </cell>
        </row>
        <row r="1432">
          <cell r="K1432" t="str">
            <v xml:space="preserve"> </v>
          </cell>
        </row>
        <row r="1433">
          <cell r="K1433" t="str">
            <v xml:space="preserve"> </v>
          </cell>
        </row>
        <row r="1434">
          <cell r="K1434" t="str">
            <v xml:space="preserve"> </v>
          </cell>
        </row>
        <row r="1435">
          <cell r="K1435" t="str">
            <v xml:space="preserve"> </v>
          </cell>
        </row>
        <row r="1436">
          <cell r="K1436" t="str">
            <v xml:space="preserve"> </v>
          </cell>
        </row>
        <row r="1437">
          <cell r="K1437" t="str">
            <v xml:space="preserve"> </v>
          </cell>
        </row>
        <row r="1438">
          <cell r="K1438" t="str">
            <v xml:space="preserve"> </v>
          </cell>
        </row>
        <row r="1439">
          <cell r="K1439" t="str">
            <v xml:space="preserve"> </v>
          </cell>
        </row>
        <row r="1440">
          <cell r="K1440" t="str">
            <v xml:space="preserve"> </v>
          </cell>
        </row>
        <row r="1441">
          <cell r="K1441" t="str">
            <v xml:space="preserve"> </v>
          </cell>
        </row>
        <row r="1442">
          <cell r="K1442" t="str">
            <v xml:space="preserve"> </v>
          </cell>
        </row>
        <row r="1443">
          <cell r="K1443" t="str">
            <v xml:space="preserve"> </v>
          </cell>
        </row>
        <row r="1444">
          <cell r="K1444" t="str">
            <v xml:space="preserve"> </v>
          </cell>
        </row>
        <row r="1445">
          <cell r="K1445" t="str">
            <v xml:space="preserve"> </v>
          </cell>
        </row>
        <row r="1446">
          <cell r="K1446" t="str">
            <v xml:space="preserve"> </v>
          </cell>
        </row>
        <row r="1447">
          <cell r="K1447" t="str">
            <v xml:space="preserve"> </v>
          </cell>
        </row>
        <row r="1448">
          <cell r="K1448" t="str">
            <v xml:space="preserve"> </v>
          </cell>
        </row>
        <row r="1449">
          <cell r="K1449" t="str">
            <v xml:space="preserve"> </v>
          </cell>
        </row>
        <row r="1450">
          <cell r="K1450" t="str">
            <v xml:space="preserve"> </v>
          </cell>
        </row>
        <row r="1451">
          <cell r="K1451" t="str">
            <v xml:space="preserve"> </v>
          </cell>
        </row>
        <row r="1452">
          <cell r="K1452" t="str">
            <v xml:space="preserve"> </v>
          </cell>
        </row>
        <row r="1453">
          <cell r="K1453" t="str">
            <v xml:space="preserve"> </v>
          </cell>
        </row>
        <row r="1454">
          <cell r="K1454" t="str">
            <v xml:space="preserve"> </v>
          </cell>
        </row>
        <row r="1455">
          <cell r="K1455" t="str">
            <v xml:space="preserve"> </v>
          </cell>
        </row>
        <row r="1456">
          <cell r="K1456" t="str">
            <v xml:space="preserve"> </v>
          </cell>
        </row>
        <row r="1457">
          <cell r="K1457" t="str">
            <v xml:space="preserve"> </v>
          </cell>
        </row>
        <row r="1458">
          <cell r="K1458" t="str">
            <v xml:space="preserve"> </v>
          </cell>
        </row>
        <row r="1459">
          <cell r="K1459" t="str">
            <v xml:space="preserve"> </v>
          </cell>
        </row>
        <row r="1460">
          <cell r="K1460" t="str">
            <v xml:space="preserve"> </v>
          </cell>
        </row>
        <row r="1461">
          <cell r="K1461" t="str">
            <v xml:space="preserve"> </v>
          </cell>
        </row>
        <row r="1462">
          <cell r="K1462" t="str">
            <v xml:space="preserve"> </v>
          </cell>
        </row>
        <row r="1463">
          <cell r="K1463" t="str">
            <v xml:space="preserve"> </v>
          </cell>
        </row>
        <row r="1464">
          <cell r="K1464" t="str">
            <v xml:space="preserve"> </v>
          </cell>
        </row>
        <row r="1465">
          <cell r="K1465" t="str">
            <v xml:space="preserve"> </v>
          </cell>
        </row>
        <row r="1466">
          <cell r="K1466" t="str">
            <v xml:space="preserve"> </v>
          </cell>
        </row>
        <row r="1467">
          <cell r="K1467" t="str">
            <v xml:space="preserve"> </v>
          </cell>
        </row>
        <row r="1468">
          <cell r="K1468" t="str">
            <v xml:space="preserve"> </v>
          </cell>
        </row>
        <row r="1469">
          <cell r="K1469" t="str">
            <v xml:space="preserve"> </v>
          </cell>
        </row>
        <row r="1470">
          <cell r="K1470" t="str">
            <v xml:space="preserve"> </v>
          </cell>
        </row>
        <row r="1471">
          <cell r="K1471" t="str">
            <v xml:space="preserve"> </v>
          </cell>
        </row>
        <row r="1472">
          <cell r="K1472" t="str">
            <v xml:space="preserve"> </v>
          </cell>
        </row>
        <row r="1473">
          <cell r="K1473" t="str">
            <v xml:space="preserve"> </v>
          </cell>
        </row>
        <row r="1474">
          <cell r="K1474" t="str">
            <v xml:space="preserve"> </v>
          </cell>
        </row>
        <row r="1475">
          <cell r="K1475" t="str">
            <v xml:space="preserve"> </v>
          </cell>
        </row>
        <row r="1476">
          <cell r="K1476" t="str">
            <v xml:space="preserve"> </v>
          </cell>
        </row>
        <row r="1477">
          <cell r="K1477" t="str">
            <v xml:space="preserve"> </v>
          </cell>
        </row>
        <row r="1478">
          <cell r="K1478" t="str">
            <v xml:space="preserve"> </v>
          </cell>
        </row>
        <row r="1479">
          <cell r="K1479" t="str">
            <v xml:space="preserve"> </v>
          </cell>
        </row>
        <row r="1480">
          <cell r="K1480" t="str">
            <v xml:space="preserve"> </v>
          </cell>
        </row>
        <row r="1481">
          <cell r="K1481" t="str">
            <v xml:space="preserve"> </v>
          </cell>
        </row>
        <row r="1482">
          <cell r="K1482" t="str">
            <v xml:space="preserve"> </v>
          </cell>
        </row>
        <row r="1483">
          <cell r="K1483" t="str">
            <v xml:space="preserve"> </v>
          </cell>
        </row>
        <row r="1484">
          <cell r="K1484" t="str">
            <v xml:space="preserve"> </v>
          </cell>
        </row>
        <row r="1485">
          <cell r="K1485" t="str">
            <v xml:space="preserve"> </v>
          </cell>
        </row>
        <row r="1486">
          <cell r="K1486" t="str">
            <v xml:space="preserve"> 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 NIIF DEP"/>
      <sheetName val="Balance detallado"/>
      <sheetName val="Hoja Trabajo"/>
      <sheetName val="Efectivo y equivalentes"/>
      <sheetName val="Inversiones adm liq"/>
      <sheetName val="Cuentas por cobrar"/>
      <sheetName val=" DETERIORO DE CARTERA"/>
      <sheetName val="DETERIORO GLOSAS"/>
      <sheetName val="Prestamos por cobrar"/>
      <sheetName val="PROVISION PRESTAMOS "/>
      <sheetName val="Inst Derivados"/>
      <sheetName val="Inventarios"/>
      <sheetName val="DETERIORO INVENTARIO"/>
      <sheetName val="PPE"/>
      <sheetName val="Prop Inversion"/>
      <sheetName val="Intangibles"/>
      <sheetName val="Arrendamientos"/>
      <sheetName val="Act Biologicos"/>
      <sheetName val="Activos Contingentes"/>
      <sheetName val="Deterioro Valor"/>
      <sheetName val="Cuentas por pagar"/>
      <sheetName val="Prestamos por pagar"/>
      <sheetName val="Beneficios a empleados"/>
      <sheetName val=" Provision Cesantias Retroactiv"/>
      <sheetName val=" Provision Pensiones"/>
      <sheetName val="Pasivos Contingentes"/>
      <sheetName val="Provisiones"/>
      <sheetName val="Subvenciones"/>
      <sheetName val="Reclasf patrimonio"/>
      <sheetName val="Estado financiero NIC"/>
      <sheetName val="Cambios en el patrimonio"/>
    </sheetNames>
    <sheetDataSet>
      <sheetData sheetId="0">
        <row r="2">
          <cell r="B2">
            <v>1</v>
          </cell>
          <cell r="J2" t="str">
            <v>1 ACTIVOS</v>
          </cell>
        </row>
        <row r="3">
          <cell r="B3">
            <v>11</v>
          </cell>
          <cell r="J3" t="str">
            <v>11 EFECTIVO Y EQUIVALENTES AL EFECTIVO</v>
          </cell>
        </row>
        <row r="4">
          <cell r="B4">
            <v>1105</v>
          </cell>
          <cell r="J4" t="str">
            <v>1105 CAJA</v>
          </cell>
        </row>
        <row r="5">
          <cell r="B5">
            <v>110501</v>
          </cell>
          <cell r="J5" t="str">
            <v>110501 Caja principal</v>
          </cell>
        </row>
        <row r="6">
          <cell r="B6">
            <v>11050101</v>
          </cell>
          <cell r="J6" t="str">
            <v>11050101 CAJA PRINCIPAL</v>
          </cell>
        </row>
        <row r="7">
          <cell r="B7">
            <v>11050102</v>
          </cell>
          <cell r="J7" t="str">
            <v>11050102 Base Caja Principal</v>
          </cell>
        </row>
        <row r="8">
          <cell r="B8">
            <v>11050103</v>
          </cell>
          <cell r="J8" t="str">
            <v>11050103 Base Caja de Urgencias</v>
          </cell>
        </row>
        <row r="9">
          <cell r="B9">
            <v>1110</v>
          </cell>
          <cell r="J9" t="str">
            <v>1110 DEPÓSITOS EN INSTITUCIONES FINANCIERAS</v>
          </cell>
        </row>
        <row r="10">
          <cell r="B10">
            <v>111005</v>
          </cell>
          <cell r="J10" t="str">
            <v>111005 Cuenta corriente</v>
          </cell>
        </row>
        <row r="11">
          <cell r="B11">
            <v>11100501</v>
          </cell>
          <cell r="J11" t="str">
            <v>11100501 Banco Agrario Cta. 1472-</v>
          </cell>
        </row>
        <row r="12">
          <cell r="B12">
            <v>11100506</v>
          </cell>
          <cell r="J12" t="str">
            <v>11100506 Bancolombia Cta 651-1546</v>
          </cell>
        </row>
        <row r="13">
          <cell r="B13">
            <v>111006</v>
          </cell>
          <cell r="J13" t="str">
            <v>111006 Cuenta de ahorro</v>
          </cell>
        </row>
        <row r="14">
          <cell r="B14">
            <v>11100601</v>
          </cell>
          <cell r="J14" t="str">
            <v>11100601 Cooperativa San Roque -</v>
          </cell>
        </row>
        <row r="15">
          <cell r="B15">
            <v>11100602</v>
          </cell>
          <cell r="J15" t="str">
            <v>11100602 Cooperativa Multiactiva</v>
          </cell>
        </row>
        <row r="16">
          <cell r="B16">
            <v>11100605</v>
          </cell>
          <cell r="J16" t="str">
            <v>11100605 BANAGRARIO 4-1472-2-0159</v>
          </cell>
        </row>
        <row r="17">
          <cell r="B17">
            <v>11100606</v>
          </cell>
          <cell r="J17" t="str">
            <v>11100606 DAVIVIENDA DAMAS - 03640</v>
          </cell>
        </row>
        <row r="18">
          <cell r="B18">
            <v>11100607</v>
          </cell>
          <cell r="J18" t="str">
            <v>11100607 BANCOLOMBIA - APS 163913</v>
          </cell>
        </row>
        <row r="19">
          <cell r="B19">
            <v>11100608</v>
          </cell>
          <cell r="J19" t="str">
            <v>11100608 TELEMEDICINA - 163-98498</v>
          </cell>
        </row>
        <row r="20">
          <cell r="B20">
            <v>11100609</v>
          </cell>
          <cell r="J20" t="str">
            <v>11100609 BANCOLOMBIA PROYECTOS -</v>
          </cell>
        </row>
        <row r="21">
          <cell r="B21">
            <v>111008</v>
          </cell>
          <cell r="J21" t="str">
            <v>111008 Certificado de deposito de ahorro a termino</v>
          </cell>
        </row>
        <row r="22">
          <cell r="B22">
            <v>11100801</v>
          </cell>
          <cell r="J22" t="str">
            <v>11100801 C.D.A.T</v>
          </cell>
        </row>
        <row r="23">
          <cell r="B23">
            <v>11100802</v>
          </cell>
          <cell r="J23" t="str">
            <v>11100802 Bancaf‚ Cta 265-10405-9</v>
          </cell>
        </row>
        <row r="24">
          <cell r="B24">
            <v>1132</v>
          </cell>
          <cell r="J24" t="str">
            <v>1132 EFECTIVO DE USO RESTRINGIDO</v>
          </cell>
        </row>
        <row r="25">
          <cell r="B25">
            <v>113210</v>
          </cell>
          <cell r="J25" t="str">
            <v xml:space="preserve">113210 Depósitos en Instituciones Financieras </v>
          </cell>
        </row>
        <row r="26">
          <cell r="B26">
            <v>11321001</v>
          </cell>
          <cell r="J26" t="str">
            <v>11321001 TELEMEDICINA - 163-98498</v>
          </cell>
        </row>
        <row r="27">
          <cell r="B27">
            <v>11321002</v>
          </cell>
          <cell r="J27" t="str">
            <v>11321002 BANCOLOMBIA PROYECTOS -</v>
          </cell>
        </row>
        <row r="28">
          <cell r="B28">
            <v>12</v>
          </cell>
          <cell r="J28" t="str">
            <v xml:space="preserve">12 INVERSIONES E INSTRUMENTOS DERIVADOS </v>
          </cell>
        </row>
        <row r="29">
          <cell r="B29">
            <v>1224</v>
          </cell>
          <cell r="J29" t="str">
            <v>1224 INVERSIONES DE ADMINISTRACIÓN DE LIQUIDEZ AL COSTO</v>
          </cell>
        </row>
        <row r="30">
          <cell r="B30">
            <v>122415</v>
          </cell>
          <cell r="J30" t="str">
            <v xml:space="preserve">122415 Cuotas o Partes de Interés Social </v>
          </cell>
        </row>
        <row r="31">
          <cell r="B31">
            <v>12241501</v>
          </cell>
          <cell r="J31" t="str">
            <v>12241501 Entidades del Sector Solidario COHAN</v>
          </cell>
        </row>
        <row r="32">
          <cell r="B32">
            <v>12241502</v>
          </cell>
          <cell r="J32" t="str">
            <v>12241502 Cooperativa San Roque -</v>
          </cell>
        </row>
        <row r="33">
          <cell r="B33">
            <v>13</v>
          </cell>
          <cell r="J33" t="str">
            <v>13 CUENTAS POR COBRAR</v>
          </cell>
        </row>
        <row r="34">
          <cell r="B34">
            <v>1319</v>
          </cell>
          <cell r="J34" t="str">
            <v>1319 PRESTACIÓN DE SERVICIOS DE SALUD</v>
          </cell>
        </row>
        <row r="35">
          <cell r="B35">
            <v>131901</v>
          </cell>
          <cell r="J35" t="str">
            <v>131901 Plan Obligatorio de Salud (POS - EPS) – Sin facturar o con facturacion pendiente por radicar</v>
          </cell>
        </row>
        <row r="36">
          <cell r="B36">
            <v>13190101</v>
          </cell>
          <cell r="J36" t="str">
            <v>13190101 Plan Obligatorio de Salud (POS-EPS) Sin Facturar</v>
          </cell>
        </row>
        <row r="37">
          <cell r="B37">
            <v>13190102</v>
          </cell>
          <cell r="J37" t="str">
            <v>13190102 Plan Obligatorio de Salud (POS-EPS) Sin Radicar</v>
          </cell>
        </row>
        <row r="38">
          <cell r="B38">
            <v>131902</v>
          </cell>
          <cell r="J38" t="str">
            <v>131902 Plan Obligatorio de Salud (POS - EPS</v>
          </cell>
        </row>
        <row r="39">
          <cell r="B39">
            <v>13190201</v>
          </cell>
          <cell r="J39" t="str">
            <v>13190201 Plan Obligatorio de Salud (POS - EPS) Con facturacion radicada</v>
          </cell>
        </row>
        <row r="40">
          <cell r="B40">
            <v>131903</v>
          </cell>
          <cell r="J40" t="str">
            <v>131903 Plan subsidiado de salud (POSS - EPS) – Sin facturar o con facturacion pendiente por radicar</v>
          </cell>
        </row>
        <row r="41">
          <cell r="B41">
            <v>13190301</v>
          </cell>
          <cell r="J41" t="str">
            <v>13190301 Plan subsidiado de salud (POSS - EPS) Sin Facturar</v>
          </cell>
        </row>
        <row r="42">
          <cell r="B42">
            <v>13190302</v>
          </cell>
          <cell r="J42" t="str">
            <v>13190302 Plan subsidiado de salud (POSS - EPS) Sin Radicar</v>
          </cell>
        </row>
        <row r="43">
          <cell r="B43">
            <v>131904</v>
          </cell>
          <cell r="J43" t="str">
            <v>131904 Plan subsidiado de salud (POSS - EPS)</v>
          </cell>
        </row>
        <row r="44">
          <cell r="B44">
            <v>13190401</v>
          </cell>
          <cell r="J44" t="str">
            <v>13190401 Plan subsidiado de salud (POSS - EPS)- Con facturacion radicada</v>
          </cell>
        </row>
        <row r="45">
          <cell r="B45">
            <v>131908</v>
          </cell>
          <cell r="J45" t="str">
            <v>131908 Servicios de Salud – IPS Privadas – Sin facturar o con facturacion pendiente por radicar</v>
          </cell>
        </row>
        <row r="46">
          <cell r="B46">
            <v>13190801</v>
          </cell>
          <cell r="J46" t="str">
            <v>13190801 Servicios de Salud – IPS Privadas – Sin facturar o con facturacion pendiente por radicar</v>
          </cell>
        </row>
        <row r="47">
          <cell r="B47">
            <v>131909</v>
          </cell>
          <cell r="J47" t="str">
            <v xml:space="preserve">131909 Servicios de Salud por IPS Privadas – Con facturación radicada </v>
          </cell>
        </row>
        <row r="48">
          <cell r="B48">
            <v>13190901</v>
          </cell>
          <cell r="J48" t="str">
            <v>13190901 Servicios de Salud por IPS Privadas  Facturacion Radicada</v>
          </cell>
        </row>
        <row r="49">
          <cell r="B49">
            <v>131910</v>
          </cell>
          <cell r="J49" t="str">
            <v>131910 Servicios de Salud por IPS Públicas – Sin facturar o con facturado pendiente por radicar</v>
          </cell>
        </row>
        <row r="50">
          <cell r="B50">
            <v>13191001</v>
          </cell>
          <cell r="J50" t="str">
            <v>13191001 Servicios de Salud por IPS Públicas Sin Facturar</v>
          </cell>
        </row>
        <row r="51">
          <cell r="B51">
            <v>13191002</v>
          </cell>
          <cell r="J51" t="str">
            <v>13191002 Servicios de Salud por IPS Públicas Sin Radicar</v>
          </cell>
        </row>
        <row r="52">
          <cell r="B52">
            <v>131911</v>
          </cell>
          <cell r="J52" t="str">
            <v xml:space="preserve">131911 Servicios de Salud por IPS Públicas – Con facturación radicada </v>
          </cell>
        </row>
        <row r="53">
          <cell r="B53">
            <v>13191101</v>
          </cell>
          <cell r="J53" t="str">
            <v xml:space="preserve">13191101 Servicios de Salud por IPS Públicas – Con facturación radicada </v>
          </cell>
        </row>
        <row r="54">
          <cell r="B54">
            <v>131912</v>
          </cell>
          <cell r="J54" t="str">
            <v>131912 Servicios de Salud  por compañías aseguradoras – Sin facturar o con facturado pendiente por radicar</v>
          </cell>
        </row>
        <row r="55">
          <cell r="B55">
            <v>13191201</v>
          </cell>
          <cell r="J55" t="str">
            <v>13191201 Servicios de Salud  por compañías aseguradoras Sin Facturar</v>
          </cell>
        </row>
        <row r="56">
          <cell r="B56">
            <v>13191202</v>
          </cell>
          <cell r="J56" t="str">
            <v>13191202 Servicios de Salud  por compañías aseguradoras Sin Radicar</v>
          </cell>
        </row>
        <row r="57">
          <cell r="B57">
            <v>131914</v>
          </cell>
          <cell r="J57" t="str">
            <v>131914 Servicios de Salud por Entidades con régimen especial – Sin facturar o con facturado pendiente por radicar</v>
          </cell>
        </row>
        <row r="58">
          <cell r="B58">
            <v>13191401</v>
          </cell>
          <cell r="J58" t="str">
            <v>13191401 Servicios de Salud por Entidades con régimen especial Sin Facturar</v>
          </cell>
        </row>
        <row r="59">
          <cell r="B59">
            <v>13191402</v>
          </cell>
          <cell r="J59" t="str">
            <v>13191402 Servicios de Salud por Entidades con régimen especial Sin Radicar</v>
          </cell>
        </row>
        <row r="60">
          <cell r="B60">
            <v>131917</v>
          </cell>
          <cell r="J60" t="str">
            <v>131917 Atención accidentes de tránsito SOAT – Compañías de seguros</v>
          </cell>
        </row>
        <row r="61">
          <cell r="B61">
            <v>13191701</v>
          </cell>
          <cell r="J61" t="str">
            <v>13191701 Atención accidentes de tránsito SOAT – Compañías de seguros Sin Facturar</v>
          </cell>
        </row>
        <row r="62">
          <cell r="B62">
            <v>13191702</v>
          </cell>
          <cell r="J62" t="str">
            <v>13191702 Atención accidentes de tránsito SOAT – Compañías de seguros</v>
          </cell>
        </row>
        <row r="63">
          <cell r="B63">
            <v>131918</v>
          </cell>
          <cell r="J63" t="str">
            <v xml:space="preserve">131918 Atención accidentes de tránsito SOAT – Compañías de seguros – Con facturación radicada </v>
          </cell>
        </row>
        <row r="64">
          <cell r="B64">
            <v>13191801</v>
          </cell>
          <cell r="J64" t="str">
            <v xml:space="preserve">13191801 Atención accidentes de tránsito SOAT – Compañías de seguros – Con facturación radicada </v>
          </cell>
        </row>
        <row r="65">
          <cell r="B65">
            <v>131921</v>
          </cell>
          <cell r="J65" t="str">
            <v>131921 Atención con cargo al subsidio a la oferta – Sin facturar o con facturado pendiente por radicar</v>
          </cell>
        </row>
        <row r="66">
          <cell r="B66">
            <v>13192101</v>
          </cell>
          <cell r="J66" t="str">
            <v>13192101 Atención con cargo al subsidio a la oferta Sin Facturar</v>
          </cell>
        </row>
        <row r="67">
          <cell r="B67">
            <v>13192102</v>
          </cell>
          <cell r="J67" t="str">
            <v>13192102 Atención con cargo al subsidio a la oferta  Sin radicar</v>
          </cell>
        </row>
        <row r="68">
          <cell r="B68">
            <v>131922</v>
          </cell>
          <cell r="J68" t="str">
            <v xml:space="preserve">131922 Atención con cargo al subsidio a la oferta facturación radicada </v>
          </cell>
        </row>
        <row r="69">
          <cell r="B69">
            <v>13192201</v>
          </cell>
          <cell r="J69" t="str">
            <v xml:space="preserve">13192201 Atención con cargo al subsidio a la oferta Facturación radicada </v>
          </cell>
        </row>
        <row r="70">
          <cell r="B70">
            <v>131923</v>
          </cell>
          <cell r="J70" t="str">
            <v>131923 Riesgos laborales (ARL) – Sin facturar o con facturado pendiente por radicar</v>
          </cell>
        </row>
        <row r="71">
          <cell r="B71">
            <v>13192301</v>
          </cell>
          <cell r="J71" t="str">
            <v>13192301 Riesgos laborales (ARL) Sin Facturar</v>
          </cell>
        </row>
        <row r="72">
          <cell r="B72">
            <v>13192302</v>
          </cell>
          <cell r="J72" t="str">
            <v>13192302 Riesgos laborales (ARL) Sin radicar</v>
          </cell>
        </row>
        <row r="73">
          <cell r="B73">
            <v>131924</v>
          </cell>
          <cell r="J73" t="str">
            <v xml:space="preserve">131924 Riesgos laborales (ARL) – Con facturación radicada </v>
          </cell>
        </row>
        <row r="74">
          <cell r="B74">
            <v>13192401</v>
          </cell>
          <cell r="J74" t="str">
            <v>13192401 Riesgos laborales (ARL) facturacion Radicada</v>
          </cell>
        </row>
        <row r="75">
          <cell r="B75">
            <v>1384</v>
          </cell>
          <cell r="J75" t="str">
            <v>1384 OTRAS CUENTAS POR COBRAR</v>
          </cell>
        </row>
        <row r="76">
          <cell r="B76">
            <v>138490</v>
          </cell>
          <cell r="J76" t="str">
            <v>138490 Otras Cuentas por Cobrar</v>
          </cell>
        </row>
        <row r="77">
          <cell r="B77">
            <v>13849002</v>
          </cell>
          <cell r="J77" t="str">
            <v>13849002 Telefonia Celular</v>
          </cell>
        </row>
        <row r="78">
          <cell r="B78">
            <v>1385</v>
          </cell>
          <cell r="J78" t="str">
            <v>1385 Cuentas por cobrar de dificil recaudo</v>
          </cell>
        </row>
        <row r="79">
          <cell r="B79">
            <v>138509</v>
          </cell>
          <cell r="J79" t="str">
            <v>138509 Prestaciòn de servicios de salud</v>
          </cell>
        </row>
        <row r="80">
          <cell r="B80">
            <v>13850901</v>
          </cell>
          <cell r="J80" t="str">
            <v>13850901 Plan Obligatorio de Salud</v>
          </cell>
        </row>
        <row r="81">
          <cell r="B81">
            <v>13850902</v>
          </cell>
          <cell r="J81" t="str">
            <v>13850902 Plan Subsidiado de Salud</v>
          </cell>
        </row>
        <row r="82">
          <cell r="B82">
            <v>13850903</v>
          </cell>
          <cell r="J82" t="str">
            <v>13850903 Servicios de Salud Parti</v>
          </cell>
        </row>
        <row r="83">
          <cell r="B83">
            <v>13850904</v>
          </cell>
          <cell r="J83" t="str">
            <v>13850904 IPS Publicas</v>
          </cell>
        </row>
        <row r="84">
          <cell r="B84">
            <v>13850905</v>
          </cell>
          <cell r="J84" t="str">
            <v>13850905 Entidades con Regimen Especial</v>
          </cell>
        </row>
        <row r="85">
          <cell r="B85">
            <v>13850906</v>
          </cell>
          <cell r="J85" t="str">
            <v>13850906 Atención con Cargo</v>
          </cell>
        </row>
        <row r="86">
          <cell r="B86">
            <v>13850907</v>
          </cell>
          <cell r="J86" t="str">
            <v>13850907 Riesgos Profesionales</v>
          </cell>
        </row>
        <row r="87">
          <cell r="B87">
            <v>13850908</v>
          </cell>
          <cell r="J87" t="str">
            <v>13850908 Atencion Accidentes de Transito</v>
          </cell>
        </row>
        <row r="88">
          <cell r="B88">
            <v>1386</v>
          </cell>
          <cell r="J88" t="str">
            <v>1386 DETERIORO ACUMULADO DE CUENTAS POR COBRAR (CR)</v>
          </cell>
        </row>
        <row r="89">
          <cell r="B89">
            <v>138609</v>
          </cell>
          <cell r="J89" t="str">
            <v xml:space="preserve">138609 Prestación de Servicios de salud </v>
          </cell>
        </row>
        <row r="90">
          <cell r="B90">
            <v>13860901</v>
          </cell>
          <cell r="J90" t="str">
            <v xml:space="preserve">13860901 Prestación de Servicios de salud </v>
          </cell>
        </row>
        <row r="91">
          <cell r="B91">
            <v>13860902</v>
          </cell>
          <cell r="J91" t="str">
            <v xml:space="preserve">13860902 Glosas </v>
          </cell>
        </row>
        <row r="92">
          <cell r="B92">
            <v>14</v>
          </cell>
          <cell r="J92" t="str">
            <v>14 PRÉSTAMOS POR COBRAR</v>
          </cell>
        </row>
        <row r="93">
          <cell r="B93">
            <v>1415</v>
          </cell>
          <cell r="J93" t="str">
            <v>1415 PRÉSTAMOS CONCEDIDOS</v>
          </cell>
        </row>
        <row r="94">
          <cell r="B94">
            <v>141525</v>
          </cell>
          <cell r="J94" t="str">
            <v xml:space="preserve">141525 Créditos a empleados </v>
          </cell>
        </row>
        <row r="95">
          <cell r="B95">
            <v>14152501</v>
          </cell>
          <cell r="J95" t="str">
            <v>14152501 Prestamos a empleados Fondo de Vivienda</v>
          </cell>
        </row>
        <row r="96">
          <cell r="B96">
            <v>14152502</v>
          </cell>
          <cell r="J96" t="str">
            <v xml:space="preserve">14152502 Prestamos a empleados Bienestar </v>
          </cell>
        </row>
        <row r="97">
          <cell r="B97">
            <v>15</v>
          </cell>
          <cell r="J97" t="str">
            <v>15 INVENTARIOS</v>
          </cell>
        </row>
        <row r="98">
          <cell r="B98">
            <v>1514</v>
          </cell>
          <cell r="J98" t="str">
            <v>1514 MATERIALES Y SUMINISTROS</v>
          </cell>
        </row>
        <row r="99">
          <cell r="B99">
            <v>151403</v>
          </cell>
          <cell r="J99" t="str">
            <v xml:space="preserve">151403 Medicamentos </v>
          </cell>
        </row>
        <row r="100">
          <cell r="B100">
            <v>15140301</v>
          </cell>
          <cell r="J100" t="str">
            <v>15140301 Medicamentos Hospital</v>
          </cell>
        </row>
        <row r="101">
          <cell r="B101">
            <v>15140302</v>
          </cell>
          <cell r="J101" t="str">
            <v>15140302 Medicamentos san Jose</v>
          </cell>
        </row>
        <row r="102">
          <cell r="B102">
            <v>15140303</v>
          </cell>
          <cell r="J102" t="str">
            <v>15140303 Medicamentos Cristales</v>
          </cell>
        </row>
        <row r="103">
          <cell r="B103">
            <v>15140304</v>
          </cell>
          <cell r="J103" t="str">
            <v>15140304 STOCK HOSPITAL SAN ROQUE</v>
          </cell>
        </row>
        <row r="104">
          <cell r="B104">
            <v>15140305</v>
          </cell>
          <cell r="J104" t="str">
            <v>15140305 STOCK CENTRO SALUD SAN J</v>
          </cell>
        </row>
        <row r="105">
          <cell r="B105">
            <v>15140306</v>
          </cell>
          <cell r="J105" t="str">
            <v>15140306 STOCK CENTRO SALUD CRIST</v>
          </cell>
        </row>
        <row r="106">
          <cell r="B106">
            <v>15140307</v>
          </cell>
          <cell r="J106" t="str">
            <v>15140307 STOCK PUESTO SALUD PROVI</v>
          </cell>
        </row>
        <row r="107">
          <cell r="B107">
            <v>15140308</v>
          </cell>
          <cell r="J107" t="str">
            <v>15140308 STOCK PUESTO SALUD MULAT</v>
          </cell>
        </row>
        <row r="108">
          <cell r="B108">
            <v>151404</v>
          </cell>
          <cell r="J108" t="str">
            <v xml:space="preserve">151404 Materiales médico - quirúrgicos </v>
          </cell>
        </row>
        <row r="109">
          <cell r="B109">
            <v>15140401</v>
          </cell>
          <cell r="J109" t="str">
            <v>15140401 Materiales médico - quirúrgicos Hospital</v>
          </cell>
        </row>
        <row r="110">
          <cell r="B110">
            <v>15140402</v>
          </cell>
          <cell r="J110" t="str">
            <v xml:space="preserve">15140402 Materiales médico - quirúrgicos San Jose </v>
          </cell>
        </row>
        <row r="111">
          <cell r="B111">
            <v>15140403</v>
          </cell>
          <cell r="J111" t="str">
            <v>15140403 Materiales médico - quirúrgicos Cristales</v>
          </cell>
        </row>
        <row r="112">
          <cell r="B112">
            <v>151405</v>
          </cell>
          <cell r="J112" t="str">
            <v xml:space="preserve">151405 Materiales reactivos y de laboratorio </v>
          </cell>
        </row>
        <row r="113">
          <cell r="B113">
            <v>15140501</v>
          </cell>
          <cell r="J113" t="str">
            <v>15140501 Materiales reactivos y de laboratorio Hospital</v>
          </cell>
        </row>
        <row r="114">
          <cell r="B114">
            <v>15140502</v>
          </cell>
          <cell r="J114" t="str">
            <v>15140502 Materiales reactivos y de laboratorio San Jose</v>
          </cell>
        </row>
        <row r="115">
          <cell r="B115">
            <v>15140503</v>
          </cell>
          <cell r="J115" t="str">
            <v>15140503 Materiales reactivos y de laboratorio Cristales</v>
          </cell>
        </row>
        <row r="116">
          <cell r="B116">
            <v>151406</v>
          </cell>
          <cell r="J116" t="str">
            <v xml:space="preserve">151406 Materiales odontológicos </v>
          </cell>
        </row>
        <row r="117">
          <cell r="B117">
            <v>15140601</v>
          </cell>
          <cell r="J117" t="str">
            <v>15140601 Materiales odontológicos Hospital</v>
          </cell>
        </row>
        <row r="118">
          <cell r="B118">
            <v>15140602</v>
          </cell>
          <cell r="J118" t="str">
            <v>15140602 Materiales odontológicos San Jose</v>
          </cell>
        </row>
        <row r="119">
          <cell r="B119">
            <v>151407</v>
          </cell>
          <cell r="J119" t="str">
            <v xml:space="preserve">151407 Materiales para imagenología </v>
          </cell>
        </row>
        <row r="120">
          <cell r="B120">
            <v>15140701</v>
          </cell>
          <cell r="J120" t="str">
            <v xml:space="preserve">15140701 Materiales para imagenología </v>
          </cell>
        </row>
        <row r="121">
          <cell r="B121">
            <v>16</v>
          </cell>
          <cell r="J121" t="str">
            <v>16 PROPIEDADES, PLANTA Y EQUIPO</v>
          </cell>
        </row>
        <row r="122">
          <cell r="B122">
            <v>1605</v>
          </cell>
          <cell r="J122" t="str">
            <v>1605 TERRENOS</v>
          </cell>
        </row>
        <row r="123">
          <cell r="B123">
            <v>160501</v>
          </cell>
          <cell r="J123" t="str">
            <v>160501 Urbanos</v>
          </cell>
        </row>
        <row r="124">
          <cell r="B124">
            <v>16050101</v>
          </cell>
          <cell r="J124" t="str">
            <v>16050101 Terrenos Urbanos</v>
          </cell>
        </row>
        <row r="125">
          <cell r="B125">
            <v>160502</v>
          </cell>
          <cell r="J125" t="str">
            <v>160502 Rurales</v>
          </cell>
        </row>
        <row r="126">
          <cell r="B126">
            <v>16050201</v>
          </cell>
          <cell r="J126" t="str">
            <v>16050201 Centro Salud San Jos‚ de</v>
          </cell>
        </row>
        <row r="127">
          <cell r="B127">
            <v>16050202</v>
          </cell>
          <cell r="J127" t="str">
            <v>16050202 Centro Salud Cristales</v>
          </cell>
        </row>
        <row r="128">
          <cell r="B128">
            <v>16050203</v>
          </cell>
          <cell r="J128" t="str">
            <v>16050203 Puesto de Salud Providen</v>
          </cell>
        </row>
        <row r="129">
          <cell r="B129">
            <v>1615</v>
          </cell>
          <cell r="J129" t="str">
            <v>1615 CONSTRUCCIONES EN CURSO</v>
          </cell>
        </row>
        <row r="130">
          <cell r="B130">
            <v>161501</v>
          </cell>
          <cell r="J130" t="str">
            <v>161501 Edificaciones</v>
          </cell>
        </row>
        <row r="131">
          <cell r="B131">
            <v>16150101</v>
          </cell>
          <cell r="J131" t="str">
            <v>16150101 Edificaciones</v>
          </cell>
        </row>
        <row r="132">
          <cell r="B132">
            <v>1620</v>
          </cell>
          <cell r="J132" t="str">
            <v>1620 MAQUINARIA, PLANTA Y EQUIPO EN MONTAJE</v>
          </cell>
        </row>
        <row r="133">
          <cell r="B133">
            <v>162003</v>
          </cell>
          <cell r="J133" t="str">
            <v>162003 Maquinaria y Equipo</v>
          </cell>
        </row>
        <row r="134">
          <cell r="B134">
            <v>16200301</v>
          </cell>
          <cell r="J134" t="str">
            <v>16200301 Equipo Medico y Cientifico</v>
          </cell>
        </row>
        <row r="135">
          <cell r="B135">
            <v>16200302</v>
          </cell>
          <cell r="J135" t="str">
            <v>16200302 Maquinaria y Equipo</v>
          </cell>
        </row>
        <row r="136">
          <cell r="B136">
            <v>162005</v>
          </cell>
          <cell r="J136" t="str">
            <v>162005 Equipos de comunicación y computación</v>
          </cell>
        </row>
        <row r="137">
          <cell r="B137">
            <v>16200501</v>
          </cell>
          <cell r="J137" t="str">
            <v>16200501 Equipos de comunicación y computación</v>
          </cell>
        </row>
        <row r="138">
          <cell r="B138">
            <v>162090</v>
          </cell>
          <cell r="J138" t="str">
            <v>162090 Otras maquinarias, planta y equipo en montaje</v>
          </cell>
        </row>
        <row r="139">
          <cell r="B139">
            <v>16209001</v>
          </cell>
          <cell r="J139" t="str">
            <v>16209001 Muebles y enseres</v>
          </cell>
        </row>
        <row r="140">
          <cell r="B140">
            <v>1640</v>
          </cell>
          <cell r="J140" t="str">
            <v>1640 EDIFICACIONES</v>
          </cell>
        </row>
        <row r="141">
          <cell r="B141">
            <v>164010</v>
          </cell>
          <cell r="J141" t="str">
            <v>164010 Clínicas y hospitales</v>
          </cell>
        </row>
        <row r="142">
          <cell r="B142">
            <v>16401001</v>
          </cell>
          <cell r="J142" t="str">
            <v>16401001 Hospital San Roque</v>
          </cell>
        </row>
        <row r="143">
          <cell r="B143">
            <v>16401002</v>
          </cell>
          <cell r="J143" t="str">
            <v>16401002 Centro de Salud San Jose</v>
          </cell>
        </row>
        <row r="144">
          <cell r="B144">
            <v>16401003</v>
          </cell>
          <cell r="J144" t="str">
            <v>16401003 Centro de Salud Cristale</v>
          </cell>
        </row>
        <row r="145">
          <cell r="B145">
            <v>16401004</v>
          </cell>
          <cell r="J145" t="str">
            <v>16401004 Puesto de Salud Providen</v>
          </cell>
        </row>
        <row r="146">
          <cell r="B146">
            <v>1645</v>
          </cell>
          <cell r="J146" t="str">
            <v>1645 PLANTAS, DUCTOS Y TÚNELES</v>
          </cell>
        </row>
        <row r="147">
          <cell r="B147">
            <v>164501</v>
          </cell>
          <cell r="J147" t="str">
            <v>164501 Plantas de generación</v>
          </cell>
        </row>
        <row r="148">
          <cell r="B148">
            <v>16450101</v>
          </cell>
          <cell r="J148" t="str">
            <v>16450101 Planta electrica</v>
          </cell>
        </row>
        <row r="149">
          <cell r="B149">
            <v>1650</v>
          </cell>
          <cell r="J149" t="str">
            <v>1650 REDES, LINEAS Y CABLES</v>
          </cell>
        </row>
        <row r="150">
          <cell r="B150">
            <v>165002</v>
          </cell>
          <cell r="J150" t="str">
            <v>165002 Rede sde Distribucion</v>
          </cell>
        </row>
        <row r="151">
          <cell r="B151">
            <v>16500201</v>
          </cell>
          <cell r="J151" t="str">
            <v xml:space="preserve">16500201 Redes de Disrtibuci¢n </v>
          </cell>
        </row>
        <row r="152">
          <cell r="B152">
            <v>165008</v>
          </cell>
          <cell r="J152" t="str">
            <v>165008 Líneas y cables de transmisión</v>
          </cell>
        </row>
        <row r="153">
          <cell r="B153">
            <v>16500801</v>
          </cell>
          <cell r="J153" t="str">
            <v>16500801 Lineas Telefonicas</v>
          </cell>
        </row>
        <row r="154">
          <cell r="B154">
            <v>1655</v>
          </cell>
          <cell r="J154" t="str">
            <v>1655 MAQUINARIA Y EQUIPO</v>
          </cell>
        </row>
        <row r="155">
          <cell r="B155">
            <v>165504</v>
          </cell>
          <cell r="J155" t="str">
            <v>165504 Maquinaria Industrial</v>
          </cell>
        </row>
        <row r="156">
          <cell r="B156">
            <v>16550401</v>
          </cell>
          <cell r="J156" t="str">
            <v>16550401 Equipo de Asepcia</v>
          </cell>
        </row>
        <row r="157">
          <cell r="B157">
            <v>165506</v>
          </cell>
          <cell r="J157" t="str">
            <v>165506 Equipo de recreación y deporte</v>
          </cell>
        </row>
        <row r="158">
          <cell r="B158">
            <v>16550601</v>
          </cell>
          <cell r="J158" t="str">
            <v>16550601 Equipo de recreación y deporte</v>
          </cell>
        </row>
        <row r="159">
          <cell r="B159">
            <v>165522</v>
          </cell>
          <cell r="J159" t="str">
            <v>165522 Equipo de Ayuda Audiovisual</v>
          </cell>
        </row>
        <row r="160">
          <cell r="B160">
            <v>16552201</v>
          </cell>
          <cell r="J160" t="str">
            <v>16552201 Equipo de Ayuda Audiovisual</v>
          </cell>
        </row>
        <row r="161">
          <cell r="B161">
            <v>1660</v>
          </cell>
          <cell r="J161" t="str">
            <v>1660 EQUIPO MEDICO Y CIENTIFICO</v>
          </cell>
        </row>
        <row r="162">
          <cell r="B162">
            <v>166002</v>
          </cell>
          <cell r="J162" t="str">
            <v>166002 Equipo de laboratorio</v>
          </cell>
        </row>
        <row r="163">
          <cell r="B163">
            <v>16600201</v>
          </cell>
          <cell r="J163" t="str">
            <v>16600201 Equipo de laboratorio</v>
          </cell>
        </row>
        <row r="164">
          <cell r="B164">
            <v>166003</v>
          </cell>
          <cell r="J164" t="str">
            <v>166003 Equipo de urgencias</v>
          </cell>
        </row>
        <row r="165">
          <cell r="B165">
            <v>16600301</v>
          </cell>
          <cell r="J165" t="str">
            <v>16600301 Equipo de urgencias</v>
          </cell>
        </row>
        <row r="166">
          <cell r="B166">
            <v>166005</v>
          </cell>
          <cell r="J166" t="str">
            <v>166005 Equipo de hospitalizaciòn</v>
          </cell>
        </row>
        <row r="167">
          <cell r="B167">
            <v>16600501</v>
          </cell>
          <cell r="J167" t="str">
            <v>16600501 Equipo de hospitalizaciòn</v>
          </cell>
        </row>
        <row r="168">
          <cell r="B168">
            <v>166006</v>
          </cell>
          <cell r="J168" t="str">
            <v>166006 Equipo de quirofanos y salas de parto</v>
          </cell>
        </row>
        <row r="169">
          <cell r="B169">
            <v>16600601</v>
          </cell>
          <cell r="J169" t="str">
            <v>16600601 Equipo de quirofanos y salas de parto</v>
          </cell>
        </row>
        <row r="170">
          <cell r="B170">
            <v>166007</v>
          </cell>
          <cell r="J170" t="str">
            <v>166007 Equipo de apoyo dianostico</v>
          </cell>
        </row>
        <row r="171">
          <cell r="B171">
            <v>16600701</v>
          </cell>
          <cell r="J171" t="str">
            <v>16600701 Equipo de apoyo dianostico</v>
          </cell>
        </row>
        <row r="172">
          <cell r="B172">
            <v>166008</v>
          </cell>
          <cell r="J172" t="str">
            <v>166008 Equipo de apoyo terapeutico</v>
          </cell>
        </row>
        <row r="173">
          <cell r="B173">
            <v>16600801</v>
          </cell>
          <cell r="J173" t="str">
            <v>16600801 Equipo de apoyo terapeutico</v>
          </cell>
        </row>
        <row r="174">
          <cell r="B174">
            <v>166009</v>
          </cell>
          <cell r="J174" t="str">
            <v>166009 Equipo de servicio ambulatorio</v>
          </cell>
        </row>
        <row r="175">
          <cell r="B175">
            <v>16600901</v>
          </cell>
          <cell r="J175" t="str">
            <v>16600901 Equipo Odontologico</v>
          </cell>
        </row>
        <row r="176">
          <cell r="B176">
            <v>16600902</v>
          </cell>
          <cell r="J176" t="str">
            <v>16600902 Equipo de Consulta Externa</v>
          </cell>
        </row>
        <row r="177">
          <cell r="B177">
            <v>16600903</v>
          </cell>
          <cell r="J177" t="str">
            <v>16600903 Equipo de Vacunacion</v>
          </cell>
        </row>
        <row r="178">
          <cell r="B178">
            <v>1665</v>
          </cell>
          <cell r="J178" t="str">
            <v>1665 MUEBLES, ENSERES Y EQUIPO DE OFICINA</v>
          </cell>
        </row>
        <row r="179">
          <cell r="B179">
            <v>166501</v>
          </cell>
          <cell r="J179" t="str">
            <v>166501 Muebles y Enseres</v>
          </cell>
        </row>
        <row r="180">
          <cell r="B180">
            <v>16650101</v>
          </cell>
          <cell r="J180" t="str">
            <v>16650101 Muebles y Enseres</v>
          </cell>
        </row>
        <row r="181">
          <cell r="B181">
            <v>1670</v>
          </cell>
          <cell r="J181" t="str">
            <v>1670 EQUIPOS DE COMUNICACIÓN Y COMPUTACIÓN</v>
          </cell>
        </row>
        <row r="182">
          <cell r="B182">
            <v>167001</v>
          </cell>
          <cell r="J182" t="str">
            <v>167001 Equipo de comunicación</v>
          </cell>
        </row>
        <row r="183">
          <cell r="B183">
            <v>16700101</v>
          </cell>
          <cell r="J183" t="str">
            <v>16700101 Equipo de comunicación</v>
          </cell>
        </row>
        <row r="184">
          <cell r="B184">
            <v>167002</v>
          </cell>
          <cell r="J184" t="str">
            <v>167002 Equipo de computación</v>
          </cell>
        </row>
        <row r="185">
          <cell r="B185">
            <v>16700201</v>
          </cell>
          <cell r="J185" t="str">
            <v>16700201 Equipo de computación</v>
          </cell>
        </row>
        <row r="186">
          <cell r="B186">
            <v>1675</v>
          </cell>
          <cell r="J186" t="str">
            <v>1675 EQUIPOS DE TRANSPORTE, TRACCIÓN Y ELEVACIÓN</v>
          </cell>
        </row>
        <row r="187">
          <cell r="B187">
            <v>167502</v>
          </cell>
          <cell r="J187" t="str">
            <v>167502 Terrestre</v>
          </cell>
        </row>
        <row r="188">
          <cell r="B188">
            <v>16750201</v>
          </cell>
          <cell r="J188" t="str">
            <v>16750201 Ambulancia</v>
          </cell>
        </row>
        <row r="189">
          <cell r="B189">
            <v>16750202</v>
          </cell>
          <cell r="J189" t="str">
            <v>16750202 Camionetas y Camperos</v>
          </cell>
        </row>
        <row r="190">
          <cell r="B190">
            <v>16750203</v>
          </cell>
          <cell r="J190" t="str">
            <v>16750203 Motocicletas</v>
          </cell>
        </row>
        <row r="191">
          <cell r="B191">
            <v>1685</v>
          </cell>
          <cell r="J191" t="str">
            <v>1685 DEPRECIACIÓN ACUMULADA DE PROPIEDADES, PLANTA Y EQUIPO (CR)</v>
          </cell>
        </row>
        <row r="192">
          <cell r="B192">
            <v>168501</v>
          </cell>
          <cell r="J192" t="str">
            <v xml:space="preserve">168501 Edificaciones </v>
          </cell>
        </row>
        <row r="193">
          <cell r="B193">
            <v>16850101</v>
          </cell>
          <cell r="J193" t="str">
            <v xml:space="preserve">16850101 Edificaciones </v>
          </cell>
        </row>
        <row r="194">
          <cell r="B194">
            <v>168502</v>
          </cell>
          <cell r="J194" t="str">
            <v>168502 Plantas, ductos y túneles</v>
          </cell>
        </row>
        <row r="195">
          <cell r="B195">
            <v>16850201</v>
          </cell>
          <cell r="J195" t="str">
            <v>16850201 Plantas, ductos y túneles</v>
          </cell>
        </row>
        <row r="196">
          <cell r="B196">
            <v>168503</v>
          </cell>
          <cell r="J196" t="str">
            <v>168503 Redes, líneas y cables</v>
          </cell>
        </row>
        <row r="197">
          <cell r="B197">
            <v>16850301</v>
          </cell>
          <cell r="J197" t="str">
            <v>16850301 Redes, líneas y cables</v>
          </cell>
        </row>
        <row r="198">
          <cell r="B198">
            <v>168504</v>
          </cell>
          <cell r="J198" t="str">
            <v>168504 Maquinaria y equipo</v>
          </cell>
        </row>
        <row r="199">
          <cell r="B199">
            <v>16850401</v>
          </cell>
          <cell r="J199" t="str">
            <v>16850401 Equipo Audiovisual</v>
          </cell>
        </row>
        <row r="200">
          <cell r="B200">
            <v>16850402</v>
          </cell>
          <cell r="J200" t="str">
            <v>16850402 Equipo de Gimnacio</v>
          </cell>
        </row>
        <row r="201">
          <cell r="B201">
            <v>16850403</v>
          </cell>
          <cell r="J201" t="str">
            <v>16850403 Equipo de Asepsia</v>
          </cell>
        </row>
        <row r="202">
          <cell r="B202">
            <v>168505</v>
          </cell>
          <cell r="J202" t="str">
            <v>168505 Equipo medico y cientifico</v>
          </cell>
        </row>
        <row r="203">
          <cell r="B203">
            <v>16850501</v>
          </cell>
          <cell r="J203" t="str">
            <v>16850501 Equipo de Laboratorio</v>
          </cell>
        </row>
        <row r="204">
          <cell r="B204">
            <v>16850502</v>
          </cell>
          <cell r="J204" t="str">
            <v>16850502 Equipo de Urgencias</v>
          </cell>
        </row>
        <row r="205">
          <cell r="B205">
            <v>16850503</v>
          </cell>
          <cell r="J205" t="str">
            <v>16850503 Equipo de Hospitalizacion</v>
          </cell>
        </row>
        <row r="206">
          <cell r="B206">
            <v>16850504</v>
          </cell>
          <cell r="J206" t="str">
            <v>16850504 Equipo de Quirofanos y S</v>
          </cell>
        </row>
        <row r="207">
          <cell r="B207">
            <v>16850505</v>
          </cell>
          <cell r="J207" t="str">
            <v>16850505 Equipo de Apoyo Diagnostico</v>
          </cell>
        </row>
        <row r="208">
          <cell r="B208">
            <v>16850506</v>
          </cell>
          <cell r="J208" t="str">
            <v>16850506 Equipo de Apoyo Terapeut</v>
          </cell>
        </row>
        <row r="209">
          <cell r="B209">
            <v>16850507</v>
          </cell>
          <cell r="J209" t="str">
            <v>16850507 Equipo Odontologico</v>
          </cell>
        </row>
        <row r="210">
          <cell r="B210">
            <v>16850508</v>
          </cell>
          <cell r="J210" t="str">
            <v>16850508 Equipo de Consulta Exter</v>
          </cell>
        </row>
        <row r="211">
          <cell r="B211">
            <v>16850510</v>
          </cell>
          <cell r="J211" t="str">
            <v>16850510 Equipo de Vacunacion</v>
          </cell>
        </row>
        <row r="212">
          <cell r="B212">
            <v>168506</v>
          </cell>
          <cell r="J212" t="str">
            <v>168506 Muebles, enseres y equipo de oficina</v>
          </cell>
        </row>
        <row r="213">
          <cell r="B213">
            <v>16850601</v>
          </cell>
          <cell r="J213" t="str">
            <v>16850601 Muebles, enseres y equipo de oficina</v>
          </cell>
        </row>
        <row r="214">
          <cell r="B214">
            <v>168507</v>
          </cell>
          <cell r="J214" t="str">
            <v>168507 Equipos de comunicación y computación</v>
          </cell>
        </row>
        <row r="215">
          <cell r="B215">
            <v>16850701</v>
          </cell>
          <cell r="J215" t="str">
            <v>16850701 Equipos de comunicación</v>
          </cell>
        </row>
        <row r="216">
          <cell r="B216">
            <v>16850702</v>
          </cell>
          <cell r="J216" t="str">
            <v>16850702 Equipos de  computación</v>
          </cell>
        </row>
        <row r="217">
          <cell r="B217">
            <v>168508</v>
          </cell>
          <cell r="J217" t="str">
            <v>168508 Equipos de transporte, tracción y elevación</v>
          </cell>
        </row>
        <row r="218">
          <cell r="B218">
            <v>16850801</v>
          </cell>
          <cell r="J218" t="str">
            <v>16850801 Ambulancias</v>
          </cell>
        </row>
        <row r="219">
          <cell r="B219">
            <v>16850802</v>
          </cell>
          <cell r="J219" t="str">
            <v>16850802 Camionetas y Camperos</v>
          </cell>
        </row>
        <row r="220">
          <cell r="B220">
            <v>16850803</v>
          </cell>
          <cell r="J220" t="str">
            <v>16850803 Motocicletas</v>
          </cell>
        </row>
        <row r="221">
          <cell r="B221">
            <v>19</v>
          </cell>
          <cell r="J221" t="str">
            <v>19 OTROS ACTIVOS</v>
          </cell>
        </row>
        <row r="222">
          <cell r="B222">
            <v>1905</v>
          </cell>
          <cell r="J222" t="str">
            <v xml:space="preserve">1905 BIENES Y SERVICIOS PAGADOS POR ANTICIPADO </v>
          </cell>
        </row>
        <row r="223">
          <cell r="B223">
            <v>190501</v>
          </cell>
          <cell r="J223" t="str">
            <v>190501 Seguros</v>
          </cell>
        </row>
        <row r="224">
          <cell r="B224">
            <v>19050101</v>
          </cell>
          <cell r="J224" t="str">
            <v>19050101 Seguros Multiriesgos</v>
          </cell>
        </row>
        <row r="225">
          <cell r="B225">
            <v>190511</v>
          </cell>
          <cell r="J225" t="str">
            <v>190511 Sueldos y Salarios</v>
          </cell>
        </row>
        <row r="226">
          <cell r="B226">
            <v>19051101</v>
          </cell>
          <cell r="J226" t="str">
            <v>19051101 Situado Fiscal Cesantias</v>
          </cell>
        </row>
        <row r="227">
          <cell r="B227">
            <v>190512</v>
          </cell>
          <cell r="J227" t="str">
            <v>190512 Contribuciones efectivas</v>
          </cell>
        </row>
        <row r="228">
          <cell r="B228">
            <v>19051201</v>
          </cell>
          <cell r="J228" t="str">
            <v>19051201 S.G.P. Aportes SALUD</v>
          </cell>
        </row>
        <row r="229">
          <cell r="B229">
            <v>19051202</v>
          </cell>
          <cell r="J229" t="str">
            <v>19051202 S.G.P. Aportes FONDOS PENSIONES</v>
          </cell>
        </row>
        <row r="230">
          <cell r="B230">
            <v>19051203</v>
          </cell>
          <cell r="J230" t="str">
            <v>19051203 S.G.P. Aportes A.R.P.</v>
          </cell>
        </row>
        <row r="231">
          <cell r="B231">
            <v>1970</v>
          </cell>
          <cell r="J231" t="str">
            <v>1970 ACTIVOS INTANGIBLES</v>
          </cell>
        </row>
        <row r="232">
          <cell r="B232">
            <v>197007</v>
          </cell>
          <cell r="J232" t="str">
            <v>197007 Licencias</v>
          </cell>
        </row>
        <row r="233">
          <cell r="B233">
            <v>19700701</v>
          </cell>
          <cell r="J233" t="str">
            <v>19700701 Licencias</v>
          </cell>
        </row>
        <row r="234">
          <cell r="B234">
            <v>1975</v>
          </cell>
          <cell r="J234" t="str">
            <v>1975 AMORTIZACIÓN ACUMULADA DE ACTIVOS INTANGIBLES (CR)</v>
          </cell>
        </row>
        <row r="235">
          <cell r="B235">
            <v>197507</v>
          </cell>
          <cell r="J235" t="str">
            <v>197507 Licencias</v>
          </cell>
        </row>
        <row r="236">
          <cell r="B236">
            <v>19750701</v>
          </cell>
          <cell r="J236" t="str">
            <v>19750701 Licencias</v>
          </cell>
        </row>
        <row r="237">
          <cell r="B237">
            <v>2</v>
          </cell>
          <cell r="J237" t="str">
            <v>2 PASIVOS</v>
          </cell>
        </row>
        <row r="238">
          <cell r="B238">
            <v>24</v>
          </cell>
          <cell r="J238" t="str">
            <v xml:space="preserve">24 CUENTAS POR PAGAR </v>
          </cell>
        </row>
        <row r="239">
          <cell r="B239">
            <v>2401</v>
          </cell>
          <cell r="J239" t="str">
            <v>2401 ADQUISICIÓN DE BIENES Y SERVICIOS NACIONALES</v>
          </cell>
        </row>
        <row r="240">
          <cell r="B240">
            <v>240101</v>
          </cell>
          <cell r="J240" t="str">
            <v>240101 Bienes y Servicios</v>
          </cell>
        </row>
        <row r="241">
          <cell r="B241">
            <v>24010101</v>
          </cell>
          <cell r="J241" t="str">
            <v>24010101 Bienes y Servicios</v>
          </cell>
        </row>
        <row r="242">
          <cell r="B242">
            <v>2429</v>
          </cell>
          <cell r="J242" t="str">
            <v>2429 SERVICIOS  Y HONORARIOS</v>
          </cell>
        </row>
        <row r="243">
          <cell r="B243">
            <v>242901</v>
          </cell>
          <cell r="J243" t="str">
            <v>242901 Honorarios</v>
          </cell>
        </row>
        <row r="244">
          <cell r="B244">
            <v>24290101</v>
          </cell>
          <cell r="J244" t="str">
            <v>24290101 Honorarios</v>
          </cell>
        </row>
        <row r="245">
          <cell r="B245">
            <v>242902</v>
          </cell>
          <cell r="J245" t="str">
            <v>242902 Servicios</v>
          </cell>
        </row>
        <row r="246">
          <cell r="B246">
            <v>24290201</v>
          </cell>
          <cell r="J246" t="str">
            <v>24290201 Servicios</v>
          </cell>
        </row>
        <row r="247">
          <cell r="B247">
            <v>2460</v>
          </cell>
          <cell r="J247" t="str">
            <v>2460 CREDITOS JUDICIALES</v>
          </cell>
        </row>
        <row r="248">
          <cell r="B248">
            <v>246002</v>
          </cell>
          <cell r="J248" t="str">
            <v>246002 Sentencias</v>
          </cell>
        </row>
        <row r="249">
          <cell r="B249">
            <v>24600201</v>
          </cell>
          <cell r="J249" t="str">
            <v>24600201 Sentencias</v>
          </cell>
        </row>
        <row r="250">
          <cell r="B250">
            <v>25</v>
          </cell>
          <cell r="J250" t="str">
            <v xml:space="preserve">25 BENEFICIOS A LOS EMPLEADOS </v>
          </cell>
        </row>
        <row r="251">
          <cell r="B251">
            <v>2511</v>
          </cell>
          <cell r="J251" t="str">
            <v>2511 BENEFICIOS A LOS EMPLEADOS A CORTO PLAZO</v>
          </cell>
        </row>
        <row r="252">
          <cell r="B252">
            <v>251101</v>
          </cell>
          <cell r="J252" t="str">
            <v>251101 Nomina por pagar</v>
          </cell>
        </row>
        <row r="253">
          <cell r="B253">
            <v>25110101</v>
          </cell>
          <cell r="J253" t="str">
            <v>25110101 Nomina por pagar</v>
          </cell>
        </row>
        <row r="254">
          <cell r="B254">
            <v>251102</v>
          </cell>
          <cell r="J254" t="str">
            <v>251102 Cesantías</v>
          </cell>
        </row>
        <row r="255">
          <cell r="B255">
            <v>25110201</v>
          </cell>
          <cell r="J255" t="str">
            <v>25110201 Cesantias</v>
          </cell>
        </row>
        <row r="256">
          <cell r="B256">
            <v>251103</v>
          </cell>
          <cell r="J256" t="str">
            <v>251103 Intereses sobre las Cesantias</v>
          </cell>
        </row>
        <row r="257">
          <cell r="B257">
            <v>25110301</v>
          </cell>
          <cell r="J257" t="str">
            <v>25110301 Intereses sobre las Cesantias</v>
          </cell>
        </row>
        <row r="258">
          <cell r="B258">
            <v>251104</v>
          </cell>
          <cell r="J258" t="str">
            <v>251104 Vacaciones</v>
          </cell>
        </row>
        <row r="259">
          <cell r="B259">
            <v>25110401</v>
          </cell>
          <cell r="J259" t="str">
            <v>25110401 Vacaciones</v>
          </cell>
        </row>
        <row r="260">
          <cell r="B260">
            <v>251105</v>
          </cell>
          <cell r="J260" t="str">
            <v>251105 Prima de vacaciones</v>
          </cell>
        </row>
        <row r="261">
          <cell r="B261">
            <v>25110501</v>
          </cell>
          <cell r="J261" t="str">
            <v>25110501 Prima de vacaciones</v>
          </cell>
        </row>
        <row r="262">
          <cell r="B262">
            <v>251106</v>
          </cell>
          <cell r="J262" t="str">
            <v>251106 Prima de servicios</v>
          </cell>
        </row>
        <row r="263">
          <cell r="B263">
            <v>25110601</v>
          </cell>
          <cell r="J263" t="str">
            <v>25110601 Prima de servicios</v>
          </cell>
        </row>
        <row r="264">
          <cell r="B264">
            <v>251107</v>
          </cell>
          <cell r="J264" t="str">
            <v>251107 Prima de Navidad</v>
          </cell>
        </row>
        <row r="265">
          <cell r="B265">
            <v>25110701</v>
          </cell>
          <cell r="J265" t="str">
            <v>25110701 Prima de Navidad</v>
          </cell>
        </row>
        <row r="266">
          <cell r="B266">
            <v>251109</v>
          </cell>
          <cell r="J266" t="str">
            <v>251109 Bonificaciones</v>
          </cell>
        </row>
        <row r="267">
          <cell r="B267">
            <v>25110901</v>
          </cell>
          <cell r="J267" t="str">
            <v>25110901 Bonificaciones</v>
          </cell>
        </row>
        <row r="268">
          <cell r="B268">
            <v>2512</v>
          </cell>
          <cell r="J268" t="str">
            <v>2512 BENEFICIO A LOS EMPLEADOS LARGO PLAZO</v>
          </cell>
        </row>
        <row r="269">
          <cell r="B269">
            <v>251290</v>
          </cell>
          <cell r="J269" t="str">
            <v>251290 Otros beneficios a los beneficios a largo plazo</v>
          </cell>
        </row>
        <row r="270">
          <cell r="B270">
            <v>25129001</v>
          </cell>
          <cell r="J270" t="str">
            <v>25129001 Cesantias retroactivas</v>
          </cell>
        </row>
        <row r="271">
          <cell r="B271">
            <v>25129002</v>
          </cell>
          <cell r="J271" t="str">
            <v>25129002 Pensiones por cuenta propia</v>
          </cell>
        </row>
        <row r="272">
          <cell r="B272">
            <v>27</v>
          </cell>
          <cell r="J272" t="str">
            <v>27 PROVISIONES</v>
          </cell>
        </row>
        <row r="273">
          <cell r="B273">
            <v>2701</v>
          </cell>
          <cell r="J273" t="str">
            <v>2701 LITIGIOS Y DEMANDAS</v>
          </cell>
        </row>
        <row r="274">
          <cell r="B274">
            <v>270101</v>
          </cell>
          <cell r="J274" t="str">
            <v>270101 Civiles</v>
          </cell>
        </row>
        <row r="275">
          <cell r="B275">
            <v>27010101</v>
          </cell>
          <cell r="J275" t="str">
            <v>27010101 Provisiones Litigios y Demandas</v>
          </cell>
        </row>
        <row r="276">
          <cell r="B276">
            <v>3</v>
          </cell>
          <cell r="J276" t="str">
            <v>3 PATRIMONIO</v>
          </cell>
        </row>
        <row r="277">
          <cell r="B277">
            <v>32</v>
          </cell>
          <cell r="J277" t="str">
            <v>32 PATRIMONIO DE LAS EMPRESAS</v>
          </cell>
        </row>
        <row r="278">
          <cell r="B278">
            <v>3208</v>
          </cell>
          <cell r="J278" t="str">
            <v>3208 CAPITAL FISCAL</v>
          </cell>
        </row>
        <row r="279">
          <cell r="B279">
            <v>320801</v>
          </cell>
          <cell r="J279" t="str">
            <v>320801 Capital fiscal</v>
          </cell>
        </row>
        <row r="280">
          <cell r="B280">
            <v>32080101</v>
          </cell>
          <cell r="J280" t="str">
            <v>32080101 Capital fiscal</v>
          </cell>
        </row>
        <row r="281">
          <cell r="B281">
            <v>3230</v>
          </cell>
          <cell r="J281" t="str">
            <v>3230 RESULTADOS DEL EJERCICIO</v>
          </cell>
        </row>
        <row r="282">
          <cell r="B282">
            <v>323001</v>
          </cell>
          <cell r="J282" t="str">
            <v>323001 Utilidad o excedente del ejercicio</v>
          </cell>
        </row>
        <row r="283">
          <cell r="B283">
            <v>32300101</v>
          </cell>
          <cell r="J283" t="str">
            <v>32300101 Utilidad o excedente del ejercicio</v>
          </cell>
        </row>
        <row r="284">
          <cell r="B284">
            <v>3268</v>
          </cell>
          <cell r="J284" t="str">
            <v>3268 IMPACTOS POR LA TRANSICIÓN AL NUEVO MARCO DE REGULACIÓN</v>
          </cell>
        </row>
        <row r="285">
          <cell r="B285">
            <v>326802</v>
          </cell>
          <cell r="J285" t="str">
            <v xml:space="preserve">326802 Inversiones e instrumentos derivados </v>
          </cell>
        </row>
        <row r="286">
          <cell r="B286">
            <v>32680202</v>
          </cell>
          <cell r="J286" t="str">
            <v>32680202 Revalorizacion de los aportes</v>
          </cell>
        </row>
        <row r="287">
          <cell r="B287">
            <v>32680203</v>
          </cell>
          <cell r="J287" t="str">
            <v>32680203 Ajuste por Diferencia en Inversiones</v>
          </cell>
        </row>
        <row r="288">
          <cell r="B288">
            <v>326803</v>
          </cell>
          <cell r="J288" t="str">
            <v xml:space="preserve">326803 Cuentas por Cobrar </v>
          </cell>
        </row>
        <row r="289">
          <cell r="B289">
            <v>32680302</v>
          </cell>
          <cell r="J289" t="str">
            <v xml:space="preserve">32680302 Baja en Provision </v>
          </cell>
        </row>
        <row r="290">
          <cell r="B290">
            <v>32680303</v>
          </cell>
          <cell r="J290" t="str">
            <v>32680303 Deterioro de la Cartera</v>
          </cell>
        </row>
        <row r="291">
          <cell r="B291">
            <v>32680305</v>
          </cell>
          <cell r="J291" t="str">
            <v>32680305 Deteriro de Glosas</v>
          </cell>
        </row>
        <row r="292">
          <cell r="B292">
            <v>326804</v>
          </cell>
          <cell r="J292" t="str">
            <v xml:space="preserve">326804 Préstamos por Cobrar </v>
          </cell>
        </row>
        <row r="293">
          <cell r="B293">
            <v>32680401</v>
          </cell>
          <cell r="J293" t="str">
            <v xml:space="preserve">32680401 Préstamos por Cobrar </v>
          </cell>
        </row>
        <row r="294">
          <cell r="B294">
            <v>326805</v>
          </cell>
          <cell r="J294" t="str">
            <v xml:space="preserve">326805 Inventarios </v>
          </cell>
        </row>
        <row r="295">
          <cell r="B295">
            <v>32680501</v>
          </cell>
          <cell r="J295" t="str">
            <v xml:space="preserve">32680501 Inventarios </v>
          </cell>
        </row>
        <row r="296">
          <cell r="B296">
            <v>326806</v>
          </cell>
          <cell r="J296" t="str">
            <v xml:space="preserve">326806 Propiedades, planta y equipo </v>
          </cell>
        </row>
        <row r="297">
          <cell r="B297">
            <v>32680601</v>
          </cell>
          <cell r="J297" t="str">
            <v>32680601 Ajuste en diferencia de terreno</v>
          </cell>
        </row>
        <row r="298">
          <cell r="B298">
            <v>32680602</v>
          </cell>
          <cell r="J298" t="str">
            <v>32680602 Ajuste en diferencia Edificios</v>
          </cell>
        </row>
        <row r="299">
          <cell r="B299">
            <v>32680605</v>
          </cell>
          <cell r="J299" t="str">
            <v>32680605 Ajuste por Valorizacion de Terreno</v>
          </cell>
        </row>
        <row r="300">
          <cell r="B300">
            <v>32680606</v>
          </cell>
          <cell r="J300" t="str">
            <v>32680606 Ajuste por Valorizacion de Edificios</v>
          </cell>
        </row>
        <row r="301">
          <cell r="B301">
            <v>326810</v>
          </cell>
          <cell r="J301" t="str">
            <v xml:space="preserve">326810 Otros activos </v>
          </cell>
        </row>
        <row r="302">
          <cell r="B302">
            <v>32681001</v>
          </cell>
          <cell r="J302" t="str">
            <v>32681001 Materiales y suministros</v>
          </cell>
        </row>
        <row r="303">
          <cell r="B303">
            <v>32681002</v>
          </cell>
          <cell r="J303" t="str">
            <v>32681002 Dotacion a Trabajadores</v>
          </cell>
        </row>
        <row r="304">
          <cell r="B304">
            <v>32681003</v>
          </cell>
          <cell r="J304" t="str">
            <v>32681003 Elementos de Lenceria</v>
          </cell>
        </row>
        <row r="305">
          <cell r="B305">
            <v>32681004</v>
          </cell>
          <cell r="J305" t="str">
            <v>32681004 Loza y Cristaleria</v>
          </cell>
        </row>
        <row r="306">
          <cell r="B306">
            <v>32681005</v>
          </cell>
          <cell r="J306" t="str">
            <v>32681005 Ropa Hospitalaria y Quirurgica</v>
          </cell>
        </row>
        <row r="307">
          <cell r="B307">
            <v>32681006</v>
          </cell>
          <cell r="J307" t="str">
            <v>32681006 Elementos de Lavanderia</v>
          </cell>
        </row>
        <row r="308">
          <cell r="B308">
            <v>32681007</v>
          </cell>
          <cell r="J308" t="str">
            <v>32681007 Combustibles y Lubricantes</v>
          </cell>
        </row>
        <row r="309">
          <cell r="B309">
            <v>32681008</v>
          </cell>
          <cell r="J309" t="str">
            <v>32681008 Utiles y papeleria</v>
          </cell>
        </row>
        <row r="310">
          <cell r="B310">
            <v>32681009</v>
          </cell>
          <cell r="J310" t="str">
            <v>32681009 Repuestos para Vehiculos</v>
          </cell>
        </row>
        <row r="311">
          <cell r="B311">
            <v>326815</v>
          </cell>
          <cell r="J311" t="str">
            <v xml:space="preserve">326815 Beneficios a empleados </v>
          </cell>
        </row>
        <row r="312">
          <cell r="B312">
            <v>32681502</v>
          </cell>
          <cell r="J312" t="str">
            <v>32681502 Calculo cesantias retroactivas</v>
          </cell>
        </row>
        <row r="313">
          <cell r="B313">
            <v>32681503</v>
          </cell>
          <cell r="J313" t="str">
            <v xml:space="preserve">32681503 Calculo pensiones </v>
          </cell>
        </row>
        <row r="314">
          <cell r="B314">
            <v>326817</v>
          </cell>
          <cell r="J314" t="str">
            <v xml:space="preserve">326817 Provisiones </v>
          </cell>
        </row>
        <row r="315">
          <cell r="B315">
            <v>32681701</v>
          </cell>
          <cell r="J315" t="str">
            <v xml:space="preserve">32681701 Provisiones </v>
          </cell>
        </row>
        <row r="316">
          <cell r="B316">
            <v>326890</v>
          </cell>
          <cell r="J316" t="str">
            <v>326890 Otros impactos por transición</v>
          </cell>
        </row>
        <row r="317">
          <cell r="B317">
            <v>32689001</v>
          </cell>
          <cell r="J317" t="str">
            <v>32689001 Donacion en Dinero</v>
          </cell>
        </row>
        <row r="318">
          <cell r="B318">
            <v>32689002</v>
          </cell>
          <cell r="J318" t="str">
            <v>32689002 En Especie</v>
          </cell>
        </row>
        <row r="319">
          <cell r="B319">
            <v>32689003</v>
          </cell>
          <cell r="J319" t="str">
            <v xml:space="preserve">32689003 Centro de Salud San Jose </v>
          </cell>
        </row>
        <row r="320">
          <cell r="B320">
            <v>32689004</v>
          </cell>
          <cell r="J320" t="str">
            <v>32689004 Centro de Salud Cristales</v>
          </cell>
        </row>
        <row r="321">
          <cell r="B321">
            <v>32689005</v>
          </cell>
          <cell r="J321" t="str">
            <v>32689005 Puesto de Salud Providen</v>
          </cell>
        </row>
        <row r="322">
          <cell r="B322">
            <v>32689006</v>
          </cell>
          <cell r="J322" t="str">
            <v>32689006 Terrenos Urbanos</v>
          </cell>
        </row>
        <row r="323">
          <cell r="B323">
            <v>32689007</v>
          </cell>
          <cell r="J323" t="str">
            <v>32689007 Terreno San Jose</v>
          </cell>
        </row>
        <row r="324">
          <cell r="B324">
            <v>32689008</v>
          </cell>
          <cell r="J324" t="str">
            <v>32689008 Terreno de Cristales</v>
          </cell>
        </row>
        <row r="325">
          <cell r="B325">
            <v>32689009</v>
          </cell>
          <cell r="J325" t="str">
            <v>32689009 Terreno de Providencia</v>
          </cell>
        </row>
        <row r="326">
          <cell r="B326">
            <v>32689010</v>
          </cell>
          <cell r="J326" t="str">
            <v>32689010 Edificaciones - Hospitales</v>
          </cell>
        </row>
        <row r="327">
          <cell r="J327" t="str">
            <v xml:space="preserve"> </v>
          </cell>
        </row>
        <row r="328">
          <cell r="J328" t="str">
            <v xml:space="preserve"> </v>
          </cell>
        </row>
        <row r="329">
          <cell r="J329" t="str">
            <v xml:space="preserve"> </v>
          </cell>
        </row>
        <row r="330">
          <cell r="J330" t="str">
            <v xml:space="preserve"> </v>
          </cell>
        </row>
        <row r="331">
          <cell r="J331" t="str">
            <v xml:space="preserve"> </v>
          </cell>
        </row>
        <row r="332">
          <cell r="J332" t="str">
            <v xml:space="preserve"> </v>
          </cell>
        </row>
        <row r="333">
          <cell r="J333" t="str">
            <v xml:space="preserve"> </v>
          </cell>
        </row>
        <row r="334">
          <cell r="J334" t="str">
            <v xml:space="preserve"> </v>
          </cell>
        </row>
        <row r="335">
          <cell r="J335" t="str">
            <v xml:space="preserve"> </v>
          </cell>
        </row>
        <row r="336">
          <cell r="J336" t="str">
            <v xml:space="preserve"> </v>
          </cell>
        </row>
        <row r="337">
          <cell r="J337" t="str">
            <v xml:space="preserve"> </v>
          </cell>
        </row>
        <row r="338">
          <cell r="J338" t="str">
            <v xml:space="preserve"> </v>
          </cell>
        </row>
        <row r="339">
          <cell r="J339" t="str">
            <v xml:space="preserve"> </v>
          </cell>
        </row>
        <row r="340">
          <cell r="J340" t="str">
            <v xml:space="preserve"> </v>
          </cell>
        </row>
        <row r="341">
          <cell r="J341" t="str">
            <v xml:space="preserve"> </v>
          </cell>
        </row>
        <row r="342">
          <cell r="J342" t="str">
            <v xml:space="preserve"> </v>
          </cell>
        </row>
        <row r="343">
          <cell r="J343" t="str">
            <v xml:space="preserve"> </v>
          </cell>
        </row>
        <row r="344">
          <cell r="J344" t="str">
            <v xml:space="preserve"> </v>
          </cell>
        </row>
        <row r="345">
          <cell r="J345" t="str">
            <v xml:space="preserve"> </v>
          </cell>
        </row>
        <row r="346">
          <cell r="J346" t="str">
            <v xml:space="preserve"> </v>
          </cell>
        </row>
        <row r="347">
          <cell r="J347" t="str">
            <v xml:space="preserve"> </v>
          </cell>
        </row>
        <row r="348">
          <cell r="J348" t="str">
            <v xml:space="preserve"> </v>
          </cell>
        </row>
        <row r="349">
          <cell r="J349" t="str">
            <v xml:space="preserve"> </v>
          </cell>
        </row>
        <row r="350">
          <cell r="J350" t="str">
            <v xml:space="preserve"> </v>
          </cell>
        </row>
        <row r="351">
          <cell r="J351" t="str">
            <v xml:space="preserve"> </v>
          </cell>
        </row>
        <row r="352">
          <cell r="J352" t="str">
            <v xml:space="preserve"> </v>
          </cell>
        </row>
        <row r="353">
          <cell r="J353" t="str">
            <v xml:space="preserve"> </v>
          </cell>
        </row>
        <row r="354">
          <cell r="J354" t="str">
            <v xml:space="preserve"> </v>
          </cell>
        </row>
        <row r="355">
          <cell r="J355" t="str">
            <v xml:space="preserve"> </v>
          </cell>
        </row>
        <row r="356">
          <cell r="J356" t="str">
            <v xml:space="preserve"> </v>
          </cell>
        </row>
        <row r="357">
          <cell r="J357" t="str">
            <v xml:space="preserve"> </v>
          </cell>
        </row>
        <row r="358">
          <cell r="J358" t="str">
            <v xml:space="preserve"> </v>
          </cell>
        </row>
        <row r="359">
          <cell r="J359" t="str">
            <v xml:space="preserve"> </v>
          </cell>
        </row>
        <row r="360">
          <cell r="J360" t="str">
            <v xml:space="preserve"> </v>
          </cell>
        </row>
        <row r="361">
          <cell r="J361" t="str">
            <v xml:space="preserve"> </v>
          </cell>
        </row>
        <row r="362">
          <cell r="J362" t="str">
            <v xml:space="preserve"> </v>
          </cell>
        </row>
        <row r="363">
          <cell r="J363" t="str">
            <v xml:space="preserve"> </v>
          </cell>
        </row>
        <row r="364">
          <cell r="J364" t="str">
            <v xml:space="preserve"> </v>
          </cell>
        </row>
        <row r="365">
          <cell r="J365" t="str">
            <v xml:space="preserve"> </v>
          </cell>
        </row>
        <row r="366">
          <cell r="J366" t="str">
            <v xml:space="preserve"> </v>
          </cell>
        </row>
        <row r="367">
          <cell r="J367" t="str">
            <v xml:space="preserve"> </v>
          </cell>
        </row>
        <row r="368">
          <cell r="J368" t="str">
            <v xml:space="preserve"> </v>
          </cell>
        </row>
        <row r="369">
          <cell r="J369" t="str">
            <v xml:space="preserve"> </v>
          </cell>
        </row>
        <row r="370">
          <cell r="J370" t="str">
            <v xml:space="preserve"> </v>
          </cell>
        </row>
        <row r="371">
          <cell r="J371" t="str">
            <v xml:space="preserve"> </v>
          </cell>
        </row>
        <row r="372">
          <cell r="J372" t="str">
            <v xml:space="preserve"> </v>
          </cell>
        </row>
        <row r="373">
          <cell r="J373" t="str">
            <v xml:space="preserve"> </v>
          </cell>
        </row>
        <row r="374">
          <cell r="J374" t="str">
            <v xml:space="preserve"> </v>
          </cell>
        </row>
        <row r="375">
          <cell r="J375" t="str">
            <v xml:space="preserve"> </v>
          </cell>
        </row>
        <row r="376">
          <cell r="J376" t="str">
            <v xml:space="preserve"> </v>
          </cell>
        </row>
        <row r="377">
          <cell r="J377" t="str">
            <v xml:space="preserve"> </v>
          </cell>
        </row>
        <row r="378">
          <cell r="J378" t="str">
            <v xml:space="preserve"> </v>
          </cell>
        </row>
        <row r="379">
          <cell r="J379" t="str">
            <v xml:space="preserve"> </v>
          </cell>
        </row>
        <row r="380">
          <cell r="J380" t="str">
            <v xml:space="preserve"> </v>
          </cell>
        </row>
        <row r="381">
          <cell r="J381" t="str">
            <v xml:space="preserve"> </v>
          </cell>
        </row>
        <row r="382">
          <cell r="J382" t="str">
            <v xml:space="preserve"> </v>
          </cell>
        </row>
        <row r="383">
          <cell r="J383" t="str">
            <v xml:space="preserve"> </v>
          </cell>
        </row>
        <row r="384">
          <cell r="J384" t="str">
            <v xml:space="preserve"> </v>
          </cell>
        </row>
        <row r="385">
          <cell r="J385" t="str">
            <v xml:space="preserve"> </v>
          </cell>
        </row>
        <row r="386">
          <cell r="J386" t="str">
            <v xml:space="preserve"> </v>
          </cell>
        </row>
        <row r="387">
          <cell r="J387" t="str">
            <v xml:space="preserve"> </v>
          </cell>
        </row>
        <row r="388">
          <cell r="J388" t="str">
            <v xml:space="preserve"> </v>
          </cell>
        </row>
        <row r="389">
          <cell r="J389" t="str">
            <v xml:space="preserve"> </v>
          </cell>
        </row>
        <row r="390">
          <cell r="J390" t="str">
            <v xml:space="preserve"> </v>
          </cell>
        </row>
        <row r="391">
          <cell r="J391" t="str">
            <v xml:space="preserve"> </v>
          </cell>
        </row>
        <row r="392">
          <cell r="J392" t="str">
            <v xml:space="preserve"> </v>
          </cell>
        </row>
        <row r="393">
          <cell r="J393" t="str">
            <v xml:space="preserve"> </v>
          </cell>
        </row>
        <row r="394">
          <cell r="J394" t="str">
            <v xml:space="preserve"> </v>
          </cell>
        </row>
        <row r="395">
          <cell r="J395" t="str">
            <v xml:space="preserve"> </v>
          </cell>
        </row>
        <row r="396">
          <cell r="J396" t="str">
            <v xml:space="preserve"> </v>
          </cell>
        </row>
        <row r="397">
          <cell r="J397" t="str">
            <v xml:space="preserve"> </v>
          </cell>
        </row>
        <row r="398">
          <cell r="J398" t="str">
            <v xml:space="preserve"> </v>
          </cell>
        </row>
        <row r="399">
          <cell r="J399" t="str">
            <v xml:space="preserve"> </v>
          </cell>
        </row>
        <row r="400">
          <cell r="J400" t="str">
            <v xml:space="preserve"> </v>
          </cell>
        </row>
        <row r="401">
          <cell r="J401" t="str">
            <v xml:space="preserve"> </v>
          </cell>
        </row>
        <row r="402">
          <cell r="J402" t="str">
            <v xml:space="preserve"> </v>
          </cell>
        </row>
        <row r="403">
          <cell r="J403" t="str">
            <v xml:space="preserve"> </v>
          </cell>
        </row>
        <row r="404">
          <cell r="J404" t="str">
            <v xml:space="preserve"> </v>
          </cell>
        </row>
        <row r="405">
          <cell r="J405" t="str">
            <v xml:space="preserve"> </v>
          </cell>
        </row>
        <row r="406">
          <cell r="J406" t="str">
            <v xml:space="preserve"> </v>
          </cell>
        </row>
        <row r="407">
          <cell r="J407" t="str">
            <v xml:space="preserve"> </v>
          </cell>
        </row>
        <row r="408">
          <cell r="J408" t="str">
            <v xml:space="preserve"> </v>
          </cell>
        </row>
        <row r="409">
          <cell r="J409" t="str">
            <v xml:space="preserve"> </v>
          </cell>
        </row>
        <row r="410">
          <cell r="J410" t="str">
            <v xml:space="preserve"> </v>
          </cell>
        </row>
        <row r="411">
          <cell r="J411" t="str">
            <v xml:space="preserve"> </v>
          </cell>
        </row>
        <row r="412">
          <cell r="J412" t="str">
            <v xml:space="preserve"> </v>
          </cell>
        </row>
        <row r="413">
          <cell r="J413" t="str">
            <v xml:space="preserve"> </v>
          </cell>
        </row>
        <row r="414">
          <cell r="J414" t="str">
            <v xml:space="preserve"> </v>
          </cell>
        </row>
        <row r="415">
          <cell r="J415" t="str">
            <v xml:space="preserve"> </v>
          </cell>
        </row>
        <row r="416">
          <cell r="J416" t="str">
            <v xml:space="preserve"> </v>
          </cell>
        </row>
        <row r="417">
          <cell r="J417" t="str">
            <v xml:space="preserve"> </v>
          </cell>
        </row>
        <row r="418">
          <cell r="J418" t="str">
            <v xml:space="preserve"> </v>
          </cell>
        </row>
        <row r="419">
          <cell r="J419" t="str">
            <v xml:space="preserve"> </v>
          </cell>
        </row>
        <row r="420">
          <cell r="J420" t="str">
            <v xml:space="preserve"> </v>
          </cell>
        </row>
        <row r="421">
          <cell r="J421" t="str">
            <v xml:space="preserve"> </v>
          </cell>
        </row>
        <row r="422">
          <cell r="J422" t="str">
            <v xml:space="preserve"> </v>
          </cell>
        </row>
        <row r="423">
          <cell r="J423" t="str">
            <v xml:space="preserve"> </v>
          </cell>
        </row>
        <row r="424">
          <cell r="J424" t="str">
            <v xml:space="preserve"> </v>
          </cell>
        </row>
        <row r="425">
          <cell r="J425" t="str">
            <v xml:space="preserve"> </v>
          </cell>
        </row>
        <row r="426">
          <cell r="J426" t="str">
            <v xml:space="preserve"> </v>
          </cell>
        </row>
        <row r="427">
          <cell r="J427" t="str">
            <v xml:space="preserve"> </v>
          </cell>
        </row>
        <row r="428">
          <cell r="J428" t="str">
            <v xml:space="preserve"> </v>
          </cell>
        </row>
        <row r="429">
          <cell r="J429" t="str">
            <v xml:space="preserve"> </v>
          </cell>
        </row>
        <row r="430">
          <cell r="J430" t="str">
            <v xml:space="preserve"> </v>
          </cell>
        </row>
        <row r="431">
          <cell r="J431" t="str">
            <v xml:space="preserve"> </v>
          </cell>
        </row>
        <row r="432">
          <cell r="J432" t="str">
            <v xml:space="preserve"> </v>
          </cell>
        </row>
        <row r="433">
          <cell r="J433" t="str">
            <v xml:space="preserve"> </v>
          </cell>
        </row>
        <row r="434">
          <cell r="J434" t="str">
            <v xml:space="preserve"> </v>
          </cell>
        </row>
        <row r="435">
          <cell r="J435" t="str">
            <v xml:space="preserve"> </v>
          </cell>
        </row>
        <row r="436">
          <cell r="J436" t="str">
            <v xml:space="preserve"> </v>
          </cell>
        </row>
        <row r="437">
          <cell r="J437" t="str">
            <v xml:space="preserve"> </v>
          </cell>
        </row>
        <row r="438">
          <cell r="J438" t="str">
            <v xml:space="preserve"> </v>
          </cell>
        </row>
        <row r="439">
          <cell r="J439" t="str">
            <v xml:space="preserve"> </v>
          </cell>
        </row>
        <row r="440">
          <cell r="J440" t="str">
            <v xml:space="preserve"> </v>
          </cell>
        </row>
        <row r="441">
          <cell r="J441" t="str">
            <v xml:space="preserve"> </v>
          </cell>
        </row>
        <row r="442">
          <cell r="J442" t="str">
            <v xml:space="preserve"> </v>
          </cell>
        </row>
        <row r="443">
          <cell r="J443" t="str">
            <v xml:space="preserve"> </v>
          </cell>
        </row>
        <row r="444">
          <cell r="J444" t="str">
            <v xml:space="preserve"> </v>
          </cell>
        </row>
        <row r="445">
          <cell r="J445" t="str">
            <v xml:space="preserve"> </v>
          </cell>
        </row>
        <row r="446">
          <cell r="J446" t="str">
            <v xml:space="preserve"> </v>
          </cell>
        </row>
        <row r="447">
          <cell r="J447" t="str">
            <v xml:space="preserve"> </v>
          </cell>
        </row>
        <row r="448">
          <cell r="J448" t="str">
            <v xml:space="preserve"> </v>
          </cell>
        </row>
        <row r="449">
          <cell r="J449" t="str">
            <v xml:space="preserve"> </v>
          </cell>
        </row>
        <row r="450">
          <cell r="J450" t="str">
            <v xml:space="preserve"> </v>
          </cell>
        </row>
        <row r="451">
          <cell r="J451" t="str">
            <v xml:space="preserve"> </v>
          </cell>
        </row>
        <row r="452">
          <cell r="J452" t="str">
            <v xml:space="preserve"> </v>
          </cell>
        </row>
        <row r="453">
          <cell r="J453" t="str">
            <v xml:space="preserve"> </v>
          </cell>
        </row>
        <row r="454">
          <cell r="J454" t="str">
            <v xml:space="preserve"> </v>
          </cell>
        </row>
        <row r="455">
          <cell r="J455" t="str">
            <v xml:space="preserve"> </v>
          </cell>
        </row>
        <row r="456">
          <cell r="J456" t="str">
            <v xml:space="preserve"> </v>
          </cell>
        </row>
        <row r="457">
          <cell r="J457" t="str">
            <v xml:space="preserve"> </v>
          </cell>
        </row>
        <row r="458">
          <cell r="J458" t="str">
            <v xml:space="preserve"> </v>
          </cell>
        </row>
        <row r="459">
          <cell r="J459" t="str">
            <v xml:space="preserve"> </v>
          </cell>
        </row>
        <row r="460">
          <cell r="J460" t="str">
            <v xml:space="preserve"> </v>
          </cell>
        </row>
        <row r="461">
          <cell r="J461" t="str">
            <v xml:space="preserve"> </v>
          </cell>
        </row>
        <row r="462">
          <cell r="J462" t="str">
            <v xml:space="preserve"> </v>
          </cell>
        </row>
        <row r="463">
          <cell r="J463" t="str">
            <v xml:space="preserve"> </v>
          </cell>
        </row>
        <row r="464">
          <cell r="J464" t="str">
            <v xml:space="preserve"> </v>
          </cell>
        </row>
        <row r="465">
          <cell r="J465" t="str">
            <v xml:space="preserve"> </v>
          </cell>
        </row>
        <row r="466">
          <cell r="J466" t="str">
            <v xml:space="preserve"> </v>
          </cell>
        </row>
        <row r="467">
          <cell r="J467" t="str">
            <v xml:space="preserve"> </v>
          </cell>
        </row>
        <row r="468">
          <cell r="J468" t="str">
            <v xml:space="preserve"> </v>
          </cell>
        </row>
        <row r="469">
          <cell r="J469" t="str">
            <v xml:space="preserve"> </v>
          </cell>
        </row>
        <row r="470">
          <cell r="J470" t="str">
            <v xml:space="preserve"> </v>
          </cell>
        </row>
        <row r="471">
          <cell r="J471" t="str">
            <v xml:space="preserve"> </v>
          </cell>
        </row>
        <row r="472">
          <cell r="J472" t="str">
            <v xml:space="preserve"> </v>
          </cell>
        </row>
        <row r="473">
          <cell r="J473" t="str">
            <v xml:space="preserve"> </v>
          </cell>
        </row>
        <row r="474">
          <cell r="J474" t="str">
            <v xml:space="preserve"> </v>
          </cell>
        </row>
        <row r="475">
          <cell r="J475" t="str">
            <v xml:space="preserve"> </v>
          </cell>
        </row>
        <row r="476">
          <cell r="J476" t="str">
            <v xml:space="preserve"> </v>
          </cell>
        </row>
        <row r="477">
          <cell r="J477" t="str">
            <v xml:space="preserve"> </v>
          </cell>
        </row>
        <row r="478">
          <cell r="J478" t="str">
            <v xml:space="preserve"> </v>
          </cell>
        </row>
        <row r="479">
          <cell r="J479" t="str">
            <v xml:space="preserve"> </v>
          </cell>
        </row>
        <row r="480">
          <cell r="J480" t="str">
            <v xml:space="preserve"> </v>
          </cell>
        </row>
        <row r="481">
          <cell r="J481" t="str">
            <v xml:space="preserve"> </v>
          </cell>
        </row>
        <row r="482">
          <cell r="J482" t="str">
            <v xml:space="preserve"> </v>
          </cell>
        </row>
        <row r="483">
          <cell r="J483" t="str">
            <v xml:space="preserve"> </v>
          </cell>
        </row>
        <row r="484">
          <cell r="J484" t="str">
            <v xml:space="preserve"> </v>
          </cell>
        </row>
        <row r="485">
          <cell r="J485" t="str">
            <v xml:space="preserve"> </v>
          </cell>
        </row>
        <row r="486">
          <cell r="J486" t="str">
            <v xml:space="preserve"> </v>
          </cell>
        </row>
        <row r="487">
          <cell r="J487" t="str">
            <v xml:space="preserve"> </v>
          </cell>
        </row>
        <row r="488">
          <cell r="J488" t="str">
            <v xml:space="preserve"> </v>
          </cell>
        </row>
        <row r="489">
          <cell r="J489" t="str">
            <v xml:space="preserve"> </v>
          </cell>
        </row>
        <row r="490">
          <cell r="J490" t="str">
            <v xml:space="preserve"> </v>
          </cell>
        </row>
        <row r="491">
          <cell r="J491" t="str">
            <v xml:space="preserve"> </v>
          </cell>
        </row>
        <row r="492">
          <cell r="J492" t="str">
            <v xml:space="preserve"> </v>
          </cell>
        </row>
        <row r="493">
          <cell r="J493" t="str">
            <v xml:space="preserve"> </v>
          </cell>
        </row>
        <row r="494">
          <cell r="J494" t="str">
            <v xml:space="preserve"> </v>
          </cell>
        </row>
        <row r="495">
          <cell r="J495" t="str">
            <v xml:space="preserve"> </v>
          </cell>
        </row>
        <row r="496">
          <cell r="J496" t="str">
            <v xml:space="preserve"> </v>
          </cell>
        </row>
        <row r="497">
          <cell r="J497" t="str">
            <v xml:space="preserve"> </v>
          </cell>
        </row>
        <row r="498">
          <cell r="J498" t="str">
            <v xml:space="preserve"> </v>
          </cell>
        </row>
        <row r="499">
          <cell r="J499" t="str">
            <v xml:space="preserve"> </v>
          </cell>
        </row>
        <row r="500">
          <cell r="J500" t="str">
            <v xml:space="preserve"> </v>
          </cell>
        </row>
        <row r="501">
          <cell r="J501" t="str">
            <v xml:space="preserve"> </v>
          </cell>
        </row>
        <row r="502">
          <cell r="J502" t="str">
            <v xml:space="preserve"> </v>
          </cell>
        </row>
        <row r="503">
          <cell r="J503" t="str">
            <v xml:space="preserve"> </v>
          </cell>
        </row>
        <row r="504">
          <cell r="J504" t="str">
            <v xml:space="preserve"> </v>
          </cell>
        </row>
        <row r="505">
          <cell r="J505" t="str">
            <v xml:space="preserve"> </v>
          </cell>
        </row>
        <row r="506">
          <cell r="J506" t="str">
            <v xml:space="preserve"> </v>
          </cell>
        </row>
        <row r="507">
          <cell r="J507" t="str">
            <v xml:space="preserve"> </v>
          </cell>
        </row>
        <row r="508">
          <cell r="J508" t="str">
            <v xml:space="preserve"> </v>
          </cell>
        </row>
        <row r="509">
          <cell r="J509" t="str">
            <v xml:space="preserve"> </v>
          </cell>
        </row>
        <row r="510">
          <cell r="J510" t="str">
            <v xml:space="preserve"> </v>
          </cell>
        </row>
        <row r="511">
          <cell r="J511" t="str">
            <v xml:space="preserve"> </v>
          </cell>
        </row>
        <row r="512">
          <cell r="J512" t="str">
            <v xml:space="preserve"> </v>
          </cell>
        </row>
        <row r="513">
          <cell r="J513" t="str">
            <v xml:space="preserve"> </v>
          </cell>
        </row>
        <row r="514">
          <cell r="J514" t="str">
            <v xml:space="preserve"> </v>
          </cell>
        </row>
        <row r="515">
          <cell r="J515" t="str">
            <v xml:space="preserve"> </v>
          </cell>
        </row>
        <row r="516">
          <cell r="J516" t="str">
            <v xml:space="preserve"> </v>
          </cell>
        </row>
        <row r="517">
          <cell r="J517" t="str">
            <v xml:space="preserve"> </v>
          </cell>
        </row>
        <row r="518">
          <cell r="J518" t="str">
            <v xml:space="preserve"> </v>
          </cell>
        </row>
        <row r="519">
          <cell r="J519" t="str">
            <v xml:space="preserve"> </v>
          </cell>
        </row>
        <row r="520">
          <cell r="J520" t="str">
            <v xml:space="preserve"> </v>
          </cell>
        </row>
        <row r="521">
          <cell r="J521" t="str">
            <v xml:space="preserve"> </v>
          </cell>
        </row>
        <row r="522">
          <cell r="J522" t="str">
            <v xml:space="preserve"> </v>
          </cell>
        </row>
        <row r="523">
          <cell r="J523" t="str">
            <v xml:space="preserve"> </v>
          </cell>
        </row>
        <row r="524">
          <cell r="J524" t="str">
            <v xml:space="preserve"> </v>
          </cell>
        </row>
        <row r="525">
          <cell r="J525" t="str">
            <v xml:space="preserve"> </v>
          </cell>
        </row>
        <row r="526">
          <cell r="J526" t="str">
            <v xml:space="preserve"> </v>
          </cell>
        </row>
        <row r="527">
          <cell r="J527" t="str">
            <v xml:space="preserve"> </v>
          </cell>
        </row>
        <row r="528">
          <cell r="J528" t="str">
            <v xml:space="preserve"> </v>
          </cell>
        </row>
        <row r="529">
          <cell r="J529" t="str">
            <v xml:space="preserve"> </v>
          </cell>
        </row>
        <row r="530">
          <cell r="J530" t="str">
            <v xml:space="preserve"> </v>
          </cell>
        </row>
        <row r="531">
          <cell r="J531" t="str">
            <v xml:space="preserve"> </v>
          </cell>
        </row>
        <row r="532">
          <cell r="J532" t="str">
            <v xml:space="preserve"> </v>
          </cell>
        </row>
        <row r="533">
          <cell r="J533" t="str">
            <v xml:space="preserve"> </v>
          </cell>
        </row>
        <row r="534">
          <cell r="J534" t="str">
            <v xml:space="preserve"> </v>
          </cell>
        </row>
        <row r="535">
          <cell r="J535" t="str">
            <v xml:space="preserve"> </v>
          </cell>
        </row>
        <row r="536">
          <cell r="J536" t="str">
            <v xml:space="preserve"> </v>
          </cell>
        </row>
        <row r="537">
          <cell r="J537" t="str">
            <v xml:space="preserve"> </v>
          </cell>
        </row>
        <row r="538">
          <cell r="J538" t="str">
            <v xml:space="preserve"> </v>
          </cell>
        </row>
        <row r="539">
          <cell r="J539" t="str">
            <v xml:space="preserve"> </v>
          </cell>
        </row>
        <row r="540">
          <cell r="J540" t="str">
            <v xml:space="preserve"> </v>
          </cell>
        </row>
        <row r="541">
          <cell r="J541" t="str">
            <v xml:space="preserve"> </v>
          </cell>
        </row>
        <row r="542">
          <cell r="J542" t="str">
            <v xml:space="preserve"> </v>
          </cell>
        </row>
        <row r="543">
          <cell r="J543" t="str">
            <v xml:space="preserve"> </v>
          </cell>
        </row>
        <row r="544">
          <cell r="J544" t="str">
            <v xml:space="preserve"> </v>
          </cell>
        </row>
        <row r="545">
          <cell r="J545" t="str">
            <v xml:space="preserve"> </v>
          </cell>
        </row>
        <row r="546">
          <cell r="J546" t="str">
            <v xml:space="preserve"> </v>
          </cell>
        </row>
        <row r="547">
          <cell r="J547" t="str">
            <v xml:space="preserve"> </v>
          </cell>
        </row>
        <row r="548">
          <cell r="J548" t="str">
            <v xml:space="preserve"> </v>
          </cell>
        </row>
        <row r="549">
          <cell r="J549" t="str">
            <v xml:space="preserve"> </v>
          </cell>
        </row>
        <row r="550">
          <cell r="J550" t="str">
            <v xml:space="preserve"> </v>
          </cell>
        </row>
        <row r="551">
          <cell r="J551" t="str">
            <v xml:space="preserve"> </v>
          </cell>
        </row>
        <row r="552">
          <cell r="J552" t="str">
            <v xml:space="preserve"> </v>
          </cell>
        </row>
        <row r="553">
          <cell r="J553" t="str">
            <v xml:space="preserve"> </v>
          </cell>
        </row>
        <row r="554">
          <cell r="J554" t="str">
            <v xml:space="preserve"> </v>
          </cell>
        </row>
        <row r="555">
          <cell r="J555" t="str">
            <v xml:space="preserve"> </v>
          </cell>
        </row>
        <row r="556">
          <cell r="J556" t="str">
            <v xml:space="preserve"> </v>
          </cell>
        </row>
        <row r="557">
          <cell r="J557" t="str">
            <v xml:space="preserve"> </v>
          </cell>
        </row>
        <row r="558">
          <cell r="J558" t="str">
            <v xml:space="preserve"> </v>
          </cell>
        </row>
        <row r="559">
          <cell r="J559" t="str">
            <v xml:space="preserve"> </v>
          </cell>
        </row>
        <row r="560">
          <cell r="J560" t="str">
            <v xml:space="preserve"> </v>
          </cell>
        </row>
        <row r="561">
          <cell r="J561" t="str">
            <v xml:space="preserve"> </v>
          </cell>
        </row>
        <row r="562">
          <cell r="J562" t="str">
            <v xml:space="preserve"> </v>
          </cell>
        </row>
        <row r="563">
          <cell r="J563" t="str">
            <v xml:space="preserve"> </v>
          </cell>
        </row>
        <row r="564">
          <cell r="J564" t="str">
            <v xml:space="preserve"> </v>
          </cell>
        </row>
        <row r="565">
          <cell r="J565" t="str">
            <v xml:space="preserve"> </v>
          </cell>
        </row>
        <row r="566">
          <cell r="J566" t="str">
            <v xml:space="preserve"> </v>
          </cell>
        </row>
        <row r="567">
          <cell r="J567" t="str">
            <v xml:space="preserve"> </v>
          </cell>
        </row>
        <row r="568">
          <cell r="J568" t="str">
            <v xml:space="preserve"> </v>
          </cell>
        </row>
        <row r="569">
          <cell r="J569" t="str">
            <v xml:space="preserve"> </v>
          </cell>
        </row>
        <row r="570">
          <cell r="J570" t="str">
            <v xml:space="preserve"> </v>
          </cell>
        </row>
        <row r="571">
          <cell r="J571" t="str">
            <v xml:space="preserve"> </v>
          </cell>
        </row>
        <row r="572">
          <cell r="J572" t="str">
            <v xml:space="preserve"> </v>
          </cell>
        </row>
        <row r="573">
          <cell r="J573" t="str">
            <v xml:space="preserve"> </v>
          </cell>
        </row>
        <row r="574">
          <cell r="J574" t="str">
            <v xml:space="preserve"> </v>
          </cell>
        </row>
        <row r="575">
          <cell r="J575" t="str">
            <v xml:space="preserve"> </v>
          </cell>
        </row>
        <row r="576">
          <cell r="J576" t="str">
            <v xml:space="preserve"> </v>
          </cell>
        </row>
        <row r="577">
          <cell r="J577" t="str">
            <v xml:space="preserve"> </v>
          </cell>
        </row>
        <row r="578">
          <cell r="J578" t="str">
            <v xml:space="preserve"> </v>
          </cell>
        </row>
        <row r="579">
          <cell r="J579" t="str">
            <v xml:space="preserve"> </v>
          </cell>
        </row>
        <row r="580">
          <cell r="J580" t="str">
            <v xml:space="preserve"> </v>
          </cell>
        </row>
        <row r="581">
          <cell r="J581" t="str">
            <v xml:space="preserve"> </v>
          </cell>
        </row>
        <row r="582">
          <cell r="J582" t="str">
            <v xml:space="preserve"> </v>
          </cell>
        </row>
        <row r="583">
          <cell r="J583" t="str">
            <v xml:space="preserve"> </v>
          </cell>
        </row>
        <row r="584">
          <cell r="J584" t="str">
            <v xml:space="preserve"> </v>
          </cell>
        </row>
        <row r="585">
          <cell r="J585" t="str">
            <v xml:space="preserve"> </v>
          </cell>
        </row>
        <row r="586">
          <cell r="J586" t="str">
            <v xml:space="preserve"> </v>
          </cell>
        </row>
        <row r="587">
          <cell r="J587" t="str">
            <v xml:space="preserve"> </v>
          </cell>
        </row>
        <row r="588">
          <cell r="J588" t="str">
            <v xml:space="preserve"> </v>
          </cell>
        </row>
        <row r="589">
          <cell r="J589" t="str">
            <v xml:space="preserve"> </v>
          </cell>
        </row>
        <row r="590">
          <cell r="J590" t="str">
            <v xml:space="preserve"> </v>
          </cell>
        </row>
        <row r="591">
          <cell r="J591" t="str">
            <v xml:space="preserve"> </v>
          </cell>
        </row>
        <row r="592">
          <cell r="J592" t="str">
            <v xml:space="preserve"> </v>
          </cell>
        </row>
        <row r="593">
          <cell r="J593" t="str">
            <v xml:space="preserve"> </v>
          </cell>
        </row>
        <row r="594">
          <cell r="J594" t="str">
            <v xml:space="preserve"> </v>
          </cell>
        </row>
        <row r="595">
          <cell r="J595" t="str">
            <v xml:space="preserve"> </v>
          </cell>
        </row>
        <row r="596">
          <cell r="J596" t="str">
            <v xml:space="preserve"> </v>
          </cell>
        </row>
        <row r="597">
          <cell r="J597" t="str">
            <v xml:space="preserve"> </v>
          </cell>
        </row>
        <row r="598">
          <cell r="J598" t="str">
            <v xml:space="preserve"> </v>
          </cell>
        </row>
        <row r="599">
          <cell r="J599" t="str">
            <v xml:space="preserve"> </v>
          </cell>
        </row>
        <row r="600">
          <cell r="J600" t="str">
            <v xml:space="preserve"> </v>
          </cell>
        </row>
        <row r="601">
          <cell r="J601" t="str">
            <v xml:space="preserve"> </v>
          </cell>
        </row>
        <row r="602">
          <cell r="J602" t="str">
            <v xml:space="preserve"> </v>
          </cell>
        </row>
        <row r="603">
          <cell r="J603" t="str">
            <v xml:space="preserve"> </v>
          </cell>
        </row>
        <row r="604">
          <cell r="J604" t="str">
            <v xml:space="preserve"> </v>
          </cell>
        </row>
        <row r="605">
          <cell r="J605" t="str">
            <v xml:space="preserve"> </v>
          </cell>
        </row>
        <row r="606">
          <cell r="J606" t="str">
            <v xml:space="preserve"> </v>
          </cell>
        </row>
        <row r="607">
          <cell r="J607" t="str">
            <v xml:space="preserve"> </v>
          </cell>
        </row>
        <row r="608">
          <cell r="J608" t="str">
            <v xml:space="preserve"> </v>
          </cell>
        </row>
        <row r="609">
          <cell r="J609" t="str">
            <v xml:space="preserve"> </v>
          </cell>
        </row>
        <row r="610">
          <cell r="J610" t="str">
            <v xml:space="preserve"> </v>
          </cell>
        </row>
        <row r="611">
          <cell r="J611" t="str">
            <v xml:space="preserve"> </v>
          </cell>
        </row>
        <row r="612">
          <cell r="J612" t="str">
            <v xml:space="preserve"> </v>
          </cell>
        </row>
        <row r="613">
          <cell r="J613" t="str">
            <v xml:space="preserve"> </v>
          </cell>
        </row>
        <row r="614">
          <cell r="J614" t="str">
            <v xml:space="preserve"> </v>
          </cell>
        </row>
        <row r="615">
          <cell r="J615" t="str">
            <v xml:space="preserve"> </v>
          </cell>
        </row>
        <row r="616">
          <cell r="J616" t="str">
            <v xml:space="preserve"> </v>
          </cell>
        </row>
        <row r="617">
          <cell r="J617" t="str">
            <v xml:space="preserve"> </v>
          </cell>
        </row>
        <row r="618">
          <cell r="J618" t="str">
            <v xml:space="preserve"> </v>
          </cell>
        </row>
        <row r="619">
          <cell r="J619" t="str">
            <v xml:space="preserve"> </v>
          </cell>
        </row>
        <row r="620">
          <cell r="J620" t="str">
            <v xml:space="preserve"> </v>
          </cell>
        </row>
        <row r="621">
          <cell r="J621" t="str">
            <v xml:space="preserve"> </v>
          </cell>
        </row>
        <row r="622">
          <cell r="J622" t="str">
            <v xml:space="preserve"> </v>
          </cell>
        </row>
        <row r="623">
          <cell r="J623" t="str">
            <v xml:space="preserve"> </v>
          </cell>
        </row>
        <row r="624">
          <cell r="J624" t="str">
            <v xml:space="preserve"> </v>
          </cell>
        </row>
        <row r="625">
          <cell r="J625" t="str">
            <v xml:space="preserve"> </v>
          </cell>
        </row>
        <row r="626">
          <cell r="J626" t="str">
            <v xml:space="preserve"> </v>
          </cell>
        </row>
        <row r="627">
          <cell r="J627" t="str">
            <v xml:space="preserve"> </v>
          </cell>
        </row>
        <row r="628">
          <cell r="J628" t="str">
            <v xml:space="preserve"> </v>
          </cell>
        </row>
        <row r="629">
          <cell r="J629" t="str">
            <v xml:space="preserve"> </v>
          </cell>
        </row>
        <row r="630">
          <cell r="J630" t="str">
            <v xml:space="preserve"> </v>
          </cell>
        </row>
        <row r="631">
          <cell r="J631" t="str">
            <v xml:space="preserve"> </v>
          </cell>
        </row>
        <row r="632">
          <cell r="J632" t="str">
            <v xml:space="preserve"> </v>
          </cell>
        </row>
        <row r="633">
          <cell r="J633" t="str">
            <v xml:space="preserve"> </v>
          </cell>
        </row>
        <row r="634">
          <cell r="J634" t="str">
            <v xml:space="preserve"> </v>
          </cell>
        </row>
        <row r="635">
          <cell r="J635" t="str">
            <v xml:space="preserve"> </v>
          </cell>
        </row>
        <row r="636">
          <cell r="J636" t="str">
            <v xml:space="preserve"> </v>
          </cell>
        </row>
        <row r="637">
          <cell r="J637" t="str">
            <v xml:space="preserve"> </v>
          </cell>
        </row>
        <row r="638">
          <cell r="J638" t="str">
            <v xml:space="preserve"> </v>
          </cell>
        </row>
        <row r="639">
          <cell r="J639" t="str">
            <v xml:space="preserve"> </v>
          </cell>
        </row>
        <row r="640">
          <cell r="J640" t="str">
            <v xml:space="preserve"> </v>
          </cell>
        </row>
        <row r="641">
          <cell r="J641" t="str">
            <v xml:space="preserve"> </v>
          </cell>
        </row>
        <row r="642">
          <cell r="J642" t="str">
            <v xml:space="preserve"> </v>
          </cell>
        </row>
        <row r="643">
          <cell r="J643" t="str">
            <v xml:space="preserve"> </v>
          </cell>
        </row>
        <row r="644">
          <cell r="J644" t="str">
            <v xml:space="preserve"> </v>
          </cell>
        </row>
        <row r="645">
          <cell r="J645" t="str">
            <v xml:space="preserve"> </v>
          </cell>
        </row>
        <row r="646">
          <cell r="J646" t="str">
            <v xml:space="preserve"> </v>
          </cell>
        </row>
        <row r="647">
          <cell r="J647" t="str">
            <v xml:space="preserve"> </v>
          </cell>
        </row>
        <row r="648">
          <cell r="J648" t="str">
            <v xml:space="preserve"> </v>
          </cell>
        </row>
        <row r="649">
          <cell r="J649" t="str">
            <v xml:space="preserve"> </v>
          </cell>
        </row>
        <row r="650">
          <cell r="J650" t="str">
            <v xml:space="preserve"> </v>
          </cell>
        </row>
        <row r="651">
          <cell r="J651" t="str">
            <v xml:space="preserve"> </v>
          </cell>
        </row>
        <row r="652">
          <cell r="J652" t="str">
            <v xml:space="preserve"> </v>
          </cell>
        </row>
        <row r="653">
          <cell r="J653" t="str">
            <v xml:space="preserve"> </v>
          </cell>
        </row>
        <row r="654">
          <cell r="J654" t="str">
            <v xml:space="preserve"> </v>
          </cell>
        </row>
        <row r="655">
          <cell r="J655" t="str">
            <v xml:space="preserve"> </v>
          </cell>
        </row>
        <row r="656">
          <cell r="J656" t="str">
            <v xml:space="preserve"> </v>
          </cell>
        </row>
        <row r="657">
          <cell r="J657" t="str">
            <v xml:space="preserve"> </v>
          </cell>
        </row>
        <row r="658">
          <cell r="J658" t="str">
            <v xml:space="preserve"> </v>
          </cell>
        </row>
        <row r="659">
          <cell r="J659" t="str">
            <v xml:space="preserve"> </v>
          </cell>
        </row>
        <row r="660">
          <cell r="J660" t="str">
            <v xml:space="preserve"> </v>
          </cell>
        </row>
        <row r="661">
          <cell r="J661" t="str">
            <v xml:space="preserve"> </v>
          </cell>
        </row>
        <row r="662">
          <cell r="J662" t="str">
            <v xml:space="preserve"> </v>
          </cell>
        </row>
        <row r="663">
          <cell r="J663" t="str">
            <v xml:space="preserve"> </v>
          </cell>
        </row>
        <row r="664">
          <cell r="J664" t="str">
            <v xml:space="preserve"> </v>
          </cell>
        </row>
        <row r="665">
          <cell r="J665" t="str">
            <v xml:space="preserve"> </v>
          </cell>
        </row>
        <row r="666">
          <cell r="J666" t="str">
            <v xml:space="preserve"> </v>
          </cell>
        </row>
        <row r="667">
          <cell r="J667" t="str">
            <v xml:space="preserve"> </v>
          </cell>
        </row>
        <row r="668">
          <cell r="J668" t="str">
            <v xml:space="preserve"> </v>
          </cell>
        </row>
        <row r="669">
          <cell r="J669" t="str">
            <v xml:space="preserve"> </v>
          </cell>
        </row>
        <row r="670">
          <cell r="J670" t="str">
            <v xml:space="preserve"> </v>
          </cell>
        </row>
        <row r="671">
          <cell r="J671" t="str">
            <v xml:space="preserve"> </v>
          </cell>
        </row>
        <row r="672">
          <cell r="J672" t="str">
            <v xml:space="preserve"> </v>
          </cell>
        </row>
        <row r="673">
          <cell r="J673" t="str">
            <v xml:space="preserve"> </v>
          </cell>
        </row>
        <row r="674">
          <cell r="J674" t="str">
            <v xml:space="preserve"> </v>
          </cell>
        </row>
        <row r="675">
          <cell r="J675" t="str">
            <v xml:space="preserve"> </v>
          </cell>
        </row>
        <row r="676">
          <cell r="J676" t="str">
            <v xml:space="preserve"> </v>
          </cell>
        </row>
        <row r="677">
          <cell r="J677" t="str">
            <v xml:space="preserve"> </v>
          </cell>
        </row>
        <row r="678">
          <cell r="J678" t="str">
            <v xml:space="preserve"> </v>
          </cell>
        </row>
        <row r="679">
          <cell r="J679" t="str">
            <v xml:space="preserve"> </v>
          </cell>
        </row>
        <row r="680">
          <cell r="J680" t="str">
            <v xml:space="preserve"> </v>
          </cell>
        </row>
        <row r="681">
          <cell r="J681" t="str">
            <v xml:space="preserve"> </v>
          </cell>
        </row>
        <row r="682">
          <cell r="J682" t="str">
            <v xml:space="preserve"> </v>
          </cell>
        </row>
        <row r="683">
          <cell r="J683" t="str">
            <v xml:space="preserve"> </v>
          </cell>
        </row>
        <row r="684">
          <cell r="J684" t="str">
            <v xml:space="preserve"> </v>
          </cell>
        </row>
        <row r="685">
          <cell r="J685" t="str">
            <v xml:space="preserve"> </v>
          </cell>
        </row>
        <row r="686">
          <cell r="J686" t="str">
            <v xml:space="preserve"> </v>
          </cell>
        </row>
        <row r="687">
          <cell r="J687" t="str">
            <v xml:space="preserve"> </v>
          </cell>
        </row>
        <row r="688">
          <cell r="J688" t="str">
            <v xml:space="preserve"> </v>
          </cell>
        </row>
        <row r="689">
          <cell r="J689" t="str">
            <v xml:space="preserve"> </v>
          </cell>
        </row>
        <row r="690">
          <cell r="J690" t="str">
            <v xml:space="preserve"> </v>
          </cell>
        </row>
        <row r="691">
          <cell r="J691" t="str">
            <v xml:space="preserve"> </v>
          </cell>
        </row>
        <row r="692">
          <cell r="J692" t="str">
            <v xml:space="preserve"> </v>
          </cell>
        </row>
        <row r="693">
          <cell r="J693" t="str">
            <v xml:space="preserve"> </v>
          </cell>
        </row>
        <row r="694">
          <cell r="J694" t="str">
            <v xml:space="preserve"> </v>
          </cell>
        </row>
        <row r="695">
          <cell r="J695" t="str">
            <v xml:space="preserve"> </v>
          </cell>
        </row>
        <row r="696">
          <cell r="J696" t="str">
            <v xml:space="preserve"> </v>
          </cell>
        </row>
        <row r="697">
          <cell r="J697" t="str">
            <v xml:space="preserve"> </v>
          </cell>
        </row>
        <row r="698">
          <cell r="J698" t="str">
            <v xml:space="preserve"> </v>
          </cell>
        </row>
        <row r="699">
          <cell r="J699" t="str">
            <v xml:space="preserve"> </v>
          </cell>
        </row>
        <row r="700">
          <cell r="J700" t="str">
            <v xml:space="preserve"> </v>
          </cell>
        </row>
        <row r="701">
          <cell r="J701" t="str">
            <v xml:space="preserve"> </v>
          </cell>
        </row>
        <row r="702">
          <cell r="J702" t="str">
            <v xml:space="preserve"> </v>
          </cell>
        </row>
        <row r="703">
          <cell r="J703" t="str">
            <v xml:space="preserve"> </v>
          </cell>
        </row>
        <row r="704">
          <cell r="J704" t="str">
            <v xml:space="preserve"> </v>
          </cell>
        </row>
        <row r="705">
          <cell r="J705" t="str">
            <v xml:space="preserve"> </v>
          </cell>
        </row>
        <row r="706">
          <cell r="J706" t="str">
            <v xml:space="preserve"> </v>
          </cell>
        </row>
        <row r="707">
          <cell r="J707" t="str">
            <v xml:space="preserve"> </v>
          </cell>
        </row>
        <row r="708">
          <cell r="J708" t="str">
            <v xml:space="preserve"> </v>
          </cell>
        </row>
        <row r="709">
          <cell r="J709" t="str">
            <v xml:space="preserve"> </v>
          </cell>
        </row>
        <row r="710">
          <cell r="J710" t="str">
            <v xml:space="preserve"> </v>
          </cell>
        </row>
        <row r="711">
          <cell r="J711" t="str">
            <v xml:space="preserve"> </v>
          </cell>
        </row>
        <row r="712">
          <cell r="J712" t="str">
            <v xml:space="preserve"> </v>
          </cell>
        </row>
        <row r="713">
          <cell r="J713" t="str">
            <v xml:space="preserve"> </v>
          </cell>
        </row>
        <row r="714">
          <cell r="J714" t="str">
            <v xml:space="preserve"> </v>
          </cell>
        </row>
        <row r="715">
          <cell r="J715" t="str">
            <v xml:space="preserve"> </v>
          </cell>
        </row>
        <row r="716">
          <cell r="J716" t="str">
            <v xml:space="preserve"> </v>
          </cell>
        </row>
        <row r="717">
          <cell r="J717" t="str">
            <v xml:space="preserve"> </v>
          </cell>
        </row>
        <row r="718">
          <cell r="J718" t="str">
            <v xml:space="preserve"> </v>
          </cell>
        </row>
        <row r="719">
          <cell r="J719" t="str">
            <v xml:space="preserve"> </v>
          </cell>
        </row>
        <row r="720">
          <cell r="J720" t="str">
            <v xml:space="preserve"> </v>
          </cell>
        </row>
        <row r="721">
          <cell r="J721" t="str">
            <v xml:space="preserve"> </v>
          </cell>
        </row>
        <row r="722">
          <cell r="J722" t="str">
            <v xml:space="preserve"> </v>
          </cell>
        </row>
        <row r="723">
          <cell r="J723" t="str">
            <v xml:space="preserve"> </v>
          </cell>
        </row>
        <row r="724">
          <cell r="J724" t="str">
            <v xml:space="preserve"> </v>
          </cell>
        </row>
        <row r="725">
          <cell r="J725" t="str">
            <v xml:space="preserve"> </v>
          </cell>
        </row>
        <row r="726">
          <cell r="J726" t="str">
            <v xml:space="preserve"> </v>
          </cell>
        </row>
        <row r="727">
          <cell r="J727" t="str">
            <v xml:space="preserve"> </v>
          </cell>
        </row>
        <row r="728">
          <cell r="J728" t="str">
            <v xml:space="preserve"> </v>
          </cell>
        </row>
        <row r="729">
          <cell r="J729" t="str">
            <v xml:space="preserve"> </v>
          </cell>
        </row>
        <row r="730">
          <cell r="J730" t="str">
            <v xml:space="preserve"> </v>
          </cell>
        </row>
        <row r="731">
          <cell r="J731" t="str">
            <v xml:space="preserve"> </v>
          </cell>
        </row>
        <row r="732">
          <cell r="J732" t="str">
            <v xml:space="preserve"> </v>
          </cell>
        </row>
        <row r="733">
          <cell r="J733" t="str">
            <v xml:space="preserve"> </v>
          </cell>
        </row>
        <row r="734">
          <cell r="J734" t="str">
            <v xml:space="preserve"> </v>
          </cell>
        </row>
        <row r="735">
          <cell r="J735" t="str">
            <v xml:space="preserve"> </v>
          </cell>
        </row>
        <row r="736">
          <cell r="J736" t="str">
            <v xml:space="preserve"> </v>
          </cell>
        </row>
        <row r="737">
          <cell r="J737" t="str">
            <v xml:space="preserve"> </v>
          </cell>
        </row>
        <row r="738">
          <cell r="J738" t="str">
            <v xml:space="preserve"> </v>
          </cell>
        </row>
        <row r="739">
          <cell r="J739" t="str">
            <v xml:space="preserve"> </v>
          </cell>
        </row>
        <row r="740">
          <cell r="J740" t="str">
            <v xml:space="preserve"> </v>
          </cell>
        </row>
        <row r="741">
          <cell r="J741" t="str">
            <v xml:space="preserve"> </v>
          </cell>
        </row>
        <row r="742">
          <cell r="J742" t="str">
            <v xml:space="preserve"> </v>
          </cell>
        </row>
        <row r="743">
          <cell r="J743" t="str">
            <v xml:space="preserve"> </v>
          </cell>
        </row>
        <row r="744">
          <cell r="J744" t="str">
            <v xml:space="preserve"> </v>
          </cell>
        </row>
        <row r="745">
          <cell r="J745" t="str">
            <v xml:space="preserve"> </v>
          </cell>
        </row>
        <row r="746">
          <cell r="J746" t="str">
            <v xml:space="preserve"> </v>
          </cell>
        </row>
        <row r="747">
          <cell r="J747" t="str">
            <v xml:space="preserve"> </v>
          </cell>
        </row>
        <row r="748">
          <cell r="J748" t="str">
            <v xml:space="preserve"> </v>
          </cell>
        </row>
        <row r="749">
          <cell r="J749" t="str">
            <v xml:space="preserve"> </v>
          </cell>
        </row>
        <row r="750">
          <cell r="J750" t="str">
            <v xml:space="preserve"> </v>
          </cell>
        </row>
        <row r="751">
          <cell r="J751" t="str">
            <v xml:space="preserve"> </v>
          </cell>
        </row>
        <row r="752">
          <cell r="J752" t="str">
            <v xml:space="preserve"> </v>
          </cell>
        </row>
        <row r="753">
          <cell r="J753" t="str">
            <v xml:space="preserve"> </v>
          </cell>
        </row>
        <row r="754">
          <cell r="J754" t="str">
            <v xml:space="preserve"> </v>
          </cell>
        </row>
        <row r="755">
          <cell r="J755" t="str">
            <v xml:space="preserve"> </v>
          </cell>
        </row>
        <row r="756">
          <cell r="J756" t="str">
            <v xml:space="preserve"> </v>
          </cell>
        </row>
        <row r="757">
          <cell r="J757" t="str">
            <v xml:space="preserve"> </v>
          </cell>
        </row>
        <row r="758">
          <cell r="J758" t="str">
            <v xml:space="preserve"> </v>
          </cell>
        </row>
        <row r="759">
          <cell r="J759" t="str">
            <v xml:space="preserve"> </v>
          </cell>
        </row>
        <row r="760">
          <cell r="J760" t="str">
            <v xml:space="preserve"> </v>
          </cell>
        </row>
        <row r="761">
          <cell r="J761" t="str">
            <v xml:space="preserve"> </v>
          </cell>
        </row>
        <row r="762">
          <cell r="J762" t="str">
            <v xml:space="preserve"> </v>
          </cell>
        </row>
        <row r="763">
          <cell r="J763" t="str">
            <v xml:space="preserve"> </v>
          </cell>
        </row>
        <row r="764">
          <cell r="J764" t="str">
            <v xml:space="preserve"> </v>
          </cell>
        </row>
        <row r="765">
          <cell r="J765" t="str">
            <v xml:space="preserve"> </v>
          </cell>
        </row>
        <row r="766">
          <cell r="J766" t="str">
            <v xml:space="preserve"> </v>
          </cell>
        </row>
        <row r="767">
          <cell r="J767" t="str">
            <v xml:space="preserve"> </v>
          </cell>
        </row>
        <row r="768">
          <cell r="J768" t="str">
            <v xml:space="preserve"> </v>
          </cell>
        </row>
        <row r="769">
          <cell r="J769" t="str">
            <v xml:space="preserve"> </v>
          </cell>
        </row>
        <row r="770">
          <cell r="J770" t="str">
            <v xml:space="preserve"> </v>
          </cell>
        </row>
        <row r="771">
          <cell r="J771" t="str">
            <v xml:space="preserve"> </v>
          </cell>
        </row>
        <row r="772">
          <cell r="J772" t="str">
            <v xml:space="preserve"> </v>
          </cell>
        </row>
        <row r="773">
          <cell r="J773" t="str">
            <v xml:space="preserve"> </v>
          </cell>
        </row>
        <row r="774">
          <cell r="J774" t="str">
            <v xml:space="preserve"> </v>
          </cell>
        </row>
        <row r="775">
          <cell r="J775" t="str">
            <v xml:space="preserve"> </v>
          </cell>
        </row>
        <row r="776">
          <cell r="J776" t="str">
            <v xml:space="preserve"> </v>
          </cell>
        </row>
        <row r="777">
          <cell r="J777" t="str">
            <v xml:space="preserve"> </v>
          </cell>
        </row>
        <row r="778">
          <cell r="J778" t="str">
            <v xml:space="preserve"> </v>
          </cell>
        </row>
        <row r="779">
          <cell r="J779" t="str">
            <v xml:space="preserve"> </v>
          </cell>
        </row>
        <row r="780">
          <cell r="J780" t="str">
            <v xml:space="preserve"> </v>
          </cell>
        </row>
        <row r="781">
          <cell r="J781" t="str">
            <v xml:space="preserve"> </v>
          </cell>
        </row>
        <row r="782">
          <cell r="J782" t="str">
            <v xml:space="preserve"> </v>
          </cell>
        </row>
        <row r="783">
          <cell r="J783" t="str">
            <v xml:space="preserve"> </v>
          </cell>
        </row>
        <row r="784">
          <cell r="J784" t="str">
            <v xml:space="preserve"> </v>
          </cell>
        </row>
        <row r="785">
          <cell r="J785" t="str">
            <v xml:space="preserve"> </v>
          </cell>
        </row>
        <row r="786">
          <cell r="J786" t="str">
            <v xml:space="preserve"> </v>
          </cell>
        </row>
        <row r="787">
          <cell r="J787" t="str">
            <v xml:space="preserve"> </v>
          </cell>
        </row>
        <row r="788">
          <cell r="J788" t="str">
            <v xml:space="preserve"> </v>
          </cell>
        </row>
        <row r="789">
          <cell r="J789" t="str">
            <v xml:space="preserve"> </v>
          </cell>
        </row>
        <row r="790">
          <cell r="J790" t="str">
            <v xml:space="preserve"> </v>
          </cell>
        </row>
        <row r="791">
          <cell r="J791" t="str">
            <v xml:space="preserve"> </v>
          </cell>
        </row>
        <row r="792">
          <cell r="J792" t="str">
            <v xml:space="preserve"> </v>
          </cell>
        </row>
        <row r="793">
          <cell r="J793" t="str">
            <v xml:space="preserve"> </v>
          </cell>
        </row>
        <row r="794">
          <cell r="J794" t="str">
            <v xml:space="preserve"> </v>
          </cell>
        </row>
        <row r="795">
          <cell r="J795" t="str">
            <v xml:space="preserve"> </v>
          </cell>
        </row>
        <row r="796">
          <cell r="J796" t="str">
            <v xml:space="preserve"> </v>
          </cell>
        </row>
        <row r="797">
          <cell r="J797" t="str">
            <v xml:space="preserve"> </v>
          </cell>
        </row>
        <row r="798">
          <cell r="J798" t="str">
            <v xml:space="preserve"> </v>
          </cell>
        </row>
        <row r="799">
          <cell r="J799" t="str">
            <v xml:space="preserve"> </v>
          </cell>
        </row>
        <row r="800">
          <cell r="J800" t="str">
            <v xml:space="preserve"> </v>
          </cell>
        </row>
        <row r="801">
          <cell r="J801" t="str">
            <v xml:space="preserve"> </v>
          </cell>
        </row>
        <row r="802">
          <cell r="J802" t="str">
            <v xml:space="preserve"> </v>
          </cell>
        </row>
        <row r="803">
          <cell r="J803" t="str">
            <v xml:space="preserve"> </v>
          </cell>
        </row>
        <row r="804">
          <cell r="J804" t="str">
            <v xml:space="preserve"> </v>
          </cell>
        </row>
        <row r="805">
          <cell r="J805" t="str">
            <v xml:space="preserve"> </v>
          </cell>
        </row>
        <row r="806">
          <cell r="J806" t="str">
            <v xml:space="preserve"> </v>
          </cell>
        </row>
        <row r="807">
          <cell r="J807" t="str">
            <v xml:space="preserve"> </v>
          </cell>
        </row>
        <row r="808">
          <cell r="J808" t="str">
            <v xml:space="preserve"> </v>
          </cell>
        </row>
        <row r="809">
          <cell r="J809" t="str">
            <v xml:space="preserve"> </v>
          </cell>
        </row>
        <row r="810">
          <cell r="J810" t="str">
            <v xml:space="preserve"> </v>
          </cell>
        </row>
        <row r="811">
          <cell r="J811" t="str">
            <v xml:space="preserve"> </v>
          </cell>
        </row>
        <row r="812">
          <cell r="J812" t="str">
            <v xml:space="preserve"> </v>
          </cell>
        </row>
        <row r="813">
          <cell r="J813" t="str">
            <v xml:space="preserve"> </v>
          </cell>
        </row>
        <row r="814">
          <cell r="J814" t="str">
            <v xml:space="preserve"> </v>
          </cell>
        </row>
        <row r="815">
          <cell r="J815" t="str">
            <v xml:space="preserve"> </v>
          </cell>
        </row>
        <row r="816">
          <cell r="J816" t="str">
            <v xml:space="preserve"> </v>
          </cell>
        </row>
        <row r="817">
          <cell r="J817" t="str">
            <v xml:space="preserve"> </v>
          </cell>
        </row>
        <row r="818">
          <cell r="J818" t="str">
            <v xml:space="preserve"> </v>
          </cell>
        </row>
        <row r="819">
          <cell r="J819" t="str">
            <v xml:space="preserve"> </v>
          </cell>
        </row>
        <row r="820">
          <cell r="J820" t="str">
            <v xml:space="preserve"> </v>
          </cell>
        </row>
        <row r="821">
          <cell r="J821" t="str">
            <v xml:space="preserve"> </v>
          </cell>
        </row>
        <row r="822">
          <cell r="J822" t="str">
            <v xml:space="preserve"> </v>
          </cell>
        </row>
        <row r="823">
          <cell r="J823" t="str">
            <v xml:space="preserve"> </v>
          </cell>
        </row>
        <row r="824">
          <cell r="J824" t="str">
            <v xml:space="preserve"> </v>
          </cell>
        </row>
        <row r="825">
          <cell r="J825" t="str">
            <v xml:space="preserve"> </v>
          </cell>
        </row>
        <row r="826">
          <cell r="J826" t="str">
            <v xml:space="preserve"> </v>
          </cell>
        </row>
        <row r="827">
          <cell r="J827" t="str">
            <v xml:space="preserve"> </v>
          </cell>
        </row>
        <row r="828">
          <cell r="J828" t="str">
            <v xml:space="preserve"> </v>
          </cell>
        </row>
        <row r="829">
          <cell r="J829" t="str">
            <v xml:space="preserve"> </v>
          </cell>
        </row>
        <row r="830">
          <cell r="J830" t="str">
            <v xml:space="preserve"> </v>
          </cell>
        </row>
        <row r="831">
          <cell r="J831" t="str">
            <v xml:space="preserve"> </v>
          </cell>
        </row>
        <row r="832">
          <cell r="J832" t="str">
            <v xml:space="preserve"> </v>
          </cell>
        </row>
        <row r="833">
          <cell r="J833" t="str">
            <v xml:space="preserve"> </v>
          </cell>
        </row>
        <row r="834">
          <cell r="J834" t="str">
            <v xml:space="preserve"> </v>
          </cell>
        </row>
        <row r="835">
          <cell r="J835" t="str">
            <v xml:space="preserve"> </v>
          </cell>
        </row>
        <row r="836">
          <cell r="J836" t="str">
            <v xml:space="preserve"> </v>
          </cell>
        </row>
        <row r="837">
          <cell r="J837" t="str">
            <v xml:space="preserve"> </v>
          </cell>
        </row>
        <row r="838">
          <cell r="J838" t="str">
            <v xml:space="preserve"> </v>
          </cell>
        </row>
        <row r="839">
          <cell r="J839" t="str">
            <v xml:space="preserve"> </v>
          </cell>
        </row>
        <row r="840">
          <cell r="J840" t="str">
            <v xml:space="preserve"> </v>
          </cell>
        </row>
        <row r="841">
          <cell r="J841" t="str">
            <v xml:space="preserve"> </v>
          </cell>
        </row>
        <row r="842">
          <cell r="J842" t="str">
            <v xml:space="preserve"> </v>
          </cell>
        </row>
        <row r="843">
          <cell r="J843" t="str">
            <v xml:space="preserve"> </v>
          </cell>
        </row>
        <row r="844">
          <cell r="J844" t="str">
            <v xml:space="preserve"> </v>
          </cell>
        </row>
        <row r="845">
          <cell r="J845" t="str">
            <v xml:space="preserve"> </v>
          </cell>
        </row>
        <row r="846">
          <cell r="J846" t="str">
            <v xml:space="preserve"> </v>
          </cell>
        </row>
        <row r="847">
          <cell r="J847" t="str">
            <v xml:space="preserve"> </v>
          </cell>
        </row>
        <row r="848">
          <cell r="J848" t="str">
            <v xml:space="preserve"> </v>
          </cell>
        </row>
        <row r="849">
          <cell r="J849" t="str">
            <v xml:space="preserve"> </v>
          </cell>
        </row>
        <row r="850">
          <cell r="J850" t="str">
            <v xml:space="preserve"> </v>
          </cell>
        </row>
        <row r="851">
          <cell r="J851" t="str">
            <v xml:space="preserve"> </v>
          </cell>
        </row>
        <row r="852">
          <cell r="J852" t="str">
            <v xml:space="preserve"> </v>
          </cell>
        </row>
        <row r="853">
          <cell r="J853" t="str">
            <v xml:space="preserve"> </v>
          </cell>
        </row>
        <row r="854">
          <cell r="J854" t="str">
            <v xml:space="preserve"> </v>
          </cell>
        </row>
        <row r="855">
          <cell r="J855" t="str">
            <v xml:space="preserve"> </v>
          </cell>
        </row>
        <row r="856">
          <cell r="J856" t="str">
            <v xml:space="preserve"> </v>
          </cell>
        </row>
        <row r="857">
          <cell r="J857" t="str">
            <v xml:space="preserve"> </v>
          </cell>
        </row>
        <row r="858">
          <cell r="J858" t="str">
            <v xml:space="preserve"> </v>
          </cell>
        </row>
        <row r="859">
          <cell r="J859" t="str">
            <v xml:space="preserve"> </v>
          </cell>
        </row>
        <row r="860">
          <cell r="J860" t="str">
            <v xml:space="preserve"> </v>
          </cell>
        </row>
        <row r="861">
          <cell r="J861" t="str">
            <v xml:space="preserve"> </v>
          </cell>
        </row>
        <row r="862">
          <cell r="J862" t="str">
            <v xml:space="preserve"> </v>
          </cell>
        </row>
        <row r="863">
          <cell r="J863" t="str">
            <v xml:space="preserve"> </v>
          </cell>
        </row>
        <row r="864">
          <cell r="J864" t="str">
            <v xml:space="preserve"> </v>
          </cell>
        </row>
        <row r="865">
          <cell r="J865" t="str">
            <v xml:space="preserve"> </v>
          </cell>
        </row>
        <row r="866">
          <cell r="J866" t="str">
            <v xml:space="preserve"> </v>
          </cell>
        </row>
        <row r="867">
          <cell r="J867" t="str">
            <v xml:space="preserve"> </v>
          </cell>
        </row>
        <row r="868">
          <cell r="J868" t="str">
            <v xml:space="preserve"> </v>
          </cell>
        </row>
        <row r="869">
          <cell r="J869" t="str">
            <v xml:space="preserve"> </v>
          </cell>
        </row>
        <row r="870">
          <cell r="J870" t="str">
            <v xml:space="preserve"> </v>
          </cell>
        </row>
        <row r="871">
          <cell r="J871" t="str">
            <v xml:space="preserve"> </v>
          </cell>
        </row>
        <row r="872">
          <cell r="J872" t="str">
            <v xml:space="preserve"> </v>
          </cell>
        </row>
        <row r="873">
          <cell r="J873" t="str">
            <v xml:space="preserve"> </v>
          </cell>
        </row>
        <row r="874">
          <cell r="J874" t="str">
            <v xml:space="preserve"> </v>
          </cell>
        </row>
        <row r="875">
          <cell r="J875" t="str">
            <v xml:space="preserve"> </v>
          </cell>
        </row>
        <row r="876">
          <cell r="J876" t="str">
            <v xml:space="preserve"> </v>
          </cell>
        </row>
        <row r="877">
          <cell r="J877" t="str">
            <v xml:space="preserve"> </v>
          </cell>
        </row>
        <row r="878">
          <cell r="J878" t="str">
            <v xml:space="preserve"> </v>
          </cell>
        </row>
        <row r="879">
          <cell r="J879" t="str">
            <v xml:space="preserve"> </v>
          </cell>
        </row>
        <row r="880">
          <cell r="J880" t="str">
            <v xml:space="preserve"> </v>
          </cell>
        </row>
        <row r="881">
          <cell r="J881" t="str">
            <v xml:space="preserve"> </v>
          </cell>
        </row>
        <row r="882">
          <cell r="J882" t="str">
            <v xml:space="preserve"> </v>
          </cell>
        </row>
        <row r="883">
          <cell r="J883" t="str">
            <v xml:space="preserve"> </v>
          </cell>
        </row>
        <row r="884">
          <cell r="J884" t="str">
            <v xml:space="preserve"> </v>
          </cell>
        </row>
        <row r="885">
          <cell r="J885" t="str">
            <v xml:space="preserve"> </v>
          </cell>
        </row>
        <row r="886">
          <cell r="J886" t="str">
            <v xml:space="preserve"> </v>
          </cell>
        </row>
        <row r="887">
          <cell r="J887" t="str">
            <v xml:space="preserve"> </v>
          </cell>
        </row>
        <row r="888">
          <cell r="J888" t="str">
            <v xml:space="preserve"> </v>
          </cell>
        </row>
        <row r="889">
          <cell r="J889" t="str">
            <v xml:space="preserve"> </v>
          </cell>
        </row>
        <row r="890">
          <cell r="J890" t="str">
            <v xml:space="preserve"> </v>
          </cell>
        </row>
        <row r="891">
          <cell r="J891" t="str">
            <v xml:space="preserve"> </v>
          </cell>
        </row>
        <row r="892">
          <cell r="J892" t="str">
            <v xml:space="preserve"> </v>
          </cell>
        </row>
        <row r="893">
          <cell r="J893" t="str">
            <v xml:space="preserve"> </v>
          </cell>
        </row>
        <row r="894">
          <cell r="J894" t="str">
            <v xml:space="preserve"> </v>
          </cell>
        </row>
        <row r="895">
          <cell r="J895" t="str">
            <v xml:space="preserve"> </v>
          </cell>
        </row>
        <row r="896">
          <cell r="J896" t="str">
            <v xml:space="preserve"> </v>
          </cell>
        </row>
        <row r="897">
          <cell r="J897" t="str">
            <v xml:space="preserve"> </v>
          </cell>
        </row>
        <row r="898">
          <cell r="J898" t="str">
            <v xml:space="preserve"> </v>
          </cell>
        </row>
        <row r="899">
          <cell r="J899" t="str">
            <v xml:space="preserve"> </v>
          </cell>
        </row>
        <row r="900">
          <cell r="J900" t="str">
            <v xml:space="preserve"> </v>
          </cell>
        </row>
        <row r="901">
          <cell r="J901" t="str">
            <v xml:space="preserve"> </v>
          </cell>
        </row>
        <row r="902">
          <cell r="J902" t="str">
            <v xml:space="preserve"> </v>
          </cell>
        </row>
        <row r="903">
          <cell r="J903" t="str">
            <v xml:space="preserve"> </v>
          </cell>
        </row>
        <row r="904">
          <cell r="J904" t="str">
            <v xml:space="preserve"> </v>
          </cell>
        </row>
        <row r="905">
          <cell r="J905" t="str">
            <v xml:space="preserve"> </v>
          </cell>
        </row>
        <row r="906">
          <cell r="J906" t="str">
            <v xml:space="preserve"> </v>
          </cell>
        </row>
        <row r="907">
          <cell r="J907" t="str">
            <v xml:space="preserve"> </v>
          </cell>
        </row>
        <row r="908">
          <cell r="J908" t="str">
            <v xml:space="preserve"> </v>
          </cell>
        </row>
        <row r="909">
          <cell r="J909" t="str">
            <v xml:space="preserve"> </v>
          </cell>
        </row>
        <row r="910">
          <cell r="J910" t="str">
            <v xml:space="preserve"> </v>
          </cell>
        </row>
        <row r="911">
          <cell r="J911" t="str">
            <v xml:space="preserve"> </v>
          </cell>
        </row>
        <row r="912">
          <cell r="J912" t="str">
            <v xml:space="preserve"> </v>
          </cell>
        </row>
        <row r="913">
          <cell r="J913" t="str">
            <v xml:space="preserve"> </v>
          </cell>
        </row>
        <row r="914">
          <cell r="J914" t="str">
            <v xml:space="preserve"> </v>
          </cell>
        </row>
        <row r="915">
          <cell r="J915" t="str">
            <v xml:space="preserve"> </v>
          </cell>
        </row>
        <row r="916">
          <cell r="J916" t="str">
            <v xml:space="preserve"> </v>
          </cell>
        </row>
        <row r="917">
          <cell r="J917" t="str">
            <v xml:space="preserve"> </v>
          </cell>
        </row>
        <row r="918">
          <cell r="J918" t="str">
            <v xml:space="preserve"> </v>
          </cell>
        </row>
        <row r="919">
          <cell r="J919" t="str">
            <v xml:space="preserve"> </v>
          </cell>
        </row>
        <row r="920">
          <cell r="J920" t="str">
            <v xml:space="preserve"> </v>
          </cell>
        </row>
        <row r="921">
          <cell r="J921" t="str">
            <v xml:space="preserve"> </v>
          </cell>
        </row>
        <row r="922">
          <cell r="J922" t="str">
            <v xml:space="preserve"> </v>
          </cell>
        </row>
        <row r="923">
          <cell r="J923" t="str">
            <v xml:space="preserve"> </v>
          </cell>
        </row>
        <row r="924">
          <cell r="J924" t="str">
            <v xml:space="preserve"> </v>
          </cell>
        </row>
        <row r="925">
          <cell r="J925" t="str">
            <v xml:space="preserve"> </v>
          </cell>
        </row>
        <row r="926">
          <cell r="J926" t="str">
            <v xml:space="preserve"> </v>
          </cell>
        </row>
        <row r="927">
          <cell r="J927" t="str">
            <v xml:space="preserve"> </v>
          </cell>
        </row>
        <row r="928">
          <cell r="J928" t="str">
            <v xml:space="preserve"> </v>
          </cell>
        </row>
        <row r="929">
          <cell r="J929" t="str">
            <v xml:space="preserve"> </v>
          </cell>
        </row>
        <row r="930">
          <cell r="J930" t="str">
            <v xml:space="preserve"> </v>
          </cell>
        </row>
        <row r="931">
          <cell r="J931" t="str">
            <v xml:space="preserve"> </v>
          </cell>
        </row>
        <row r="932">
          <cell r="J932" t="str">
            <v xml:space="preserve"> </v>
          </cell>
        </row>
        <row r="933">
          <cell r="J933" t="str">
            <v xml:space="preserve"> </v>
          </cell>
        </row>
        <row r="934">
          <cell r="J934" t="str">
            <v xml:space="preserve"> </v>
          </cell>
        </row>
        <row r="935">
          <cell r="J935" t="str">
            <v xml:space="preserve"> </v>
          </cell>
        </row>
        <row r="936">
          <cell r="J936" t="str">
            <v xml:space="preserve"> </v>
          </cell>
        </row>
        <row r="937">
          <cell r="J937" t="str">
            <v xml:space="preserve"> </v>
          </cell>
        </row>
        <row r="938">
          <cell r="J938" t="str">
            <v xml:space="preserve"> </v>
          </cell>
        </row>
        <row r="939">
          <cell r="J939" t="str">
            <v xml:space="preserve"> </v>
          </cell>
        </row>
        <row r="940">
          <cell r="J940" t="str">
            <v xml:space="preserve"> </v>
          </cell>
        </row>
        <row r="941">
          <cell r="J941" t="str">
            <v xml:space="preserve"> </v>
          </cell>
        </row>
        <row r="942">
          <cell r="J942" t="str">
            <v xml:space="preserve"> </v>
          </cell>
        </row>
        <row r="943">
          <cell r="J943" t="str">
            <v xml:space="preserve"> </v>
          </cell>
        </row>
        <row r="944">
          <cell r="J944" t="str">
            <v xml:space="preserve"> </v>
          </cell>
        </row>
        <row r="945">
          <cell r="J945" t="str">
            <v xml:space="preserve"> </v>
          </cell>
        </row>
        <row r="946">
          <cell r="J946" t="str">
            <v xml:space="preserve"> </v>
          </cell>
        </row>
        <row r="947">
          <cell r="J947" t="str">
            <v xml:space="preserve"> </v>
          </cell>
        </row>
        <row r="948">
          <cell r="J948" t="str">
            <v xml:space="preserve"> </v>
          </cell>
        </row>
        <row r="949">
          <cell r="J949" t="str">
            <v xml:space="preserve"> </v>
          </cell>
        </row>
        <row r="950">
          <cell r="J950" t="str">
            <v xml:space="preserve"> </v>
          </cell>
        </row>
        <row r="951">
          <cell r="J951" t="str">
            <v xml:space="preserve"> </v>
          </cell>
        </row>
        <row r="952">
          <cell r="J952" t="str">
            <v xml:space="preserve"> </v>
          </cell>
        </row>
        <row r="953">
          <cell r="J953" t="str">
            <v xml:space="preserve"> </v>
          </cell>
        </row>
        <row r="954">
          <cell r="J954" t="str">
            <v xml:space="preserve"> </v>
          </cell>
        </row>
        <row r="955">
          <cell r="J955" t="str">
            <v xml:space="preserve"> </v>
          </cell>
        </row>
        <row r="956">
          <cell r="J956" t="str">
            <v xml:space="preserve"> </v>
          </cell>
        </row>
        <row r="957">
          <cell r="J957" t="str">
            <v xml:space="preserve"> </v>
          </cell>
        </row>
        <row r="958">
          <cell r="J958" t="str">
            <v xml:space="preserve"> </v>
          </cell>
        </row>
        <row r="959">
          <cell r="J959" t="str">
            <v xml:space="preserve"> </v>
          </cell>
        </row>
        <row r="960">
          <cell r="J960" t="str">
            <v xml:space="preserve"> </v>
          </cell>
        </row>
        <row r="961">
          <cell r="J961" t="str">
            <v xml:space="preserve"> </v>
          </cell>
        </row>
        <row r="962">
          <cell r="J962" t="str">
            <v xml:space="preserve"> </v>
          </cell>
        </row>
        <row r="963">
          <cell r="J963" t="str">
            <v xml:space="preserve"> </v>
          </cell>
        </row>
        <row r="964">
          <cell r="J964" t="str">
            <v xml:space="preserve"> </v>
          </cell>
        </row>
        <row r="965">
          <cell r="J965" t="str">
            <v xml:space="preserve"> </v>
          </cell>
        </row>
        <row r="966">
          <cell r="J966" t="str">
            <v xml:space="preserve"> </v>
          </cell>
        </row>
        <row r="967">
          <cell r="J967" t="str">
            <v xml:space="preserve"> </v>
          </cell>
        </row>
        <row r="968">
          <cell r="J968" t="str">
            <v xml:space="preserve"> </v>
          </cell>
        </row>
        <row r="969">
          <cell r="J969" t="str">
            <v xml:space="preserve"> </v>
          </cell>
        </row>
        <row r="970">
          <cell r="J970" t="str">
            <v xml:space="preserve"> </v>
          </cell>
        </row>
        <row r="971">
          <cell r="J971" t="str">
            <v xml:space="preserve"> </v>
          </cell>
        </row>
        <row r="972">
          <cell r="J972" t="str">
            <v xml:space="preserve"> </v>
          </cell>
        </row>
        <row r="973">
          <cell r="J973" t="str">
            <v xml:space="preserve"> </v>
          </cell>
        </row>
        <row r="974">
          <cell r="J974" t="str">
            <v xml:space="preserve"> </v>
          </cell>
        </row>
        <row r="975">
          <cell r="J975" t="str">
            <v xml:space="preserve"> </v>
          </cell>
        </row>
        <row r="976">
          <cell r="J976" t="str">
            <v xml:space="preserve"> </v>
          </cell>
        </row>
        <row r="977">
          <cell r="J977" t="str">
            <v xml:space="preserve"> </v>
          </cell>
        </row>
        <row r="978">
          <cell r="J978" t="str">
            <v xml:space="preserve"> </v>
          </cell>
        </row>
        <row r="979">
          <cell r="J979" t="str">
            <v xml:space="preserve"> </v>
          </cell>
        </row>
        <row r="980">
          <cell r="J980" t="str">
            <v xml:space="preserve"> </v>
          </cell>
        </row>
        <row r="981">
          <cell r="J981" t="str">
            <v xml:space="preserve"> </v>
          </cell>
        </row>
        <row r="982">
          <cell r="J982" t="str">
            <v xml:space="preserve"> </v>
          </cell>
        </row>
        <row r="983">
          <cell r="J983" t="str">
            <v xml:space="preserve"> </v>
          </cell>
        </row>
        <row r="984">
          <cell r="J984" t="str">
            <v xml:space="preserve"> </v>
          </cell>
        </row>
        <row r="985">
          <cell r="J985" t="str">
            <v xml:space="preserve"> </v>
          </cell>
        </row>
        <row r="986">
          <cell r="J986" t="str">
            <v xml:space="preserve"> </v>
          </cell>
        </row>
        <row r="987">
          <cell r="J987" t="str">
            <v xml:space="preserve"> </v>
          </cell>
        </row>
        <row r="988">
          <cell r="J988" t="str">
            <v xml:space="preserve"> </v>
          </cell>
        </row>
        <row r="989">
          <cell r="J989" t="str">
            <v xml:space="preserve"> </v>
          </cell>
        </row>
        <row r="990">
          <cell r="J990" t="str">
            <v xml:space="preserve"> </v>
          </cell>
        </row>
        <row r="991">
          <cell r="J991" t="str">
            <v xml:space="preserve"> </v>
          </cell>
        </row>
        <row r="992">
          <cell r="J992" t="str">
            <v xml:space="preserve"> </v>
          </cell>
        </row>
        <row r="993">
          <cell r="J993" t="str">
            <v xml:space="preserve"> </v>
          </cell>
        </row>
        <row r="994">
          <cell r="J994" t="str">
            <v xml:space="preserve"> </v>
          </cell>
        </row>
        <row r="995">
          <cell r="J995" t="str">
            <v xml:space="preserve"> </v>
          </cell>
        </row>
        <row r="996">
          <cell r="J996" t="str">
            <v xml:space="preserve"> </v>
          </cell>
        </row>
        <row r="997">
          <cell r="J997" t="str">
            <v xml:space="preserve"> </v>
          </cell>
        </row>
        <row r="998">
          <cell r="J998" t="str">
            <v xml:space="preserve"> </v>
          </cell>
        </row>
        <row r="999">
          <cell r="J999" t="str">
            <v xml:space="preserve"> </v>
          </cell>
        </row>
        <row r="1000">
          <cell r="J1000" t="str">
            <v xml:space="preserve"> </v>
          </cell>
        </row>
      </sheetData>
      <sheetData sheetId="1">
        <row r="7">
          <cell r="K7" t="str">
            <v>1 ACTIVO</v>
          </cell>
        </row>
        <row r="8">
          <cell r="K8" t="str">
            <v>11 EFECTIVO</v>
          </cell>
        </row>
        <row r="9">
          <cell r="K9" t="str">
            <v>1105 CAJA</v>
          </cell>
        </row>
        <row r="10">
          <cell r="K10" t="str">
            <v>110501 CAJA PRINCIPAL</v>
          </cell>
        </row>
        <row r="11">
          <cell r="K11" t="str">
            <v>11050101 CAJA PRINCIPAL</v>
          </cell>
        </row>
        <row r="12">
          <cell r="K12" t="str">
            <v>11050102 Base Caja Principal</v>
          </cell>
        </row>
        <row r="13">
          <cell r="K13" t="str">
            <v>11050103 Base Caja de Urgencias</v>
          </cell>
        </row>
        <row r="14">
          <cell r="K14" t="str">
            <v>1110 DEPÓSITOS EN INSTITUCIONES F</v>
          </cell>
        </row>
        <row r="15">
          <cell r="K15" t="str">
            <v>111005 CUENTA CORRIENTE</v>
          </cell>
        </row>
        <row r="16">
          <cell r="K16" t="str">
            <v>11100501 Banco Agrario Cta. 1472-</v>
          </cell>
        </row>
        <row r="17">
          <cell r="K17" t="str">
            <v>11100505 Bancaf‚ Cta 265-10405-9</v>
          </cell>
        </row>
        <row r="18">
          <cell r="K18" t="str">
            <v>11100506 Bancolombia Cta 651-1546</v>
          </cell>
        </row>
        <row r="19">
          <cell r="K19" t="str">
            <v>111006 CUENTA DE AHORRO</v>
          </cell>
        </row>
        <row r="20">
          <cell r="K20" t="str">
            <v>11100601 Cooperativa San Roque -</v>
          </cell>
        </row>
        <row r="21">
          <cell r="K21" t="str">
            <v>11100602 Cooperativa Multiactiva</v>
          </cell>
        </row>
        <row r="22">
          <cell r="K22" t="str">
            <v>11100605 BANAGRARIO 4-1472-2-0159</v>
          </cell>
        </row>
        <row r="23">
          <cell r="K23" t="str">
            <v>11100606 DAVIVIENDA DAMAS - 03640</v>
          </cell>
        </row>
        <row r="24">
          <cell r="K24" t="str">
            <v>11100607 BANCOLOMBIA - APS 163913</v>
          </cell>
        </row>
        <row r="25">
          <cell r="K25" t="str">
            <v>11100608 TELEMEDICINA - 163-98498</v>
          </cell>
        </row>
        <row r="26">
          <cell r="K26" t="str">
            <v>11100609 BANCOLOMBIA PROYECTOS -</v>
          </cell>
        </row>
        <row r="27">
          <cell r="K27" t="str">
            <v>111008 CERTIFICADO DE DEPOSITO DE</v>
          </cell>
        </row>
        <row r="28">
          <cell r="K28" t="str">
            <v>11100801 C.D.A.T</v>
          </cell>
        </row>
        <row r="29">
          <cell r="K29" t="str">
            <v>12 INVERSIONES E INSTRUMENTOS DER</v>
          </cell>
        </row>
        <row r="30">
          <cell r="K30" t="str">
            <v>1202 INVERSIONES ADMINISTRACIÓN D</v>
          </cell>
        </row>
        <row r="31">
          <cell r="K31" t="str">
            <v>120201 ACCIONES ORDINARIAS</v>
          </cell>
        </row>
        <row r="32">
          <cell r="K32" t="str">
            <v>12020101 Acciones ordinarias</v>
          </cell>
        </row>
        <row r="33">
          <cell r="K33" t="str">
            <v>1207 INVERSIONES PATRIMONIALES EN</v>
          </cell>
        </row>
        <row r="34">
          <cell r="K34" t="str">
            <v>120750 ENTIDADES DEL SECTOR SOLID</v>
          </cell>
        </row>
        <row r="35">
          <cell r="K35" t="str">
            <v>12075001 Entidades del Sector Sol</v>
          </cell>
        </row>
        <row r="36">
          <cell r="K36" t="str">
            <v>14 DEUDORES</v>
          </cell>
        </row>
        <row r="37">
          <cell r="K37" t="str">
            <v>1409 SERVICIOS DE SALUD</v>
          </cell>
        </row>
        <row r="38">
          <cell r="K38" t="str">
            <v>140901 PLAN OBLIGATORIO DE SALUD</v>
          </cell>
        </row>
        <row r="39">
          <cell r="K39" t="str">
            <v>14090101 POS-EPS FACTUR.PEND.RADI</v>
          </cell>
        </row>
        <row r="40">
          <cell r="K40" t="str">
            <v>140903 PLAN SUBSIDIADO DE SALUD P</v>
          </cell>
        </row>
        <row r="41">
          <cell r="K41" t="str">
            <v>14090301 PLAN SUBSID. POSS-FACT.P</v>
          </cell>
        </row>
        <row r="42">
          <cell r="K42" t="str">
            <v>140909 SERVICIOS DE SALUD - IPS P</v>
          </cell>
        </row>
        <row r="43">
          <cell r="K43" t="str">
            <v>14090901 Servicios de salud - IPS</v>
          </cell>
        </row>
        <row r="44">
          <cell r="K44" t="str">
            <v>140910 SERVICIOS DE SALUD - ENTID</v>
          </cell>
        </row>
        <row r="45">
          <cell r="K45" t="str">
            <v>14091001 Regimen Especial FACT.PE</v>
          </cell>
        </row>
        <row r="46">
          <cell r="K46" t="str">
            <v>140912 RIESGOS PROFESIONALES - AR</v>
          </cell>
        </row>
        <row r="47">
          <cell r="K47" t="str">
            <v>14091201 A.R.P. FACTURAC.PENDIEN.</v>
          </cell>
        </row>
        <row r="48">
          <cell r="K48" t="str">
            <v>140914 ATENCION ACCIDENTES DE TRA</v>
          </cell>
        </row>
        <row r="49">
          <cell r="K49" t="str">
            <v>14091401 SOAT y Cias Seguros FACT</v>
          </cell>
        </row>
        <row r="50">
          <cell r="K50" t="str">
            <v>140920 PLAN OBLIGATORIO SALUD FAC</v>
          </cell>
        </row>
        <row r="51">
          <cell r="K51" t="str">
            <v>14092001 PLAN OBLIGATORIO SALUD F</v>
          </cell>
        </row>
        <row r="52">
          <cell r="K52" t="str">
            <v>140921 PLAN SUBSIDIADO DE SALUD F</v>
          </cell>
        </row>
        <row r="53">
          <cell r="K53" t="str">
            <v>14092101 PLAN SUBSID. SALUD POS-S</v>
          </cell>
        </row>
        <row r="54">
          <cell r="K54" t="str">
            <v>140925 SERVICIOS DE SALUD IPS PUB</v>
          </cell>
        </row>
        <row r="55">
          <cell r="K55" t="str">
            <v>14092501 IPS PUBLICAS FACTURACION</v>
          </cell>
        </row>
        <row r="56">
          <cell r="K56" t="str">
            <v>140926 SERVICIOS SALUD EMPRESAS R</v>
          </cell>
        </row>
        <row r="57">
          <cell r="K57" t="str">
            <v>14092601 REGIMEN ESPECIAL FACTUR.</v>
          </cell>
        </row>
        <row r="58">
          <cell r="K58" t="str">
            <v>140927 ATENCION CON CARGO OF. RAD</v>
          </cell>
        </row>
        <row r="59">
          <cell r="K59" t="str">
            <v>14092701 ATENCION OF. RADICADA</v>
          </cell>
        </row>
        <row r="60">
          <cell r="K60" t="str">
            <v>140928 RIESGOS PROFESIONALES ARP</v>
          </cell>
        </row>
        <row r="61">
          <cell r="K61" t="str">
            <v>14092801 RIESGOS PROFESIONALES AR</v>
          </cell>
        </row>
        <row r="62">
          <cell r="K62" t="str">
            <v>140929 ATENCION ACCIDENTES TRANSI</v>
          </cell>
        </row>
        <row r="63">
          <cell r="K63" t="str">
            <v>14092901 SOAT FACTURACION RADICAD</v>
          </cell>
        </row>
        <row r="64">
          <cell r="K64" t="str">
            <v>1470 OTROS DEUDORES</v>
          </cell>
        </row>
        <row r="65">
          <cell r="K65" t="str">
            <v>147012 CREDITO A EMPLEADOS</v>
          </cell>
        </row>
        <row r="66">
          <cell r="K66" t="str">
            <v>14701201 CREDITOS A EMPLEADOS - F</v>
          </cell>
        </row>
        <row r="67">
          <cell r="K67" t="str">
            <v>14701202 CREDITO A EMPLEADOS - BI</v>
          </cell>
        </row>
        <row r="68">
          <cell r="K68" t="str">
            <v>147090 OTROS DEUDORES</v>
          </cell>
        </row>
        <row r="69">
          <cell r="K69" t="str">
            <v>14709002 TELEFONIA CELULAR</v>
          </cell>
        </row>
        <row r="70">
          <cell r="K70" t="str">
            <v>1475 DEUDAS DE DIFÍCIL COBRO</v>
          </cell>
        </row>
        <row r="71">
          <cell r="K71" t="str">
            <v>147511 SERVICIOS DE SALUD</v>
          </cell>
        </row>
        <row r="72">
          <cell r="K72" t="str">
            <v>14751101 Plan Obligatorio de Salu</v>
          </cell>
        </row>
        <row r="73">
          <cell r="K73" t="str">
            <v>14751103 Plan Subsidiado de Salud</v>
          </cell>
        </row>
        <row r="74">
          <cell r="K74" t="str">
            <v>14751107 Servicios de Salud Parti</v>
          </cell>
        </row>
        <row r="75">
          <cell r="K75" t="str">
            <v>14751109 IPS Publicas</v>
          </cell>
        </row>
        <row r="76">
          <cell r="K76" t="str">
            <v>14751110 Entidades con Regimen Es</v>
          </cell>
        </row>
        <row r="77">
          <cell r="K77" t="str">
            <v>14751111 Atenci¢n con Cargo al Su</v>
          </cell>
        </row>
        <row r="78">
          <cell r="K78" t="str">
            <v>14751112 Riesgos Profesionales -</v>
          </cell>
        </row>
        <row r="79">
          <cell r="K79" t="str">
            <v>14751114 Atencion Accidentes de T</v>
          </cell>
        </row>
        <row r="80">
          <cell r="K80" t="str">
            <v>1480 PROVISIÓN PARA DEUDORES (CR)</v>
          </cell>
        </row>
        <row r="81">
          <cell r="K81" t="str">
            <v>148014 SERVICIOS DE SALUD</v>
          </cell>
        </row>
        <row r="82">
          <cell r="K82" t="str">
            <v>14801401 Servicios de salud</v>
          </cell>
        </row>
        <row r="83">
          <cell r="K83" t="str">
            <v>15 INVENTARIOS</v>
          </cell>
        </row>
        <row r="84">
          <cell r="K84" t="str">
            <v>1518 MATERIALES PARA LA PRESTACIÓ</v>
          </cell>
        </row>
        <row r="85">
          <cell r="K85" t="str">
            <v>151801 MEDICAMENTOS</v>
          </cell>
        </row>
        <row r="86">
          <cell r="K86" t="str">
            <v>15180101 Medicamentos Hospital</v>
          </cell>
        </row>
        <row r="87">
          <cell r="K87" t="str">
            <v>15180102 Medicamentos San Jos‚</v>
          </cell>
        </row>
        <row r="88">
          <cell r="K88" t="str">
            <v>15180103 Medicamentos Cristales</v>
          </cell>
        </row>
        <row r="89">
          <cell r="K89" t="str">
            <v>15180104 STOCK HOSPITAL SAN ROQUE</v>
          </cell>
        </row>
        <row r="90">
          <cell r="K90" t="str">
            <v>15180105 STOCK CENTRO SALUD SAN J</v>
          </cell>
        </row>
        <row r="91">
          <cell r="K91" t="str">
            <v>15180106 STOCK CENTRO SALUD CRIST</v>
          </cell>
        </row>
        <row r="92">
          <cell r="K92" t="str">
            <v>15180107 STOCK PUESTO SALUD PROVI</v>
          </cell>
        </row>
        <row r="93">
          <cell r="K93" t="str">
            <v>15180108 STOCK PUESTO SALUD MULAT</v>
          </cell>
        </row>
        <row r="94">
          <cell r="K94" t="str">
            <v>151802 MATERIALES MEDICO - QUIRUR</v>
          </cell>
        </row>
        <row r="95">
          <cell r="K95" t="str">
            <v>15180201 Materiales medico - quir</v>
          </cell>
        </row>
        <row r="96">
          <cell r="K96" t="str">
            <v>15180202 M.M.Q. San Jos‚</v>
          </cell>
        </row>
        <row r="97">
          <cell r="K97" t="str">
            <v>15180203 M.M.Q. Cristales</v>
          </cell>
        </row>
        <row r="98">
          <cell r="K98" t="str">
            <v>151803 MATERIALES REACTIVOS Y DE</v>
          </cell>
        </row>
        <row r="99">
          <cell r="K99" t="str">
            <v>15180301 Material de laboratorio</v>
          </cell>
        </row>
        <row r="100">
          <cell r="K100" t="str">
            <v>15180302 Mat. Laborat. San Jos‚</v>
          </cell>
        </row>
        <row r="101">
          <cell r="K101" t="str">
            <v>15180303 Mat. Laborat. Cristales</v>
          </cell>
        </row>
        <row r="102">
          <cell r="K102" t="str">
            <v>151804 MATERIALES ODONTOLOGICOS</v>
          </cell>
        </row>
        <row r="103">
          <cell r="K103" t="str">
            <v>15180401 Materiales odontol¢gicos</v>
          </cell>
        </row>
        <row r="104">
          <cell r="K104" t="str">
            <v>15180402 Mater. Odontolog. San Jo</v>
          </cell>
        </row>
        <row r="105">
          <cell r="K105" t="str">
            <v>151805 MATERIALES PARA IMAGENOLOG</v>
          </cell>
        </row>
        <row r="106">
          <cell r="K106" t="str">
            <v>15180501 Materiales para imagenol</v>
          </cell>
        </row>
        <row r="107">
          <cell r="K107" t="str">
            <v>151821 ELEMENTOS Y ACCESORIOS DE</v>
          </cell>
        </row>
        <row r="108">
          <cell r="K108" t="str">
            <v>15182101 LINEA HIGIENICA Y OTROS</v>
          </cell>
        </row>
        <row r="109">
          <cell r="K109" t="str">
            <v>15182102 LINEA HIGIENICA SAN JOSE</v>
          </cell>
        </row>
        <row r="110">
          <cell r="K110" t="str">
            <v>16 PROPIEDADES, PLANTA Y EQUIPO</v>
          </cell>
        </row>
        <row r="111">
          <cell r="K111" t="str">
            <v>1605 TERRENOS</v>
          </cell>
        </row>
        <row r="112">
          <cell r="K112" t="str">
            <v>160501 URBANOS</v>
          </cell>
        </row>
        <row r="113">
          <cell r="K113" t="str">
            <v>16050101 Urbanos</v>
          </cell>
        </row>
        <row r="114">
          <cell r="K114" t="str">
            <v>160502 RURALES</v>
          </cell>
        </row>
        <row r="115">
          <cell r="K115" t="str">
            <v>16050201 Centro Salud San Jos‚ de</v>
          </cell>
        </row>
        <row r="116">
          <cell r="K116" t="str">
            <v>16050202 Centro Salud Cristales</v>
          </cell>
        </row>
        <row r="117">
          <cell r="K117" t="str">
            <v>16050203 Puesto de Salud Providen</v>
          </cell>
        </row>
        <row r="118">
          <cell r="K118" t="str">
            <v>1615 CONSTRUCCIONES EN CURSO</v>
          </cell>
        </row>
        <row r="119">
          <cell r="K119" t="str">
            <v>161501 EDIFICACIONES</v>
          </cell>
        </row>
        <row r="120">
          <cell r="K120" t="str">
            <v>16150101 Edificaciones</v>
          </cell>
        </row>
        <row r="121">
          <cell r="K121" t="str">
            <v>1635 BIENES MUEBLES EN BODEGA</v>
          </cell>
        </row>
        <row r="122">
          <cell r="K122" t="str">
            <v>163502 EQUIPO MEDICO Y CIENTIFICO</v>
          </cell>
        </row>
        <row r="123">
          <cell r="K123" t="str">
            <v>16350201 Equipo M‚dico y Cient¡fi</v>
          </cell>
        </row>
        <row r="124">
          <cell r="K124" t="str">
            <v>163503 MUEBLES ENSERES Y EQUIPO D</v>
          </cell>
        </row>
        <row r="125">
          <cell r="K125" t="str">
            <v>16350301 Muebles, enseres y equip</v>
          </cell>
        </row>
        <row r="126">
          <cell r="K126" t="str">
            <v>163504 EQUIPO DE COMUNICACIÓN Y C</v>
          </cell>
        </row>
        <row r="127">
          <cell r="K127" t="str">
            <v>16350401 Equipo de comunicaci¢n y</v>
          </cell>
        </row>
        <row r="128">
          <cell r="K128" t="str">
            <v>1640 EDIFICACIONES</v>
          </cell>
        </row>
        <row r="129">
          <cell r="K129" t="str">
            <v>164010 CLINICAS Y HOSPITALES</v>
          </cell>
        </row>
        <row r="130">
          <cell r="K130" t="str">
            <v>16401001 Hospital San Roque</v>
          </cell>
        </row>
        <row r="131">
          <cell r="K131" t="str">
            <v>16401002 Centro de Salud San Jos‚</v>
          </cell>
        </row>
        <row r="132">
          <cell r="K132" t="str">
            <v>16401003 Centro de Salud Cristale</v>
          </cell>
        </row>
        <row r="133">
          <cell r="K133" t="str">
            <v>16401004 Puesto de Salud Providen</v>
          </cell>
        </row>
        <row r="134">
          <cell r="K134" t="str">
            <v>1645 PLANTAS, DUCTOS Y TÚNELES</v>
          </cell>
        </row>
        <row r="135">
          <cell r="K135" t="str">
            <v>164501 PLANTAS DE GENERACION</v>
          </cell>
        </row>
        <row r="136">
          <cell r="K136" t="str">
            <v>16450101 Plantas de generaci¢n</v>
          </cell>
        </row>
        <row r="137">
          <cell r="K137" t="str">
            <v>1650 REDES, LINEAS Y CABLES</v>
          </cell>
        </row>
        <row r="138">
          <cell r="K138" t="str">
            <v>165002 REDES DE DISTRIBUCION</v>
          </cell>
        </row>
        <row r="139">
          <cell r="K139" t="str">
            <v>16500201 Redes de Disrtibuci¢n -</v>
          </cell>
        </row>
        <row r="140">
          <cell r="K140" t="str">
            <v>165008 LINEAS Y CABLES DE TRANSMI</v>
          </cell>
        </row>
        <row r="141">
          <cell r="K141" t="str">
            <v>16500801 L¡neas Tel‚fonicas</v>
          </cell>
        </row>
        <row r="142">
          <cell r="K142" t="str">
            <v>1655 MAQUINARIA Y EQUIPO</v>
          </cell>
        </row>
        <row r="143">
          <cell r="K143" t="str">
            <v>165504 Maquinaria Industrial</v>
          </cell>
        </row>
        <row r="144">
          <cell r="K144" t="str">
            <v>16550401 EQUIPO DE ASEPSIA</v>
          </cell>
        </row>
        <row r="145">
          <cell r="K145" t="str">
            <v>165506 EQUIPO DE RECREACION Y DEP</v>
          </cell>
        </row>
        <row r="146">
          <cell r="K146" t="str">
            <v>16550601 EQUIPO DE GIMNACIO</v>
          </cell>
        </row>
        <row r="147">
          <cell r="K147" t="str">
            <v>165522 EQUIPO DE AYUDA AUDIOVISUA</v>
          </cell>
        </row>
        <row r="148">
          <cell r="K148" t="str">
            <v>16552201 Equipo de ayuda audiovis</v>
          </cell>
        </row>
        <row r="149">
          <cell r="K149" t="str">
            <v>1660 EQUIPO MÉDICO Y CIENTÍFICO</v>
          </cell>
        </row>
        <row r="150">
          <cell r="K150" t="str">
            <v>166002 EQUIPO DE LABORATORIO</v>
          </cell>
        </row>
        <row r="151">
          <cell r="K151" t="str">
            <v>16600201 Equipo de laboratorio</v>
          </cell>
        </row>
        <row r="152">
          <cell r="K152" t="str">
            <v>166003 EQUIPO DE URGENCIAS</v>
          </cell>
        </row>
        <row r="153">
          <cell r="K153" t="str">
            <v>16600301 Equipo de urgencias</v>
          </cell>
        </row>
        <row r="154">
          <cell r="K154" t="str">
            <v>166005 EQUIPO DE HOSPITALIZACION</v>
          </cell>
        </row>
        <row r="155">
          <cell r="K155" t="str">
            <v>16600501 Equipo de hospitalizaci¢</v>
          </cell>
        </row>
        <row r="156">
          <cell r="K156" t="str">
            <v>166006 EQUIPO DE QUIROFANO Y SALA</v>
          </cell>
        </row>
        <row r="157">
          <cell r="K157" t="str">
            <v>16600601 Equipo de quir¢fanos y s</v>
          </cell>
        </row>
        <row r="158">
          <cell r="K158" t="str">
            <v>166007 EQUIPO DE APOYO DIAGNOSTIC</v>
          </cell>
        </row>
        <row r="159">
          <cell r="K159" t="str">
            <v>16600701 Equipo de apoyo diagn¢st</v>
          </cell>
        </row>
        <row r="160">
          <cell r="K160" t="str">
            <v>166008 EQUIPO DE APOYO TERAPEUTIC</v>
          </cell>
        </row>
        <row r="161">
          <cell r="K161" t="str">
            <v>16600801 Equipo de apoyo terapeut</v>
          </cell>
        </row>
        <row r="162">
          <cell r="K162" t="str">
            <v>166009 EQUIPO DE SERVICIOS AMBULA</v>
          </cell>
        </row>
        <row r="163">
          <cell r="K163" t="str">
            <v>16600901 Equipo Odontol¢gico</v>
          </cell>
        </row>
        <row r="164">
          <cell r="K164" t="str">
            <v>16600902 Equipo Consulta Externa</v>
          </cell>
        </row>
        <row r="165">
          <cell r="K165" t="str">
            <v>16600903 Equipo Vacunaci¢n</v>
          </cell>
        </row>
        <row r="166">
          <cell r="K166" t="str">
            <v>1665 MUEBLES, ENSERES Y EQUIPOS D</v>
          </cell>
        </row>
        <row r="167">
          <cell r="K167" t="str">
            <v>166501 MUEBLES Y ENSERES</v>
          </cell>
        </row>
        <row r="168">
          <cell r="K168" t="str">
            <v>16650101 Muebles y enseres</v>
          </cell>
        </row>
        <row r="169">
          <cell r="K169" t="str">
            <v>1670 EQUIPOS DE COMUNICACIÓN Y CO</v>
          </cell>
        </row>
        <row r="170">
          <cell r="K170" t="str">
            <v>167001 EQUIPO DE COMUNICACIÓN</v>
          </cell>
        </row>
        <row r="171">
          <cell r="K171" t="str">
            <v>16700101 Equipo de comunicaci¢n</v>
          </cell>
        </row>
        <row r="172">
          <cell r="K172" t="str">
            <v>167002 EQUIPO DE COMPUTACION</v>
          </cell>
        </row>
        <row r="173">
          <cell r="K173" t="str">
            <v>16700201 Equipo de computaci¢n</v>
          </cell>
        </row>
        <row r="174">
          <cell r="K174" t="str">
            <v>1675 EQUIPO DE TRANSPORTE, TRACCI</v>
          </cell>
        </row>
        <row r="175">
          <cell r="K175" t="str">
            <v>167502 TERRESTRE</v>
          </cell>
        </row>
        <row r="176">
          <cell r="K176" t="str">
            <v>16750201 Ambulancia</v>
          </cell>
        </row>
        <row r="177">
          <cell r="K177" t="str">
            <v>16750202 Camionetas y Camperos</v>
          </cell>
        </row>
        <row r="178">
          <cell r="K178" t="str">
            <v>16750204 Motocicletas</v>
          </cell>
        </row>
        <row r="179">
          <cell r="K179" t="str">
            <v>1685 DEPRECIACIÓN ACUMULADA (CR)</v>
          </cell>
        </row>
        <row r="180">
          <cell r="K180" t="str">
            <v>168501 EDIFICACIONES</v>
          </cell>
        </row>
        <row r="181">
          <cell r="K181" t="str">
            <v>16850101 Edificaciones</v>
          </cell>
        </row>
        <row r="182">
          <cell r="K182" t="str">
            <v>168502 PLANTAS, DUCTOS Y TUNELES</v>
          </cell>
        </row>
        <row r="183">
          <cell r="K183" t="str">
            <v>16850201 Plantas, ductos y tunele</v>
          </cell>
        </row>
        <row r="184">
          <cell r="K184" t="str">
            <v>168503 REDES, LINEAS Y CABLES</v>
          </cell>
        </row>
        <row r="185">
          <cell r="K185" t="str">
            <v>16850301 REDES LINEAS Y CABLES</v>
          </cell>
        </row>
        <row r="186">
          <cell r="K186" t="str">
            <v>168504 MAQUINARIA Y EQUIPO</v>
          </cell>
        </row>
        <row r="187">
          <cell r="K187" t="str">
            <v>16850401 Equipo Audiovisual</v>
          </cell>
        </row>
        <row r="188">
          <cell r="K188" t="str">
            <v>16850402 Equipo de Gimnacio</v>
          </cell>
        </row>
        <row r="189">
          <cell r="K189" t="str">
            <v>16850404 Equipo de Asepsia</v>
          </cell>
        </row>
        <row r="190">
          <cell r="K190" t="str">
            <v>168505 EQUIPO MEDICO Y CIENTIFICO</v>
          </cell>
        </row>
        <row r="191">
          <cell r="K191" t="str">
            <v>16850501 Equipo de Laboratorio</v>
          </cell>
        </row>
        <row r="192">
          <cell r="K192" t="str">
            <v>16850502 Equipo de Urgencias</v>
          </cell>
        </row>
        <row r="193">
          <cell r="K193" t="str">
            <v>16850503 Equipo de Hospitalizaci¢</v>
          </cell>
        </row>
        <row r="194">
          <cell r="K194" t="str">
            <v>16850504 Equipo de Quirofanos y S</v>
          </cell>
        </row>
        <row r="195">
          <cell r="K195" t="str">
            <v>16850505 Equipo de Apoyo Diagn¢st</v>
          </cell>
        </row>
        <row r="196">
          <cell r="K196" t="str">
            <v>16850506 Equipo de Apoyo Terapeut</v>
          </cell>
        </row>
        <row r="197">
          <cell r="K197" t="str">
            <v>16850507 Equipo Odontologico</v>
          </cell>
        </row>
        <row r="198">
          <cell r="K198" t="str">
            <v>16850508 Equipo de Consulta Exter</v>
          </cell>
        </row>
        <row r="199">
          <cell r="K199" t="str">
            <v>16850510 Equipo de Vacunaci¢n</v>
          </cell>
        </row>
        <row r="200">
          <cell r="K200" t="str">
            <v>168506 MUEBLES, ENSERES Y EQUIPOS</v>
          </cell>
        </row>
        <row r="201">
          <cell r="K201" t="str">
            <v>16850601 Muebles y Enseres</v>
          </cell>
        </row>
        <row r="202">
          <cell r="K202" t="str">
            <v>168507 EQUIPOS DE COMUNICACIÓN Y</v>
          </cell>
        </row>
        <row r="203">
          <cell r="K203" t="str">
            <v>16850701 Equipo de comunicacion</v>
          </cell>
        </row>
        <row r="204">
          <cell r="K204" t="str">
            <v>16850702 Equipo de Computaci¢n</v>
          </cell>
        </row>
        <row r="205">
          <cell r="K205" t="str">
            <v>168508 EQUIPO DE TRANSPORTE, TRAC</v>
          </cell>
        </row>
        <row r="206">
          <cell r="K206" t="str">
            <v>16850801 Ambulancias</v>
          </cell>
        </row>
        <row r="207">
          <cell r="K207" t="str">
            <v>16850802 Camionetas y Camperos</v>
          </cell>
        </row>
        <row r="208">
          <cell r="K208" t="str">
            <v>16850803 Motocicletas</v>
          </cell>
        </row>
        <row r="209">
          <cell r="K209" t="str">
            <v>19 OTROS ACTIVOS</v>
          </cell>
        </row>
        <row r="210">
          <cell r="K210" t="str">
            <v>1905 GASTOS PAGADOS POR ANTICIPAD</v>
          </cell>
        </row>
        <row r="211">
          <cell r="K211" t="str">
            <v>190501 SEGUROS</v>
          </cell>
        </row>
        <row r="212">
          <cell r="K212" t="str">
            <v>19050101 Seguros</v>
          </cell>
        </row>
        <row r="213">
          <cell r="K213" t="str">
            <v>190511 SUELDOS Y SALARIOS</v>
          </cell>
        </row>
        <row r="214">
          <cell r="K214" t="str">
            <v>19051101 Situado Fiscal Cesantias</v>
          </cell>
        </row>
        <row r="215">
          <cell r="K215" t="str">
            <v>190512 CONTRIBUCIONES EFECTIVAS</v>
          </cell>
        </row>
        <row r="216">
          <cell r="K216" t="str">
            <v>19051201 S.G.P. Aportes SALUD</v>
          </cell>
        </row>
        <row r="217">
          <cell r="K217" t="str">
            <v>19051202 S.G.P. Aportes FONDOS PE</v>
          </cell>
        </row>
        <row r="218">
          <cell r="K218" t="str">
            <v>19051203 COLMENA ARP</v>
          </cell>
        </row>
        <row r="219">
          <cell r="K219" t="str">
            <v>1910 CARGOS DIFERIDOS</v>
          </cell>
        </row>
        <row r="220">
          <cell r="K220" t="str">
            <v>191001 MATERIALES Y SUMINISTROS</v>
          </cell>
        </row>
        <row r="221">
          <cell r="K221" t="str">
            <v>19100101 Utiles y papeleria</v>
          </cell>
        </row>
        <row r="222">
          <cell r="K222" t="str">
            <v>19100103 Repuestos para Vehiculo.</v>
          </cell>
        </row>
        <row r="223">
          <cell r="K223" t="str">
            <v>19100104 Materiales y suministros</v>
          </cell>
        </row>
        <row r="224">
          <cell r="K224" t="str">
            <v>191004 DOTACION A TRABAJADORES</v>
          </cell>
        </row>
        <row r="225">
          <cell r="K225" t="str">
            <v>19100401 Dotaci¢n a trabajadores</v>
          </cell>
        </row>
        <row r="226">
          <cell r="K226" t="str">
            <v>191005 ELEMENTOS DE LENCERIA</v>
          </cell>
        </row>
        <row r="227">
          <cell r="K227" t="str">
            <v>19100501 Elementos de lenceria</v>
          </cell>
        </row>
        <row r="228">
          <cell r="K228" t="str">
            <v>191006 LOZA Y CRISTALERIA</v>
          </cell>
        </row>
        <row r="229">
          <cell r="K229" t="str">
            <v>19100601 Loza y cristaler¡a</v>
          </cell>
        </row>
        <row r="230">
          <cell r="K230" t="str">
            <v>191020 ROPA HOSPITALARIA Y QUIRUR</v>
          </cell>
        </row>
        <row r="231">
          <cell r="K231" t="str">
            <v>19102001 Ropa hospitalaria y quir</v>
          </cell>
        </row>
        <row r="232">
          <cell r="K232" t="str">
            <v>191021 ELEMENTOS DE ASEO, LAVANDE</v>
          </cell>
        </row>
        <row r="233">
          <cell r="K233" t="str">
            <v>19102101 Elementos de aseo, lavan</v>
          </cell>
        </row>
        <row r="234">
          <cell r="K234" t="str">
            <v>191022 COMBUSTIBLES Y LUBRICANTES</v>
          </cell>
        </row>
        <row r="235">
          <cell r="K235" t="str">
            <v>19102201 Combustibles y lubricant</v>
          </cell>
        </row>
        <row r="236">
          <cell r="K236" t="str">
            <v>1970 INTANGIBLES</v>
          </cell>
        </row>
        <row r="237">
          <cell r="K237" t="str">
            <v>197007 LICENCIAS</v>
          </cell>
        </row>
        <row r="238">
          <cell r="K238" t="str">
            <v>19700701 Licencias</v>
          </cell>
        </row>
        <row r="239">
          <cell r="K239" t="str">
            <v>1975 AMORTIZACIÓN ACUMULADA DE IN</v>
          </cell>
        </row>
        <row r="240">
          <cell r="K240" t="str">
            <v>197507 LICENCIAS</v>
          </cell>
        </row>
        <row r="241">
          <cell r="K241" t="str">
            <v>19750701 Licencias</v>
          </cell>
        </row>
        <row r="242">
          <cell r="K242" t="str">
            <v>1999 VALORIZACIONES</v>
          </cell>
        </row>
        <row r="243">
          <cell r="K243" t="str">
            <v>199952 TERRENOS</v>
          </cell>
        </row>
        <row r="244">
          <cell r="K244" t="str">
            <v>19995201 Terrenos Urbanos</v>
          </cell>
        </row>
        <row r="245">
          <cell r="K245" t="str">
            <v>19995202 Terreno San Jose</v>
          </cell>
        </row>
        <row r="246">
          <cell r="K246" t="str">
            <v>19995203 Terreno Cristales</v>
          </cell>
        </row>
        <row r="247">
          <cell r="K247" t="str">
            <v>19995204 Terreno Providencia</v>
          </cell>
        </row>
        <row r="248">
          <cell r="K248" t="str">
            <v>199962 EDIFICACIONES</v>
          </cell>
        </row>
        <row r="249">
          <cell r="K249" t="str">
            <v>19996201 Hospitales</v>
          </cell>
        </row>
        <row r="250">
          <cell r="K250" t="str">
            <v>2 PASIVO</v>
          </cell>
        </row>
        <row r="251">
          <cell r="K251" t="str">
            <v>24 CUENTAS POR PAGAR</v>
          </cell>
        </row>
        <row r="252">
          <cell r="K252" t="str">
            <v>2401 ADQUISICIÓN DE BIENES Y SERV</v>
          </cell>
        </row>
        <row r="253">
          <cell r="K253" t="str">
            <v>240101 BIENES Y SERVICIOS</v>
          </cell>
        </row>
        <row r="254">
          <cell r="K254" t="str">
            <v>24010101 Bienes y servicios</v>
          </cell>
        </row>
        <row r="255">
          <cell r="K255" t="str">
            <v>2425 ACREEDORES</v>
          </cell>
        </row>
        <row r="256">
          <cell r="K256" t="str">
            <v>242552 HONORARIOS</v>
          </cell>
        </row>
        <row r="257">
          <cell r="K257" t="str">
            <v>24255201 Honorarios</v>
          </cell>
        </row>
        <row r="258">
          <cell r="K258" t="str">
            <v>242553 SERVICIOS</v>
          </cell>
        </row>
        <row r="259">
          <cell r="K259" t="str">
            <v>24255301 Servicios</v>
          </cell>
        </row>
        <row r="260">
          <cell r="K260" t="str">
            <v>2460 CREDITOS JUDICIALES</v>
          </cell>
        </row>
        <row r="261">
          <cell r="K261" t="str">
            <v>246002 SENTENCIAS Y CONCILIACIONE</v>
          </cell>
        </row>
        <row r="262">
          <cell r="K262" t="str">
            <v>24600201 Sentencias y Conciliacio</v>
          </cell>
        </row>
        <row r="263">
          <cell r="K263" t="str">
            <v>25 OBLIGACIONES LABORALES Y DE SE</v>
          </cell>
        </row>
        <row r="264">
          <cell r="K264" t="str">
            <v>2505 SALARIOS Y PRESTACIONES SOCI</v>
          </cell>
        </row>
        <row r="265">
          <cell r="K265" t="str">
            <v>250501 NOMINA POR PAGAR</v>
          </cell>
        </row>
        <row r="266">
          <cell r="K266" t="str">
            <v>25050101 N¢mina por Pagar</v>
          </cell>
        </row>
        <row r="267">
          <cell r="K267" t="str">
            <v>250502 CESANTIAS</v>
          </cell>
        </row>
        <row r="268">
          <cell r="K268" t="str">
            <v>25050201 Cesant¡as Ley 50</v>
          </cell>
        </row>
        <row r="269">
          <cell r="K269" t="str">
            <v>25050202 Cesantias Retroactivas</v>
          </cell>
        </row>
        <row r="270">
          <cell r="K270" t="str">
            <v>250503 INTERESES SOBRE CESANTIAS</v>
          </cell>
        </row>
        <row r="271">
          <cell r="K271" t="str">
            <v>25050301 Intereses sobre cesant¡a</v>
          </cell>
        </row>
        <row r="272">
          <cell r="K272" t="str">
            <v>250504 VACACIONES</v>
          </cell>
        </row>
        <row r="273">
          <cell r="K273" t="str">
            <v>25050401 Vacaciones</v>
          </cell>
        </row>
        <row r="274">
          <cell r="K274" t="str">
            <v>250505 PRIMA DE VACACIONES</v>
          </cell>
        </row>
        <row r="275">
          <cell r="K275" t="str">
            <v>25050501 Prima de vacaciones</v>
          </cell>
        </row>
        <row r="276">
          <cell r="K276" t="str">
            <v>250506 PRIMA DE SERVICIOS</v>
          </cell>
        </row>
        <row r="277">
          <cell r="K277" t="str">
            <v>25050601 Prima de servicios</v>
          </cell>
        </row>
        <row r="278">
          <cell r="K278" t="str">
            <v>250507 PRIMA DE NAVIDAD</v>
          </cell>
        </row>
        <row r="279">
          <cell r="K279" t="str">
            <v>25050701 Prima de navidad</v>
          </cell>
        </row>
        <row r="280">
          <cell r="K280" t="str">
            <v>250512 BONIFICACIONES</v>
          </cell>
        </row>
        <row r="281">
          <cell r="K281" t="str">
            <v>25051201 Bonificacion Especial de</v>
          </cell>
        </row>
        <row r="282">
          <cell r="K282" t="str">
            <v>27 PASIVOS ESTIMADOS</v>
          </cell>
        </row>
        <row r="283">
          <cell r="K283" t="str">
            <v>2710 PROVISIÓN PARA CONTINGENCIAS</v>
          </cell>
        </row>
        <row r="284">
          <cell r="K284" t="str">
            <v>271005 LITIGIOS Y DEMANDAS</v>
          </cell>
        </row>
        <row r="285">
          <cell r="K285" t="str">
            <v>27100501 Litigios o demandas</v>
          </cell>
        </row>
        <row r="286">
          <cell r="K286" t="str">
            <v>3 PATRIMONIO</v>
          </cell>
        </row>
        <row r="287">
          <cell r="K287" t="str">
            <v>32 PATRIMONIO INSTITUCIONAL</v>
          </cell>
        </row>
        <row r="288">
          <cell r="K288" t="str">
            <v>3208 CAPITAL FISCAL</v>
          </cell>
        </row>
        <row r="289">
          <cell r="K289" t="str">
            <v>320801 CAPITAL FISCAL</v>
          </cell>
        </row>
        <row r="290">
          <cell r="K290" t="str">
            <v>32080101 Capital fiscal</v>
          </cell>
        </row>
        <row r="291">
          <cell r="K291" t="str">
            <v>3230 RESULTADOS DEL EJERCICIO</v>
          </cell>
        </row>
        <row r="292">
          <cell r="K292" t="str">
            <v>323001 Utilidad o Excedente del Ejercicio</v>
          </cell>
        </row>
        <row r="293">
          <cell r="K293" t="str">
            <v>32300101 Utilidad del Ejercicio</v>
          </cell>
        </row>
        <row r="294">
          <cell r="K294" t="str">
            <v>3235 SUPERÁVIT POR DONACIÓN</v>
          </cell>
        </row>
        <row r="295">
          <cell r="K295" t="str">
            <v>323501 EN DINERO</v>
          </cell>
        </row>
        <row r="296">
          <cell r="K296" t="str">
            <v>32350101 En dinero</v>
          </cell>
        </row>
        <row r="297">
          <cell r="K297" t="str">
            <v>323502 EN ESPECIE</v>
          </cell>
        </row>
        <row r="298">
          <cell r="K298" t="str">
            <v>32350201 En Especie</v>
          </cell>
        </row>
        <row r="299">
          <cell r="K299" t="str">
            <v>32350202 Centro Salud San Josè de</v>
          </cell>
        </row>
        <row r="300">
          <cell r="K300" t="str">
            <v>32350203 Centro Salud Cristales</v>
          </cell>
        </row>
        <row r="301">
          <cell r="K301" t="str">
            <v>32350204 Puesto de Salud Providen</v>
          </cell>
        </row>
        <row r="302">
          <cell r="K302" t="str">
            <v>3240 SUPERÁVIT POR VALORIZACIÓN</v>
          </cell>
        </row>
        <row r="303">
          <cell r="K303" t="str">
            <v>324052 TERRENOS</v>
          </cell>
        </row>
        <row r="304">
          <cell r="K304" t="str">
            <v>32405201 Terrenos Urbanos</v>
          </cell>
        </row>
        <row r="305">
          <cell r="K305" t="str">
            <v>32405202 Terreno San Jose</v>
          </cell>
        </row>
        <row r="306">
          <cell r="K306" t="str">
            <v>32405203 Terreno Cristales</v>
          </cell>
        </row>
        <row r="307">
          <cell r="K307" t="str">
            <v>32405204 Terreno Providencia</v>
          </cell>
        </row>
        <row r="308">
          <cell r="K308" t="str">
            <v>324062 EDIFICACIONES</v>
          </cell>
        </row>
        <row r="309">
          <cell r="K309" t="str">
            <v>32406201 Hospitales</v>
          </cell>
        </row>
        <row r="310">
          <cell r="K310" t="str">
            <v xml:space="preserve"> </v>
          </cell>
        </row>
        <row r="311">
          <cell r="K311" t="str">
            <v xml:space="preserve"> </v>
          </cell>
        </row>
        <row r="312">
          <cell r="K312" t="str">
            <v xml:space="preserve"> </v>
          </cell>
        </row>
        <row r="313">
          <cell r="K313" t="str">
            <v xml:space="preserve"> </v>
          </cell>
        </row>
        <row r="314">
          <cell r="K314" t="str">
            <v xml:space="preserve"> </v>
          </cell>
        </row>
        <row r="315">
          <cell r="K315" t="str">
            <v xml:space="preserve"> </v>
          </cell>
        </row>
        <row r="316">
          <cell r="K316" t="str">
            <v xml:space="preserve"> </v>
          </cell>
        </row>
        <row r="317">
          <cell r="K317" t="str">
            <v xml:space="preserve"> </v>
          </cell>
        </row>
        <row r="318">
          <cell r="K318" t="str">
            <v xml:space="preserve"> </v>
          </cell>
        </row>
        <row r="319">
          <cell r="K319" t="str">
            <v xml:space="preserve"> </v>
          </cell>
        </row>
        <row r="320">
          <cell r="K320" t="str">
            <v xml:space="preserve"> </v>
          </cell>
        </row>
        <row r="321">
          <cell r="K321" t="str">
            <v xml:space="preserve"> </v>
          </cell>
        </row>
        <row r="322">
          <cell r="K322" t="str">
            <v xml:space="preserve"> </v>
          </cell>
        </row>
        <row r="323">
          <cell r="K323" t="str">
            <v xml:space="preserve"> </v>
          </cell>
        </row>
        <row r="324">
          <cell r="K324" t="str">
            <v xml:space="preserve"> </v>
          </cell>
        </row>
        <row r="325">
          <cell r="K325" t="str">
            <v xml:space="preserve"> </v>
          </cell>
        </row>
        <row r="326">
          <cell r="K326" t="str">
            <v xml:space="preserve"> </v>
          </cell>
        </row>
        <row r="327">
          <cell r="K327" t="str">
            <v xml:space="preserve"> </v>
          </cell>
        </row>
        <row r="328">
          <cell r="K328" t="str">
            <v xml:space="preserve"> </v>
          </cell>
        </row>
        <row r="329">
          <cell r="K329" t="str">
            <v xml:space="preserve"> </v>
          </cell>
        </row>
        <row r="330">
          <cell r="K330" t="str">
            <v xml:space="preserve"> </v>
          </cell>
        </row>
        <row r="331">
          <cell r="K331" t="str">
            <v xml:space="preserve"> </v>
          </cell>
        </row>
        <row r="332">
          <cell r="K332" t="str">
            <v xml:space="preserve"> </v>
          </cell>
        </row>
        <row r="333">
          <cell r="K333" t="str">
            <v xml:space="preserve"> </v>
          </cell>
        </row>
        <row r="334">
          <cell r="K334" t="str">
            <v xml:space="preserve"> </v>
          </cell>
        </row>
        <row r="335">
          <cell r="K335" t="str">
            <v xml:space="preserve"> </v>
          </cell>
        </row>
        <row r="336">
          <cell r="K336" t="str">
            <v xml:space="preserve"> </v>
          </cell>
        </row>
        <row r="337">
          <cell r="K337" t="str">
            <v xml:space="preserve"> </v>
          </cell>
        </row>
        <row r="338">
          <cell r="K338" t="str">
            <v xml:space="preserve"> </v>
          </cell>
        </row>
        <row r="339">
          <cell r="K339" t="str">
            <v xml:space="preserve"> </v>
          </cell>
        </row>
        <row r="340">
          <cell r="K340" t="str">
            <v xml:space="preserve"> </v>
          </cell>
        </row>
        <row r="341">
          <cell r="K341" t="str">
            <v xml:space="preserve"> </v>
          </cell>
        </row>
        <row r="342">
          <cell r="K342" t="str">
            <v xml:space="preserve"> </v>
          </cell>
        </row>
        <row r="343">
          <cell r="K343" t="str">
            <v xml:space="preserve"> </v>
          </cell>
        </row>
        <row r="344">
          <cell r="K344" t="str">
            <v xml:space="preserve"> </v>
          </cell>
        </row>
        <row r="345">
          <cell r="K345" t="str">
            <v xml:space="preserve"> </v>
          </cell>
        </row>
        <row r="346">
          <cell r="K346" t="str">
            <v xml:space="preserve"> </v>
          </cell>
        </row>
        <row r="347">
          <cell r="K347" t="str">
            <v xml:space="preserve"> </v>
          </cell>
        </row>
        <row r="348">
          <cell r="K348" t="str">
            <v xml:space="preserve"> </v>
          </cell>
        </row>
        <row r="349">
          <cell r="K349" t="str">
            <v xml:space="preserve"> </v>
          </cell>
        </row>
        <row r="350">
          <cell r="K350" t="str">
            <v xml:space="preserve"> </v>
          </cell>
        </row>
        <row r="351">
          <cell r="K351" t="str">
            <v xml:space="preserve"> </v>
          </cell>
        </row>
        <row r="352">
          <cell r="K352" t="str">
            <v xml:space="preserve"> </v>
          </cell>
        </row>
        <row r="353">
          <cell r="K353" t="str">
            <v xml:space="preserve"> </v>
          </cell>
        </row>
        <row r="354">
          <cell r="K354" t="str">
            <v xml:space="preserve"> </v>
          </cell>
        </row>
        <row r="355">
          <cell r="K355" t="str">
            <v xml:space="preserve"> </v>
          </cell>
        </row>
        <row r="356">
          <cell r="K356" t="str">
            <v xml:space="preserve"> </v>
          </cell>
        </row>
        <row r="357">
          <cell r="K357" t="str">
            <v xml:space="preserve"> </v>
          </cell>
        </row>
        <row r="358">
          <cell r="K358" t="str">
            <v xml:space="preserve"> </v>
          </cell>
        </row>
        <row r="359">
          <cell r="K359" t="str">
            <v xml:space="preserve"> </v>
          </cell>
        </row>
        <row r="360">
          <cell r="K360" t="str">
            <v xml:space="preserve"> </v>
          </cell>
        </row>
        <row r="361">
          <cell r="K361" t="str">
            <v xml:space="preserve"> </v>
          </cell>
        </row>
        <row r="362">
          <cell r="K362" t="str">
            <v xml:space="preserve"> </v>
          </cell>
        </row>
        <row r="363">
          <cell r="K363" t="str">
            <v xml:space="preserve"> </v>
          </cell>
        </row>
        <row r="364">
          <cell r="K364" t="str">
            <v xml:space="preserve"> </v>
          </cell>
        </row>
        <row r="365">
          <cell r="K365" t="str">
            <v xml:space="preserve"> </v>
          </cell>
        </row>
        <row r="366">
          <cell r="K366" t="str">
            <v xml:space="preserve"> </v>
          </cell>
        </row>
        <row r="367">
          <cell r="K367" t="str">
            <v xml:space="preserve"> </v>
          </cell>
        </row>
        <row r="368">
          <cell r="K368" t="str">
            <v xml:space="preserve"> </v>
          </cell>
        </row>
        <row r="369">
          <cell r="K369" t="str">
            <v xml:space="preserve"> </v>
          </cell>
        </row>
        <row r="370">
          <cell r="K370" t="str">
            <v xml:space="preserve"> </v>
          </cell>
        </row>
        <row r="371">
          <cell r="K371" t="str">
            <v xml:space="preserve"> </v>
          </cell>
        </row>
        <row r="372">
          <cell r="K372" t="str">
            <v xml:space="preserve"> </v>
          </cell>
        </row>
        <row r="373">
          <cell r="K373" t="str">
            <v xml:space="preserve"> </v>
          </cell>
        </row>
        <row r="374">
          <cell r="K374" t="str">
            <v xml:space="preserve"> </v>
          </cell>
        </row>
        <row r="375">
          <cell r="K375" t="str">
            <v xml:space="preserve"> </v>
          </cell>
        </row>
        <row r="376">
          <cell r="K376" t="str">
            <v xml:space="preserve"> </v>
          </cell>
        </row>
        <row r="377">
          <cell r="K377" t="str">
            <v xml:space="preserve"> </v>
          </cell>
        </row>
        <row r="378">
          <cell r="K378" t="str">
            <v xml:space="preserve"> </v>
          </cell>
        </row>
        <row r="379">
          <cell r="K379" t="str">
            <v xml:space="preserve"> </v>
          </cell>
        </row>
        <row r="380">
          <cell r="K380" t="str">
            <v xml:space="preserve"> </v>
          </cell>
        </row>
        <row r="381">
          <cell r="K381" t="str">
            <v xml:space="preserve"> </v>
          </cell>
        </row>
        <row r="382">
          <cell r="K382" t="str">
            <v xml:space="preserve"> </v>
          </cell>
        </row>
        <row r="383">
          <cell r="K383" t="str">
            <v xml:space="preserve"> </v>
          </cell>
        </row>
        <row r="384">
          <cell r="K384" t="str">
            <v xml:space="preserve"> </v>
          </cell>
        </row>
        <row r="385">
          <cell r="K385" t="str">
            <v xml:space="preserve"> </v>
          </cell>
        </row>
        <row r="386">
          <cell r="K386" t="str">
            <v xml:space="preserve"> </v>
          </cell>
        </row>
        <row r="387">
          <cell r="K387" t="str">
            <v xml:space="preserve"> </v>
          </cell>
        </row>
        <row r="388">
          <cell r="K388" t="str">
            <v xml:space="preserve"> </v>
          </cell>
        </row>
        <row r="389">
          <cell r="K389" t="str">
            <v xml:space="preserve"> </v>
          </cell>
        </row>
        <row r="390">
          <cell r="K390" t="str">
            <v xml:space="preserve"> </v>
          </cell>
        </row>
        <row r="391">
          <cell r="K391" t="str">
            <v xml:space="preserve"> </v>
          </cell>
        </row>
        <row r="392">
          <cell r="K392" t="str">
            <v xml:space="preserve"> </v>
          </cell>
        </row>
        <row r="393">
          <cell r="K393" t="str">
            <v xml:space="preserve"> </v>
          </cell>
        </row>
        <row r="394">
          <cell r="K394" t="str">
            <v xml:space="preserve"> </v>
          </cell>
        </row>
        <row r="395">
          <cell r="K395" t="str">
            <v xml:space="preserve"> </v>
          </cell>
        </row>
        <row r="396">
          <cell r="K396" t="str">
            <v xml:space="preserve"> </v>
          </cell>
        </row>
        <row r="397">
          <cell r="K397" t="str">
            <v xml:space="preserve"> </v>
          </cell>
        </row>
        <row r="398">
          <cell r="K398" t="str">
            <v xml:space="preserve"> </v>
          </cell>
        </row>
        <row r="399">
          <cell r="K399" t="str">
            <v xml:space="preserve"> </v>
          </cell>
        </row>
        <row r="400">
          <cell r="K400" t="str">
            <v xml:space="preserve"> </v>
          </cell>
        </row>
        <row r="401">
          <cell r="K401" t="str">
            <v xml:space="preserve"> </v>
          </cell>
        </row>
        <row r="402">
          <cell r="K402" t="str">
            <v xml:space="preserve"> </v>
          </cell>
        </row>
        <row r="403">
          <cell r="K403" t="str">
            <v xml:space="preserve"> </v>
          </cell>
        </row>
        <row r="404">
          <cell r="K404" t="str">
            <v xml:space="preserve"> </v>
          </cell>
        </row>
        <row r="405">
          <cell r="K405" t="str">
            <v xml:space="preserve"> </v>
          </cell>
        </row>
        <row r="406">
          <cell r="K406" t="str">
            <v xml:space="preserve"> </v>
          </cell>
        </row>
        <row r="407">
          <cell r="K407" t="str">
            <v xml:space="preserve"> </v>
          </cell>
        </row>
        <row r="408">
          <cell r="K408" t="str">
            <v xml:space="preserve"> </v>
          </cell>
        </row>
        <row r="409">
          <cell r="K409" t="str">
            <v xml:space="preserve"> </v>
          </cell>
        </row>
        <row r="410">
          <cell r="K410" t="str">
            <v xml:space="preserve"> </v>
          </cell>
        </row>
        <row r="411">
          <cell r="K411" t="str">
            <v xml:space="preserve"> </v>
          </cell>
        </row>
        <row r="412">
          <cell r="K412" t="str">
            <v xml:space="preserve"> </v>
          </cell>
        </row>
        <row r="413">
          <cell r="K413" t="str">
            <v xml:space="preserve"> </v>
          </cell>
        </row>
        <row r="414">
          <cell r="K414" t="str">
            <v xml:space="preserve"> </v>
          </cell>
        </row>
        <row r="415">
          <cell r="K415" t="str">
            <v xml:space="preserve"> </v>
          </cell>
        </row>
        <row r="416">
          <cell r="K416" t="str">
            <v xml:space="preserve"> </v>
          </cell>
        </row>
        <row r="417">
          <cell r="K417" t="str">
            <v xml:space="preserve"> </v>
          </cell>
        </row>
        <row r="418">
          <cell r="K418" t="str">
            <v xml:space="preserve"> </v>
          </cell>
        </row>
        <row r="419">
          <cell r="K419" t="str">
            <v xml:space="preserve"> </v>
          </cell>
        </row>
        <row r="420">
          <cell r="K420" t="str">
            <v xml:space="preserve"> </v>
          </cell>
        </row>
        <row r="421">
          <cell r="K421" t="str">
            <v xml:space="preserve"> </v>
          </cell>
        </row>
        <row r="422">
          <cell r="K422" t="str">
            <v xml:space="preserve"> </v>
          </cell>
        </row>
        <row r="423">
          <cell r="K423" t="str">
            <v xml:space="preserve"> </v>
          </cell>
        </row>
        <row r="424">
          <cell r="K424" t="str">
            <v xml:space="preserve"> </v>
          </cell>
        </row>
        <row r="425">
          <cell r="K425" t="str">
            <v xml:space="preserve"> </v>
          </cell>
        </row>
        <row r="426">
          <cell r="K426" t="str">
            <v xml:space="preserve"> </v>
          </cell>
        </row>
        <row r="427">
          <cell r="K427" t="str">
            <v xml:space="preserve"> </v>
          </cell>
        </row>
        <row r="428">
          <cell r="K428" t="str">
            <v xml:space="preserve"> </v>
          </cell>
        </row>
        <row r="429">
          <cell r="K429" t="str">
            <v xml:space="preserve"> </v>
          </cell>
        </row>
        <row r="430">
          <cell r="K430" t="str">
            <v xml:space="preserve"> </v>
          </cell>
        </row>
        <row r="431">
          <cell r="K431" t="str">
            <v xml:space="preserve"> </v>
          </cell>
        </row>
        <row r="432">
          <cell r="K432" t="str">
            <v xml:space="preserve"> </v>
          </cell>
        </row>
        <row r="433">
          <cell r="K433" t="str">
            <v xml:space="preserve"> </v>
          </cell>
        </row>
        <row r="434">
          <cell r="K434" t="str">
            <v xml:space="preserve"> </v>
          </cell>
        </row>
        <row r="435">
          <cell r="K435" t="str">
            <v xml:space="preserve"> </v>
          </cell>
        </row>
        <row r="436">
          <cell r="K436" t="str">
            <v xml:space="preserve"> </v>
          </cell>
        </row>
        <row r="437">
          <cell r="K437" t="str">
            <v xml:space="preserve"> </v>
          </cell>
        </row>
        <row r="438">
          <cell r="K438" t="str">
            <v xml:space="preserve"> </v>
          </cell>
        </row>
        <row r="439">
          <cell r="K439" t="str">
            <v xml:space="preserve"> </v>
          </cell>
        </row>
        <row r="440">
          <cell r="K440" t="str">
            <v xml:space="preserve"> </v>
          </cell>
        </row>
        <row r="441">
          <cell r="K441" t="str">
            <v xml:space="preserve"> </v>
          </cell>
        </row>
        <row r="442">
          <cell r="K442" t="str">
            <v xml:space="preserve"> </v>
          </cell>
        </row>
        <row r="443">
          <cell r="K443" t="str">
            <v xml:space="preserve"> </v>
          </cell>
        </row>
        <row r="444">
          <cell r="K444" t="str">
            <v xml:space="preserve"> </v>
          </cell>
        </row>
        <row r="445">
          <cell r="K445" t="str">
            <v xml:space="preserve"> </v>
          </cell>
        </row>
        <row r="446">
          <cell r="K446" t="str">
            <v xml:space="preserve"> </v>
          </cell>
        </row>
        <row r="447">
          <cell r="K447" t="str">
            <v xml:space="preserve"> </v>
          </cell>
        </row>
        <row r="448">
          <cell r="K448" t="str">
            <v xml:space="preserve"> </v>
          </cell>
        </row>
        <row r="449">
          <cell r="K449" t="str">
            <v xml:space="preserve"> </v>
          </cell>
        </row>
        <row r="450">
          <cell r="K450" t="str">
            <v xml:space="preserve"> </v>
          </cell>
        </row>
        <row r="451">
          <cell r="K451" t="str">
            <v xml:space="preserve"> </v>
          </cell>
        </row>
        <row r="452">
          <cell r="K452" t="str">
            <v xml:space="preserve"> </v>
          </cell>
        </row>
        <row r="453">
          <cell r="K453" t="str">
            <v xml:space="preserve"> </v>
          </cell>
        </row>
        <row r="454">
          <cell r="K454" t="str">
            <v xml:space="preserve"> </v>
          </cell>
        </row>
        <row r="455">
          <cell r="K455" t="str">
            <v xml:space="preserve"> </v>
          </cell>
        </row>
        <row r="456">
          <cell r="K456" t="str">
            <v xml:space="preserve"> </v>
          </cell>
        </row>
        <row r="457">
          <cell r="K457" t="str">
            <v xml:space="preserve"> </v>
          </cell>
        </row>
        <row r="458">
          <cell r="K458" t="str">
            <v xml:space="preserve"> </v>
          </cell>
        </row>
        <row r="459">
          <cell r="K459" t="str">
            <v xml:space="preserve"> </v>
          </cell>
        </row>
        <row r="460">
          <cell r="K460" t="str">
            <v xml:space="preserve"> </v>
          </cell>
        </row>
        <row r="461">
          <cell r="K461" t="str">
            <v xml:space="preserve"> </v>
          </cell>
        </row>
        <row r="462">
          <cell r="K462" t="str">
            <v xml:space="preserve"> </v>
          </cell>
        </row>
        <row r="463">
          <cell r="K463" t="str">
            <v xml:space="preserve"> </v>
          </cell>
        </row>
        <row r="464">
          <cell r="K464" t="str">
            <v xml:space="preserve"> </v>
          </cell>
        </row>
        <row r="465">
          <cell r="K465" t="str">
            <v xml:space="preserve"> </v>
          </cell>
        </row>
        <row r="466">
          <cell r="K466" t="str">
            <v xml:space="preserve"> </v>
          </cell>
        </row>
        <row r="467">
          <cell r="K467" t="str">
            <v xml:space="preserve"> </v>
          </cell>
        </row>
        <row r="468">
          <cell r="K468" t="str">
            <v xml:space="preserve"> </v>
          </cell>
        </row>
        <row r="469">
          <cell r="K469" t="str">
            <v xml:space="preserve"> </v>
          </cell>
        </row>
        <row r="470">
          <cell r="K470" t="str">
            <v xml:space="preserve"> </v>
          </cell>
        </row>
        <row r="471">
          <cell r="K471" t="str">
            <v xml:space="preserve"> </v>
          </cell>
        </row>
        <row r="472">
          <cell r="K472" t="str">
            <v xml:space="preserve"> </v>
          </cell>
        </row>
        <row r="473">
          <cell r="K473" t="str">
            <v xml:space="preserve"> </v>
          </cell>
        </row>
        <row r="474">
          <cell r="K474" t="str">
            <v xml:space="preserve"> </v>
          </cell>
        </row>
        <row r="475">
          <cell r="K475" t="str">
            <v xml:space="preserve"> </v>
          </cell>
        </row>
        <row r="476">
          <cell r="K476" t="str">
            <v xml:space="preserve"> </v>
          </cell>
        </row>
        <row r="477">
          <cell r="K477" t="str">
            <v xml:space="preserve"> </v>
          </cell>
        </row>
        <row r="478">
          <cell r="K478" t="str">
            <v xml:space="preserve"> </v>
          </cell>
        </row>
        <row r="479">
          <cell r="K479" t="str">
            <v xml:space="preserve"> </v>
          </cell>
        </row>
        <row r="480">
          <cell r="K480" t="str">
            <v xml:space="preserve"> </v>
          </cell>
        </row>
        <row r="481">
          <cell r="K481" t="str">
            <v xml:space="preserve"> </v>
          </cell>
        </row>
        <row r="482">
          <cell r="K482" t="str">
            <v xml:space="preserve"> </v>
          </cell>
        </row>
        <row r="483">
          <cell r="K483" t="str">
            <v xml:space="preserve"> </v>
          </cell>
        </row>
        <row r="484">
          <cell r="K484" t="str">
            <v xml:space="preserve"> </v>
          </cell>
        </row>
        <row r="485">
          <cell r="K485" t="str">
            <v xml:space="preserve"> </v>
          </cell>
        </row>
        <row r="486">
          <cell r="K486" t="str">
            <v xml:space="preserve"> </v>
          </cell>
        </row>
        <row r="487">
          <cell r="K487" t="str">
            <v xml:space="preserve"> </v>
          </cell>
        </row>
        <row r="488">
          <cell r="K488" t="str">
            <v xml:space="preserve"> </v>
          </cell>
        </row>
        <row r="489">
          <cell r="K489" t="str">
            <v xml:space="preserve"> </v>
          </cell>
        </row>
        <row r="490">
          <cell r="K490" t="str">
            <v xml:space="preserve"> </v>
          </cell>
        </row>
        <row r="491">
          <cell r="K491" t="str">
            <v xml:space="preserve"> </v>
          </cell>
        </row>
        <row r="492">
          <cell r="K492" t="str">
            <v xml:space="preserve"> </v>
          </cell>
        </row>
        <row r="493">
          <cell r="K493" t="str">
            <v xml:space="preserve"> </v>
          </cell>
        </row>
        <row r="494">
          <cell r="K494" t="str">
            <v xml:space="preserve"> </v>
          </cell>
        </row>
        <row r="495">
          <cell r="K495" t="str">
            <v xml:space="preserve"> </v>
          </cell>
        </row>
        <row r="496">
          <cell r="K496" t="str">
            <v xml:space="preserve"> </v>
          </cell>
        </row>
        <row r="497">
          <cell r="K497" t="str">
            <v xml:space="preserve"> </v>
          </cell>
        </row>
        <row r="498">
          <cell r="K498" t="str">
            <v xml:space="preserve"> </v>
          </cell>
        </row>
        <row r="499">
          <cell r="K499" t="str">
            <v xml:space="preserve"> </v>
          </cell>
        </row>
        <row r="500">
          <cell r="K500" t="str">
            <v xml:space="preserve"> </v>
          </cell>
        </row>
        <row r="501">
          <cell r="K501" t="str">
            <v xml:space="preserve"> </v>
          </cell>
        </row>
        <row r="502">
          <cell r="K502" t="str">
            <v xml:space="preserve"> </v>
          </cell>
        </row>
        <row r="503">
          <cell r="K503" t="str">
            <v xml:space="preserve"> </v>
          </cell>
        </row>
        <row r="504">
          <cell r="K504" t="str">
            <v xml:space="preserve"> </v>
          </cell>
        </row>
        <row r="505">
          <cell r="K505" t="str">
            <v xml:space="preserve"> </v>
          </cell>
        </row>
        <row r="506">
          <cell r="K506" t="str">
            <v xml:space="preserve"> </v>
          </cell>
        </row>
        <row r="507">
          <cell r="K507" t="str">
            <v xml:space="preserve"> </v>
          </cell>
        </row>
        <row r="508">
          <cell r="K508" t="str">
            <v xml:space="preserve"> </v>
          </cell>
        </row>
        <row r="509">
          <cell r="K509" t="str">
            <v xml:space="preserve"> </v>
          </cell>
        </row>
        <row r="510">
          <cell r="K510" t="str">
            <v xml:space="preserve"> </v>
          </cell>
        </row>
        <row r="511">
          <cell r="K511" t="str">
            <v xml:space="preserve"> </v>
          </cell>
        </row>
        <row r="512">
          <cell r="K512" t="str">
            <v xml:space="preserve"> </v>
          </cell>
        </row>
        <row r="513">
          <cell r="K513" t="str">
            <v xml:space="preserve"> </v>
          </cell>
        </row>
        <row r="514">
          <cell r="K514" t="str">
            <v xml:space="preserve"> </v>
          </cell>
        </row>
        <row r="515">
          <cell r="K515" t="str">
            <v xml:space="preserve"> </v>
          </cell>
        </row>
        <row r="516">
          <cell r="K516" t="str">
            <v xml:space="preserve"> </v>
          </cell>
        </row>
        <row r="517">
          <cell r="K517" t="str">
            <v xml:space="preserve"> </v>
          </cell>
        </row>
        <row r="518">
          <cell r="K518" t="str">
            <v xml:space="preserve"> </v>
          </cell>
        </row>
        <row r="519">
          <cell r="K519" t="str">
            <v xml:space="preserve"> </v>
          </cell>
        </row>
        <row r="520">
          <cell r="K520" t="str">
            <v xml:space="preserve"> </v>
          </cell>
        </row>
        <row r="521">
          <cell r="K521" t="str">
            <v xml:space="preserve"> </v>
          </cell>
        </row>
        <row r="522">
          <cell r="K522" t="str">
            <v xml:space="preserve"> </v>
          </cell>
        </row>
        <row r="523">
          <cell r="K523" t="str">
            <v xml:space="preserve"> </v>
          </cell>
        </row>
        <row r="524">
          <cell r="K524" t="str">
            <v xml:space="preserve"> </v>
          </cell>
        </row>
        <row r="525">
          <cell r="K525" t="str">
            <v xml:space="preserve"> </v>
          </cell>
        </row>
        <row r="526">
          <cell r="K526" t="str">
            <v xml:space="preserve"> </v>
          </cell>
        </row>
        <row r="527">
          <cell r="K527" t="str">
            <v xml:space="preserve"> </v>
          </cell>
        </row>
        <row r="528">
          <cell r="K528" t="str">
            <v xml:space="preserve"> </v>
          </cell>
        </row>
        <row r="529">
          <cell r="K529" t="str">
            <v xml:space="preserve"> </v>
          </cell>
        </row>
        <row r="530">
          <cell r="K530" t="str">
            <v xml:space="preserve"> </v>
          </cell>
        </row>
        <row r="531">
          <cell r="K531" t="str">
            <v xml:space="preserve"> </v>
          </cell>
        </row>
        <row r="532">
          <cell r="K532" t="str">
            <v xml:space="preserve"> </v>
          </cell>
        </row>
        <row r="533">
          <cell r="K533" t="str">
            <v xml:space="preserve"> </v>
          </cell>
        </row>
        <row r="534">
          <cell r="K534" t="str">
            <v xml:space="preserve"> </v>
          </cell>
        </row>
        <row r="535">
          <cell r="K535" t="str">
            <v xml:space="preserve"> </v>
          </cell>
        </row>
        <row r="536">
          <cell r="K536" t="str">
            <v xml:space="preserve"> </v>
          </cell>
        </row>
        <row r="537">
          <cell r="K537" t="str">
            <v xml:space="preserve"> </v>
          </cell>
        </row>
        <row r="538">
          <cell r="K538" t="str">
            <v xml:space="preserve"> </v>
          </cell>
        </row>
        <row r="539">
          <cell r="K539" t="str">
            <v xml:space="preserve"> </v>
          </cell>
        </row>
        <row r="540">
          <cell r="K540" t="str">
            <v xml:space="preserve"> </v>
          </cell>
        </row>
        <row r="541">
          <cell r="K541" t="str">
            <v xml:space="preserve"> </v>
          </cell>
        </row>
        <row r="542">
          <cell r="K542" t="str">
            <v xml:space="preserve"> </v>
          </cell>
        </row>
        <row r="543">
          <cell r="K543" t="str">
            <v xml:space="preserve"> </v>
          </cell>
        </row>
        <row r="544">
          <cell r="K544" t="str">
            <v xml:space="preserve"> </v>
          </cell>
        </row>
        <row r="545">
          <cell r="K545" t="str">
            <v xml:space="preserve"> </v>
          </cell>
        </row>
        <row r="546">
          <cell r="K546" t="str">
            <v xml:space="preserve"> </v>
          </cell>
        </row>
        <row r="547">
          <cell r="K547" t="str">
            <v xml:space="preserve"> </v>
          </cell>
        </row>
        <row r="548">
          <cell r="K548" t="str">
            <v xml:space="preserve"> </v>
          </cell>
        </row>
        <row r="549">
          <cell r="K549" t="str">
            <v xml:space="preserve"> </v>
          </cell>
        </row>
        <row r="550">
          <cell r="K550" t="str">
            <v xml:space="preserve"> </v>
          </cell>
        </row>
        <row r="551">
          <cell r="K551" t="str">
            <v xml:space="preserve"> </v>
          </cell>
        </row>
        <row r="552">
          <cell r="K552" t="str">
            <v xml:space="preserve"> </v>
          </cell>
        </row>
        <row r="553">
          <cell r="K553" t="str">
            <v xml:space="preserve"> </v>
          </cell>
        </row>
        <row r="554">
          <cell r="K554" t="str">
            <v xml:space="preserve"> </v>
          </cell>
        </row>
        <row r="555">
          <cell r="K555" t="str">
            <v xml:space="preserve"> </v>
          </cell>
        </row>
        <row r="556">
          <cell r="K556" t="str">
            <v xml:space="preserve"> </v>
          </cell>
        </row>
        <row r="557">
          <cell r="K557" t="str">
            <v xml:space="preserve"> </v>
          </cell>
        </row>
        <row r="558">
          <cell r="K558" t="str">
            <v xml:space="preserve"> </v>
          </cell>
        </row>
        <row r="559">
          <cell r="K559" t="str">
            <v xml:space="preserve"> </v>
          </cell>
        </row>
        <row r="560">
          <cell r="K560" t="str">
            <v xml:space="preserve"> </v>
          </cell>
        </row>
        <row r="561">
          <cell r="K561" t="str">
            <v xml:space="preserve"> </v>
          </cell>
        </row>
        <row r="562">
          <cell r="K562" t="str">
            <v xml:space="preserve"> </v>
          </cell>
        </row>
        <row r="563">
          <cell r="K563" t="str">
            <v xml:space="preserve"> </v>
          </cell>
        </row>
        <row r="564">
          <cell r="K564" t="str">
            <v xml:space="preserve"> </v>
          </cell>
        </row>
        <row r="565">
          <cell r="K565" t="str">
            <v xml:space="preserve"> </v>
          </cell>
        </row>
        <row r="566">
          <cell r="K566" t="str">
            <v xml:space="preserve"> </v>
          </cell>
        </row>
        <row r="567">
          <cell r="K567" t="str">
            <v xml:space="preserve"> </v>
          </cell>
        </row>
        <row r="568">
          <cell r="K568" t="str">
            <v xml:space="preserve"> </v>
          </cell>
        </row>
        <row r="569">
          <cell r="K569" t="str">
            <v xml:space="preserve"> </v>
          </cell>
        </row>
        <row r="570">
          <cell r="K570" t="str">
            <v xml:space="preserve"> </v>
          </cell>
        </row>
        <row r="571">
          <cell r="K571" t="str">
            <v xml:space="preserve"> </v>
          </cell>
        </row>
        <row r="572">
          <cell r="K572" t="str">
            <v xml:space="preserve"> </v>
          </cell>
        </row>
        <row r="573">
          <cell r="K573" t="str">
            <v xml:space="preserve"> </v>
          </cell>
        </row>
        <row r="574">
          <cell r="K574" t="str">
            <v xml:space="preserve"> </v>
          </cell>
        </row>
        <row r="575">
          <cell r="K575" t="str">
            <v xml:space="preserve"> </v>
          </cell>
        </row>
        <row r="576">
          <cell r="K576" t="str">
            <v xml:space="preserve"> </v>
          </cell>
        </row>
        <row r="577">
          <cell r="K577" t="str">
            <v xml:space="preserve"> </v>
          </cell>
        </row>
        <row r="578">
          <cell r="K578" t="str">
            <v xml:space="preserve"> </v>
          </cell>
        </row>
        <row r="579">
          <cell r="K579" t="str">
            <v xml:space="preserve"> </v>
          </cell>
        </row>
        <row r="580">
          <cell r="K580" t="str">
            <v xml:space="preserve"> </v>
          </cell>
        </row>
        <row r="581">
          <cell r="K581" t="str">
            <v xml:space="preserve"> </v>
          </cell>
        </row>
        <row r="582">
          <cell r="K582" t="str">
            <v xml:space="preserve"> </v>
          </cell>
        </row>
        <row r="583">
          <cell r="K583" t="str">
            <v xml:space="preserve"> </v>
          </cell>
        </row>
        <row r="584">
          <cell r="K584" t="str">
            <v xml:space="preserve"> </v>
          </cell>
        </row>
        <row r="585">
          <cell r="K585" t="str">
            <v xml:space="preserve"> </v>
          </cell>
        </row>
        <row r="586">
          <cell r="K586" t="str">
            <v xml:space="preserve"> </v>
          </cell>
        </row>
        <row r="587">
          <cell r="K587" t="str">
            <v xml:space="preserve"> </v>
          </cell>
        </row>
        <row r="588">
          <cell r="K588" t="str">
            <v xml:space="preserve"> </v>
          </cell>
        </row>
        <row r="589">
          <cell r="K589" t="str">
            <v xml:space="preserve"> </v>
          </cell>
        </row>
        <row r="590">
          <cell r="K590" t="str">
            <v xml:space="preserve"> </v>
          </cell>
        </row>
        <row r="591">
          <cell r="K591" t="str">
            <v xml:space="preserve"> </v>
          </cell>
        </row>
        <row r="592">
          <cell r="K592" t="str">
            <v xml:space="preserve"> </v>
          </cell>
        </row>
        <row r="593">
          <cell r="K593" t="str">
            <v xml:space="preserve"> </v>
          </cell>
        </row>
        <row r="594">
          <cell r="K594" t="str">
            <v xml:space="preserve"> </v>
          </cell>
        </row>
        <row r="595">
          <cell r="K595" t="str">
            <v xml:space="preserve"> </v>
          </cell>
        </row>
        <row r="596">
          <cell r="K596" t="str">
            <v xml:space="preserve"> </v>
          </cell>
        </row>
        <row r="597">
          <cell r="K597" t="str">
            <v xml:space="preserve"> </v>
          </cell>
        </row>
        <row r="598">
          <cell r="K598" t="str">
            <v xml:space="preserve"> </v>
          </cell>
        </row>
        <row r="599">
          <cell r="K599" t="str">
            <v xml:space="preserve"> </v>
          </cell>
        </row>
        <row r="600">
          <cell r="K600" t="str">
            <v xml:space="preserve"> </v>
          </cell>
        </row>
        <row r="601">
          <cell r="K601" t="str">
            <v xml:space="preserve"> </v>
          </cell>
        </row>
        <row r="602">
          <cell r="K602" t="str">
            <v xml:space="preserve"> </v>
          </cell>
        </row>
        <row r="603">
          <cell r="K603" t="str">
            <v xml:space="preserve"> </v>
          </cell>
        </row>
        <row r="604">
          <cell r="K604" t="str">
            <v xml:space="preserve"> </v>
          </cell>
        </row>
        <row r="605">
          <cell r="K605" t="str">
            <v xml:space="preserve"> </v>
          </cell>
        </row>
        <row r="606">
          <cell r="K606" t="str">
            <v xml:space="preserve"> </v>
          </cell>
        </row>
        <row r="607">
          <cell r="K607" t="str">
            <v xml:space="preserve"> </v>
          </cell>
        </row>
        <row r="608">
          <cell r="K608" t="str">
            <v xml:space="preserve"> </v>
          </cell>
        </row>
        <row r="609">
          <cell r="K609" t="str">
            <v xml:space="preserve"> </v>
          </cell>
        </row>
        <row r="610">
          <cell r="K610" t="str">
            <v xml:space="preserve"> </v>
          </cell>
        </row>
        <row r="611">
          <cell r="K611" t="str">
            <v xml:space="preserve"> </v>
          </cell>
        </row>
        <row r="612">
          <cell r="K612" t="str">
            <v xml:space="preserve"> </v>
          </cell>
        </row>
        <row r="613">
          <cell r="K613" t="str">
            <v xml:space="preserve"> </v>
          </cell>
        </row>
        <row r="614">
          <cell r="K614" t="str">
            <v xml:space="preserve"> </v>
          </cell>
        </row>
        <row r="615">
          <cell r="K615" t="str">
            <v xml:space="preserve"> </v>
          </cell>
        </row>
        <row r="616">
          <cell r="K616" t="str">
            <v xml:space="preserve"> </v>
          </cell>
        </row>
        <row r="617">
          <cell r="K617" t="str">
            <v xml:space="preserve"> </v>
          </cell>
        </row>
        <row r="618">
          <cell r="K618" t="str">
            <v xml:space="preserve"> </v>
          </cell>
        </row>
        <row r="619">
          <cell r="K619" t="str">
            <v xml:space="preserve"> </v>
          </cell>
        </row>
        <row r="620">
          <cell r="K620" t="str">
            <v xml:space="preserve"> </v>
          </cell>
        </row>
        <row r="621">
          <cell r="K621" t="str">
            <v xml:space="preserve"> </v>
          </cell>
        </row>
        <row r="622">
          <cell r="K622" t="str">
            <v xml:space="preserve"> </v>
          </cell>
        </row>
        <row r="623">
          <cell r="K623" t="str">
            <v xml:space="preserve"> </v>
          </cell>
        </row>
        <row r="624">
          <cell r="K624" t="str">
            <v xml:space="preserve"> </v>
          </cell>
        </row>
        <row r="625">
          <cell r="K625" t="str">
            <v xml:space="preserve"> </v>
          </cell>
        </row>
        <row r="626">
          <cell r="K626" t="str">
            <v xml:space="preserve"> </v>
          </cell>
        </row>
        <row r="627">
          <cell r="K627" t="str">
            <v xml:space="preserve"> </v>
          </cell>
        </row>
        <row r="628">
          <cell r="K628" t="str">
            <v xml:space="preserve"> </v>
          </cell>
        </row>
        <row r="629">
          <cell r="K629" t="str">
            <v xml:space="preserve"> </v>
          </cell>
        </row>
        <row r="630">
          <cell r="K630" t="str">
            <v xml:space="preserve"> </v>
          </cell>
        </row>
        <row r="631">
          <cell r="K631" t="str">
            <v xml:space="preserve"> </v>
          </cell>
        </row>
        <row r="632">
          <cell r="K632" t="str">
            <v xml:space="preserve"> </v>
          </cell>
        </row>
        <row r="633">
          <cell r="K633" t="str">
            <v xml:space="preserve"> </v>
          </cell>
        </row>
        <row r="634">
          <cell r="K634" t="str">
            <v xml:space="preserve"> </v>
          </cell>
        </row>
        <row r="635">
          <cell r="K635" t="str">
            <v xml:space="preserve"> </v>
          </cell>
        </row>
        <row r="636">
          <cell r="K636" t="str">
            <v xml:space="preserve"> </v>
          </cell>
        </row>
        <row r="637">
          <cell r="K637" t="str">
            <v xml:space="preserve"> </v>
          </cell>
        </row>
        <row r="638">
          <cell r="K638" t="str">
            <v xml:space="preserve"> </v>
          </cell>
        </row>
        <row r="639">
          <cell r="K639" t="str">
            <v xml:space="preserve"> </v>
          </cell>
        </row>
        <row r="640">
          <cell r="K640" t="str">
            <v xml:space="preserve"> </v>
          </cell>
        </row>
        <row r="641">
          <cell r="K641" t="str">
            <v xml:space="preserve"> </v>
          </cell>
        </row>
        <row r="642">
          <cell r="K642" t="str">
            <v xml:space="preserve"> </v>
          </cell>
        </row>
        <row r="643">
          <cell r="K643" t="str">
            <v xml:space="preserve"> </v>
          </cell>
        </row>
        <row r="644">
          <cell r="K644" t="str">
            <v xml:space="preserve"> </v>
          </cell>
        </row>
        <row r="645">
          <cell r="K645" t="str">
            <v xml:space="preserve"> </v>
          </cell>
        </row>
        <row r="646">
          <cell r="K646" t="str">
            <v xml:space="preserve"> </v>
          </cell>
        </row>
        <row r="647">
          <cell r="K647" t="str">
            <v xml:space="preserve"> </v>
          </cell>
        </row>
        <row r="648">
          <cell r="K648" t="str">
            <v xml:space="preserve"> </v>
          </cell>
        </row>
        <row r="649">
          <cell r="K649" t="str">
            <v xml:space="preserve"> </v>
          </cell>
        </row>
        <row r="650">
          <cell r="K650" t="str">
            <v xml:space="preserve"> </v>
          </cell>
        </row>
        <row r="651">
          <cell r="K651" t="str">
            <v xml:space="preserve"> </v>
          </cell>
        </row>
        <row r="652">
          <cell r="K652" t="str">
            <v xml:space="preserve"> </v>
          </cell>
        </row>
        <row r="653">
          <cell r="K653" t="str">
            <v xml:space="preserve"> </v>
          </cell>
        </row>
        <row r="654">
          <cell r="K654" t="str">
            <v xml:space="preserve"> </v>
          </cell>
        </row>
        <row r="655">
          <cell r="K655" t="str">
            <v xml:space="preserve"> </v>
          </cell>
        </row>
        <row r="656">
          <cell r="K656" t="str">
            <v xml:space="preserve"> </v>
          </cell>
        </row>
        <row r="657">
          <cell r="K657" t="str">
            <v xml:space="preserve"> </v>
          </cell>
        </row>
        <row r="658">
          <cell r="K658" t="str">
            <v xml:space="preserve"> </v>
          </cell>
        </row>
        <row r="659">
          <cell r="K659" t="str">
            <v xml:space="preserve"> </v>
          </cell>
        </row>
        <row r="660">
          <cell r="K660" t="str">
            <v xml:space="preserve"> </v>
          </cell>
        </row>
        <row r="661">
          <cell r="K661" t="str">
            <v xml:space="preserve"> </v>
          </cell>
        </row>
        <row r="662">
          <cell r="K662" t="str">
            <v xml:space="preserve"> </v>
          </cell>
        </row>
        <row r="663">
          <cell r="K663" t="str">
            <v xml:space="preserve"> </v>
          </cell>
        </row>
        <row r="664">
          <cell r="K664" t="str">
            <v xml:space="preserve"> </v>
          </cell>
        </row>
        <row r="665">
          <cell r="K665" t="str">
            <v xml:space="preserve"> </v>
          </cell>
        </row>
        <row r="666">
          <cell r="K666" t="str">
            <v xml:space="preserve"> </v>
          </cell>
        </row>
        <row r="667">
          <cell r="K667" t="str">
            <v xml:space="preserve"> </v>
          </cell>
        </row>
        <row r="668">
          <cell r="K668" t="str">
            <v xml:space="preserve"> </v>
          </cell>
        </row>
        <row r="669">
          <cell r="K669" t="str">
            <v xml:space="preserve"> </v>
          </cell>
        </row>
        <row r="670">
          <cell r="K670" t="str">
            <v xml:space="preserve"> </v>
          </cell>
        </row>
        <row r="671">
          <cell r="K671" t="str">
            <v xml:space="preserve"> </v>
          </cell>
        </row>
        <row r="672">
          <cell r="K672" t="str">
            <v xml:space="preserve"> </v>
          </cell>
        </row>
        <row r="673">
          <cell r="K673" t="str">
            <v xml:space="preserve"> </v>
          </cell>
        </row>
        <row r="674">
          <cell r="K674" t="str">
            <v xml:space="preserve"> </v>
          </cell>
        </row>
        <row r="675">
          <cell r="K675" t="str">
            <v xml:space="preserve"> </v>
          </cell>
        </row>
        <row r="676">
          <cell r="K676" t="str">
            <v xml:space="preserve"> </v>
          </cell>
        </row>
        <row r="677">
          <cell r="K677" t="str">
            <v xml:space="preserve"> </v>
          </cell>
        </row>
        <row r="678">
          <cell r="K678" t="str">
            <v xml:space="preserve"> </v>
          </cell>
        </row>
        <row r="679">
          <cell r="K679" t="str">
            <v xml:space="preserve"> </v>
          </cell>
        </row>
        <row r="680">
          <cell r="K680" t="str">
            <v xml:space="preserve"> </v>
          </cell>
        </row>
        <row r="681">
          <cell r="K681" t="str">
            <v xml:space="preserve"> </v>
          </cell>
        </row>
        <row r="682">
          <cell r="K682" t="str">
            <v xml:space="preserve"> </v>
          </cell>
        </row>
        <row r="683">
          <cell r="K683" t="str">
            <v xml:space="preserve"> </v>
          </cell>
        </row>
        <row r="684">
          <cell r="K684" t="str">
            <v xml:space="preserve"> </v>
          </cell>
        </row>
        <row r="685">
          <cell r="K685" t="str">
            <v xml:space="preserve"> </v>
          </cell>
        </row>
        <row r="686">
          <cell r="K686" t="str">
            <v xml:space="preserve"> </v>
          </cell>
        </row>
        <row r="687">
          <cell r="K687" t="str">
            <v xml:space="preserve"> </v>
          </cell>
        </row>
        <row r="688">
          <cell r="K688" t="str">
            <v xml:space="preserve"> </v>
          </cell>
        </row>
        <row r="689">
          <cell r="K689" t="str">
            <v xml:space="preserve"> </v>
          </cell>
        </row>
        <row r="690">
          <cell r="K690" t="str">
            <v xml:space="preserve"> </v>
          </cell>
        </row>
        <row r="691">
          <cell r="K691" t="str">
            <v xml:space="preserve"> </v>
          </cell>
        </row>
        <row r="692">
          <cell r="K692" t="str">
            <v xml:space="preserve"> </v>
          </cell>
        </row>
        <row r="693">
          <cell r="K693" t="str">
            <v xml:space="preserve"> </v>
          </cell>
        </row>
        <row r="694">
          <cell r="K694" t="str">
            <v xml:space="preserve"> </v>
          </cell>
        </row>
        <row r="695">
          <cell r="K695" t="str">
            <v xml:space="preserve"> </v>
          </cell>
        </row>
        <row r="696">
          <cell r="K696" t="str">
            <v xml:space="preserve"> </v>
          </cell>
        </row>
        <row r="697">
          <cell r="K697" t="str">
            <v xml:space="preserve"> </v>
          </cell>
        </row>
        <row r="698">
          <cell r="K698" t="str">
            <v xml:space="preserve"> </v>
          </cell>
        </row>
        <row r="699">
          <cell r="K699" t="str">
            <v xml:space="preserve"> </v>
          </cell>
        </row>
        <row r="700">
          <cell r="K700" t="str">
            <v xml:space="preserve"> </v>
          </cell>
        </row>
        <row r="701">
          <cell r="K701" t="str">
            <v xml:space="preserve"> </v>
          </cell>
        </row>
        <row r="702">
          <cell r="K702" t="str">
            <v xml:space="preserve"> </v>
          </cell>
        </row>
        <row r="703">
          <cell r="K703" t="str">
            <v xml:space="preserve"> </v>
          </cell>
        </row>
        <row r="704">
          <cell r="K704" t="str">
            <v xml:space="preserve"> </v>
          </cell>
        </row>
        <row r="705">
          <cell r="K705" t="str">
            <v xml:space="preserve"> </v>
          </cell>
        </row>
        <row r="706">
          <cell r="K706" t="str">
            <v xml:space="preserve"> </v>
          </cell>
        </row>
        <row r="707">
          <cell r="K707" t="str">
            <v xml:space="preserve"> </v>
          </cell>
        </row>
        <row r="708">
          <cell r="K708" t="str">
            <v xml:space="preserve"> </v>
          </cell>
        </row>
        <row r="709">
          <cell r="K709" t="str">
            <v xml:space="preserve"> </v>
          </cell>
        </row>
        <row r="710">
          <cell r="K710" t="str">
            <v xml:space="preserve"> </v>
          </cell>
        </row>
        <row r="711">
          <cell r="K711" t="str">
            <v xml:space="preserve"> </v>
          </cell>
        </row>
        <row r="712">
          <cell r="K712" t="str">
            <v xml:space="preserve"> </v>
          </cell>
        </row>
        <row r="713">
          <cell r="K713" t="str">
            <v xml:space="preserve"> </v>
          </cell>
        </row>
        <row r="714">
          <cell r="K714" t="str">
            <v xml:space="preserve"> </v>
          </cell>
        </row>
        <row r="715">
          <cell r="K715" t="str">
            <v xml:space="preserve"> </v>
          </cell>
        </row>
        <row r="716">
          <cell r="K716" t="str">
            <v xml:space="preserve"> </v>
          </cell>
        </row>
        <row r="717">
          <cell r="K717" t="str">
            <v xml:space="preserve"> </v>
          </cell>
        </row>
        <row r="718">
          <cell r="K718" t="str">
            <v xml:space="preserve"> </v>
          </cell>
        </row>
        <row r="719">
          <cell r="K719" t="str">
            <v xml:space="preserve"> </v>
          </cell>
        </row>
        <row r="720">
          <cell r="K720" t="str">
            <v xml:space="preserve"> </v>
          </cell>
        </row>
        <row r="721">
          <cell r="K721" t="str">
            <v xml:space="preserve"> </v>
          </cell>
        </row>
        <row r="722">
          <cell r="K722" t="str">
            <v xml:space="preserve"> </v>
          </cell>
        </row>
        <row r="723">
          <cell r="K723" t="str">
            <v xml:space="preserve"> </v>
          </cell>
        </row>
        <row r="724">
          <cell r="K724" t="str">
            <v xml:space="preserve"> </v>
          </cell>
        </row>
        <row r="725">
          <cell r="K725" t="str">
            <v xml:space="preserve"> </v>
          </cell>
        </row>
        <row r="726">
          <cell r="K726" t="str">
            <v xml:space="preserve"> </v>
          </cell>
        </row>
        <row r="727">
          <cell r="K727" t="str">
            <v xml:space="preserve"> </v>
          </cell>
        </row>
        <row r="728">
          <cell r="K728" t="str">
            <v xml:space="preserve"> </v>
          </cell>
        </row>
        <row r="729">
          <cell r="K729" t="str">
            <v xml:space="preserve"> </v>
          </cell>
        </row>
        <row r="730">
          <cell r="K730" t="str">
            <v xml:space="preserve"> </v>
          </cell>
        </row>
        <row r="731">
          <cell r="K731" t="str">
            <v xml:space="preserve"> </v>
          </cell>
        </row>
        <row r="732">
          <cell r="K732" t="str">
            <v xml:space="preserve"> </v>
          </cell>
        </row>
        <row r="733">
          <cell r="K733" t="str">
            <v xml:space="preserve"> </v>
          </cell>
        </row>
        <row r="734">
          <cell r="K734" t="str">
            <v xml:space="preserve"> </v>
          </cell>
        </row>
        <row r="735">
          <cell r="K735" t="str">
            <v xml:space="preserve"> </v>
          </cell>
        </row>
        <row r="736">
          <cell r="K736" t="str">
            <v xml:space="preserve"> </v>
          </cell>
        </row>
        <row r="737">
          <cell r="K737" t="str">
            <v xml:space="preserve"> </v>
          </cell>
        </row>
        <row r="738">
          <cell r="K738" t="str">
            <v xml:space="preserve"> </v>
          </cell>
        </row>
        <row r="739">
          <cell r="K739" t="str">
            <v xml:space="preserve"> </v>
          </cell>
        </row>
        <row r="740">
          <cell r="K740" t="str">
            <v xml:space="preserve"> </v>
          </cell>
        </row>
        <row r="741">
          <cell r="K741" t="str">
            <v xml:space="preserve"> </v>
          </cell>
        </row>
        <row r="742">
          <cell r="K742" t="str">
            <v xml:space="preserve"> </v>
          </cell>
        </row>
        <row r="743">
          <cell r="K743" t="str">
            <v xml:space="preserve"> </v>
          </cell>
        </row>
        <row r="744">
          <cell r="K744" t="str">
            <v xml:space="preserve"> </v>
          </cell>
        </row>
        <row r="745">
          <cell r="K745" t="str">
            <v xml:space="preserve"> </v>
          </cell>
        </row>
        <row r="746">
          <cell r="K746" t="str">
            <v xml:space="preserve"> </v>
          </cell>
        </row>
        <row r="747">
          <cell r="K747" t="str">
            <v xml:space="preserve"> </v>
          </cell>
        </row>
        <row r="748">
          <cell r="K748" t="str">
            <v xml:space="preserve"> </v>
          </cell>
        </row>
        <row r="749">
          <cell r="K749" t="str">
            <v xml:space="preserve"> </v>
          </cell>
        </row>
        <row r="750">
          <cell r="K750" t="str">
            <v xml:space="preserve"> </v>
          </cell>
        </row>
        <row r="751">
          <cell r="K751" t="str">
            <v xml:space="preserve"> </v>
          </cell>
        </row>
        <row r="752">
          <cell r="K752" t="str">
            <v xml:space="preserve"> </v>
          </cell>
        </row>
        <row r="753">
          <cell r="K753" t="str">
            <v xml:space="preserve"> </v>
          </cell>
        </row>
        <row r="754">
          <cell r="K754" t="str">
            <v xml:space="preserve"> </v>
          </cell>
        </row>
        <row r="755">
          <cell r="K755" t="str">
            <v xml:space="preserve"> </v>
          </cell>
        </row>
        <row r="756">
          <cell r="K756" t="str">
            <v xml:space="preserve"> </v>
          </cell>
        </row>
        <row r="757">
          <cell r="K757" t="str">
            <v xml:space="preserve"> </v>
          </cell>
        </row>
        <row r="758">
          <cell r="K758" t="str">
            <v xml:space="preserve"> </v>
          </cell>
        </row>
        <row r="759">
          <cell r="K759" t="str">
            <v xml:space="preserve"> </v>
          </cell>
        </row>
        <row r="760">
          <cell r="K760" t="str">
            <v xml:space="preserve"> </v>
          </cell>
        </row>
        <row r="761">
          <cell r="K761" t="str">
            <v xml:space="preserve"> </v>
          </cell>
        </row>
        <row r="762">
          <cell r="K762" t="str">
            <v xml:space="preserve"> </v>
          </cell>
        </row>
        <row r="763">
          <cell r="K763" t="str">
            <v xml:space="preserve"> </v>
          </cell>
        </row>
        <row r="764">
          <cell r="K764" t="str">
            <v xml:space="preserve"> </v>
          </cell>
        </row>
        <row r="765">
          <cell r="K765" t="str">
            <v xml:space="preserve"> </v>
          </cell>
        </row>
        <row r="766">
          <cell r="K766" t="str">
            <v xml:space="preserve"> </v>
          </cell>
        </row>
        <row r="767">
          <cell r="K767" t="str">
            <v xml:space="preserve"> </v>
          </cell>
        </row>
        <row r="768">
          <cell r="K768" t="str">
            <v xml:space="preserve"> </v>
          </cell>
        </row>
        <row r="769">
          <cell r="K769" t="str">
            <v xml:space="preserve"> </v>
          </cell>
        </row>
        <row r="770">
          <cell r="K770" t="str">
            <v xml:space="preserve"> </v>
          </cell>
        </row>
        <row r="771">
          <cell r="K771" t="str">
            <v xml:space="preserve"> </v>
          </cell>
        </row>
        <row r="772">
          <cell r="K772" t="str">
            <v xml:space="preserve"> </v>
          </cell>
        </row>
        <row r="773">
          <cell r="K773" t="str">
            <v xml:space="preserve"> </v>
          </cell>
        </row>
        <row r="774">
          <cell r="K774" t="str">
            <v xml:space="preserve"> </v>
          </cell>
        </row>
        <row r="775">
          <cell r="K775" t="str">
            <v xml:space="preserve"> </v>
          </cell>
        </row>
        <row r="776">
          <cell r="K776" t="str">
            <v xml:space="preserve"> </v>
          </cell>
        </row>
        <row r="777">
          <cell r="K777" t="str">
            <v xml:space="preserve"> </v>
          </cell>
        </row>
        <row r="778">
          <cell r="K778" t="str">
            <v xml:space="preserve"> </v>
          </cell>
        </row>
        <row r="779">
          <cell r="K779" t="str">
            <v xml:space="preserve"> </v>
          </cell>
        </row>
        <row r="780">
          <cell r="K780" t="str">
            <v xml:space="preserve"> </v>
          </cell>
        </row>
        <row r="781">
          <cell r="K781" t="str">
            <v xml:space="preserve"> </v>
          </cell>
        </row>
        <row r="782">
          <cell r="K782" t="str">
            <v xml:space="preserve"> </v>
          </cell>
        </row>
        <row r="783">
          <cell r="K783" t="str">
            <v xml:space="preserve"> </v>
          </cell>
        </row>
        <row r="784">
          <cell r="K784" t="str">
            <v xml:space="preserve"> </v>
          </cell>
        </row>
        <row r="785">
          <cell r="K785" t="str">
            <v xml:space="preserve"> </v>
          </cell>
        </row>
        <row r="786">
          <cell r="K786" t="str">
            <v xml:space="preserve"> </v>
          </cell>
        </row>
        <row r="787">
          <cell r="K787" t="str">
            <v xml:space="preserve"> </v>
          </cell>
        </row>
        <row r="788">
          <cell r="K788" t="str">
            <v xml:space="preserve"> </v>
          </cell>
        </row>
        <row r="789">
          <cell r="K789" t="str">
            <v xml:space="preserve"> </v>
          </cell>
        </row>
        <row r="790">
          <cell r="K790" t="str">
            <v xml:space="preserve"> </v>
          </cell>
        </row>
        <row r="791">
          <cell r="K791" t="str">
            <v xml:space="preserve"> </v>
          </cell>
        </row>
        <row r="792">
          <cell r="K792" t="str">
            <v xml:space="preserve"> </v>
          </cell>
        </row>
        <row r="793">
          <cell r="K793" t="str">
            <v xml:space="preserve"> </v>
          </cell>
        </row>
        <row r="794">
          <cell r="K794" t="str">
            <v xml:space="preserve"> </v>
          </cell>
        </row>
        <row r="795">
          <cell r="K795" t="str">
            <v xml:space="preserve"> </v>
          </cell>
        </row>
        <row r="796">
          <cell r="K796" t="str">
            <v xml:space="preserve"> </v>
          </cell>
        </row>
        <row r="797">
          <cell r="K797" t="str">
            <v xml:space="preserve"> </v>
          </cell>
        </row>
        <row r="798">
          <cell r="K798" t="str">
            <v xml:space="preserve"> </v>
          </cell>
        </row>
        <row r="799">
          <cell r="K799" t="str">
            <v xml:space="preserve"> </v>
          </cell>
        </row>
        <row r="800">
          <cell r="K800" t="str">
            <v xml:space="preserve"> </v>
          </cell>
        </row>
        <row r="801">
          <cell r="K801" t="str">
            <v xml:space="preserve"> </v>
          </cell>
        </row>
        <row r="802">
          <cell r="K802" t="str">
            <v xml:space="preserve"> </v>
          </cell>
        </row>
        <row r="803">
          <cell r="K803" t="str">
            <v xml:space="preserve"> </v>
          </cell>
        </row>
        <row r="804">
          <cell r="K804" t="str">
            <v xml:space="preserve"> </v>
          </cell>
        </row>
        <row r="805">
          <cell r="K805" t="str">
            <v xml:space="preserve"> </v>
          </cell>
        </row>
        <row r="806">
          <cell r="K806" t="str">
            <v xml:space="preserve"> </v>
          </cell>
        </row>
        <row r="807">
          <cell r="K807" t="str">
            <v xml:space="preserve"> </v>
          </cell>
        </row>
        <row r="808">
          <cell r="K808" t="str">
            <v xml:space="preserve"> </v>
          </cell>
        </row>
        <row r="809">
          <cell r="K809" t="str">
            <v xml:space="preserve"> </v>
          </cell>
        </row>
        <row r="810">
          <cell r="K810" t="str">
            <v xml:space="preserve"> </v>
          </cell>
        </row>
        <row r="811">
          <cell r="K811" t="str">
            <v xml:space="preserve"> </v>
          </cell>
        </row>
        <row r="812">
          <cell r="K812" t="str">
            <v xml:space="preserve"> </v>
          </cell>
        </row>
        <row r="813">
          <cell r="K813" t="str">
            <v xml:space="preserve"> </v>
          </cell>
        </row>
        <row r="814">
          <cell r="K814" t="str">
            <v xml:space="preserve"> </v>
          </cell>
        </row>
        <row r="815">
          <cell r="K815" t="str">
            <v xml:space="preserve"> </v>
          </cell>
        </row>
        <row r="816">
          <cell r="K816" t="str">
            <v xml:space="preserve"> </v>
          </cell>
        </row>
        <row r="817">
          <cell r="K817" t="str">
            <v xml:space="preserve"> </v>
          </cell>
        </row>
        <row r="818">
          <cell r="K818" t="str">
            <v xml:space="preserve"> </v>
          </cell>
        </row>
        <row r="819">
          <cell r="K819" t="str">
            <v xml:space="preserve"> </v>
          </cell>
        </row>
        <row r="820">
          <cell r="K820" t="str">
            <v xml:space="preserve"> </v>
          </cell>
        </row>
        <row r="821">
          <cell r="K821" t="str">
            <v xml:space="preserve"> </v>
          </cell>
        </row>
        <row r="822">
          <cell r="K822" t="str">
            <v xml:space="preserve"> </v>
          </cell>
        </row>
        <row r="823">
          <cell r="K823" t="str">
            <v xml:space="preserve"> </v>
          </cell>
        </row>
        <row r="824">
          <cell r="K824" t="str">
            <v xml:space="preserve"> </v>
          </cell>
        </row>
        <row r="825">
          <cell r="K825" t="str">
            <v xml:space="preserve"> </v>
          </cell>
        </row>
        <row r="826">
          <cell r="K826" t="str">
            <v xml:space="preserve"> </v>
          </cell>
        </row>
        <row r="827">
          <cell r="K827" t="str">
            <v xml:space="preserve"> </v>
          </cell>
        </row>
        <row r="828">
          <cell r="K828" t="str">
            <v xml:space="preserve"> </v>
          </cell>
        </row>
        <row r="829">
          <cell r="K829" t="str">
            <v xml:space="preserve"> </v>
          </cell>
        </row>
        <row r="830">
          <cell r="K830" t="str">
            <v xml:space="preserve"> </v>
          </cell>
        </row>
        <row r="831">
          <cell r="K831" t="str">
            <v xml:space="preserve"> </v>
          </cell>
        </row>
        <row r="832">
          <cell r="K832" t="str">
            <v xml:space="preserve"> </v>
          </cell>
        </row>
        <row r="833">
          <cell r="K833" t="str">
            <v xml:space="preserve"> </v>
          </cell>
        </row>
        <row r="834">
          <cell r="K834" t="str">
            <v xml:space="preserve"> </v>
          </cell>
        </row>
        <row r="835">
          <cell r="K835" t="str">
            <v xml:space="preserve"> </v>
          </cell>
        </row>
        <row r="836">
          <cell r="K836" t="str">
            <v xml:space="preserve"> </v>
          </cell>
        </row>
        <row r="837">
          <cell r="K837" t="str">
            <v xml:space="preserve"> </v>
          </cell>
        </row>
        <row r="838">
          <cell r="K838" t="str">
            <v xml:space="preserve"> </v>
          </cell>
        </row>
        <row r="839">
          <cell r="K839" t="str">
            <v xml:space="preserve"> </v>
          </cell>
        </row>
        <row r="840">
          <cell r="K840" t="str">
            <v xml:space="preserve"> </v>
          </cell>
        </row>
        <row r="841">
          <cell r="K841" t="str">
            <v xml:space="preserve"> </v>
          </cell>
        </row>
        <row r="842">
          <cell r="K842" t="str">
            <v xml:space="preserve"> </v>
          </cell>
        </row>
        <row r="843">
          <cell r="K843" t="str">
            <v xml:space="preserve"> </v>
          </cell>
        </row>
        <row r="844">
          <cell r="K844" t="str">
            <v xml:space="preserve"> </v>
          </cell>
        </row>
        <row r="845">
          <cell r="K845" t="str">
            <v xml:space="preserve"> </v>
          </cell>
        </row>
        <row r="846">
          <cell r="K846" t="str">
            <v xml:space="preserve"> </v>
          </cell>
        </row>
        <row r="847">
          <cell r="K847" t="str">
            <v xml:space="preserve"> </v>
          </cell>
        </row>
        <row r="848">
          <cell r="K848" t="str">
            <v xml:space="preserve"> </v>
          </cell>
        </row>
        <row r="849">
          <cell r="K849" t="str">
            <v xml:space="preserve"> </v>
          </cell>
        </row>
        <row r="850">
          <cell r="K850" t="str">
            <v xml:space="preserve"> </v>
          </cell>
        </row>
        <row r="851">
          <cell r="K851" t="str">
            <v xml:space="preserve"> </v>
          </cell>
        </row>
        <row r="852">
          <cell r="K852" t="str">
            <v xml:space="preserve"> </v>
          </cell>
        </row>
        <row r="853">
          <cell r="K853" t="str">
            <v xml:space="preserve"> </v>
          </cell>
        </row>
        <row r="854">
          <cell r="K854" t="str">
            <v xml:space="preserve"> </v>
          </cell>
        </row>
        <row r="855">
          <cell r="K855" t="str">
            <v xml:space="preserve"> </v>
          </cell>
        </row>
        <row r="856">
          <cell r="K856" t="str">
            <v xml:space="preserve"> </v>
          </cell>
        </row>
        <row r="857">
          <cell r="K857" t="str">
            <v xml:space="preserve"> </v>
          </cell>
        </row>
        <row r="858">
          <cell r="K858" t="str">
            <v xml:space="preserve"> </v>
          </cell>
        </row>
        <row r="859">
          <cell r="K859" t="str">
            <v xml:space="preserve"> </v>
          </cell>
        </row>
        <row r="860">
          <cell r="K860" t="str">
            <v xml:space="preserve"> </v>
          </cell>
        </row>
        <row r="861">
          <cell r="K861" t="str">
            <v xml:space="preserve"> </v>
          </cell>
        </row>
        <row r="862">
          <cell r="K862" t="str">
            <v xml:space="preserve"> </v>
          </cell>
        </row>
        <row r="863">
          <cell r="K863" t="str">
            <v xml:space="preserve"> </v>
          </cell>
        </row>
        <row r="864">
          <cell r="K864" t="str">
            <v xml:space="preserve"> </v>
          </cell>
        </row>
        <row r="865">
          <cell r="K865" t="str">
            <v xml:space="preserve"> </v>
          </cell>
        </row>
        <row r="866">
          <cell r="K866" t="str">
            <v xml:space="preserve"> </v>
          </cell>
        </row>
        <row r="867">
          <cell r="K867" t="str">
            <v xml:space="preserve"> </v>
          </cell>
        </row>
        <row r="868">
          <cell r="K868" t="str">
            <v xml:space="preserve"> </v>
          </cell>
        </row>
        <row r="869">
          <cell r="K869" t="str">
            <v xml:space="preserve"> </v>
          </cell>
        </row>
        <row r="870">
          <cell r="K870" t="str">
            <v xml:space="preserve"> </v>
          </cell>
        </row>
        <row r="871">
          <cell r="K871" t="str">
            <v xml:space="preserve"> </v>
          </cell>
        </row>
        <row r="872">
          <cell r="K872" t="str">
            <v xml:space="preserve"> </v>
          </cell>
        </row>
        <row r="873">
          <cell r="K873" t="str">
            <v xml:space="preserve"> </v>
          </cell>
        </row>
        <row r="874">
          <cell r="K874" t="str">
            <v xml:space="preserve"> </v>
          </cell>
        </row>
        <row r="875">
          <cell r="K875" t="str">
            <v xml:space="preserve"> </v>
          </cell>
        </row>
        <row r="876">
          <cell r="K876" t="str">
            <v xml:space="preserve"> </v>
          </cell>
        </row>
        <row r="877">
          <cell r="K877" t="str">
            <v xml:space="preserve"> </v>
          </cell>
        </row>
        <row r="878">
          <cell r="K878" t="str">
            <v xml:space="preserve"> </v>
          </cell>
        </row>
        <row r="879">
          <cell r="K879" t="str">
            <v xml:space="preserve"> </v>
          </cell>
        </row>
        <row r="880">
          <cell r="K880" t="str">
            <v xml:space="preserve"> </v>
          </cell>
        </row>
        <row r="881">
          <cell r="K881" t="str">
            <v xml:space="preserve"> </v>
          </cell>
        </row>
        <row r="882">
          <cell r="K882" t="str">
            <v xml:space="preserve"> </v>
          </cell>
        </row>
        <row r="883">
          <cell r="K883" t="str">
            <v xml:space="preserve"> </v>
          </cell>
        </row>
        <row r="884">
          <cell r="K884" t="str">
            <v xml:space="preserve"> </v>
          </cell>
        </row>
        <row r="885">
          <cell r="K885" t="str">
            <v xml:space="preserve"> </v>
          </cell>
        </row>
        <row r="886">
          <cell r="K886" t="str">
            <v xml:space="preserve"> </v>
          </cell>
        </row>
        <row r="887">
          <cell r="K887" t="str">
            <v xml:space="preserve"> </v>
          </cell>
        </row>
        <row r="888">
          <cell r="K888" t="str">
            <v xml:space="preserve"> </v>
          </cell>
        </row>
        <row r="889">
          <cell r="K889" t="str">
            <v xml:space="preserve"> </v>
          </cell>
        </row>
        <row r="890">
          <cell r="K890" t="str">
            <v xml:space="preserve"> </v>
          </cell>
        </row>
        <row r="891">
          <cell r="K891" t="str">
            <v xml:space="preserve"> </v>
          </cell>
        </row>
        <row r="892">
          <cell r="K892" t="str">
            <v xml:space="preserve"> </v>
          </cell>
        </row>
        <row r="893">
          <cell r="K893" t="str">
            <v xml:space="preserve"> </v>
          </cell>
        </row>
        <row r="894">
          <cell r="K894" t="str">
            <v xml:space="preserve"> </v>
          </cell>
        </row>
        <row r="895">
          <cell r="K895" t="str">
            <v xml:space="preserve"> </v>
          </cell>
        </row>
        <row r="896">
          <cell r="K896" t="str">
            <v xml:space="preserve"> </v>
          </cell>
        </row>
        <row r="897">
          <cell r="K897" t="str">
            <v xml:space="preserve"> </v>
          </cell>
        </row>
        <row r="898">
          <cell r="K898" t="str">
            <v xml:space="preserve"> </v>
          </cell>
        </row>
        <row r="899">
          <cell r="K899" t="str">
            <v xml:space="preserve"> </v>
          </cell>
        </row>
        <row r="900">
          <cell r="K900" t="str">
            <v xml:space="preserve"> </v>
          </cell>
        </row>
        <row r="901">
          <cell r="K901" t="str">
            <v xml:space="preserve"> </v>
          </cell>
        </row>
        <row r="902">
          <cell r="K902" t="str">
            <v xml:space="preserve"> </v>
          </cell>
        </row>
        <row r="903">
          <cell r="K903" t="str">
            <v xml:space="preserve"> </v>
          </cell>
        </row>
        <row r="904">
          <cell r="K904" t="str">
            <v xml:space="preserve"> </v>
          </cell>
        </row>
        <row r="905">
          <cell r="K905" t="str">
            <v xml:space="preserve"> </v>
          </cell>
        </row>
        <row r="906">
          <cell r="K906" t="str">
            <v xml:space="preserve"> </v>
          </cell>
        </row>
        <row r="907">
          <cell r="K907" t="str">
            <v xml:space="preserve"> </v>
          </cell>
        </row>
        <row r="908">
          <cell r="K908" t="str">
            <v xml:space="preserve"> </v>
          </cell>
        </row>
        <row r="909">
          <cell r="K909" t="str">
            <v xml:space="preserve"> </v>
          </cell>
        </row>
        <row r="910">
          <cell r="K910" t="str">
            <v xml:space="preserve"> </v>
          </cell>
        </row>
        <row r="911">
          <cell r="K911" t="str">
            <v xml:space="preserve"> </v>
          </cell>
        </row>
        <row r="912">
          <cell r="K912" t="str">
            <v xml:space="preserve"> </v>
          </cell>
        </row>
        <row r="913">
          <cell r="K913" t="str">
            <v xml:space="preserve"> </v>
          </cell>
        </row>
        <row r="914">
          <cell r="K914" t="str">
            <v xml:space="preserve"> </v>
          </cell>
        </row>
        <row r="915">
          <cell r="K915" t="str">
            <v xml:space="preserve"> </v>
          </cell>
        </row>
        <row r="916">
          <cell r="K916" t="str">
            <v xml:space="preserve"> </v>
          </cell>
        </row>
        <row r="917">
          <cell r="K917" t="str">
            <v xml:space="preserve"> </v>
          </cell>
        </row>
        <row r="918">
          <cell r="K918" t="str">
            <v xml:space="preserve"> </v>
          </cell>
        </row>
        <row r="919">
          <cell r="K919" t="str">
            <v xml:space="preserve"> </v>
          </cell>
        </row>
        <row r="920">
          <cell r="K920" t="str">
            <v xml:space="preserve"> </v>
          </cell>
        </row>
        <row r="921">
          <cell r="K921" t="str">
            <v xml:space="preserve"> </v>
          </cell>
        </row>
        <row r="922">
          <cell r="K922" t="str">
            <v xml:space="preserve"> </v>
          </cell>
        </row>
        <row r="923">
          <cell r="K923" t="str">
            <v xml:space="preserve"> </v>
          </cell>
        </row>
        <row r="924">
          <cell r="K924" t="str">
            <v xml:space="preserve"> </v>
          </cell>
        </row>
        <row r="925">
          <cell r="K925" t="str">
            <v xml:space="preserve"> </v>
          </cell>
        </row>
        <row r="926">
          <cell r="K926" t="str">
            <v xml:space="preserve"> </v>
          </cell>
        </row>
        <row r="927">
          <cell r="K927" t="str">
            <v xml:space="preserve"> </v>
          </cell>
        </row>
        <row r="928">
          <cell r="K928" t="str">
            <v xml:space="preserve"> </v>
          </cell>
        </row>
        <row r="929">
          <cell r="K929" t="str">
            <v xml:space="preserve"> </v>
          </cell>
        </row>
        <row r="930">
          <cell r="K930" t="str">
            <v xml:space="preserve"> </v>
          </cell>
        </row>
        <row r="931">
          <cell r="K931" t="str">
            <v xml:space="preserve"> </v>
          </cell>
        </row>
        <row r="932">
          <cell r="K932" t="str">
            <v xml:space="preserve"> </v>
          </cell>
        </row>
        <row r="933">
          <cell r="K933" t="str">
            <v xml:space="preserve"> </v>
          </cell>
        </row>
        <row r="934">
          <cell r="K934" t="str">
            <v xml:space="preserve"> </v>
          </cell>
        </row>
        <row r="935">
          <cell r="K935" t="str">
            <v xml:space="preserve"> </v>
          </cell>
        </row>
        <row r="936">
          <cell r="K936" t="str">
            <v xml:space="preserve"> </v>
          </cell>
        </row>
        <row r="937">
          <cell r="K937" t="str">
            <v xml:space="preserve"> </v>
          </cell>
        </row>
        <row r="938">
          <cell r="K938" t="str">
            <v xml:space="preserve"> </v>
          </cell>
        </row>
        <row r="939">
          <cell r="K939" t="str">
            <v xml:space="preserve"> </v>
          </cell>
        </row>
        <row r="940">
          <cell r="K940" t="str">
            <v xml:space="preserve"> </v>
          </cell>
        </row>
        <row r="941">
          <cell r="K941" t="str">
            <v xml:space="preserve"> </v>
          </cell>
        </row>
        <row r="942">
          <cell r="K942" t="str">
            <v xml:space="preserve"> </v>
          </cell>
        </row>
        <row r="943">
          <cell r="K943" t="str">
            <v xml:space="preserve"> </v>
          </cell>
        </row>
        <row r="944">
          <cell r="K944" t="str">
            <v xml:space="preserve"> </v>
          </cell>
        </row>
        <row r="945">
          <cell r="K945" t="str">
            <v xml:space="preserve"> </v>
          </cell>
        </row>
        <row r="946">
          <cell r="K946" t="str">
            <v xml:space="preserve"> </v>
          </cell>
        </row>
        <row r="947">
          <cell r="K947" t="str">
            <v xml:space="preserve"> </v>
          </cell>
        </row>
        <row r="948">
          <cell r="K948" t="str">
            <v xml:space="preserve"> </v>
          </cell>
        </row>
        <row r="949">
          <cell r="K949" t="str">
            <v xml:space="preserve"> </v>
          </cell>
        </row>
        <row r="950">
          <cell r="K950" t="str">
            <v xml:space="preserve"> </v>
          </cell>
        </row>
        <row r="951">
          <cell r="K951" t="str">
            <v xml:space="preserve"> </v>
          </cell>
        </row>
        <row r="952">
          <cell r="K952" t="str">
            <v xml:space="preserve"> </v>
          </cell>
        </row>
        <row r="953">
          <cell r="K953" t="str">
            <v xml:space="preserve"> </v>
          </cell>
        </row>
        <row r="954">
          <cell r="K954" t="str">
            <v xml:space="preserve"> </v>
          </cell>
        </row>
        <row r="955">
          <cell r="K955" t="str">
            <v xml:space="preserve"> </v>
          </cell>
        </row>
        <row r="956">
          <cell r="K956" t="str">
            <v xml:space="preserve"> </v>
          </cell>
        </row>
        <row r="957">
          <cell r="K957" t="str">
            <v xml:space="preserve"> </v>
          </cell>
        </row>
        <row r="958">
          <cell r="K958" t="str">
            <v xml:space="preserve"> </v>
          </cell>
        </row>
        <row r="959">
          <cell r="K959" t="str">
            <v xml:space="preserve"> </v>
          </cell>
        </row>
        <row r="960">
          <cell r="K960" t="str">
            <v xml:space="preserve"> </v>
          </cell>
        </row>
        <row r="961">
          <cell r="K961" t="str">
            <v xml:space="preserve"> </v>
          </cell>
        </row>
        <row r="962">
          <cell r="K962" t="str">
            <v xml:space="preserve"> </v>
          </cell>
        </row>
        <row r="963">
          <cell r="K963" t="str">
            <v xml:space="preserve"> </v>
          </cell>
        </row>
        <row r="964">
          <cell r="K964" t="str">
            <v xml:space="preserve"> </v>
          </cell>
        </row>
        <row r="965">
          <cell r="K965" t="str">
            <v xml:space="preserve"> </v>
          </cell>
        </row>
        <row r="966">
          <cell r="K966" t="str">
            <v xml:space="preserve"> </v>
          </cell>
        </row>
        <row r="967">
          <cell r="K967" t="str">
            <v xml:space="preserve"> </v>
          </cell>
        </row>
        <row r="968">
          <cell r="K968" t="str">
            <v xml:space="preserve"> </v>
          </cell>
        </row>
        <row r="969">
          <cell r="K969" t="str">
            <v xml:space="preserve"> </v>
          </cell>
        </row>
        <row r="970">
          <cell r="K970" t="str">
            <v xml:space="preserve"> </v>
          </cell>
        </row>
        <row r="971">
          <cell r="K971" t="str">
            <v xml:space="preserve"> </v>
          </cell>
        </row>
        <row r="972">
          <cell r="K972" t="str">
            <v xml:space="preserve"> </v>
          </cell>
        </row>
        <row r="973">
          <cell r="K973" t="str">
            <v xml:space="preserve"> </v>
          </cell>
        </row>
        <row r="974">
          <cell r="K974" t="str">
            <v xml:space="preserve"> </v>
          </cell>
        </row>
        <row r="975">
          <cell r="K975" t="str">
            <v xml:space="preserve"> </v>
          </cell>
        </row>
        <row r="976">
          <cell r="K976" t="str">
            <v xml:space="preserve"> </v>
          </cell>
        </row>
        <row r="977">
          <cell r="K977" t="str">
            <v xml:space="preserve"> </v>
          </cell>
        </row>
        <row r="978">
          <cell r="K978" t="str">
            <v xml:space="preserve"> </v>
          </cell>
        </row>
        <row r="979">
          <cell r="K979" t="str">
            <v xml:space="preserve"> </v>
          </cell>
        </row>
        <row r="980">
          <cell r="K980" t="str">
            <v xml:space="preserve"> </v>
          </cell>
        </row>
        <row r="981">
          <cell r="K981" t="str">
            <v xml:space="preserve"> </v>
          </cell>
        </row>
        <row r="982">
          <cell r="K982" t="str">
            <v xml:space="preserve"> </v>
          </cell>
        </row>
        <row r="983">
          <cell r="K983" t="str">
            <v xml:space="preserve"> </v>
          </cell>
        </row>
        <row r="984">
          <cell r="K984" t="str">
            <v xml:space="preserve"> </v>
          </cell>
        </row>
        <row r="985">
          <cell r="K985" t="str">
            <v xml:space="preserve"> </v>
          </cell>
        </row>
        <row r="986">
          <cell r="K986" t="str">
            <v xml:space="preserve"> </v>
          </cell>
        </row>
        <row r="987">
          <cell r="K987" t="str">
            <v xml:space="preserve"> </v>
          </cell>
        </row>
        <row r="988">
          <cell r="K988" t="str">
            <v xml:space="preserve"> </v>
          </cell>
        </row>
        <row r="989">
          <cell r="K989" t="str">
            <v xml:space="preserve"> </v>
          </cell>
        </row>
        <row r="990">
          <cell r="K990" t="str">
            <v xml:space="preserve"> </v>
          </cell>
        </row>
        <row r="991">
          <cell r="K991" t="str">
            <v xml:space="preserve"> </v>
          </cell>
        </row>
        <row r="992">
          <cell r="K992" t="str">
            <v xml:space="preserve"> </v>
          </cell>
        </row>
        <row r="993">
          <cell r="K993" t="str">
            <v xml:space="preserve"> </v>
          </cell>
        </row>
        <row r="994">
          <cell r="K994" t="str">
            <v xml:space="preserve"> </v>
          </cell>
        </row>
        <row r="995">
          <cell r="K995" t="str">
            <v xml:space="preserve"> </v>
          </cell>
        </row>
        <row r="996">
          <cell r="K996" t="str">
            <v xml:space="preserve"> </v>
          </cell>
        </row>
        <row r="997">
          <cell r="K997" t="str">
            <v xml:space="preserve"> </v>
          </cell>
        </row>
        <row r="998">
          <cell r="K998" t="str">
            <v xml:space="preserve"> </v>
          </cell>
        </row>
        <row r="999">
          <cell r="K999" t="str">
            <v xml:space="preserve"> </v>
          </cell>
        </row>
        <row r="1000">
          <cell r="K1000" t="str">
            <v xml:space="preserve"> </v>
          </cell>
        </row>
        <row r="1001">
          <cell r="K1001" t="str">
            <v xml:space="preserve"> </v>
          </cell>
        </row>
        <row r="1002">
          <cell r="K1002" t="str">
            <v xml:space="preserve"> </v>
          </cell>
        </row>
        <row r="1003">
          <cell r="K1003" t="str">
            <v xml:space="preserve"> </v>
          </cell>
        </row>
        <row r="1004">
          <cell r="K1004" t="str">
            <v xml:space="preserve"> </v>
          </cell>
        </row>
        <row r="1005">
          <cell r="K1005" t="str">
            <v xml:space="preserve"> </v>
          </cell>
        </row>
        <row r="1006">
          <cell r="K1006" t="str">
            <v xml:space="preserve"> </v>
          </cell>
        </row>
        <row r="1007">
          <cell r="K1007" t="str">
            <v xml:space="preserve"> </v>
          </cell>
        </row>
        <row r="1008">
          <cell r="K1008" t="str">
            <v xml:space="preserve"> </v>
          </cell>
        </row>
        <row r="1009">
          <cell r="K1009" t="str">
            <v xml:space="preserve"> </v>
          </cell>
        </row>
        <row r="1010">
          <cell r="K1010" t="str">
            <v xml:space="preserve"> </v>
          </cell>
        </row>
        <row r="1011">
          <cell r="K1011" t="str">
            <v xml:space="preserve"> </v>
          </cell>
        </row>
        <row r="1012">
          <cell r="K1012" t="str">
            <v xml:space="preserve"> </v>
          </cell>
        </row>
        <row r="1013">
          <cell r="K1013" t="str">
            <v xml:space="preserve"> </v>
          </cell>
        </row>
        <row r="1014">
          <cell r="K1014" t="str">
            <v xml:space="preserve"> </v>
          </cell>
        </row>
        <row r="1015">
          <cell r="K1015" t="str">
            <v xml:space="preserve"> </v>
          </cell>
        </row>
        <row r="1016">
          <cell r="K1016" t="str">
            <v xml:space="preserve"> </v>
          </cell>
        </row>
        <row r="1017">
          <cell r="K1017" t="str">
            <v xml:space="preserve"> </v>
          </cell>
        </row>
        <row r="1018">
          <cell r="K1018" t="str">
            <v xml:space="preserve"> </v>
          </cell>
        </row>
        <row r="1019">
          <cell r="K1019" t="str">
            <v xml:space="preserve"> </v>
          </cell>
        </row>
        <row r="1020">
          <cell r="K1020" t="str">
            <v xml:space="preserve"> </v>
          </cell>
        </row>
        <row r="1021">
          <cell r="K1021" t="str">
            <v xml:space="preserve"> </v>
          </cell>
        </row>
        <row r="1022">
          <cell r="K1022" t="str">
            <v xml:space="preserve"> </v>
          </cell>
        </row>
        <row r="1023">
          <cell r="K1023" t="str">
            <v xml:space="preserve"> </v>
          </cell>
        </row>
        <row r="1024">
          <cell r="K1024" t="str">
            <v xml:space="preserve"> </v>
          </cell>
        </row>
        <row r="1025">
          <cell r="K1025" t="str">
            <v xml:space="preserve"> </v>
          </cell>
        </row>
        <row r="1026">
          <cell r="K1026" t="str">
            <v xml:space="preserve"> </v>
          </cell>
        </row>
        <row r="1027">
          <cell r="K1027" t="str">
            <v xml:space="preserve"> </v>
          </cell>
        </row>
        <row r="1028">
          <cell r="K1028" t="str">
            <v xml:space="preserve"> </v>
          </cell>
        </row>
        <row r="1029">
          <cell r="K1029" t="str">
            <v xml:space="preserve"> </v>
          </cell>
        </row>
        <row r="1030">
          <cell r="K1030" t="str">
            <v xml:space="preserve"> </v>
          </cell>
        </row>
        <row r="1031">
          <cell r="K1031" t="str">
            <v xml:space="preserve"> </v>
          </cell>
        </row>
        <row r="1032">
          <cell r="K1032" t="str">
            <v xml:space="preserve"> </v>
          </cell>
        </row>
        <row r="1033">
          <cell r="K1033" t="str">
            <v xml:space="preserve"> </v>
          </cell>
        </row>
        <row r="1034">
          <cell r="K1034" t="str">
            <v xml:space="preserve"> </v>
          </cell>
        </row>
        <row r="1035">
          <cell r="K1035" t="str">
            <v xml:space="preserve"> </v>
          </cell>
        </row>
        <row r="1036">
          <cell r="K1036" t="str">
            <v xml:space="preserve"> </v>
          </cell>
        </row>
        <row r="1037">
          <cell r="K1037" t="str">
            <v xml:space="preserve"> </v>
          </cell>
        </row>
        <row r="1038">
          <cell r="K1038" t="str">
            <v xml:space="preserve"> </v>
          </cell>
        </row>
        <row r="1039">
          <cell r="K1039" t="str">
            <v xml:space="preserve"> </v>
          </cell>
        </row>
        <row r="1040">
          <cell r="K1040" t="str">
            <v xml:space="preserve"> </v>
          </cell>
        </row>
        <row r="1041">
          <cell r="K1041" t="str">
            <v xml:space="preserve"> </v>
          </cell>
        </row>
        <row r="1042">
          <cell r="K1042" t="str">
            <v xml:space="preserve"> </v>
          </cell>
        </row>
        <row r="1043">
          <cell r="K1043" t="str">
            <v xml:space="preserve"> </v>
          </cell>
        </row>
        <row r="1044">
          <cell r="K1044" t="str">
            <v xml:space="preserve"> </v>
          </cell>
        </row>
        <row r="1045">
          <cell r="K1045" t="str">
            <v xml:space="preserve"> </v>
          </cell>
        </row>
        <row r="1046">
          <cell r="K1046" t="str">
            <v xml:space="preserve"> </v>
          </cell>
        </row>
        <row r="1047">
          <cell r="K1047" t="str">
            <v xml:space="preserve"> </v>
          </cell>
        </row>
        <row r="1048">
          <cell r="K1048" t="str">
            <v xml:space="preserve"> </v>
          </cell>
        </row>
        <row r="1049">
          <cell r="K1049" t="str">
            <v xml:space="preserve"> </v>
          </cell>
        </row>
        <row r="1050">
          <cell r="K1050" t="str">
            <v xml:space="preserve"> </v>
          </cell>
        </row>
        <row r="1051">
          <cell r="K1051" t="str">
            <v xml:space="preserve"> </v>
          </cell>
        </row>
        <row r="1052">
          <cell r="K1052" t="str">
            <v xml:space="preserve"> </v>
          </cell>
        </row>
        <row r="1053">
          <cell r="K1053" t="str">
            <v xml:space="preserve"> </v>
          </cell>
        </row>
        <row r="1054">
          <cell r="K1054" t="str">
            <v xml:space="preserve"> </v>
          </cell>
        </row>
        <row r="1055">
          <cell r="K1055" t="str">
            <v xml:space="preserve"> </v>
          </cell>
        </row>
        <row r="1056">
          <cell r="K1056" t="str">
            <v xml:space="preserve"> </v>
          </cell>
        </row>
        <row r="1057">
          <cell r="K1057" t="str">
            <v xml:space="preserve"> </v>
          </cell>
        </row>
        <row r="1058">
          <cell r="K1058" t="str">
            <v xml:space="preserve"> </v>
          </cell>
        </row>
        <row r="1059">
          <cell r="K1059" t="str">
            <v xml:space="preserve"> </v>
          </cell>
        </row>
        <row r="1060">
          <cell r="K1060" t="str">
            <v xml:space="preserve"> </v>
          </cell>
        </row>
        <row r="1061">
          <cell r="K1061" t="str">
            <v xml:space="preserve"> </v>
          </cell>
        </row>
        <row r="1062">
          <cell r="K1062" t="str">
            <v xml:space="preserve"> </v>
          </cell>
        </row>
        <row r="1063">
          <cell r="K1063" t="str">
            <v xml:space="preserve"> </v>
          </cell>
        </row>
        <row r="1064">
          <cell r="K1064" t="str">
            <v xml:space="preserve"> </v>
          </cell>
        </row>
        <row r="1065">
          <cell r="K1065" t="str">
            <v xml:space="preserve"> </v>
          </cell>
        </row>
        <row r="1066">
          <cell r="K1066" t="str">
            <v xml:space="preserve"> </v>
          </cell>
        </row>
        <row r="1067">
          <cell r="K1067" t="str">
            <v xml:space="preserve"> </v>
          </cell>
        </row>
        <row r="1068">
          <cell r="K1068" t="str">
            <v xml:space="preserve"> </v>
          </cell>
        </row>
        <row r="1069">
          <cell r="K1069" t="str">
            <v xml:space="preserve"> </v>
          </cell>
        </row>
        <row r="1070">
          <cell r="K1070" t="str">
            <v xml:space="preserve"> </v>
          </cell>
        </row>
        <row r="1071">
          <cell r="K1071" t="str">
            <v xml:space="preserve"> </v>
          </cell>
        </row>
        <row r="1072">
          <cell r="K1072" t="str">
            <v xml:space="preserve"> </v>
          </cell>
        </row>
        <row r="1073">
          <cell r="K1073" t="str">
            <v xml:space="preserve"> </v>
          </cell>
        </row>
        <row r="1074">
          <cell r="K1074" t="str">
            <v xml:space="preserve"> </v>
          </cell>
        </row>
        <row r="1075">
          <cell r="K1075" t="str">
            <v xml:space="preserve"> </v>
          </cell>
        </row>
        <row r="1076">
          <cell r="K1076" t="str">
            <v xml:space="preserve"> </v>
          </cell>
        </row>
        <row r="1077">
          <cell r="K1077" t="str">
            <v xml:space="preserve"> </v>
          </cell>
        </row>
        <row r="1078">
          <cell r="K1078" t="str">
            <v xml:space="preserve"> </v>
          </cell>
        </row>
        <row r="1079">
          <cell r="K1079" t="str">
            <v xml:space="preserve"> </v>
          </cell>
        </row>
        <row r="1080">
          <cell r="K1080" t="str">
            <v xml:space="preserve"> </v>
          </cell>
        </row>
        <row r="1081">
          <cell r="K1081" t="str">
            <v xml:space="preserve"> </v>
          </cell>
        </row>
        <row r="1082">
          <cell r="K1082" t="str">
            <v xml:space="preserve"> </v>
          </cell>
        </row>
        <row r="1083">
          <cell r="K1083" t="str">
            <v xml:space="preserve"> </v>
          </cell>
        </row>
        <row r="1084">
          <cell r="K1084" t="str">
            <v xml:space="preserve"> </v>
          </cell>
        </row>
        <row r="1085">
          <cell r="K1085" t="str">
            <v xml:space="preserve"> </v>
          </cell>
        </row>
        <row r="1086">
          <cell r="K1086" t="str">
            <v xml:space="preserve"> </v>
          </cell>
        </row>
        <row r="1087">
          <cell r="K1087" t="str">
            <v xml:space="preserve"> </v>
          </cell>
        </row>
        <row r="1088">
          <cell r="K1088" t="str">
            <v xml:space="preserve"> </v>
          </cell>
        </row>
        <row r="1089">
          <cell r="K1089" t="str">
            <v xml:space="preserve"> </v>
          </cell>
        </row>
        <row r="1090">
          <cell r="K1090" t="str">
            <v xml:space="preserve"> </v>
          </cell>
        </row>
        <row r="1091">
          <cell r="K1091" t="str">
            <v xml:space="preserve"> </v>
          </cell>
        </row>
        <row r="1092">
          <cell r="K1092" t="str">
            <v xml:space="preserve"> </v>
          </cell>
        </row>
        <row r="1093">
          <cell r="K1093" t="str">
            <v xml:space="preserve"> </v>
          </cell>
        </row>
        <row r="1094">
          <cell r="K1094" t="str">
            <v xml:space="preserve"> </v>
          </cell>
        </row>
        <row r="1095">
          <cell r="K1095" t="str">
            <v xml:space="preserve"> </v>
          </cell>
        </row>
        <row r="1096">
          <cell r="K1096" t="str">
            <v xml:space="preserve"> </v>
          </cell>
        </row>
        <row r="1097">
          <cell r="K1097" t="str">
            <v xml:space="preserve"> </v>
          </cell>
        </row>
        <row r="1098">
          <cell r="K1098" t="str">
            <v xml:space="preserve"> </v>
          </cell>
        </row>
        <row r="1099">
          <cell r="K1099" t="str">
            <v xml:space="preserve"> </v>
          </cell>
        </row>
        <row r="1100">
          <cell r="K1100" t="str">
            <v xml:space="preserve"> </v>
          </cell>
        </row>
        <row r="1101">
          <cell r="K1101" t="str">
            <v xml:space="preserve"> </v>
          </cell>
        </row>
        <row r="1102">
          <cell r="K1102" t="str">
            <v xml:space="preserve"> </v>
          </cell>
        </row>
        <row r="1103">
          <cell r="K1103" t="str">
            <v xml:space="preserve"> </v>
          </cell>
        </row>
        <row r="1104">
          <cell r="K1104" t="str">
            <v xml:space="preserve"> </v>
          </cell>
        </row>
        <row r="1105">
          <cell r="K1105" t="str">
            <v xml:space="preserve"> </v>
          </cell>
        </row>
        <row r="1106">
          <cell r="K1106" t="str">
            <v xml:space="preserve"> </v>
          </cell>
        </row>
        <row r="1107">
          <cell r="K1107" t="str">
            <v xml:space="preserve"> </v>
          </cell>
        </row>
        <row r="1108">
          <cell r="K1108" t="str">
            <v xml:space="preserve"> </v>
          </cell>
        </row>
        <row r="1109">
          <cell r="K1109" t="str">
            <v xml:space="preserve"> </v>
          </cell>
        </row>
        <row r="1110">
          <cell r="K1110" t="str">
            <v xml:space="preserve"> </v>
          </cell>
        </row>
        <row r="1111">
          <cell r="K1111" t="str">
            <v xml:space="preserve"> </v>
          </cell>
        </row>
        <row r="1112">
          <cell r="K1112" t="str">
            <v xml:space="preserve"> </v>
          </cell>
        </row>
        <row r="1113">
          <cell r="K1113" t="str">
            <v xml:space="preserve"> </v>
          </cell>
        </row>
        <row r="1114">
          <cell r="K1114" t="str">
            <v xml:space="preserve"> </v>
          </cell>
        </row>
        <row r="1115">
          <cell r="K1115" t="str">
            <v xml:space="preserve"> </v>
          </cell>
        </row>
        <row r="1116">
          <cell r="K1116" t="str">
            <v xml:space="preserve"> </v>
          </cell>
        </row>
        <row r="1117">
          <cell r="K1117" t="str">
            <v xml:space="preserve"> </v>
          </cell>
        </row>
        <row r="1118">
          <cell r="K1118" t="str">
            <v xml:space="preserve"> </v>
          </cell>
        </row>
        <row r="1119">
          <cell r="K1119" t="str">
            <v xml:space="preserve"> </v>
          </cell>
        </row>
        <row r="1120">
          <cell r="K1120" t="str">
            <v xml:space="preserve"> </v>
          </cell>
        </row>
        <row r="1121">
          <cell r="K1121" t="str">
            <v xml:space="preserve"> </v>
          </cell>
        </row>
        <row r="1122">
          <cell r="K1122" t="str">
            <v xml:space="preserve"> </v>
          </cell>
        </row>
        <row r="1123">
          <cell r="K1123" t="str">
            <v xml:space="preserve"> </v>
          </cell>
        </row>
        <row r="1124">
          <cell r="K1124" t="str">
            <v xml:space="preserve"> </v>
          </cell>
        </row>
        <row r="1125">
          <cell r="K1125" t="str">
            <v xml:space="preserve"> </v>
          </cell>
        </row>
        <row r="1126">
          <cell r="K1126" t="str">
            <v xml:space="preserve"> </v>
          </cell>
        </row>
        <row r="1127">
          <cell r="K1127" t="str">
            <v xml:space="preserve"> </v>
          </cell>
        </row>
        <row r="1128">
          <cell r="K1128" t="str">
            <v xml:space="preserve"> </v>
          </cell>
        </row>
        <row r="1129">
          <cell r="K1129" t="str">
            <v xml:space="preserve"> </v>
          </cell>
        </row>
        <row r="1130">
          <cell r="K1130" t="str">
            <v xml:space="preserve"> </v>
          </cell>
        </row>
        <row r="1131">
          <cell r="K1131" t="str">
            <v xml:space="preserve"> </v>
          </cell>
        </row>
        <row r="1132">
          <cell r="K1132" t="str">
            <v xml:space="preserve"> </v>
          </cell>
        </row>
        <row r="1133">
          <cell r="K1133" t="str">
            <v xml:space="preserve"> </v>
          </cell>
        </row>
        <row r="1134">
          <cell r="K1134" t="str">
            <v xml:space="preserve"> </v>
          </cell>
        </row>
        <row r="1135">
          <cell r="K1135" t="str">
            <v xml:space="preserve"> </v>
          </cell>
        </row>
        <row r="1136">
          <cell r="K1136" t="str">
            <v xml:space="preserve"> </v>
          </cell>
        </row>
        <row r="1137">
          <cell r="K1137" t="str">
            <v xml:space="preserve"> </v>
          </cell>
        </row>
        <row r="1138">
          <cell r="K1138" t="str">
            <v xml:space="preserve"> </v>
          </cell>
        </row>
        <row r="1139">
          <cell r="K1139" t="str">
            <v xml:space="preserve"> </v>
          </cell>
        </row>
        <row r="1140">
          <cell r="K1140" t="str">
            <v xml:space="preserve"> </v>
          </cell>
        </row>
        <row r="1141">
          <cell r="K1141" t="str">
            <v xml:space="preserve"> </v>
          </cell>
        </row>
        <row r="1142">
          <cell r="K1142" t="str">
            <v xml:space="preserve"> </v>
          </cell>
        </row>
        <row r="1143">
          <cell r="K1143" t="str">
            <v xml:space="preserve"> </v>
          </cell>
        </row>
        <row r="1144">
          <cell r="K1144" t="str">
            <v xml:space="preserve"> </v>
          </cell>
        </row>
        <row r="1145">
          <cell r="K1145" t="str">
            <v xml:space="preserve"> </v>
          </cell>
        </row>
        <row r="1146">
          <cell r="K1146" t="str">
            <v xml:space="preserve"> </v>
          </cell>
        </row>
        <row r="1147">
          <cell r="K1147" t="str">
            <v xml:space="preserve"> </v>
          </cell>
        </row>
        <row r="1148">
          <cell r="K1148" t="str">
            <v xml:space="preserve"> </v>
          </cell>
        </row>
        <row r="1149">
          <cell r="K1149" t="str">
            <v xml:space="preserve"> </v>
          </cell>
        </row>
        <row r="1150">
          <cell r="K1150" t="str">
            <v xml:space="preserve"> </v>
          </cell>
        </row>
        <row r="1151">
          <cell r="K1151" t="str">
            <v xml:space="preserve"> </v>
          </cell>
        </row>
        <row r="1152">
          <cell r="K1152" t="str">
            <v xml:space="preserve"> </v>
          </cell>
        </row>
        <row r="1153">
          <cell r="K1153" t="str">
            <v xml:space="preserve"> </v>
          </cell>
        </row>
        <row r="1154">
          <cell r="K1154" t="str">
            <v xml:space="preserve"> </v>
          </cell>
        </row>
        <row r="1155">
          <cell r="K1155" t="str">
            <v xml:space="preserve"> </v>
          </cell>
        </row>
        <row r="1156">
          <cell r="K1156" t="str">
            <v xml:space="preserve"> </v>
          </cell>
        </row>
        <row r="1157">
          <cell r="K1157" t="str">
            <v xml:space="preserve"> </v>
          </cell>
        </row>
        <row r="1158">
          <cell r="K1158" t="str">
            <v xml:space="preserve"> </v>
          </cell>
        </row>
        <row r="1159">
          <cell r="K1159" t="str">
            <v xml:space="preserve"> </v>
          </cell>
        </row>
        <row r="1160">
          <cell r="K1160" t="str">
            <v xml:space="preserve"> </v>
          </cell>
        </row>
        <row r="1161">
          <cell r="K1161" t="str">
            <v xml:space="preserve"> </v>
          </cell>
        </row>
        <row r="1162">
          <cell r="K1162" t="str">
            <v xml:space="preserve"> </v>
          </cell>
        </row>
        <row r="1163">
          <cell r="K1163" t="str">
            <v xml:space="preserve"> </v>
          </cell>
        </row>
        <row r="1164">
          <cell r="K1164" t="str">
            <v xml:space="preserve"> </v>
          </cell>
        </row>
        <row r="1165">
          <cell r="K1165" t="str">
            <v xml:space="preserve"> </v>
          </cell>
        </row>
        <row r="1166">
          <cell r="K1166" t="str">
            <v xml:space="preserve"> </v>
          </cell>
        </row>
        <row r="1167">
          <cell r="K1167" t="str">
            <v xml:space="preserve"> </v>
          </cell>
        </row>
        <row r="1168">
          <cell r="K1168" t="str">
            <v xml:space="preserve"> </v>
          </cell>
        </row>
        <row r="1169">
          <cell r="K1169" t="str">
            <v xml:space="preserve"> </v>
          </cell>
        </row>
        <row r="1170">
          <cell r="K1170" t="str">
            <v xml:space="preserve"> </v>
          </cell>
        </row>
        <row r="1171">
          <cell r="K1171" t="str">
            <v xml:space="preserve"> </v>
          </cell>
        </row>
        <row r="1172">
          <cell r="K1172" t="str">
            <v xml:space="preserve"> </v>
          </cell>
        </row>
        <row r="1173">
          <cell r="K1173" t="str">
            <v xml:space="preserve"> </v>
          </cell>
        </row>
        <row r="1174">
          <cell r="K1174" t="str">
            <v xml:space="preserve"> </v>
          </cell>
        </row>
        <row r="1175">
          <cell r="K1175" t="str">
            <v xml:space="preserve"> </v>
          </cell>
        </row>
        <row r="1176">
          <cell r="K1176" t="str">
            <v xml:space="preserve"> </v>
          </cell>
        </row>
        <row r="1177">
          <cell r="K1177" t="str">
            <v xml:space="preserve"> </v>
          </cell>
        </row>
        <row r="1178">
          <cell r="K1178" t="str">
            <v xml:space="preserve"> </v>
          </cell>
        </row>
        <row r="1179">
          <cell r="K1179" t="str">
            <v xml:space="preserve"> </v>
          </cell>
        </row>
        <row r="1180">
          <cell r="K1180" t="str">
            <v xml:space="preserve"> </v>
          </cell>
        </row>
        <row r="1181">
          <cell r="K1181" t="str">
            <v xml:space="preserve"> </v>
          </cell>
        </row>
        <row r="1182">
          <cell r="K1182" t="str">
            <v xml:space="preserve"> </v>
          </cell>
        </row>
        <row r="1183">
          <cell r="K1183" t="str">
            <v xml:space="preserve"> </v>
          </cell>
        </row>
        <row r="1184">
          <cell r="K1184" t="str">
            <v xml:space="preserve"> </v>
          </cell>
        </row>
        <row r="1185">
          <cell r="K1185" t="str">
            <v xml:space="preserve"> </v>
          </cell>
        </row>
        <row r="1186">
          <cell r="K1186" t="str">
            <v xml:space="preserve"> </v>
          </cell>
        </row>
        <row r="1187">
          <cell r="K1187" t="str">
            <v xml:space="preserve"> </v>
          </cell>
        </row>
        <row r="1188">
          <cell r="K1188" t="str">
            <v xml:space="preserve"> </v>
          </cell>
        </row>
        <row r="1189">
          <cell r="K1189" t="str">
            <v xml:space="preserve"> </v>
          </cell>
        </row>
        <row r="1190">
          <cell r="K1190" t="str">
            <v xml:space="preserve"> </v>
          </cell>
        </row>
        <row r="1191">
          <cell r="K1191" t="str">
            <v xml:space="preserve"> </v>
          </cell>
        </row>
        <row r="1192">
          <cell r="K1192" t="str">
            <v xml:space="preserve"> </v>
          </cell>
        </row>
        <row r="1193">
          <cell r="K1193" t="str">
            <v xml:space="preserve"> </v>
          </cell>
        </row>
        <row r="1194">
          <cell r="K1194" t="str">
            <v xml:space="preserve"> </v>
          </cell>
        </row>
        <row r="1195">
          <cell r="K1195" t="str">
            <v xml:space="preserve"> </v>
          </cell>
        </row>
        <row r="1196">
          <cell r="K1196" t="str">
            <v xml:space="preserve"> </v>
          </cell>
        </row>
        <row r="1197">
          <cell r="K1197" t="str">
            <v xml:space="preserve"> </v>
          </cell>
        </row>
        <row r="1198">
          <cell r="K1198" t="str">
            <v xml:space="preserve"> </v>
          </cell>
        </row>
        <row r="1199">
          <cell r="K1199" t="str">
            <v xml:space="preserve"> </v>
          </cell>
        </row>
        <row r="1200">
          <cell r="K1200" t="str">
            <v xml:space="preserve"> </v>
          </cell>
        </row>
        <row r="1201">
          <cell r="K1201" t="str">
            <v xml:space="preserve"> </v>
          </cell>
        </row>
        <row r="1202">
          <cell r="K1202" t="str">
            <v xml:space="preserve"> </v>
          </cell>
        </row>
        <row r="1203">
          <cell r="K1203" t="str">
            <v xml:space="preserve"> </v>
          </cell>
        </row>
        <row r="1204">
          <cell r="K1204" t="str">
            <v xml:space="preserve"> </v>
          </cell>
        </row>
        <row r="1205">
          <cell r="K1205" t="str">
            <v xml:space="preserve"> </v>
          </cell>
        </row>
        <row r="1206">
          <cell r="K1206" t="str">
            <v xml:space="preserve"> </v>
          </cell>
        </row>
        <row r="1207">
          <cell r="K1207" t="str">
            <v xml:space="preserve"> </v>
          </cell>
        </row>
        <row r="1208">
          <cell r="K1208" t="str">
            <v xml:space="preserve"> </v>
          </cell>
        </row>
        <row r="1209">
          <cell r="K1209" t="str">
            <v xml:space="preserve"> </v>
          </cell>
        </row>
        <row r="1210">
          <cell r="K1210" t="str">
            <v xml:space="preserve"> </v>
          </cell>
        </row>
        <row r="1211">
          <cell r="K1211" t="str">
            <v xml:space="preserve"> </v>
          </cell>
        </row>
        <row r="1212">
          <cell r="K1212" t="str">
            <v xml:space="preserve"> </v>
          </cell>
        </row>
        <row r="1213">
          <cell r="K1213" t="str">
            <v xml:space="preserve"> </v>
          </cell>
        </row>
        <row r="1214">
          <cell r="K1214" t="str">
            <v xml:space="preserve"> </v>
          </cell>
        </row>
        <row r="1215">
          <cell r="K1215" t="str">
            <v xml:space="preserve"> </v>
          </cell>
        </row>
        <row r="1216">
          <cell r="K1216" t="str">
            <v xml:space="preserve"> </v>
          </cell>
        </row>
        <row r="1217">
          <cell r="K1217" t="str">
            <v xml:space="preserve"> </v>
          </cell>
        </row>
        <row r="1218">
          <cell r="K1218" t="str">
            <v xml:space="preserve"> </v>
          </cell>
        </row>
        <row r="1219">
          <cell r="K1219" t="str">
            <v xml:space="preserve"> </v>
          </cell>
        </row>
        <row r="1220">
          <cell r="K1220" t="str">
            <v xml:space="preserve"> </v>
          </cell>
        </row>
        <row r="1221">
          <cell r="K1221" t="str">
            <v xml:space="preserve"> </v>
          </cell>
        </row>
        <row r="1222">
          <cell r="K1222" t="str">
            <v xml:space="preserve"> </v>
          </cell>
        </row>
        <row r="1223">
          <cell r="K1223" t="str">
            <v xml:space="preserve"> </v>
          </cell>
        </row>
        <row r="1224">
          <cell r="K1224" t="str">
            <v xml:space="preserve"> </v>
          </cell>
        </row>
        <row r="1225">
          <cell r="K1225" t="str">
            <v xml:space="preserve"> </v>
          </cell>
        </row>
        <row r="1226">
          <cell r="K1226" t="str">
            <v xml:space="preserve"> </v>
          </cell>
        </row>
        <row r="1227">
          <cell r="K1227" t="str">
            <v xml:space="preserve"> </v>
          </cell>
        </row>
        <row r="1228">
          <cell r="K1228" t="str">
            <v xml:space="preserve"> </v>
          </cell>
        </row>
        <row r="1229">
          <cell r="K1229" t="str">
            <v xml:space="preserve"> </v>
          </cell>
        </row>
        <row r="1230">
          <cell r="K1230" t="str">
            <v xml:space="preserve"> </v>
          </cell>
        </row>
        <row r="1231">
          <cell r="K1231" t="str">
            <v xml:space="preserve"> </v>
          </cell>
        </row>
        <row r="1232">
          <cell r="K1232" t="str">
            <v xml:space="preserve"> </v>
          </cell>
        </row>
        <row r="1233">
          <cell r="K1233" t="str">
            <v xml:space="preserve"> </v>
          </cell>
        </row>
        <row r="1234">
          <cell r="K1234" t="str">
            <v xml:space="preserve"> </v>
          </cell>
        </row>
        <row r="1235">
          <cell r="K1235" t="str">
            <v xml:space="preserve"> </v>
          </cell>
        </row>
        <row r="1236">
          <cell r="K1236" t="str">
            <v xml:space="preserve"> </v>
          </cell>
        </row>
        <row r="1237">
          <cell r="K1237" t="str">
            <v xml:space="preserve"> </v>
          </cell>
        </row>
        <row r="1238">
          <cell r="K1238" t="str">
            <v xml:space="preserve"> </v>
          </cell>
        </row>
        <row r="1239">
          <cell r="K1239" t="str">
            <v xml:space="preserve"> </v>
          </cell>
        </row>
        <row r="1240">
          <cell r="K1240" t="str">
            <v xml:space="preserve"> </v>
          </cell>
        </row>
        <row r="1241">
          <cell r="K1241" t="str">
            <v xml:space="preserve"> </v>
          </cell>
        </row>
        <row r="1242">
          <cell r="K1242" t="str">
            <v xml:space="preserve"> </v>
          </cell>
        </row>
        <row r="1243">
          <cell r="K1243" t="str">
            <v xml:space="preserve"> </v>
          </cell>
        </row>
        <row r="1244">
          <cell r="K1244" t="str">
            <v xml:space="preserve"> </v>
          </cell>
        </row>
        <row r="1245">
          <cell r="K1245" t="str">
            <v xml:space="preserve"> </v>
          </cell>
        </row>
        <row r="1246">
          <cell r="K1246" t="str">
            <v xml:space="preserve"> </v>
          </cell>
        </row>
        <row r="1247">
          <cell r="K1247" t="str">
            <v xml:space="preserve"> </v>
          </cell>
        </row>
        <row r="1248">
          <cell r="K1248" t="str">
            <v xml:space="preserve"> </v>
          </cell>
        </row>
        <row r="1249">
          <cell r="K1249" t="str">
            <v xml:space="preserve"> </v>
          </cell>
        </row>
        <row r="1250">
          <cell r="K1250" t="str">
            <v xml:space="preserve"> </v>
          </cell>
        </row>
        <row r="1251">
          <cell r="K1251" t="str">
            <v xml:space="preserve"> </v>
          </cell>
        </row>
        <row r="1252">
          <cell r="K1252" t="str">
            <v xml:space="preserve"> </v>
          </cell>
        </row>
        <row r="1253">
          <cell r="K1253" t="str">
            <v xml:space="preserve"> </v>
          </cell>
        </row>
        <row r="1254">
          <cell r="K1254" t="str">
            <v xml:space="preserve"> </v>
          </cell>
        </row>
        <row r="1255">
          <cell r="K1255" t="str">
            <v xml:space="preserve"> </v>
          </cell>
        </row>
        <row r="1256">
          <cell r="K1256" t="str">
            <v xml:space="preserve"> </v>
          </cell>
        </row>
        <row r="1257">
          <cell r="K1257" t="str">
            <v xml:space="preserve"> </v>
          </cell>
        </row>
        <row r="1258">
          <cell r="K1258" t="str">
            <v xml:space="preserve"> </v>
          </cell>
        </row>
        <row r="1259">
          <cell r="K1259" t="str">
            <v xml:space="preserve"> </v>
          </cell>
        </row>
        <row r="1260">
          <cell r="K1260" t="str">
            <v xml:space="preserve"> </v>
          </cell>
        </row>
        <row r="1261">
          <cell r="K1261" t="str">
            <v xml:space="preserve"> </v>
          </cell>
        </row>
        <row r="1262">
          <cell r="K1262" t="str">
            <v xml:space="preserve"> </v>
          </cell>
        </row>
        <row r="1263">
          <cell r="K1263" t="str">
            <v xml:space="preserve"> </v>
          </cell>
        </row>
        <row r="1264">
          <cell r="K1264" t="str">
            <v xml:space="preserve"> </v>
          </cell>
        </row>
        <row r="1265">
          <cell r="K1265" t="str">
            <v xml:space="preserve"> </v>
          </cell>
        </row>
        <row r="1266">
          <cell r="K1266" t="str">
            <v xml:space="preserve"> </v>
          </cell>
        </row>
        <row r="1267">
          <cell r="K1267" t="str">
            <v xml:space="preserve"> </v>
          </cell>
        </row>
        <row r="1268">
          <cell r="K1268" t="str">
            <v xml:space="preserve"> </v>
          </cell>
        </row>
        <row r="1269">
          <cell r="K1269" t="str">
            <v xml:space="preserve"> </v>
          </cell>
        </row>
        <row r="1270">
          <cell r="K1270" t="str">
            <v xml:space="preserve"> </v>
          </cell>
        </row>
        <row r="1271">
          <cell r="K1271" t="str">
            <v xml:space="preserve"> </v>
          </cell>
        </row>
        <row r="1272">
          <cell r="K1272" t="str">
            <v xml:space="preserve"> </v>
          </cell>
        </row>
        <row r="1273">
          <cell r="K1273" t="str">
            <v xml:space="preserve"> </v>
          </cell>
        </row>
        <row r="1274">
          <cell r="K1274" t="str">
            <v xml:space="preserve"> </v>
          </cell>
        </row>
        <row r="1275">
          <cell r="K1275" t="str">
            <v xml:space="preserve"> </v>
          </cell>
        </row>
        <row r="1276">
          <cell r="K1276" t="str">
            <v xml:space="preserve"> </v>
          </cell>
        </row>
        <row r="1277">
          <cell r="K1277" t="str">
            <v xml:space="preserve"> </v>
          </cell>
        </row>
        <row r="1278">
          <cell r="K1278" t="str">
            <v xml:space="preserve"> </v>
          </cell>
        </row>
        <row r="1279">
          <cell r="K1279" t="str">
            <v xml:space="preserve"> </v>
          </cell>
        </row>
        <row r="1280">
          <cell r="K1280" t="str">
            <v xml:space="preserve"> </v>
          </cell>
        </row>
        <row r="1281">
          <cell r="K1281" t="str">
            <v xml:space="preserve"> </v>
          </cell>
        </row>
        <row r="1282">
          <cell r="K1282" t="str">
            <v xml:space="preserve"> </v>
          </cell>
        </row>
        <row r="1283">
          <cell r="K1283" t="str">
            <v xml:space="preserve"> </v>
          </cell>
        </row>
        <row r="1284">
          <cell r="K1284" t="str">
            <v xml:space="preserve"> </v>
          </cell>
        </row>
        <row r="1285">
          <cell r="K1285" t="str">
            <v xml:space="preserve"> </v>
          </cell>
        </row>
        <row r="1286">
          <cell r="K1286" t="str">
            <v xml:space="preserve"> </v>
          </cell>
        </row>
        <row r="1287">
          <cell r="K1287" t="str">
            <v xml:space="preserve"> </v>
          </cell>
        </row>
        <row r="1288">
          <cell r="K1288" t="str">
            <v xml:space="preserve"> </v>
          </cell>
        </row>
        <row r="1289">
          <cell r="K1289" t="str">
            <v xml:space="preserve"> </v>
          </cell>
        </row>
        <row r="1290">
          <cell r="K1290" t="str">
            <v xml:space="preserve"> </v>
          </cell>
        </row>
        <row r="1291">
          <cell r="K1291" t="str">
            <v xml:space="preserve"> </v>
          </cell>
        </row>
        <row r="1292">
          <cell r="K1292" t="str">
            <v xml:space="preserve"> </v>
          </cell>
        </row>
        <row r="1293">
          <cell r="K1293" t="str">
            <v xml:space="preserve"> </v>
          </cell>
        </row>
        <row r="1294">
          <cell r="K1294" t="str">
            <v xml:space="preserve"> </v>
          </cell>
        </row>
        <row r="1295">
          <cell r="K1295" t="str">
            <v xml:space="preserve"> </v>
          </cell>
        </row>
        <row r="1296">
          <cell r="K1296" t="str">
            <v xml:space="preserve"> </v>
          </cell>
        </row>
        <row r="1297">
          <cell r="K1297" t="str">
            <v xml:space="preserve"> </v>
          </cell>
        </row>
        <row r="1298">
          <cell r="K1298" t="str">
            <v xml:space="preserve"> </v>
          </cell>
        </row>
        <row r="1299">
          <cell r="K1299" t="str">
            <v xml:space="preserve"> </v>
          </cell>
        </row>
        <row r="1300">
          <cell r="K1300" t="str">
            <v xml:space="preserve"> </v>
          </cell>
        </row>
        <row r="1301">
          <cell r="K1301" t="str">
            <v xml:space="preserve"> </v>
          </cell>
        </row>
        <row r="1302">
          <cell r="K1302" t="str">
            <v xml:space="preserve"> </v>
          </cell>
        </row>
        <row r="1303">
          <cell r="K1303" t="str">
            <v xml:space="preserve"> </v>
          </cell>
        </row>
        <row r="1304">
          <cell r="K1304" t="str">
            <v xml:space="preserve"> </v>
          </cell>
        </row>
        <row r="1305">
          <cell r="K1305" t="str">
            <v xml:space="preserve"> </v>
          </cell>
        </row>
        <row r="1306">
          <cell r="K1306" t="str">
            <v xml:space="preserve"> </v>
          </cell>
        </row>
        <row r="1307">
          <cell r="K1307" t="str">
            <v xml:space="preserve"> </v>
          </cell>
        </row>
        <row r="1308">
          <cell r="K1308" t="str">
            <v xml:space="preserve"> </v>
          </cell>
        </row>
        <row r="1309">
          <cell r="K1309" t="str">
            <v xml:space="preserve"> </v>
          </cell>
        </row>
        <row r="1310">
          <cell r="K1310" t="str">
            <v xml:space="preserve"> </v>
          </cell>
        </row>
        <row r="1311">
          <cell r="K1311" t="str">
            <v xml:space="preserve"> </v>
          </cell>
        </row>
        <row r="1312">
          <cell r="K1312" t="str">
            <v xml:space="preserve"> </v>
          </cell>
        </row>
        <row r="1313">
          <cell r="K1313" t="str">
            <v xml:space="preserve"> </v>
          </cell>
        </row>
        <row r="1314">
          <cell r="K1314" t="str">
            <v xml:space="preserve"> </v>
          </cell>
        </row>
        <row r="1315">
          <cell r="K1315" t="str">
            <v xml:space="preserve"> </v>
          </cell>
        </row>
        <row r="1316">
          <cell r="K1316" t="str">
            <v xml:space="preserve"> </v>
          </cell>
        </row>
        <row r="1317">
          <cell r="K1317" t="str">
            <v xml:space="preserve"> </v>
          </cell>
        </row>
        <row r="1318">
          <cell r="K1318" t="str">
            <v xml:space="preserve"> </v>
          </cell>
        </row>
        <row r="1319">
          <cell r="K1319" t="str">
            <v xml:space="preserve"> </v>
          </cell>
        </row>
        <row r="1320">
          <cell r="K1320" t="str">
            <v xml:space="preserve"> </v>
          </cell>
        </row>
        <row r="1321">
          <cell r="K1321" t="str">
            <v xml:space="preserve"> </v>
          </cell>
        </row>
        <row r="1322">
          <cell r="K1322" t="str">
            <v xml:space="preserve"> </v>
          </cell>
        </row>
        <row r="1323">
          <cell r="K1323" t="str">
            <v xml:space="preserve"> </v>
          </cell>
        </row>
        <row r="1324">
          <cell r="K1324" t="str">
            <v xml:space="preserve"> </v>
          </cell>
        </row>
        <row r="1325">
          <cell r="K1325" t="str">
            <v xml:space="preserve"> </v>
          </cell>
        </row>
        <row r="1326">
          <cell r="K1326" t="str">
            <v xml:space="preserve"> </v>
          </cell>
        </row>
        <row r="1327">
          <cell r="K1327" t="str">
            <v xml:space="preserve"> </v>
          </cell>
        </row>
        <row r="1328">
          <cell r="K1328" t="str">
            <v xml:space="preserve"> </v>
          </cell>
        </row>
        <row r="1329">
          <cell r="K1329" t="str">
            <v xml:space="preserve"> </v>
          </cell>
        </row>
        <row r="1330">
          <cell r="K1330" t="str">
            <v xml:space="preserve"> </v>
          </cell>
        </row>
        <row r="1331">
          <cell r="K1331" t="str">
            <v xml:space="preserve"> </v>
          </cell>
        </row>
        <row r="1332">
          <cell r="K1332" t="str">
            <v xml:space="preserve"> </v>
          </cell>
        </row>
        <row r="1333">
          <cell r="K1333" t="str">
            <v xml:space="preserve"> </v>
          </cell>
        </row>
        <row r="1334">
          <cell r="K1334" t="str">
            <v xml:space="preserve"> </v>
          </cell>
        </row>
        <row r="1335">
          <cell r="K1335" t="str">
            <v xml:space="preserve"> </v>
          </cell>
        </row>
        <row r="1336">
          <cell r="K1336" t="str">
            <v xml:space="preserve"> </v>
          </cell>
        </row>
        <row r="1337">
          <cell r="K1337" t="str">
            <v xml:space="preserve"> </v>
          </cell>
        </row>
        <row r="1338">
          <cell r="K1338" t="str">
            <v xml:space="preserve"> </v>
          </cell>
        </row>
        <row r="1339">
          <cell r="K1339" t="str">
            <v xml:space="preserve"> </v>
          </cell>
        </row>
        <row r="1340">
          <cell r="K1340" t="str">
            <v xml:space="preserve"> </v>
          </cell>
        </row>
        <row r="1341">
          <cell r="K1341" t="str">
            <v xml:space="preserve"> </v>
          </cell>
        </row>
        <row r="1342">
          <cell r="K1342" t="str">
            <v xml:space="preserve"> </v>
          </cell>
        </row>
        <row r="1343">
          <cell r="K1343" t="str">
            <v xml:space="preserve"> </v>
          </cell>
        </row>
        <row r="1344">
          <cell r="K1344" t="str">
            <v xml:space="preserve"> </v>
          </cell>
        </row>
        <row r="1345">
          <cell r="K1345" t="str">
            <v xml:space="preserve"> </v>
          </cell>
        </row>
        <row r="1346">
          <cell r="K1346" t="str">
            <v xml:space="preserve"> </v>
          </cell>
        </row>
        <row r="1347">
          <cell r="K1347" t="str">
            <v xml:space="preserve"> </v>
          </cell>
        </row>
        <row r="1348">
          <cell r="K1348" t="str">
            <v xml:space="preserve"> </v>
          </cell>
        </row>
        <row r="1349">
          <cell r="K1349" t="str">
            <v xml:space="preserve"> </v>
          </cell>
        </row>
        <row r="1350">
          <cell r="K1350" t="str">
            <v xml:space="preserve"> </v>
          </cell>
        </row>
        <row r="1351">
          <cell r="K1351" t="str">
            <v xml:space="preserve"> </v>
          </cell>
        </row>
        <row r="1352">
          <cell r="K1352" t="str">
            <v xml:space="preserve"> </v>
          </cell>
        </row>
        <row r="1353">
          <cell r="K1353" t="str">
            <v xml:space="preserve"> </v>
          </cell>
        </row>
        <row r="1354">
          <cell r="K1354" t="str">
            <v xml:space="preserve"> </v>
          </cell>
        </row>
        <row r="1355">
          <cell r="K1355" t="str">
            <v xml:space="preserve"> </v>
          </cell>
        </row>
        <row r="1356">
          <cell r="K1356" t="str">
            <v xml:space="preserve"> </v>
          </cell>
        </row>
        <row r="1357">
          <cell r="K1357" t="str">
            <v xml:space="preserve"> </v>
          </cell>
        </row>
        <row r="1358">
          <cell r="K1358" t="str">
            <v xml:space="preserve"> </v>
          </cell>
        </row>
        <row r="1359">
          <cell r="K1359" t="str">
            <v xml:space="preserve"> </v>
          </cell>
        </row>
        <row r="1360">
          <cell r="K1360" t="str">
            <v xml:space="preserve"> </v>
          </cell>
        </row>
        <row r="1361">
          <cell r="K1361" t="str">
            <v xml:space="preserve"> </v>
          </cell>
        </row>
        <row r="1362">
          <cell r="K1362" t="str">
            <v xml:space="preserve"> </v>
          </cell>
        </row>
        <row r="1363">
          <cell r="K1363" t="str">
            <v xml:space="preserve"> </v>
          </cell>
        </row>
        <row r="1364">
          <cell r="K1364" t="str">
            <v xml:space="preserve"> </v>
          </cell>
        </row>
        <row r="1365">
          <cell r="K1365" t="str">
            <v xml:space="preserve"> </v>
          </cell>
        </row>
        <row r="1366">
          <cell r="K1366" t="str">
            <v xml:space="preserve"> </v>
          </cell>
        </row>
        <row r="1367">
          <cell r="K1367" t="str">
            <v xml:space="preserve"> </v>
          </cell>
        </row>
        <row r="1368">
          <cell r="K1368" t="str">
            <v xml:space="preserve"> </v>
          </cell>
        </row>
        <row r="1369">
          <cell r="K1369" t="str">
            <v xml:space="preserve"> </v>
          </cell>
        </row>
        <row r="1370">
          <cell r="K1370" t="str">
            <v xml:space="preserve"> </v>
          </cell>
        </row>
        <row r="1371">
          <cell r="K1371" t="str">
            <v xml:space="preserve"> </v>
          </cell>
        </row>
        <row r="1372">
          <cell r="K1372" t="str">
            <v xml:space="preserve"> </v>
          </cell>
        </row>
        <row r="1373">
          <cell r="K1373" t="str">
            <v xml:space="preserve"> </v>
          </cell>
        </row>
        <row r="1374">
          <cell r="K1374" t="str">
            <v xml:space="preserve"> </v>
          </cell>
        </row>
        <row r="1375">
          <cell r="K1375" t="str">
            <v xml:space="preserve"> </v>
          </cell>
        </row>
        <row r="1376">
          <cell r="K1376" t="str">
            <v xml:space="preserve"> </v>
          </cell>
        </row>
        <row r="1377">
          <cell r="K1377" t="str">
            <v xml:space="preserve"> </v>
          </cell>
        </row>
        <row r="1378">
          <cell r="K1378" t="str">
            <v xml:space="preserve"> </v>
          </cell>
        </row>
        <row r="1379">
          <cell r="K1379" t="str">
            <v xml:space="preserve"> </v>
          </cell>
        </row>
        <row r="1380">
          <cell r="K1380" t="str">
            <v xml:space="preserve"> </v>
          </cell>
        </row>
        <row r="1381">
          <cell r="K1381" t="str">
            <v xml:space="preserve"> </v>
          </cell>
        </row>
        <row r="1382">
          <cell r="K1382" t="str">
            <v xml:space="preserve"> </v>
          </cell>
        </row>
        <row r="1383">
          <cell r="K1383" t="str">
            <v xml:space="preserve"> </v>
          </cell>
        </row>
        <row r="1384">
          <cell r="K1384" t="str">
            <v xml:space="preserve"> </v>
          </cell>
        </row>
        <row r="1385">
          <cell r="K1385" t="str">
            <v xml:space="preserve"> </v>
          </cell>
        </row>
        <row r="1386">
          <cell r="K1386" t="str">
            <v xml:space="preserve"> </v>
          </cell>
        </row>
        <row r="1387">
          <cell r="K1387" t="str">
            <v xml:space="preserve"> </v>
          </cell>
        </row>
        <row r="1388">
          <cell r="K1388" t="str">
            <v xml:space="preserve"> </v>
          </cell>
        </row>
        <row r="1389">
          <cell r="K1389" t="str">
            <v xml:space="preserve"> </v>
          </cell>
        </row>
        <row r="1390">
          <cell r="K1390" t="str">
            <v xml:space="preserve"> </v>
          </cell>
        </row>
        <row r="1391">
          <cell r="K1391" t="str">
            <v xml:space="preserve"> </v>
          </cell>
        </row>
        <row r="1392">
          <cell r="K1392" t="str">
            <v xml:space="preserve"> </v>
          </cell>
        </row>
        <row r="1393">
          <cell r="K1393" t="str">
            <v xml:space="preserve"> </v>
          </cell>
        </row>
        <row r="1394">
          <cell r="K1394" t="str">
            <v xml:space="preserve"> </v>
          </cell>
        </row>
        <row r="1395">
          <cell r="K1395" t="str">
            <v xml:space="preserve"> </v>
          </cell>
        </row>
        <row r="1396">
          <cell r="K1396" t="str">
            <v xml:space="preserve"> </v>
          </cell>
        </row>
        <row r="1397">
          <cell r="K1397" t="str">
            <v xml:space="preserve"> </v>
          </cell>
        </row>
        <row r="1398">
          <cell r="K1398" t="str">
            <v xml:space="preserve"> </v>
          </cell>
        </row>
        <row r="1399">
          <cell r="K1399" t="str">
            <v xml:space="preserve"> </v>
          </cell>
        </row>
        <row r="1400">
          <cell r="K1400" t="str">
            <v xml:space="preserve"> </v>
          </cell>
        </row>
        <row r="1401">
          <cell r="K1401" t="str">
            <v xml:space="preserve"> </v>
          </cell>
        </row>
        <row r="1402">
          <cell r="K1402" t="str">
            <v xml:space="preserve"> </v>
          </cell>
        </row>
        <row r="1403">
          <cell r="K1403" t="str">
            <v xml:space="preserve"> </v>
          </cell>
        </row>
        <row r="1404">
          <cell r="K1404" t="str">
            <v xml:space="preserve"> </v>
          </cell>
        </row>
        <row r="1405">
          <cell r="K1405" t="str">
            <v xml:space="preserve"> </v>
          </cell>
        </row>
        <row r="1406">
          <cell r="K1406" t="str">
            <v xml:space="preserve"> </v>
          </cell>
        </row>
        <row r="1407">
          <cell r="K1407" t="str">
            <v xml:space="preserve"> </v>
          </cell>
        </row>
        <row r="1408">
          <cell r="K1408" t="str">
            <v xml:space="preserve"> </v>
          </cell>
        </row>
        <row r="1409">
          <cell r="K1409" t="str">
            <v xml:space="preserve"> </v>
          </cell>
        </row>
        <row r="1410">
          <cell r="K1410" t="str">
            <v xml:space="preserve"> </v>
          </cell>
        </row>
        <row r="1411">
          <cell r="K1411" t="str">
            <v xml:space="preserve"> </v>
          </cell>
        </row>
        <row r="1412">
          <cell r="K1412" t="str">
            <v xml:space="preserve"> </v>
          </cell>
        </row>
        <row r="1413">
          <cell r="K1413" t="str">
            <v xml:space="preserve"> </v>
          </cell>
        </row>
        <row r="1414">
          <cell r="K1414" t="str">
            <v xml:space="preserve"> </v>
          </cell>
        </row>
        <row r="1415">
          <cell r="K1415" t="str">
            <v xml:space="preserve"> </v>
          </cell>
        </row>
        <row r="1416">
          <cell r="K1416" t="str">
            <v xml:space="preserve"> </v>
          </cell>
        </row>
        <row r="1417">
          <cell r="K1417" t="str">
            <v xml:space="preserve"> </v>
          </cell>
        </row>
        <row r="1418">
          <cell r="K1418" t="str">
            <v xml:space="preserve"> </v>
          </cell>
        </row>
        <row r="1419">
          <cell r="K1419" t="str">
            <v xml:space="preserve"> </v>
          </cell>
        </row>
        <row r="1420">
          <cell r="K1420" t="str">
            <v xml:space="preserve"> </v>
          </cell>
        </row>
        <row r="1421">
          <cell r="K1421" t="str">
            <v xml:space="preserve"> </v>
          </cell>
        </row>
        <row r="1422">
          <cell r="K1422" t="str">
            <v xml:space="preserve"> </v>
          </cell>
        </row>
        <row r="1423">
          <cell r="K1423" t="str">
            <v xml:space="preserve"> </v>
          </cell>
        </row>
        <row r="1424">
          <cell r="K1424" t="str">
            <v xml:space="preserve"> </v>
          </cell>
        </row>
        <row r="1425">
          <cell r="K1425" t="str">
            <v xml:space="preserve"> </v>
          </cell>
        </row>
        <row r="1426">
          <cell r="K1426" t="str">
            <v xml:space="preserve"> </v>
          </cell>
        </row>
        <row r="1427">
          <cell r="K1427" t="str">
            <v xml:space="preserve"> </v>
          </cell>
        </row>
        <row r="1428">
          <cell r="K1428" t="str">
            <v xml:space="preserve"> </v>
          </cell>
        </row>
        <row r="1429">
          <cell r="K1429" t="str">
            <v xml:space="preserve"> </v>
          </cell>
        </row>
        <row r="1430">
          <cell r="K1430" t="str">
            <v xml:space="preserve"> </v>
          </cell>
        </row>
        <row r="1431">
          <cell r="K1431" t="str">
            <v xml:space="preserve"> </v>
          </cell>
        </row>
        <row r="1432">
          <cell r="K1432" t="str">
            <v xml:space="preserve"> </v>
          </cell>
        </row>
        <row r="1433">
          <cell r="K1433" t="str">
            <v xml:space="preserve"> </v>
          </cell>
        </row>
        <row r="1434">
          <cell r="K1434" t="str">
            <v xml:space="preserve"> </v>
          </cell>
        </row>
        <row r="1435">
          <cell r="K1435" t="str">
            <v xml:space="preserve"> </v>
          </cell>
        </row>
        <row r="1436">
          <cell r="K1436" t="str">
            <v xml:space="preserve"> </v>
          </cell>
        </row>
        <row r="1437">
          <cell r="K1437" t="str">
            <v xml:space="preserve"> </v>
          </cell>
        </row>
        <row r="1438">
          <cell r="K1438" t="str">
            <v xml:space="preserve"> </v>
          </cell>
        </row>
        <row r="1439">
          <cell r="K1439" t="str">
            <v xml:space="preserve"> </v>
          </cell>
        </row>
        <row r="1440">
          <cell r="K1440" t="str">
            <v xml:space="preserve"> </v>
          </cell>
        </row>
        <row r="1441">
          <cell r="K1441" t="str">
            <v xml:space="preserve"> </v>
          </cell>
        </row>
        <row r="1442">
          <cell r="K1442" t="str">
            <v xml:space="preserve"> </v>
          </cell>
        </row>
        <row r="1443">
          <cell r="K1443" t="str">
            <v xml:space="preserve"> </v>
          </cell>
        </row>
        <row r="1444">
          <cell r="K1444" t="str">
            <v xml:space="preserve"> </v>
          </cell>
        </row>
        <row r="1445">
          <cell r="K1445" t="str">
            <v xml:space="preserve"> </v>
          </cell>
        </row>
        <row r="1446">
          <cell r="K1446" t="str">
            <v xml:space="preserve"> </v>
          </cell>
        </row>
        <row r="1447">
          <cell r="K1447" t="str">
            <v xml:space="preserve"> </v>
          </cell>
        </row>
        <row r="1448">
          <cell r="K1448" t="str">
            <v xml:space="preserve"> </v>
          </cell>
        </row>
        <row r="1449">
          <cell r="K1449" t="str">
            <v xml:space="preserve"> </v>
          </cell>
        </row>
        <row r="1450">
          <cell r="K1450" t="str">
            <v xml:space="preserve"> </v>
          </cell>
        </row>
        <row r="1451">
          <cell r="K1451" t="str">
            <v xml:space="preserve"> </v>
          </cell>
        </row>
        <row r="1452">
          <cell r="K1452" t="str">
            <v xml:space="preserve"> </v>
          </cell>
        </row>
        <row r="1453">
          <cell r="K1453" t="str">
            <v xml:space="preserve"> </v>
          </cell>
        </row>
        <row r="1454">
          <cell r="K1454" t="str">
            <v xml:space="preserve"> </v>
          </cell>
        </row>
        <row r="1455">
          <cell r="K1455" t="str">
            <v xml:space="preserve"> </v>
          </cell>
        </row>
        <row r="1456">
          <cell r="K1456" t="str">
            <v xml:space="preserve"> </v>
          </cell>
        </row>
        <row r="1457">
          <cell r="K1457" t="str">
            <v xml:space="preserve"> </v>
          </cell>
        </row>
        <row r="1458">
          <cell r="K1458" t="str">
            <v xml:space="preserve"> </v>
          </cell>
        </row>
        <row r="1459">
          <cell r="K1459" t="str">
            <v xml:space="preserve"> </v>
          </cell>
        </row>
        <row r="1460">
          <cell r="K1460" t="str">
            <v xml:space="preserve"> </v>
          </cell>
        </row>
        <row r="1461">
          <cell r="K1461" t="str">
            <v xml:space="preserve"> </v>
          </cell>
        </row>
        <row r="1462">
          <cell r="K1462" t="str">
            <v xml:space="preserve"> </v>
          </cell>
        </row>
        <row r="1463">
          <cell r="K1463" t="str">
            <v xml:space="preserve"> </v>
          </cell>
        </row>
        <row r="1464">
          <cell r="K1464" t="str">
            <v xml:space="preserve"> </v>
          </cell>
        </row>
        <row r="1465">
          <cell r="K1465" t="str">
            <v xml:space="preserve"> </v>
          </cell>
        </row>
        <row r="1466">
          <cell r="K1466" t="str">
            <v xml:space="preserve"> </v>
          </cell>
        </row>
        <row r="1467">
          <cell r="K1467" t="str">
            <v xml:space="preserve"> </v>
          </cell>
        </row>
        <row r="1468">
          <cell r="K1468" t="str">
            <v xml:space="preserve"> </v>
          </cell>
        </row>
        <row r="1469">
          <cell r="K1469" t="str">
            <v xml:space="preserve"> </v>
          </cell>
        </row>
        <row r="1470">
          <cell r="K1470" t="str">
            <v xml:space="preserve"> </v>
          </cell>
        </row>
        <row r="1471">
          <cell r="K1471" t="str">
            <v xml:space="preserve"> </v>
          </cell>
        </row>
        <row r="1472">
          <cell r="K1472" t="str">
            <v xml:space="preserve"> </v>
          </cell>
        </row>
        <row r="1473">
          <cell r="K1473" t="str">
            <v xml:space="preserve"> </v>
          </cell>
        </row>
        <row r="1474">
          <cell r="K1474" t="str">
            <v xml:space="preserve"> </v>
          </cell>
        </row>
        <row r="1475">
          <cell r="K1475" t="str">
            <v xml:space="preserve"> </v>
          </cell>
        </row>
        <row r="1476">
          <cell r="K1476" t="str">
            <v xml:space="preserve"> </v>
          </cell>
        </row>
        <row r="1477">
          <cell r="K1477" t="str">
            <v xml:space="preserve"> </v>
          </cell>
        </row>
        <row r="1478">
          <cell r="K1478" t="str">
            <v xml:space="preserve"> </v>
          </cell>
        </row>
        <row r="1479">
          <cell r="K1479" t="str">
            <v xml:space="preserve"> </v>
          </cell>
        </row>
        <row r="1480">
          <cell r="K1480" t="str">
            <v xml:space="preserve"> </v>
          </cell>
        </row>
        <row r="1481">
          <cell r="K1481" t="str">
            <v xml:space="preserve"> </v>
          </cell>
        </row>
        <row r="1482">
          <cell r="K1482" t="str">
            <v xml:space="preserve"> </v>
          </cell>
        </row>
        <row r="1483">
          <cell r="K1483" t="str">
            <v xml:space="preserve"> </v>
          </cell>
        </row>
        <row r="1484">
          <cell r="K1484" t="str">
            <v xml:space="preserve"> </v>
          </cell>
        </row>
        <row r="1485">
          <cell r="K1485" t="str">
            <v xml:space="preserve"> </v>
          </cell>
        </row>
        <row r="1486">
          <cell r="K1486" t="str">
            <v xml:space="preserve"> 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5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6" tint="0.59999389629810485"/>
  </sheetPr>
  <dimension ref="A1:J220"/>
  <sheetViews>
    <sheetView showGridLines="0" tabSelected="1" topLeftCell="A76" zoomScaleNormal="100" workbookViewId="0">
      <selection activeCell="G205" sqref="G205"/>
    </sheetView>
  </sheetViews>
  <sheetFormatPr baseColWidth="10" defaultColWidth="11.42578125" defaultRowHeight="15" outlineLevelRow="2"/>
  <cols>
    <col min="1" max="1" width="14.28515625" style="19" customWidth="1"/>
    <col min="2" max="2" width="37.140625" style="21" customWidth="1"/>
    <col min="3" max="3" width="17.42578125" style="22" customWidth="1"/>
    <col min="4" max="4" width="17.42578125" style="19" customWidth="1"/>
    <col min="5" max="5" width="10.5703125" style="19" customWidth="1"/>
    <col min="6" max="6" width="16.42578125" style="19" customWidth="1"/>
    <col min="7" max="7" width="17.28515625" style="19" customWidth="1"/>
    <col min="8" max="8" width="32.140625" style="19" bestFit="1" customWidth="1"/>
    <col min="9" max="16384" width="11.42578125" style="19"/>
  </cols>
  <sheetData>
    <row r="1" spans="1:9">
      <c r="A1" s="1082" t="s">
        <v>181</v>
      </c>
      <c r="B1" s="1082"/>
      <c r="C1" s="1082"/>
      <c r="D1" s="1082"/>
      <c r="E1" s="1082"/>
    </row>
    <row r="2" spans="1:9">
      <c r="A2" s="20"/>
      <c r="B2" s="20"/>
      <c r="C2" s="20"/>
    </row>
    <row r="3" spans="1:9" ht="33.75">
      <c r="A3" s="92" t="s">
        <v>184</v>
      </c>
      <c r="C3" s="139">
        <v>2026</v>
      </c>
      <c r="E3" s="139">
        <v>2025</v>
      </c>
    </row>
    <row r="4" spans="1:9" s="14" customFormat="1">
      <c r="A4" s="858">
        <v>1</v>
      </c>
      <c r="B4" s="859" t="s">
        <v>101</v>
      </c>
      <c r="C4" s="860">
        <f>C5+C10+C17+C20+C27+C29+C31</f>
        <v>3462278</v>
      </c>
      <c r="D4" s="101"/>
      <c r="E4" s="860">
        <f>E5+E10+E17+E20+E27+E29+E31</f>
        <v>2947383</v>
      </c>
      <c r="I4" s="19"/>
    </row>
    <row r="5" spans="1:9" s="14" customFormat="1" outlineLevel="1">
      <c r="A5" s="858">
        <v>11</v>
      </c>
      <c r="B5" s="859" t="s">
        <v>102</v>
      </c>
      <c r="C5" s="860">
        <f>SUM(C6:C9)</f>
        <v>576780</v>
      </c>
      <c r="D5" s="76"/>
      <c r="E5" s="70">
        <f>+SUM(E6:E9)</f>
        <v>316343</v>
      </c>
      <c r="I5" s="19"/>
    </row>
    <row r="6" spans="1:9" outlineLevel="1">
      <c r="A6" s="93">
        <v>1105</v>
      </c>
      <c r="B6" s="24" t="s">
        <v>103</v>
      </c>
      <c r="C6" s="25">
        <f>+SUMIF('6.BP2026'!A:A,DATOS!A6,'6.BP2026'!I:I)</f>
        <v>462620</v>
      </c>
      <c r="E6" s="29">
        <f>+SUMIF('7.BP2025'!A:A,DATOS!A6,'7.BP2025'!I:I)</f>
        <v>214239</v>
      </c>
      <c r="F6" s="48"/>
      <c r="G6" s="94" t="s">
        <v>91</v>
      </c>
      <c r="H6" s="23" t="s">
        <v>598</v>
      </c>
    </row>
    <row r="7" spans="1:9" outlineLevel="1">
      <c r="A7" s="93">
        <v>1110</v>
      </c>
      <c r="B7" s="24" t="s">
        <v>104</v>
      </c>
      <c r="C7" s="25">
        <f>+SUMIF('6.BP2026'!A:A,DATOS!A7,'6.BP2026'!I:I)</f>
        <v>34966</v>
      </c>
      <c r="E7" s="29">
        <f>+SUMIF('7.BP2025'!A:A,DATOS!A7,'7.BP2025'!I:I)</f>
        <v>81216</v>
      </c>
      <c r="G7" s="94" t="s">
        <v>92</v>
      </c>
      <c r="H7" s="23" t="s">
        <v>599</v>
      </c>
    </row>
    <row r="8" spans="1:9" ht="16.7" customHeight="1" outlineLevel="1">
      <c r="A8" s="93">
        <v>1120</v>
      </c>
      <c r="B8" s="24" t="s">
        <v>105</v>
      </c>
      <c r="C8" s="25">
        <f>+SUMIF('6.BP2026'!A:A,DATOS!A8,'6.BP2026'!I:I)</f>
        <v>37524</v>
      </c>
      <c r="E8" s="29">
        <f>+SUMIF('7.BP2025'!A:A,DATOS!A8,'7.BP2025'!I:I)</f>
        <v>18936</v>
      </c>
      <c r="G8" s="94" t="s">
        <v>93</v>
      </c>
      <c r="H8" s="23" t="s">
        <v>1907</v>
      </c>
    </row>
    <row r="9" spans="1:9" s="14" customFormat="1" outlineLevel="1">
      <c r="A9" s="93">
        <v>1130</v>
      </c>
      <c r="B9" s="24" t="s">
        <v>692</v>
      </c>
      <c r="C9" s="25">
        <f>+SUMIF('6.BP2026'!A:A,DATOS!A9,'6.BP2026'!I:I)</f>
        <v>41670</v>
      </c>
      <c r="E9" s="29">
        <f>+SUMIF('7.BP2025'!A:A,DATOS!A9,'7.BP2025'!I:I)</f>
        <v>1952</v>
      </c>
      <c r="G9" s="94" t="s">
        <v>94</v>
      </c>
      <c r="H9" s="23">
        <v>6</v>
      </c>
      <c r="I9" s="19"/>
    </row>
    <row r="10" spans="1:9" s="14" customFormat="1" outlineLevel="1">
      <c r="A10" s="858">
        <v>13</v>
      </c>
      <c r="B10" s="859" t="s">
        <v>165</v>
      </c>
      <c r="C10" s="860">
        <f>SUM(C11:C16)</f>
        <v>437305</v>
      </c>
      <c r="D10" s="928"/>
      <c r="E10" s="70">
        <f>SUM(E11:E16)</f>
        <v>232928</v>
      </c>
      <c r="G10" s="94" t="s">
        <v>95</v>
      </c>
      <c r="H10" s="23" t="s">
        <v>1877</v>
      </c>
    </row>
    <row r="11" spans="1:9" s="14" customFormat="1" outlineLevel="1">
      <c r="A11" s="326">
        <v>1305</v>
      </c>
      <c r="B11" s="327" t="s">
        <v>106</v>
      </c>
      <c r="C11" s="328">
        <f>+SUMIF('6.BP2026'!A:A,DATOS!A11,'6.BP2026'!I:I)</f>
        <v>21421</v>
      </c>
      <c r="D11" s="76"/>
      <c r="E11" s="856">
        <f>+SUMIF('7.BP2025'!A:A,DATOS!A11,'7.BP2025'!I:I)</f>
        <v>6032</v>
      </c>
      <c r="G11" s="94" t="s">
        <v>96</v>
      </c>
      <c r="H11" s="23" t="s">
        <v>1908</v>
      </c>
    </row>
    <row r="12" spans="1:9" outlineLevel="1">
      <c r="A12" s="93">
        <v>1325</v>
      </c>
      <c r="B12" s="24" t="s">
        <v>449</v>
      </c>
      <c r="C12" s="25">
        <f>+SUMIF('6.BP2026'!A:A,DATOS!A12,'6.BP2026'!I:I)</f>
        <v>0</v>
      </c>
      <c r="E12" s="29">
        <f>+SUMIF('7.BP2025'!A:A,DATOS!A12,'7.BP2025'!I:I)</f>
        <v>0</v>
      </c>
      <c r="G12" s="95" t="s">
        <v>263</v>
      </c>
      <c r="H12" s="26" t="s">
        <v>571</v>
      </c>
    </row>
    <row r="13" spans="1:9" outlineLevel="1">
      <c r="A13" s="93">
        <v>1330</v>
      </c>
      <c r="B13" s="24" t="s">
        <v>450</v>
      </c>
      <c r="C13" s="25">
        <f>+SUMIF('6.BP2026'!A:A,DATOS!A13,'6.BP2026'!I:I)</f>
        <v>327590</v>
      </c>
      <c r="E13" s="29">
        <f>+SUMIF('7.BP2025'!A:A,DATOS!A13,'7.BP2025'!I:I)</f>
        <v>184647</v>
      </c>
      <c r="G13" s="94" t="s">
        <v>98</v>
      </c>
      <c r="H13" s="23" t="s">
        <v>572</v>
      </c>
    </row>
    <row r="14" spans="1:9" outlineLevel="1">
      <c r="A14" s="93">
        <v>1355</v>
      </c>
      <c r="B14" s="24" t="s">
        <v>961</v>
      </c>
      <c r="C14" s="25">
        <f>+SUMIF('6.BP2026'!A:A,DATOS!A14,'6.BP2026'!I:I)</f>
        <v>0</v>
      </c>
      <c r="E14" s="29">
        <f>+SUMIF('7.BP2025'!A:A,DATOS!A14,'7.BP2025'!I:I)</f>
        <v>0</v>
      </c>
      <c r="G14" s="94"/>
      <c r="H14" s="23"/>
    </row>
    <row r="15" spans="1:9" outlineLevel="1">
      <c r="A15" s="93">
        <v>1365</v>
      </c>
      <c r="B15" s="24" t="s">
        <v>322</v>
      </c>
      <c r="C15" s="25">
        <f>+SUMIF('6.BP2026'!A:A,DATOS!A15,'6.BP2026'!I:I)</f>
        <v>363</v>
      </c>
      <c r="E15" s="29">
        <f>+SUMIF('7.BP2025'!A:A,DATOS!A15,'7.BP2025'!I:I)</f>
        <v>1998</v>
      </c>
      <c r="G15" s="94" t="s">
        <v>57</v>
      </c>
      <c r="H15" s="23" t="s">
        <v>1463</v>
      </c>
    </row>
    <row r="16" spans="1:9" outlineLevel="1">
      <c r="A16" s="93">
        <v>1380</v>
      </c>
      <c r="B16" s="24" t="s">
        <v>107</v>
      </c>
      <c r="C16" s="25">
        <f>+SUMIF('6.BP2026'!A:A,DATOS!A16,'6.BP2026'!I:I)</f>
        <v>87931</v>
      </c>
      <c r="E16" s="29">
        <f>+SUMIF('7.BP2025'!A:A,DATOS!A16,'7.BP2025'!I:I)</f>
        <v>40251</v>
      </c>
      <c r="F16" s="48"/>
      <c r="G16" s="94" t="s">
        <v>160</v>
      </c>
      <c r="H16" s="23" t="s">
        <v>1464</v>
      </c>
    </row>
    <row r="17" spans="1:8" outlineLevel="1">
      <c r="A17" s="858">
        <v>14</v>
      </c>
      <c r="B17" s="859" t="s">
        <v>108</v>
      </c>
      <c r="C17" s="860">
        <f>SUM(C18:C19)</f>
        <v>78249</v>
      </c>
      <c r="D17" s="76"/>
      <c r="E17" s="70">
        <f>SUM(E18:E19)</f>
        <v>81850</v>
      </c>
      <c r="F17" s="48"/>
      <c r="G17" s="94" t="s">
        <v>97</v>
      </c>
      <c r="H17" s="23"/>
    </row>
    <row r="18" spans="1:8" outlineLevel="1">
      <c r="A18" s="93">
        <v>1435</v>
      </c>
      <c r="B18" s="24" t="s">
        <v>475</v>
      </c>
      <c r="C18" s="25">
        <f>+SUMIF('6.BP2026'!A:A,DATOS!A18,'6.BP2026'!I:I)</f>
        <v>78249</v>
      </c>
      <c r="E18" s="29">
        <f>+SUMIF('7.BP2025'!A:A,DATOS!A18,'7.BP2025'!I:I)</f>
        <v>81850</v>
      </c>
      <c r="G18" s="94" t="s">
        <v>160</v>
      </c>
      <c r="H18" s="23"/>
    </row>
    <row r="19" spans="1:8" outlineLevel="1">
      <c r="A19" s="93">
        <v>1436</v>
      </c>
      <c r="B19" s="24" t="s">
        <v>554</v>
      </c>
      <c r="C19" s="25">
        <f>+SUMIF('6.BP2026'!A:A,DATOS!A19,'6.BP2026'!I:I)</f>
        <v>0</v>
      </c>
      <c r="E19" s="29">
        <f>+SUMIF('7.BP2025'!A:A,DATOS!A19,'7.BP2025'!I:I)</f>
        <v>0</v>
      </c>
      <c r="G19" s="94" t="s">
        <v>483</v>
      </c>
      <c r="H19" s="584">
        <v>0.01</v>
      </c>
    </row>
    <row r="20" spans="1:8" outlineLevel="1">
      <c r="A20" s="858">
        <v>15</v>
      </c>
      <c r="B20" s="859" t="s">
        <v>109</v>
      </c>
      <c r="C20" s="860">
        <f>SUM(C21:C26)</f>
        <v>1983687</v>
      </c>
      <c r="D20" s="76"/>
      <c r="E20" s="860">
        <f>SUM(E21:E26)</f>
        <v>2028380</v>
      </c>
    </row>
    <row r="21" spans="1:8" outlineLevel="1">
      <c r="A21" s="93">
        <v>1510</v>
      </c>
      <c r="B21" s="24" t="s">
        <v>704</v>
      </c>
      <c r="C21" s="25">
        <f>+SUMIF('6.BP2026'!A:A,DATOS!A21,'6.BP2026'!I:I)</f>
        <v>339255</v>
      </c>
      <c r="D21" s="48"/>
      <c r="E21" s="29">
        <f>+SUMIF('7.BP2025'!A:A,DATOS!A21,'7.BP2025'!I:I)</f>
        <v>355856</v>
      </c>
    </row>
    <row r="22" spans="1:8" outlineLevel="1">
      <c r="A22" s="93">
        <v>1516</v>
      </c>
      <c r="B22" s="24" t="s">
        <v>932</v>
      </c>
      <c r="C22" s="25">
        <f>+SUMIF('6.BP2026'!A:A,DATOS!A22,'6.BP2026'!I:I)-(SUMIF('6.BP2026'!A:A,151692,'6.BP2026'!I:I)/2)</f>
        <v>1286225.5</v>
      </c>
      <c r="D22" s="48"/>
      <c r="E22" s="25">
        <f>+SUMIF('7.BP2025'!A:A,DATOS!A22,'7.BP2025'!I:I)-(SUMIF('7.BP2025'!A:A,151692,'7.BP2025'!I:I)/2)</f>
        <v>1286226</v>
      </c>
      <c r="F22" s="48"/>
    </row>
    <row r="23" spans="1:8" s="27" customFormat="1" outlineLevel="1">
      <c r="A23" s="93">
        <v>1520</v>
      </c>
      <c r="B23" s="24" t="s">
        <v>110</v>
      </c>
      <c r="C23" s="25">
        <f>+SUMIF('6.BP2026'!A:A,DATOS!A23,'6.BP2026'!I:I)-(SUMIF('6.BP2026'!A:A,152092,'6.BP2026'!I:I)/2)</f>
        <v>463303</v>
      </c>
      <c r="D23" s="48"/>
      <c r="E23" s="25">
        <f>+SUMIF('7.BP2025'!A:A,DATOS!A23,'7.BP2025'!I:I)-(SUMIF('7.BP2025'!A:A,152092,'7.BP2025'!I:I)/2)</f>
        <v>455027</v>
      </c>
      <c r="F23" s="140"/>
    </row>
    <row r="24" spans="1:8" s="27" customFormat="1" outlineLevel="1">
      <c r="A24" s="93">
        <v>1524</v>
      </c>
      <c r="B24" s="24" t="s">
        <v>933</v>
      </c>
      <c r="C24" s="25">
        <f>+SUMIF('6.BP2026'!A:A,DATOS!A24,'6.BP2026'!I:I)-(SUMIF('6.BP2026'!A:A,152492,'6.BP2026'!I:I)/2)</f>
        <v>210990</v>
      </c>
      <c r="D24" s="48"/>
      <c r="E24" s="25">
        <f>+SUMIF('7.BP2025'!A:A,DATOS!A24,'7.BP2025'!I:I)-(SUMIF('7.BP2025'!A:A,152492,'7.BP2025'!I:I)/2)</f>
        <v>210990</v>
      </c>
      <c r="F24" s="140"/>
    </row>
    <row r="25" spans="1:8" s="27" customFormat="1" outlineLevel="1">
      <c r="A25" s="93">
        <v>1528</v>
      </c>
      <c r="B25" s="24" t="s">
        <v>711</v>
      </c>
      <c r="C25" s="25">
        <f>+SUMIF('6.BP2026'!A:A,DATOS!A25,'6.BP2026'!I:I)-(SUMIF('6.BP2026'!A:A,152892,'6.BP2026'!I:I)/2)</f>
        <v>42702</v>
      </c>
      <c r="D25" s="48"/>
      <c r="E25" s="25">
        <f>+SUMIF('7.BP2025'!A:A,DATOS!A25,'7.BP2025'!I:I)-(SUMIF('7.BP2025'!A:A,152892,'7.BP2025'!I:I)/2)</f>
        <v>42702</v>
      </c>
      <c r="F25" s="140"/>
    </row>
    <row r="26" spans="1:8" s="27" customFormat="1" outlineLevel="1">
      <c r="A26" s="920">
        <v>1592</v>
      </c>
      <c r="B26" s="921" t="s">
        <v>962</v>
      </c>
      <c r="C26" s="922">
        <f>+SUMIF('6.BP2026'!A:A,DATOS!A26,'6.BP2026'!I:I)+(SUMIF('6.BP2026'!A:A,151692,'6.BP2026'!I:I)/2)+(SUMIF('6.BP2026'!A:A,152092,'6.BP2026'!I:I)/2)+(SUMIF('6.BP2026'!A:A,152492,'6.BP2026'!I:I)/2)+(SUMIF('6.BP2026'!A:A,152892,'6.BP2026'!I:I)/2)</f>
        <v>-358788.5</v>
      </c>
      <c r="D26" s="48"/>
      <c r="E26" s="922">
        <f>+SUMIF('7.BP2025'!A:A,DATOS!A26,'7.BP2025'!I:I)+(SUMIF('7.BP2025'!A:A,151092,'7.BP2025'!I:I)/2)+(SUMIF('7.BP2025'!A:A,151692,'7.BP2025'!I:I)/2)+(SUMIF('7.BP2025'!A:A,152092,'7.BP2025'!I:I)/2)+(SUMIF('7.BP2025'!A:A,152492,'7.BP2025'!I:I)/2)+(SUMIF('7.BP2025'!A:A,152892,'7.BP2025'!I:I)/2)</f>
        <v>-322421</v>
      </c>
      <c r="F26" s="140"/>
    </row>
    <row r="27" spans="1:8" s="27" customFormat="1" outlineLevel="1">
      <c r="A27" s="134">
        <v>16</v>
      </c>
      <c r="B27" s="144" t="s">
        <v>164</v>
      </c>
      <c r="C27" s="70">
        <f>SUM(C28:C28)</f>
        <v>184351</v>
      </c>
      <c r="D27" s="96"/>
      <c r="E27" s="70">
        <f>SUM(E28:E28)</f>
        <v>220000</v>
      </c>
    </row>
    <row r="28" spans="1:8" s="96" customFormat="1" outlineLevel="1">
      <c r="A28" s="97">
        <v>16</v>
      </c>
      <c r="B28" s="28" t="s">
        <v>715</v>
      </c>
      <c r="C28" s="29">
        <f>+SUMIF('6.BP2026'!A:A,DATOS!A28,'6.BP2026'!I:I)</f>
        <v>184351</v>
      </c>
      <c r="D28" s="30"/>
      <c r="E28" s="29">
        <f>+SUMIF('7.BP2025'!A:A,DATOS!A28,'7.BP2025'!I:I)</f>
        <v>220000</v>
      </c>
    </row>
    <row r="29" spans="1:8" s="30" customFormat="1" outlineLevel="1">
      <c r="A29" s="134">
        <v>17</v>
      </c>
      <c r="B29" s="144" t="s">
        <v>168</v>
      </c>
      <c r="C29" s="70">
        <f>SUM(C30:C30)</f>
        <v>7521</v>
      </c>
      <c r="D29" s="98"/>
      <c r="E29" s="70">
        <f>SUM(E30:E30)</f>
        <v>0</v>
      </c>
    </row>
    <row r="30" spans="1:8" s="98" customFormat="1" outlineLevel="1">
      <c r="A30" s="97">
        <v>17</v>
      </c>
      <c r="B30" s="28" t="s">
        <v>169</v>
      </c>
      <c r="C30" s="29">
        <f>+SUMIF('6.BP2026'!A:A,DATOS!A30,'6.BP2026'!I:I)</f>
        <v>7521</v>
      </c>
      <c r="D30" s="27"/>
      <c r="E30" s="29">
        <f>+SUMIF('7.BP2025'!A:A,DATOS!A30,'7.BP2025'!I:I)</f>
        <v>0</v>
      </c>
    </row>
    <row r="31" spans="1:8" s="27" customFormat="1" outlineLevel="1">
      <c r="A31" s="858">
        <v>19</v>
      </c>
      <c r="B31" s="859" t="s">
        <v>112</v>
      </c>
      <c r="C31" s="860">
        <f>+C32</f>
        <v>194385</v>
      </c>
      <c r="D31" s="76"/>
      <c r="E31" s="70">
        <f>+E32</f>
        <v>67882</v>
      </c>
    </row>
    <row r="32" spans="1:8" outlineLevel="1">
      <c r="A32" s="93">
        <v>1955</v>
      </c>
      <c r="B32" s="24" t="s">
        <v>171</v>
      </c>
      <c r="C32" s="29">
        <f>+SUMIF('6.BP2026'!A:A,DATOS!A32,'6.BP2026'!I:I)</f>
        <v>194385</v>
      </c>
      <c r="E32" s="29">
        <f>+SUMIF('7.BP2025'!A:A,DATOS!A32,'7.BP2025'!I:I)</f>
        <v>67882</v>
      </c>
      <c r="G32" s="48"/>
    </row>
    <row r="33" spans="1:8">
      <c r="A33" s="861">
        <v>2</v>
      </c>
      <c r="B33" s="862" t="s">
        <v>113</v>
      </c>
      <c r="C33" s="863">
        <f>C34+C38+C40+C46+C56+C67+C69</f>
        <v>1131133</v>
      </c>
      <c r="D33" s="76"/>
      <c r="E33" s="863">
        <f>+E34+E38+E40+E46+E56+E67+E69</f>
        <v>781353</v>
      </c>
      <c r="F33" s="48"/>
    </row>
    <row r="34" spans="1:8" s="76" customFormat="1" outlineLevel="1">
      <c r="A34" s="861">
        <v>21</v>
      </c>
      <c r="B34" s="862" t="s">
        <v>172</v>
      </c>
      <c r="C34" s="863">
        <f>SUM(C35:C37)</f>
        <v>330754</v>
      </c>
      <c r="E34" s="863">
        <f>SUM(E35:E37)</f>
        <v>330620</v>
      </c>
      <c r="G34" s="101"/>
    </row>
    <row r="35" spans="1:8" s="76" customFormat="1" outlineLevel="1">
      <c r="A35" s="100">
        <v>2105</v>
      </c>
      <c r="B35" s="31" t="s">
        <v>172</v>
      </c>
      <c r="C35" s="33">
        <f>-SUMIF('6.BP2026'!A:A,DATOS!A35,'6.BP2026'!I:I)</f>
        <v>269433</v>
      </c>
      <c r="D35" s="19"/>
      <c r="E35" s="32">
        <f>-SUMIF('7.BP2025'!A:A,DATOS!A35,'7.BP2025'!I:I)</f>
        <v>302914</v>
      </c>
    </row>
    <row r="36" spans="1:8" s="76" customFormat="1" outlineLevel="1">
      <c r="A36" s="100">
        <v>2120</v>
      </c>
      <c r="B36" s="31" t="s">
        <v>725</v>
      </c>
      <c r="C36" s="33">
        <f>-SUMIF('6.BP2026'!A:A,DATOS!A36,'6.BP2026'!I:I)</f>
        <v>3420</v>
      </c>
      <c r="D36" s="19"/>
      <c r="E36" s="32">
        <f>-SUMIF('7.BP2025'!A:A,DATOS!A36,'7.BP2025'!I:I)</f>
        <v>3420</v>
      </c>
    </row>
    <row r="37" spans="1:8" outlineLevel="1">
      <c r="A37" s="100">
        <v>2195</v>
      </c>
      <c r="B37" s="31" t="s">
        <v>556</v>
      </c>
      <c r="C37" s="33">
        <f>-SUMIF('6.BP2026'!A:A,DATOS!A37,'6.BP2026'!I:I)</f>
        <v>57901</v>
      </c>
      <c r="E37" s="32">
        <f>-SUMIF('7.BP2025'!A:A,DATOS!A37,'7.BP2025'!I:I)</f>
        <v>24286</v>
      </c>
    </row>
    <row r="38" spans="1:8" outlineLevel="1">
      <c r="A38" s="861">
        <v>22</v>
      </c>
      <c r="B38" s="862" t="s">
        <v>114</v>
      </c>
      <c r="C38" s="863">
        <f>SUM(C39:C39)</f>
        <v>497599</v>
      </c>
      <c r="D38" s="76"/>
      <c r="E38" s="863">
        <f>SUM(E39:E39)</f>
        <v>198797</v>
      </c>
    </row>
    <row r="39" spans="1:8" s="76" customFormat="1" outlineLevel="1">
      <c r="A39" s="100">
        <v>2205</v>
      </c>
      <c r="B39" s="31" t="s">
        <v>451</v>
      </c>
      <c r="C39" s="33">
        <f>-SUMIF('6.BP2026'!A:A,DATOS!A39,'6.BP2026'!I:I)</f>
        <v>497599</v>
      </c>
      <c r="D39" s="19"/>
      <c r="E39" s="32">
        <f>-SUMIF('7.BP2025'!A:A,DATOS!A39,'7.BP2025'!I:I)</f>
        <v>198797</v>
      </c>
    </row>
    <row r="40" spans="1:8" outlineLevel="1">
      <c r="A40" s="864">
        <v>23</v>
      </c>
      <c r="B40" s="865" t="s">
        <v>115</v>
      </c>
      <c r="C40" s="866">
        <f>SUM(C41:C45)</f>
        <v>29514</v>
      </c>
      <c r="E40" s="866">
        <f>SUM(E41:E45)</f>
        <v>5579</v>
      </c>
    </row>
    <row r="41" spans="1:8" outlineLevel="1">
      <c r="A41" s="329">
        <v>2335</v>
      </c>
      <c r="B41" s="330" t="s">
        <v>116</v>
      </c>
      <c r="C41" s="33">
        <f>-SUMIF('6.BP2026'!A:A,DATOS!A41,'6.BP2026'!I:I)</f>
        <v>0</v>
      </c>
      <c r="D41" s="76"/>
      <c r="E41" s="33">
        <f>-SUMIF('7.BP2025'!A:A,DATOS!A41,'7.BP2025'!I:I)</f>
        <v>0</v>
      </c>
    </row>
    <row r="42" spans="1:8" outlineLevel="1">
      <c r="A42" s="329">
        <v>2367</v>
      </c>
      <c r="B42" s="330" t="s">
        <v>964</v>
      </c>
      <c r="C42" s="33">
        <f>-SUMIF('6.BP2026'!A:A,DATOS!A42,'6.BP2026'!I:I)</f>
        <v>0</v>
      </c>
      <c r="D42" s="76"/>
      <c r="E42" s="33">
        <f>-SUMIF('7.BP2025'!A:A,DATOS!A42,'7.BP2025'!I:I)</f>
        <v>0</v>
      </c>
    </row>
    <row r="43" spans="1:8" outlineLevel="1">
      <c r="A43" s="329">
        <v>2369</v>
      </c>
      <c r="B43" s="330" t="s">
        <v>965</v>
      </c>
      <c r="C43" s="33">
        <f>-SUMIF('6.BP2026'!A:A,DATOS!A43,'6.BP2026'!I:I)</f>
        <v>0</v>
      </c>
      <c r="D43" s="76"/>
      <c r="E43" s="33">
        <f>-SUMIF('7.BP2025'!A:A,DATOS!A43,'7.BP2025'!I:I)</f>
        <v>0</v>
      </c>
    </row>
    <row r="44" spans="1:8" outlineLevel="1">
      <c r="A44" s="100">
        <v>2370</v>
      </c>
      <c r="B44" s="31" t="s">
        <v>357</v>
      </c>
      <c r="C44" s="32">
        <f>-SUMIF('6.BP2026'!A:A,DATOS!A44,'6.BP2026'!I:I)</f>
        <v>571</v>
      </c>
      <c r="E44" s="33">
        <f>-SUMIF('7.BP2025'!A:A,DATOS!A44,'7.BP2025'!I:I)</f>
        <v>-2150</v>
      </c>
      <c r="G44" s="48"/>
    </row>
    <row r="45" spans="1:8" outlineLevel="1">
      <c r="A45" s="100">
        <v>2380</v>
      </c>
      <c r="B45" s="31" t="s">
        <v>343</v>
      </c>
      <c r="C45" s="33">
        <f>-SUMIF('6.BP2026'!A:A,DATOS!A45,'6.BP2026'!I:I)</f>
        <v>28943</v>
      </c>
      <c r="E45" s="33">
        <f>-SUMIF('7.BP2025'!A:A,DATOS!A45,'7.BP2025'!I:I)</f>
        <v>7729</v>
      </c>
    </row>
    <row r="46" spans="1:8" outlineLevel="1">
      <c r="A46" s="864">
        <v>24</v>
      </c>
      <c r="B46" s="865" t="s">
        <v>173</v>
      </c>
      <c r="C46" s="866">
        <f>+C48+C51+C47+C54</f>
        <v>178380</v>
      </c>
      <c r="E46" s="866">
        <f>+E48+E51+E47+E54</f>
        <v>130347</v>
      </c>
    </row>
    <row r="47" spans="1:8" outlineLevel="1">
      <c r="A47" s="100">
        <v>2402</v>
      </c>
      <c r="B47" s="31" t="s">
        <v>170</v>
      </c>
      <c r="C47" s="32">
        <f>-SUMIF('6.BP2026'!A:A,DATOS!A47,'6.BP2026'!I:I)</f>
        <v>4118</v>
      </c>
      <c r="E47" s="32">
        <f>-SUMIF('7.BP2025'!A:A,DATOS!A47,'7.BP2025'!I:I)</f>
        <v>4118</v>
      </c>
    </row>
    <row r="48" spans="1:8" s="76" customFormat="1" outlineLevel="1">
      <c r="A48" s="323">
        <v>2404</v>
      </c>
      <c r="B48" s="324" t="s">
        <v>426</v>
      </c>
      <c r="C48" s="325">
        <f>+SUM(C49:C50)</f>
        <v>16683</v>
      </c>
      <c r="D48" s="14"/>
      <c r="E48" s="325">
        <f>+SUM(E49:E50)</f>
        <v>26671</v>
      </c>
      <c r="F48" s="101"/>
      <c r="H48" s="101"/>
    </row>
    <row r="49" spans="1:7" outlineLevel="1">
      <c r="A49" s="100">
        <v>24040501</v>
      </c>
      <c r="B49" s="31" t="s">
        <v>886</v>
      </c>
      <c r="C49" s="32">
        <f>-SUMIF('6.BP2026'!A:A,DATOS!A49,'6.BP2026'!I:I)</f>
        <v>0</v>
      </c>
      <c r="E49" s="33">
        <f>-SUMIF('7.BP2025'!A:A,DATOS!A49,'7.BP2025'!I:I)</f>
        <v>0</v>
      </c>
    </row>
    <row r="50" spans="1:7" outlineLevel="1">
      <c r="A50" s="100">
        <v>24040502</v>
      </c>
      <c r="B50" s="31" t="s">
        <v>469</v>
      </c>
      <c r="C50" s="32">
        <f>-SUMIF('6.BP2026'!A:A,DATOS!A50,'6.BP2026'!I:I)</f>
        <v>16683</v>
      </c>
      <c r="E50" s="33">
        <f>-SUMIF('7.BP2025'!A:A,DATOS!A50,'7.BP2025'!I:I)</f>
        <v>26671</v>
      </c>
    </row>
    <row r="51" spans="1:7" outlineLevel="1">
      <c r="A51" s="331">
        <v>2406</v>
      </c>
      <c r="B51" s="71" t="s">
        <v>208</v>
      </c>
      <c r="C51" s="325">
        <f>SUM(C52:C53)</f>
        <v>157579</v>
      </c>
      <c r="E51" s="325">
        <f>SUM(E52:E53)</f>
        <v>26515</v>
      </c>
    </row>
    <row r="52" spans="1:7" outlineLevel="1">
      <c r="A52" s="100">
        <v>240605</v>
      </c>
      <c r="B52" s="31" t="s">
        <v>232</v>
      </c>
      <c r="C52" s="332">
        <f>-SUMIF('6.BP2026'!A:A,DATOS!A52,'6.BP2026'!I:I)/2</f>
        <v>14503</v>
      </c>
      <c r="D52" s="14"/>
      <c r="E52" s="33">
        <f>-SUMIF('7.BP2025'!A:A,DATOS!A52,'7.BP2025'!I:I)/2</f>
        <v>26515</v>
      </c>
    </row>
    <row r="53" spans="1:7" outlineLevel="1">
      <c r="A53" s="100">
        <v>240610</v>
      </c>
      <c r="B53" s="31" t="s">
        <v>233</v>
      </c>
      <c r="C53" s="33">
        <f>-SUMIF('6.BP2026'!A:A,DATOS!A53,'6.BP2026'!I:I)/2</f>
        <v>143076</v>
      </c>
      <c r="E53" s="857">
        <f>-SUMIF('7.BP2025'!A:A,DATOS!A53,'7.BP2025'!I:I)/2</f>
        <v>0</v>
      </c>
      <c r="F53" s="14"/>
    </row>
    <row r="54" spans="1:7" outlineLevel="1">
      <c r="A54" s="331">
        <v>2408</v>
      </c>
      <c r="B54" s="71" t="s">
        <v>935</v>
      </c>
      <c r="C54" s="325">
        <f>SUM(C55:C55)</f>
        <v>0</v>
      </c>
      <c r="E54" s="325">
        <f>SUM(E55:E55)</f>
        <v>73043</v>
      </c>
      <c r="F54" s="14"/>
    </row>
    <row r="55" spans="1:7" outlineLevel="1">
      <c r="A55" s="100">
        <v>240805</v>
      </c>
      <c r="B55" s="31" t="s">
        <v>936</v>
      </c>
      <c r="C55" s="33">
        <f>-SUMIF('6.BP2026'!A:A,2408,'6.BP2026'!I:I)</f>
        <v>0</v>
      </c>
      <c r="E55" s="857">
        <f>-SUMIF('7.BP2025'!A:A,2408,'7.BP2025'!I:I)</f>
        <v>73043</v>
      </c>
    </row>
    <row r="56" spans="1:7" outlineLevel="1">
      <c r="A56" s="864">
        <v>25</v>
      </c>
      <c r="B56" s="865" t="s">
        <v>175</v>
      </c>
      <c r="C56" s="866">
        <f>SUM(C57:C66)</f>
        <v>77625</v>
      </c>
      <c r="D56" s="21"/>
      <c r="E56" s="866">
        <f>SUM(E57:E66)</f>
        <v>79650</v>
      </c>
      <c r="F56" s="19">
        <v>-32586</v>
      </c>
    </row>
    <row r="57" spans="1:7" outlineLevel="1">
      <c r="A57" s="100">
        <v>2505</v>
      </c>
      <c r="B57" s="31" t="s">
        <v>452</v>
      </c>
      <c r="C57" s="33">
        <f>-SUMIF('6.BP2026'!A:A,DATOS!A57,'6.BP2026'!I:I)</f>
        <v>0</v>
      </c>
      <c r="E57" s="33">
        <f>-SUMIF('7.BP2025'!A:A,DATOS!A57,'7.BP2025'!I:I)</f>
        <v>428</v>
      </c>
    </row>
    <row r="58" spans="1:7" outlineLevel="1">
      <c r="A58" s="100">
        <v>2510</v>
      </c>
      <c r="B58" s="330" t="s">
        <v>210</v>
      </c>
      <c r="C58" s="33">
        <f>-SUMIF('6.BP2026'!A:A,DATOS!A58,'6.BP2026'!I:I)</f>
        <v>0</v>
      </c>
      <c r="D58" s="21"/>
      <c r="E58" s="33">
        <f>-SUMIF('7.BP2025'!A:A,DATOS!A58,'7.BP2025'!I:I)</f>
        <v>0</v>
      </c>
      <c r="G58" s="48"/>
    </row>
    <row r="59" spans="1:7" outlineLevel="1">
      <c r="A59" s="100">
        <v>2515</v>
      </c>
      <c r="B59" s="330" t="s">
        <v>934</v>
      </c>
      <c r="C59" s="33">
        <f>-SUMIF('6.BP2026'!A:A,DATOS!A59,'6.BP2026'!I:I)</f>
        <v>0</v>
      </c>
      <c r="E59" s="33">
        <f>-SUMIF('7.BP2025'!A:A,DATOS!A59,'7.BP2025'!I:I)</f>
        <v>0</v>
      </c>
    </row>
    <row r="60" spans="1:7" outlineLevel="1">
      <c r="A60" s="100">
        <v>2520</v>
      </c>
      <c r="B60" s="330" t="s">
        <v>234</v>
      </c>
      <c r="C60" s="33">
        <f>-SUMIF('6.BP2026'!A:A,DATOS!A60,'6.BP2026'!I:I)</f>
        <v>0</v>
      </c>
      <c r="E60" s="33">
        <f>-SUMIF('7.BP2025'!A:A,DATOS!A60,'7.BP2025'!I:I)</f>
        <v>0</v>
      </c>
    </row>
    <row r="61" spans="1:7" outlineLevel="1">
      <c r="A61" s="329">
        <v>2525</v>
      </c>
      <c r="B61" s="31" t="s">
        <v>176</v>
      </c>
      <c r="C61" s="332">
        <f>-SUMIF('6.BP2026'!A:A,DATOS!A61,'6.BP2026'!I:I)</f>
        <v>15875</v>
      </c>
      <c r="D61" s="76"/>
      <c r="E61" s="332">
        <f>-SUMIF('7.BP2025'!A:A,DATOS!A61,'7.BP2025'!I:I)</f>
        <v>7015</v>
      </c>
    </row>
    <row r="62" spans="1:7" s="76" customFormat="1" outlineLevel="1">
      <c r="A62" s="100">
        <v>253005</v>
      </c>
      <c r="B62" s="31" t="s">
        <v>982</v>
      </c>
      <c r="C62" s="33">
        <f>-SUMIF('6.BP2026'!A:A,DATOS!A62,'6.BP2026'!I:I)</f>
        <v>25449</v>
      </c>
      <c r="D62" s="19"/>
      <c r="E62" s="32">
        <f>-SUMIF('7.BP2025'!A:A,DATOS!A62,'7.BP2025'!I:I)</f>
        <v>28955</v>
      </c>
    </row>
    <row r="63" spans="1:7" s="76" customFormat="1" outlineLevel="1">
      <c r="A63" s="100">
        <v>253010</v>
      </c>
      <c r="B63" s="31" t="s">
        <v>983</v>
      </c>
      <c r="C63" s="33">
        <f>-SUMIF('6.BP2026'!A:A,DATOS!A63,'6.BP2026'!I:I)</f>
        <v>1493</v>
      </c>
      <c r="D63" s="19"/>
      <c r="E63" s="32">
        <f>-SUMIF('7.BP2025'!A:A,DATOS!A63,'7.BP2025'!I:I)</f>
        <v>1946</v>
      </c>
    </row>
    <row r="64" spans="1:7" s="76" customFormat="1" outlineLevel="1">
      <c r="A64" s="100">
        <v>253015</v>
      </c>
      <c r="B64" s="31" t="s">
        <v>984</v>
      </c>
      <c r="C64" s="33">
        <f>-SUMIF('6.BP2026'!A:A,DATOS!A64,'6.BP2026'!I:I)</f>
        <v>16819</v>
      </c>
      <c r="D64" s="19"/>
      <c r="E64" s="32">
        <f>-SUMIF('7.BP2025'!A:A,DATOS!A64,'7.BP2025'!I:I)</f>
        <v>20099</v>
      </c>
    </row>
    <row r="65" spans="1:8" s="76" customFormat="1" outlineLevel="1">
      <c r="A65" s="100">
        <v>253020</v>
      </c>
      <c r="B65" s="31" t="s">
        <v>234</v>
      </c>
      <c r="C65" s="33">
        <f>-SUMIF('6.BP2026'!A:A,DATOS!A65,'6.BP2026'!I:I)</f>
        <v>0</v>
      </c>
      <c r="D65" s="48"/>
      <c r="E65" s="32">
        <f>-SUMIF('7.BP2025'!A:A,DATOS!A65,'7.BP2025'!I:I)</f>
        <v>-189</v>
      </c>
      <c r="G65" s="101"/>
    </row>
    <row r="66" spans="1:8" outlineLevel="1">
      <c r="A66" s="100">
        <v>2550</v>
      </c>
      <c r="B66" s="31" t="s">
        <v>937</v>
      </c>
      <c r="C66" s="33">
        <f>-SUMIF('6.BP2026'!A:A,DATOS!A66,'6.BP2026'!I:I)</f>
        <v>17989</v>
      </c>
      <c r="E66" s="32">
        <f>-SUMIF('7.BP2025'!A:A,DATOS!A66,'7.BP2025'!I:I)-SUMIF('7.BP2025'!A:A,2570,'7.BP2025'!I:I)</f>
        <v>21396</v>
      </c>
    </row>
    <row r="67" spans="1:8" outlineLevel="1">
      <c r="A67" s="864">
        <v>26</v>
      </c>
      <c r="B67" s="865" t="s">
        <v>441</v>
      </c>
      <c r="C67" s="866">
        <f>+C68</f>
        <v>14938</v>
      </c>
      <c r="D67" s="14"/>
      <c r="E67" s="866">
        <f>+E68</f>
        <v>32648</v>
      </c>
    </row>
    <row r="68" spans="1:8" outlineLevel="1">
      <c r="A68" s="100">
        <v>2615</v>
      </c>
      <c r="B68" s="31" t="s">
        <v>440</v>
      </c>
      <c r="C68" s="33">
        <f>-SUMIF('6.BP2026'!A:A,DATOS!A68,'6.BP2026'!I:I)-SUMIF('6.BP2026'!A:A,2610,'6.BP2026'!I:I)</f>
        <v>14938</v>
      </c>
      <c r="E68" s="33">
        <f>-SUMIF('7.BP2025'!A:A,DATOS!A68,'7.BP2025'!I:I)</f>
        <v>32648</v>
      </c>
    </row>
    <row r="69" spans="1:8" outlineLevel="1">
      <c r="A69" s="864">
        <v>28</v>
      </c>
      <c r="B69" s="865" t="s">
        <v>177</v>
      </c>
      <c r="C69" s="866">
        <f>+C70</f>
        <v>2323</v>
      </c>
      <c r="E69" s="866">
        <f>+E70</f>
        <v>3712</v>
      </c>
    </row>
    <row r="70" spans="1:8" outlineLevel="1">
      <c r="A70" s="100">
        <v>2805</v>
      </c>
      <c r="B70" s="31" t="s">
        <v>121</v>
      </c>
      <c r="C70" s="33">
        <f>-SUMIF('6.BP2026'!A:A,DATOS!A70,'6.BP2026'!I:I)</f>
        <v>2323</v>
      </c>
      <c r="E70" s="33">
        <f>-SUMIF('7.BP2025'!A:A,DATOS!A70,'7.BP2025'!I:I)</f>
        <v>3712</v>
      </c>
    </row>
    <row r="71" spans="1:8">
      <c r="A71" s="102">
        <v>3</v>
      </c>
      <c r="B71" s="103" t="s">
        <v>122</v>
      </c>
      <c r="C71" s="15">
        <f>+C72+C73+C75</f>
        <v>2291401</v>
      </c>
      <c r="D71" s="76"/>
      <c r="E71" s="15">
        <f>SUM(E72:E75)</f>
        <v>2133409</v>
      </c>
      <c r="G71" s="76"/>
      <c r="H71" s="48"/>
    </row>
    <row r="72" spans="1:8" s="76" customFormat="1" outlineLevel="1">
      <c r="A72" s="104">
        <v>3105</v>
      </c>
      <c r="B72" s="34" t="s">
        <v>362</v>
      </c>
      <c r="C72" s="35">
        <f>-SUMIF('6.BP2026'!A:A,DATOS!A72,'6.BP2026'!I:I)</f>
        <v>1737000</v>
      </c>
      <c r="D72" s="19"/>
      <c r="E72" s="35">
        <f>-SUMIF('7.BP2025'!A:A,DATOS!A72,'7.BP2025'!I:I)</f>
        <v>1737000</v>
      </c>
      <c r="F72" s="289"/>
      <c r="G72" s="19"/>
      <c r="H72" s="101"/>
    </row>
    <row r="73" spans="1:8" outlineLevel="1">
      <c r="A73" s="104">
        <v>3305</v>
      </c>
      <c r="B73" s="34" t="s">
        <v>364</v>
      </c>
      <c r="C73" s="35">
        <f>-SUMIF('6.BP2026'!A:A,DATOS!A73,'6.BP2026'!I:I)</f>
        <v>89882</v>
      </c>
      <c r="E73" s="35">
        <f>-SUMIF('7.BP2025'!A:A,DATOS!A73,'7.BP2025'!I:I)</f>
        <v>73935</v>
      </c>
      <c r="G73" s="76"/>
      <c r="H73" s="48"/>
    </row>
    <row r="74" spans="1:8" outlineLevel="1">
      <c r="A74" s="104">
        <v>36</v>
      </c>
      <c r="B74" s="34" t="s">
        <v>938</v>
      </c>
      <c r="C74" s="35">
        <f>-SUMIF('6.BP2026'!A:A,DATOS!A74,'6.BP2026'!I:I)</f>
        <v>0</v>
      </c>
      <c r="E74" s="35">
        <f>-SUMIF('7.BP2025'!A:A,DATOS!A74,'7.BP2025'!I:I)</f>
        <v>0</v>
      </c>
      <c r="G74" s="76"/>
      <c r="H74" s="48"/>
    </row>
    <row r="75" spans="1:8" outlineLevel="1">
      <c r="A75" s="104">
        <v>37</v>
      </c>
      <c r="B75" s="34" t="s">
        <v>125</v>
      </c>
      <c r="C75" s="333">
        <f>+C76+C77+C78</f>
        <v>464519</v>
      </c>
      <c r="E75" s="333">
        <f>+E76+E77+E78</f>
        <v>322474</v>
      </c>
      <c r="H75" s="48"/>
    </row>
    <row r="76" spans="1:8" outlineLevel="1">
      <c r="A76" s="104">
        <v>3705</v>
      </c>
      <c r="B76" s="34" t="s">
        <v>453</v>
      </c>
      <c r="C76" s="35">
        <f>-SUMIF('6.BP2026'!A:A,DATOS!A76,'6.BP2026'!I:I)</f>
        <v>521697</v>
      </c>
      <c r="E76" s="35">
        <f>-SUMIF('7.BP2025'!A:A,DATOS!A76,'7.BP2025'!I:I)</f>
        <v>379652</v>
      </c>
      <c r="H76" s="48"/>
    </row>
    <row r="77" spans="1:8" outlineLevel="1">
      <c r="A77" s="104">
        <v>3710</v>
      </c>
      <c r="B77" s="34" t="s">
        <v>454</v>
      </c>
      <c r="C77" s="35">
        <f>-SUMIF('6.BP2026'!A:A,DATOS!A77,'6.BP2026'!I:I)</f>
        <v>-40142</v>
      </c>
      <c r="E77" s="35">
        <f>-SUMIF('7.BP2025'!A:A,DATOS!A77,'7.BP2025'!I:I)</f>
        <v>-40142</v>
      </c>
      <c r="H77" s="48"/>
    </row>
    <row r="78" spans="1:8" outlineLevel="1">
      <c r="A78" s="104">
        <v>3715</v>
      </c>
      <c r="B78" s="34" t="s">
        <v>126</v>
      </c>
      <c r="C78" s="35">
        <f>-SUMIF('6.BP2026'!A:A,DATOS!A78,'6.BP2026'!I:I)</f>
        <v>-17036</v>
      </c>
      <c r="E78" s="35">
        <f>-SUMIF('7.BP2025'!A:A,DATOS!A78,'7.BP2025'!I:I)</f>
        <v>-17036</v>
      </c>
      <c r="H78" s="48"/>
    </row>
    <row r="79" spans="1:8" ht="20.45" customHeight="1">
      <c r="A79" s="105"/>
      <c r="B79" s="105" t="s">
        <v>196</v>
      </c>
      <c r="C79" s="817">
        <f>+D86-D109-D212</f>
        <v>39750</v>
      </c>
      <c r="D79" s="76"/>
      <c r="E79" s="817">
        <f>+G86-G109-G212</f>
        <v>32624</v>
      </c>
      <c r="F79" s="872"/>
      <c r="G79" s="48"/>
      <c r="H79" s="48"/>
    </row>
    <row r="80" spans="1:8" s="76" customFormat="1">
      <c r="A80" s="105"/>
      <c r="B80" s="105" t="s">
        <v>236</v>
      </c>
      <c r="C80" s="817">
        <f>+C86-C109-C212</f>
        <v>-692.5</v>
      </c>
      <c r="E80" s="817">
        <f>+F86-F109-F212</f>
        <v>-5686.5</v>
      </c>
      <c r="F80" s="873"/>
      <c r="G80" s="48"/>
      <c r="H80" s="101"/>
    </row>
    <row r="81" spans="1:10" s="76" customFormat="1">
      <c r="A81" s="105"/>
      <c r="B81" s="105" t="s">
        <v>197</v>
      </c>
      <c r="C81" s="138">
        <f>+C4-C33-C71-C79</f>
        <v>-6</v>
      </c>
      <c r="D81" s="101" t="s">
        <v>943</v>
      </c>
      <c r="E81" s="138">
        <f>+E4-E33-E71-E79</f>
        <v>-3</v>
      </c>
      <c r="F81" s="76" t="s">
        <v>943</v>
      </c>
      <c r="G81" s="101"/>
    </row>
    <row r="82" spans="1:10" s="76" customFormat="1">
      <c r="E82" s="19"/>
      <c r="H82" s="101"/>
    </row>
    <row r="83" spans="1:10" s="76" customFormat="1">
      <c r="C83" s="101"/>
      <c r="E83" s="19"/>
      <c r="H83" s="101"/>
    </row>
    <row r="84" spans="1:10" ht="18.75">
      <c r="A84" s="106"/>
      <c r="B84" s="106"/>
      <c r="C84" s="1079">
        <v>2025</v>
      </c>
      <c r="D84" s="1079"/>
      <c r="E84"/>
      <c r="F84" s="1080">
        <v>2024</v>
      </c>
      <c r="G84" s="1081"/>
      <c r="H84" s="48"/>
      <c r="I84" s="48"/>
    </row>
    <row r="85" spans="1:10" customFormat="1">
      <c r="A85" s="107"/>
      <c r="B85" s="108" t="s">
        <v>179</v>
      </c>
      <c r="C85" s="47" t="s">
        <v>94</v>
      </c>
      <c r="D85" s="109" t="s">
        <v>178</v>
      </c>
      <c r="E85" s="76"/>
      <c r="F85" s="47" t="s">
        <v>94</v>
      </c>
      <c r="G85" s="109" t="s">
        <v>178</v>
      </c>
      <c r="H85" s="160"/>
      <c r="I85" s="160"/>
    </row>
    <row r="86" spans="1:10" s="76" customFormat="1">
      <c r="A86" s="110">
        <v>4</v>
      </c>
      <c r="B86" s="111" t="s">
        <v>127</v>
      </c>
      <c r="C86" s="16">
        <f>+C87+C96+C105</f>
        <v>490828</v>
      </c>
      <c r="D86" s="16">
        <f>+D87+D96+D105</f>
        <v>3100509.5</v>
      </c>
      <c r="E86" s="101"/>
      <c r="F86" s="16">
        <f>+F87+F96+F105</f>
        <v>517465</v>
      </c>
      <c r="G86" s="16">
        <f>+G87+G96+G105</f>
        <v>2950553</v>
      </c>
      <c r="H86" s="101"/>
      <c r="J86" s="101"/>
    </row>
    <row r="87" spans="1:10" s="76" customFormat="1" outlineLevel="1">
      <c r="A87" s="112">
        <v>41</v>
      </c>
      <c r="B87" s="113" t="s">
        <v>128</v>
      </c>
      <c r="C87" s="17">
        <f>+C88+C89+C90+C91+C92+C94-C95</f>
        <v>479990</v>
      </c>
      <c r="D87" s="17">
        <f>+D89+D88+D90+D91+D92+D94-D95</f>
        <v>3042065.5</v>
      </c>
      <c r="E87" s="48"/>
      <c r="F87" s="17">
        <f>+F89+F91+F92+F93+F94-F95</f>
        <v>515196.5</v>
      </c>
      <c r="G87" s="17">
        <f>+G89+G90+G91+G92+G93+G94-G95</f>
        <v>2938932.5</v>
      </c>
      <c r="H87" s="101"/>
    </row>
    <row r="88" spans="1:10" s="76" customFormat="1" outlineLevel="1">
      <c r="A88" s="1018">
        <v>4120</v>
      </c>
      <c r="B88" s="1019" t="s">
        <v>366</v>
      </c>
      <c r="C88" s="1020">
        <f>+(SUMIF('6.BP2026'!A:A,DATOS!A88,'6.BP2026'!H:H))-(SUMIF('6.BP2026'!A:A,DATOS!A88,'6.BP2026'!G:G))</f>
        <v>150</v>
      </c>
      <c r="D88" s="1020">
        <f>-SUMIF('6.BP2026'!A:A,DATOS!A88,'6.BP2026'!I:I)</f>
        <v>2300</v>
      </c>
      <c r="E88" s="48"/>
      <c r="F88" s="17">
        <f>+(SUMIF('7.BP2025'!A:A,DATOS!A88,'7.BP2025'!H:H)/2)-(SUMIF('7.BP2025'!A:A,DATOS!A88,'7.BP2025'!G:G)/2)</f>
        <v>0</v>
      </c>
      <c r="G88" s="17">
        <f>-SUMIF('7.BP2025'!A:A,DATOS!A88,'7.BP2025'!I:I)/2</f>
        <v>0</v>
      </c>
      <c r="H88" s="101"/>
    </row>
    <row r="89" spans="1:10" outlineLevel="1">
      <c r="A89" s="114">
        <v>41359503</v>
      </c>
      <c r="B89" s="280" t="s">
        <v>947</v>
      </c>
      <c r="C89" s="37">
        <f>+(SUMIF('6.BP2026'!A:A,DATOS!A89,'6.BP2026'!H:H)/2)-(SUMIF('6.BP2026'!A:A,DATOS!A89,'6.BP2026'!G:G)/2)</f>
        <v>481388</v>
      </c>
      <c r="D89" s="37">
        <f>-SUMIF('6.BP2026'!A:A,DATOS!A89,'6.BP2026'!I:I)/2</f>
        <v>3046464.5</v>
      </c>
      <c r="F89" s="338">
        <f>+(SUMIF('7.BP2025'!A:A,DATOS!A89,'7.BP2025'!H:H)/2)-(SUMIF('7.BP2025'!A:A,DATOS!A89,'7.BP2025'!G:G)/2)</f>
        <v>518220</v>
      </c>
      <c r="G89" s="338">
        <f>-SUMIF('7.BP2025'!A:A,DATOS!A89,'7.BP2025'!I:I)/2</f>
        <v>2937443</v>
      </c>
      <c r="H89" s="48"/>
      <c r="I89" s="48"/>
    </row>
    <row r="90" spans="1:10" outlineLevel="1">
      <c r="A90" s="114">
        <v>41359507</v>
      </c>
      <c r="B90" s="36" t="s">
        <v>1006</v>
      </c>
      <c r="C90" s="37">
        <f>+(SUMIF('6.BP2026'!A:A,DATOS!A90,'6.BP2026'!H:H)/2)-(SUMIF('6.BP2026'!A:A,DATOS!A90,'6.BP2026'!G:G)/2)</f>
        <v>0</v>
      </c>
      <c r="D90" s="37">
        <f>-SUMIF('6.BP2026'!A:A,DATOS!A90,'6.BP2026'!I:I)/2</f>
        <v>0</v>
      </c>
      <c r="F90" s="338">
        <f>+(SUMIF('7.BP2025'!A:A,DATOS!A90,'7.BP2025'!H:H)/2)-(SUMIF('7.BP2025'!A:A,DATOS!A90,'7.BP2025'!G:G)/2)</f>
        <v>0</v>
      </c>
      <c r="G90" s="338">
        <f>-SUMIF('7.BP2025'!A:A,DATOS!A90,'7.BP2025'!I:I)/2</f>
        <v>0</v>
      </c>
      <c r="H90" s="48"/>
      <c r="I90" s="48"/>
    </row>
    <row r="91" spans="1:10" outlineLevel="1">
      <c r="A91" s="114">
        <v>41359511</v>
      </c>
      <c r="B91" s="36" t="s">
        <v>944</v>
      </c>
      <c r="C91" s="37">
        <f>+(SUMIF('6.BP2026'!A:A,DATOS!A91,'6.BP2026'!H:H)/2)-(SUMIF('6.BP2026'!A:A,DATOS!A91,'6.BP2026'!G:G)/2)</f>
        <v>0</v>
      </c>
      <c r="D91" s="37">
        <f>-SUMIF('6.BP2026'!A:A,DATOS!A91,'6.BP2026'!I:I)/2</f>
        <v>166</v>
      </c>
      <c r="F91" s="338">
        <f>+(SUMIF('7.BP2025'!A:A,DATOS!A91,'7.BP2025'!H:H)/2)-(SUMIF('7.BP2025'!A:A,DATOS!A91,'7.BP2025'!G:G)/2)</f>
        <v>132.5</v>
      </c>
      <c r="G91" s="338">
        <f>-SUMIF('7.BP2025'!A:A,DATOS!A91,'7.BP2025'!I:I)/2</f>
        <v>1482.5</v>
      </c>
      <c r="H91" s="48"/>
    </row>
    <row r="92" spans="1:10" outlineLevel="1">
      <c r="A92" s="114">
        <v>41359512</v>
      </c>
      <c r="B92" s="36" t="s">
        <v>945</v>
      </c>
      <c r="C92" s="37">
        <f>+(SUMIF('6.BP2026'!A:A,DATOS!A92,'6.BP2026'!H:H)/2)-(SUMIF('6.BP2026'!A:A,DATOS!A92,'6.BP2026'!G:G)/2)</f>
        <v>0</v>
      </c>
      <c r="D92" s="37">
        <f>-SUMIF('6.BP2026'!A:A,DATOS!A92,'6.BP2026'!I:I)/2</f>
        <v>0</v>
      </c>
      <c r="F92" s="338">
        <f>+(SUMIF('7.BP2025'!A:A,DATOS!A92,'7.BP2025'!H:H)/2)-(SUMIF('7.BP2025'!A:A,DATOS!A92,'7.BP2025'!G:G)/2)</f>
        <v>0</v>
      </c>
      <c r="G92" s="338">
        <f>-SUMIF('7.BP2025'!A:A,DATOS!A92,'7.BP2025'!I:I)/2</f>
        <v>0</v>
      </c>
      <c r="H92" s="48"/>
    </row>
    <row r="93" spans="1:10" outlineLevel="1">
      <c r="A93" s="114">
        <v>41359513</v>
      </c>
      <c r="B93" s="36" t="s">
        <v>972</v>
      </c>
      <c r="C93" s="37">
        <f>+(SUMIF('6.BP2026'!A:A,DATOS!A93,'6.BP2026'!H:H)/2)-(SUMIF('6.BP2026'!A:A,DATOS!A93,'6.BP2026'!G:G)/2)</f>
        <v>0</v>
      </c>
      <c r="D93" s="37">
        <f>-SUMIF('6.BP2026'!A:A,DATOS!A93,'6.BP2026'!I:I)/2</f>
        <v>0</v>
      </c>
      <c r="F93" s="338">
        <f>+(SUMIF('7.BP2025'!A:A,DATOS!A93,'7.BP2025'!H:H)/2)-(SUMIF('7.BP2025'!A:A,DATOS!A93,'7.BP2025'!G:G)/2)</f>
        <v>0</v>
      </c>
      <c r="G93" s="338">
        <f>-SUMIF('7.BP2025'!A:A,DATOS!A93,'7.BP2025'!I:I)/2</f>
        <v>0</v>
      </c>
      <c r="H93" s="48"/>
    </row>
    <row r="94" spans="1:10" outlineLevel="1">
      <c r="A94" s="114">
        <v>41359599</v>
      </c>
      <c r="B94" s="36" t="s">
        <v>918</v>
      </c>
      <c r="C94" s="37">
        <f>+(SUMIF('6.BP2026'!A:A,DATOS!A94,'6.BP2026'!H:H)/2)-(SUMIF('6.BP2026'!A:A,DATOS!A94,'6.BP2026'!G:G)/2)</f>
        <v>-311</v>
      </c>
      <c r="D94" s="37">
        <f>-SUMIF('6.BP2026'!A:A,DATOS!A94,'6.BP2026'!I:I)/2</f>
        <v>-865</v>
      </c>
      <c r="F94" s="338">
        <f>+(SUMIF('7.BP2025'!A:A,DATOS!A94,'7.BP2025'!H:H)/2)-(SUMIF('7.BP2025'!A:A,DATOS!A94,'7.BP2025'!G:G)/2)</f>
        <v>-2453</v>
      </c>
      <c r="G94" s="338">
        <f>-SUMIF('7.BP2025'!A:A,DATOS!A94,'7.BP2025'!I:I)/2</f>
        <v>4446</v>
      </c>
      <c r="H94" s="48"/>
    </row>
    <row r="95" spans="1:10" outlineLevel="1">
      <c r="A95" s="115">
        <v>4175</v>
      </c>
      <c r="B95" s="44" t="s">
        <v>367</v>
      </c>
      <c r="C95" s="45">
        <f>-(SUMIF('6.BP2026'!A:A,DATOS!A95,'6.BP2026'!H:H))+(SUMIF('6.BP2026'!A:A,DATOS!A95,'6.BP2026'!G:G))</f>
        <v>1237</v>
      </c>
      <c r="D95" s="45">
        <f>SUMIF('6.BP2026'!A:A,DATOS!A95,'6.BP2026'!I:I)</f>
        <v>6000</v>
      </c>
      <c r="E95" s="76"/>
      <c r="F95" s="1010">
        <f>+SUMIF('7.BP2025'!A:A,DATOS!A95,'7.BP2025'!G:G)-SUMIF('7.BP2025'!A:A,DATOS!A95,'7.BP2025'!H:H)</f>
        <v>703</v>
      </c>
      <c r="G95" s="1010">
        <f>SUMIF('7.BP2025'!A:A,DATOS!A95,'7.BP2025'!I:I)</f>
        <v>4439</v>
      </c>
    </row>
    <row r="96" spans="1:10" s="76" customFormat="1" outlineLevel="1">
      <c r="A96" s="112">
        <v>42</v>
      </c>
      <c r="B96" s="113" t="s">
        <v>129</v>
      </c>
      <c r="C96" s="17">
        <f>SUM(C97:C104)</f>
        <v>10755</v>
      </c>
      <c r="D96" s="17">
        <f>SUM(D97:D104)</f>
        <v>56488</v>
      </c>
      <c r="E96" s="48"/>
      <c r="F96" s="1011">
        <f>SUM(F97:F104)</f>
        <v>1944</v>
      </c>
      <c r="G96" s="1011">
        <f>SUM(G97:G104)</f>
        <v>9959</v>
      </c>
    </row>
    <row r="97" spans="1:8" s="76" customFormat="1" outlineLevel="1">
      <c r="A97" s="114">
        <v>4210</v>
      </c>
      <c r="B97" s="36" t="s">
        <v>946</v>
      </c>
      <c r="C97" s="37">
        <f>+(SUMIF('6.BP2026'!A:A,DATOS!A97,'6.BP2026'!H:H))-(SUMIF('6.BP2026'!A:A,DATOS!A97,'6.BP2026'!G:G))</f>
        <v>0</v>
      </c>
      <c r="D97" s="37">
        <f>-SUMIF('6.BP2026'!A:A,DATOS!A97,'6.BP2026'!I:I)</f>
        <v>0</v>
      </c>
      <c r="E97" s="19"/>
      <c r="F97" s="338">
        <f>+(SUMIF('7.BP2025'!A:A,DATOS!A97,'7.BP2025'!H:H))-(SUMIF('7.BP2025'!A:A,DATOS!A97,'7.BP2025'!G:G))</f>
        <v>0</v>
      </c>
      <c r="G97" s="338">
        <f>-SUMIF('7.BP2025'!A:A,DATOS!A97,'7.BP2025'!I:I)</f>
        <v>0</v>
      </c>
    </row>
    <row r="98" spans="1:8" outlineLevel="1">
      <c r="A98" s="114">
        <v>4220</v>
      </c>
      <c r="B98" s="36" t="s">
        <v>119</v>
      </c>
      <c r="C98" s="37">
        <f>+(SUMIF('6.BP2026'!A:A,DATOS!A98,'6.BP2026'!H:H))-(SUMIF('6.BP2026'!A:A,DATOS!A98,'6.BP2026'!G:G))</f>
        <v>9133</v>
      </c>
      <c r="D98" s="37">
        <f>-SUMIF('6.BP2026'!A:A,DATOS!A98,'6.BP2026'!I:I)</f>
        <v>34625</v>
      </c>
      <c r="F98" s="338">
        <f>+(SUMIF('7.BP2025'!A:A,DATOS!A98,'7.BP2025'!H:H))-(SUMIF('7.BP2025'!A:A,DATOS!A98,'7.BP2025'!G:G))</f>
        <v>0</v>
      </c>
      <c r="G98" s="338">
        <f>-SUMIF('7.BP2025'!A:A,DATOS!A98,'7.BP2025'!I:I)</f>
        <v>0</v>
      </c>
    </row>
    <row r="99" spans="1:8" outlineLevel="1">
      <c r="A99" s="114">
        <v>4235</v>
      </c>
      <c r="B99" s="36" t="s">
        <v>180</v>
      </c>
      <c r="C99" s="37">
        <f>+(SUMIF('6.BP2026'!A:A,DATOS!A99,'6.BP2026'!H:H))-(SUMIF('6.BP2026'!A:A,DATOS!A99,'6.BP2026'!G:G))</f>
        <v>899</v>
      </c>
      <c r="D99" s="37">
        <f>-SUMIF('6.BP2026'!A:A,DATOS!A99,'6.BP2026'!I:I)</f>
        <v>16792</v>
      </c>
      <c r="F99" s="338">
        <f>+(SUMIF('7.BP2025'!A:A,DATOS!A99,'7.BP2025'!H:H))-(SUMIF('7.BP2025'!A:A,DATOS!A99,'7.BP2025'!G:G))</f>
        <v>1421</v>
      </c>
      <c r="G99" s="338">
        <f>-SUMIF('7.BP2025'!A:A,DATOS!A99,'7.BP2025'!I:I)</f>
        <v>4161</v>
      </c>
    </row>
    <row r="100" spans="1:8" outlineLevel="1">
      <c r="A100" s="114">
        <v>4245</v>
      </c>
      <c r="B100" s="36" t="s">
        <v>828</v>
      </c>
      <c r="C100" s="37">
        <f>+(SUMIF('6.BP2026'!A:A,DATOS!A100,'6.BP2026'!H:H))-(SUMIF('6.BP2026'!A:A,DATOS!A100,'6.BP2026'!G:G))</f>
        <v>0</v>
      </c>
      <c r="D100" s="37">
        <f>-SUMIF('6.BP2026'!A:A,DATOS!A100,'6.BP2026'!I:I)</f>
        <v>400</v>
      </c>
      <c r="F100" s="338">
        <f>+(SUMIF('7.BP2025'!A:A,DATOS!A100,'7.BP2025'!H:H))-(SUMIF('7.BP2025'!A:A,DATOS!A100,'7.BP2025'!G:G))</f>
        <v>0</v>
      </c>
      <c r="G100" s="338">
        <f>-SUMIF('7.BP2025'!A:A,DATOS!A100,'7.BP2025'!I:I)</f>
        <v>0</v>
      </c>
    </row>
    <row r="101" spans="1:8" outlineLevel="1">
      <c r="A101" s="114">
        <v>4250</v>
      </c>
      <c r="B101" s="36" t="s">
        <v>131</v>
      </c>
      <c r="C101" s="37">
        <f>+(SUMIF('6.BP2026'!A:A,DATOS!A101,'6.BP2026'!H:H))-(SUMIF('6.BP2026'!A:A,DATOS!A101,'6.BP2026'!G:G))</f>
        <v>3</v>
      </c>
      <c r="D101" s="37">
        <f>-SUMIF('6.BP2026'!A:A,DATOS!A101,'6.BP2026'!I:I)</f>
        <v>18</v>
      </c>
      <c r="F101" s="338">
        <f>+(SUMIF('7.BP2025'!A:A,DATOS!A101,'7.BP2025'!H:H))-(SUMIF('7.BP2025'!A:A,DATOS!A101,'7.BP2025'!G:G))</f>
        <v>4</v>
      </c>
      <c r="G101" s="338">
        <f>-SUMIF('7.BP2025'!A:A,DATOS!A101,'7.BP2025'!I:I)</f>
        <v>20</v>
      </c>
    </row>
    <row r="102" spans="1:8" outlineLevel="1">
      <c r="A102" s="114">
        <v>4255</v>
      </c>
      <c r="B102" s="36" t="s">
        <v>132</v>
      </c>
      <c r="C102" s="37">
        <f>+(SUMIF('6.BP2026'!A:A,DATOS!A102,'6.BP2026'!H:H))-(SUMIF('6.BP2026'!A:A,DATOS!A102,'6.BP2026'!G:G))</f>
        <v>0</v>
      </c>
      <c r="D102" s="37">
        <f>-SUMIF('6.BP2026'!A:A,DATOS!A102,'6.BP2026'!I:I)</f>
        <v>606</v>
      </c>
      <c r="E102" s="27"/>
      <c r="F102" s="338">
        <f>+(SUMIF('7.BP2025'!A:A,DATOS!A102,'7.BP2025'!H:H))-(SUMIF('7.BP2025'!A:A,DATOS!A102,'7.BP2025'!G:G))</f>
        <v>0</v>
      </c>
      <c r="G102" s="338">
        <f>-SUMIF('7.BP2025'!A:A,DATOS!A102,'7.BP2025'!I:I)</f>
        <v>1051</v>
      </c>
    </row>
    <row r="103" spans="1:8" s="27" customFormat="1" outlineLevel="1">
      <c r="A103" s="336">
        <v>4265</v>
      </c>
      <c r="B103" s="337" t="s">
        <v>439</v>
      </c>
      <c r="C103" s="338">
        <f>+(SUMIF('6.BP2026'!A:A,DATOS!A103,'6.BP2026'!H:H))-(SUMIF('6.BP2026'!A:A,DATOS!A103,'6.BP2026'!G:G))</f>
        <v>0</v>
      </c>
      <c r="D103" s="37">
        <f>-SUMIF('6.BP2026'!A:A,DATOS!A103,'6.BP2026'!I:I)</f>
        <v>0</v>
      </c>
      <c r="E103" s="1031"/>
      <c r="F103" s="338">
        <f>+(SUMIF('7.BP2025'!A:A,DATOS!A103,'7.BP2025'!H:H))-(SUMIF('7.BP2025'!A:A,DATOS!A103,'7.BP2025'!G:G))</f>
        <v>0</v>
      </c>
      <c r="G103" s="338">
        <f>-SUMIF('7.BP2025'!A:A,DATOS!A103,'7.BP2025'!I:I)</f>
        <v>0</v>
      </c>
    </row>
    <row r="104" spans="1:8" s="27" customFormat="1" outlineLevel="1">
      <c r="A104" s="336">
        <v>4295</v>
      </c>
      <c r="B104" s="337" t="s">
        <v>133</v>
      </c>
      <c r="C104" s="338">
        <f>+(SUMIF('6.BP2026'!A:A,DATOS!A104,'6.BP2026'!H:H))-(SUMIF('6.BP2026'!A:A,DATOS!A104,'6.BP2026'!G:G))</f>
        <v>720</v>
      </c>
      <c r="D104" s="37">
        <f>-SUMIF('6.BP2026'!A:A,DATOS!A104,'6.BP2026'!I:I)</f>
        <v>4047</v>
      </c>
      <c r="E104" s="1031"/>
      <c r="F104" s="338">
        <f>+(SUMIF('7.BP2025'!A:A,DATOS!A104,'7.BP2025'!H:H))-(SUMIF('7.BP2025'!A:A,DATOS!A104,'7.BP2025'!G:G))</f>
        <v>519</v>
      </c>
      <c r="G104" s="338">
        <f>-SUMIF('7.BP2025'!A:A,DATOS!A104,'7.BP2025'!I:I)</f>
        <v>4727</v>
      </c>
    </row>
    <row r="105" spans="1:8" s="76" customFormat="1" outlineLevel="1">
      <c r="A105" s="116">
        <v>43</v>
      </c>
      <c r="B105" s="117" t="s">
        <v>134</v>
      </c>
      <c r="C105" s="46">
        <f>SUM(C106:C108)</f>
        <v>83</v>
      </c>
      <c r="D105" s="46">
        <f>SUM(D106:D108)</f>
        <v>1956</v>
      </c>
      <c r="E105" s="19"/>
      <c r="F105" s="1012">
        <f>SUM(F106:F108)</f>
        <v>324.5</v>
      </c>
      <c r="G105" s="1012">
        <f>SUM(G106:G108)</f>
        <v>1661.5</v>
      </c>
    </row>
    <row r="106" spans="1:8" outlineLevel="1">
      <c r="A106" s="115">
        <v>431005</v>
      </c>
      <c r="B106" s="44" t="s">
        <v>130</v>
      </c>
      <c r="C106" s="45">
        <f>+(SUMIF('6.BP2026'!A:A,DATOS!A106,'6.BP2026'!H:H)/2)-(SUMIF('6.BP2026'!A:A,DATOS!A106,'6.BP2026'!G:G)/2)</f>
        <v>0</v>
      </c>
      <c r="D106" s="45">
        <f>-SUMIF('6.BP2026'!A:A,DATOS!A106,'6.BP2026'!I:I)/2</f>
        <v>1212.5</v>
      </c>
      <c r="F106" s="1010">
        <f>+(SUMIF('7.BP2025'!A:A,DATOS!A106,'7.BP2025'!H:H)/2)-(SUMIF('7.BP2025'!A:A,DATOS!A106,'7.BP2025'!G:G)/2)</f>
        <v>217</v>
      </c>
      <c r="G106" s="1010">
        <f>-SUMIF('7.BP2025'!A:A,DATOS!A106,'7.BP2025'!I:I)/2</f>
        <v>1152.5</v>
      </c>
    </row>
    <row r="107" spans="1:8" outlineLevel="1">
      <c r="A107" s="115">
        <v>431020</v>
      </c>
      <c r="B107" s="44" t="s">
        <v>148</v>
      </c>
      <c r="C107" s="45">
        <f>+(SUMIF('6.BP2026'!A:A,DATOS!A107,'6.BP2026'!H:H)/2)-(SUMIF('6.BP2026'!A:A,DATOS!A107,'6.BP2026'!G:G)/2)</f>
        <v>0</v>
      </c>
      <c r="D107" s="45">
        <f>-SUMIF('6.BP2026'!A:A,DATOS!A107,'6.BP2026'!I:I)/2</f>
        <v>0</v>
      </c>
      <c r="F107" s="1010">
        <f>+(SUMIF('7.BP2025'!A:A,DATOS!A107,'7.BP2025'!H:H)/2)-(SUMIF('7.BP2025'!A:A,DATOS!A107,'7.BP2025'!G:G)/2)</f>
        <v>0</v>
      </c>
      <c r="G107" s="1010">
        <f>-SUMIF('7.BP2025'!A:A,DATOS!A107,'7.BP2025'!I:I)/2</f>
        <v>0</v>
      </c>
    </row>
    <row r="108" spans="1:8" outlineLevel="1">
      <c r="A108" s="115">
        <v>431040</v>
      </c>
      <c r="B108" s="44" t="s">
        <v>182</v>
      </c>
      <c r="C108" s="45">
        <f>+(SUMIF('6.BP2026'!A:A,DATOS!A108,'6.BP2026'!H:H)/2)-(SUMIF('6.BP2026'!A:A,DATOS!A108,'6.BP2026'!G:G)/2)</f>
        <v>83</v>
      </c>
      <c r="D108" s="45">
        <f>-SUMIF('6.BP2026'!A:A,DATOS!A108,'6.BP2026'!I:I)/2</f>
        <v>743.5</v>
      </c>
      <c r="E108"/>
      <c r="F108" s="1010">
        <f>+(SUMIF('7.BP2025'!A:A,DATOS!A108,'7.BP2025'!H:H)/2)-(SUMIF('7.BP2025'!A:A,DATOS!A108,'7.BP2025'!G:G)/2)</f>
        <v>107.5</v>
      </c>
      <c r="G108" s="1010">
        <f>-SUMIF('7.BP2025'!A:A,DATOS!A108,'7.BP2025'!I:I)/2</f>
        <v>509</v>
      </c>
    </row>
    <row r="109" spans="1:8" s="80" customFormat="1">
      <c r="A109" s="120">
        <v>5</v>
      </c>
      <c r="B109" s="121" t="s">
        <v>135</v>
      </c>
      <c r="C109" s="18">
        <f>+C110+C114+C193+C202+C205</f>
        <v>291660.5</v>
      </c>
      <c r="D109" s="18">
        <f>+D110+D114+D193+D202+D205</f>
        <v>1781623.5</v>
      </c>
      <c r="E109" s="1032"/>
      <c r="F109" s="1001">
        <f>+F110+F114+F193+F202+F205</f>
        <v>301334.5</v>
      </c>
      <c r="G109" s="1001">
        <f>+G110+G114+G193+G202+G205</f>
        <v>1676864</v>
      </c>
      <c r="H109" s="80">
        <v>-1949565</v>
      </c>
    </row>
    <row r="110" spans="1:8" s="80" customFormat="1" outlineLevel="1">
      <c r="A110" s="120">
        <v>51</v>
      </c>
      <c r="B110" s="121" t="s">
        <v>151</v>
      </c>
      <c r="C110" s="18">
        <f>+SUM(C111:C113)</f>
        <v>0</v>
      </c>
      <c r="D110" s="18">
        <f>+SUM(D111:D113)</f>
        <v>0</v>
      </c>
      <c r="E110" s="101"/>
      <c r="F110" s="1001">
        <f>+SUMIF('7.BP2025'!A:A,DATOS!A110,'7.BP2025'!G:G)-SUMIF('7.BP2025'!A:A,DATOS!A110,'7.BP2025'!H:H)</f>
        <v>0</v>
      </c>
      <c r="G110" s="1001">
        <f>SUMIF('7.BP2025'!A:A,DATOS!A110,'7.BP2025'!I:I)</f>
        <v>0</v>
      </c>
    </row>
    <row r="111" spans="1:8" s="80" customFormat="1" outlineLevel="1">
      <c r="A111" s="122">
        <v>5104</v>
      </c>
      <c r="B111" s="38" t="s">
        <v>473</v>
      </c>
      <c r="C111" s="974">
        <f>-(SUMIF('6.BP2026'!A:A,DATOS!A111,'6.BP2026'!H:H))+(SUMIF('6.BP2026'!A:A,DATOS!A111,'6.BP2026'!G:G))</f>
        <v>0</v>
      </c>
      <c r="D111" s="39">
        <f>-SUMIF('6.BP2026'!A:A,DATOS!A111,'6.BP2026'!I:I)</f>
        <v>0</v>
      </c>
      <c r="E111" s="101"/>
      <c r="F111" s="974">
        <f>+SUMIF('7.BP2025'!A:A,DATOS!A111,'7.BP2025'!G:G)-SUMIF('7.BP2025'!A:A,DATOS!A111,'7.BP2025'!H:H)</f>
        <v>0</v>
      </c>
      <c r="G111" s="974">
        <f>SUMIF('7.BP2025'!A:A,DATOS!A111,'7.BP2025'!I:I)</f>
        <v>0</v>
      </c>
    </row>
    <row r="112" spans="1:8" s="80" customFormat="1" outlineLevel="1">
      <c r="A112" s="122">
        <v>5105</v>
      </c>
      <c r="B112" s="38" t="s">
        <v>175</v>
      </c>
      <c r="C112" s="974">
        <f>-(SUMIF('6.BP2026'!A:A,DATOS!A112,'6.BP2026'!H:H))+(SUMIF('6.BP2026'!A:A,DATOS!A112,'6.BP2026'!G:G))</f>
        <v>0</v>
      </c>
      <c r="D112" s="39">
        <f>-SUMIF('6.BP2026'!A:A,DATOS!A112,'6.BP2026'!I:I)</f>
        <v>0</v>
      </c>
      <c r="E112" s="101"/>
      <c r="F112" s="974">
        <f>+SUMIF('7.BP2025'!A:A,DATOS!A112,'7.BP2025'!G:G)-SUMIF('7.BP2025'!A:A,DATOS!A112,'7.BP2025'!H:H)</f>
        <v>0</v>
      </c>
      <c r="G112" s="974">
        <f>SUMIF('7.BP2025'!A:A,DATOS!A112,'7.BP2025'!I:I)</f>
        <v>0</v>
      </c>
    </row>
    <row r="113" spans="1:9" s="80" customFormat="1" outlineLevel="1">
      <c r="A113" s="122">
        <v>5135</v>
      </c>
      <c r="B113" s="38" t="s">
        <v>388</v>
      </c>
      <c r="C113" s="974">
        <f>-(SUMIF('6.BP2026'!A:A,DATOS!A113,'6.BP2026'!H:H))+(SUMIF('6.BP2026'!A:A,DATOS!A113,'6.BP2026'!G:G))</f>
        <v>0</v>
      </c>
      <c r="D113" s="39">
        <f>SUMIF('6.BP2026'!A:A,DATOS!A113,'6.BP2026'!I:I)</f>
        <v>0</v>
      </c>
      <c r="E113" s="101"/>
      <c r="F113" s="974">
        <f>+SUMIF('7.BP2025'!A:A,DATOS!A113,'7.BP2025'!G:G)-SUMIF('7.BP2025'!A:A,DATOS!A113,'7.BP2025'!H:H)</f>
        <v>0</v>
      </c>
      <c r="G113" s="974">
        <f>SUMIF('7.BP2025'!A:A,DATOS!A113,'7.BP2025'!I:I)</f>
        <v>0</v>
      </c>
    </row>
    <row r="114" spans="1:9" s="76" customFormat="1" outlineLevel="1">
      <c r="A114" s="120">
        <v>52</v>
      </c>
      <c r="B114" s="121" t="s">
        <v>143</v>
      </c>
      <c r="C114" s="1001">
        <f>SUM(C115:C192)-C149-C172</f>
        <v>279835.5</v>
      </c>
      <c r="D114" s="18">
        <f>SUM(D115:D192)-D149-D172</f>
        <v>1689387.5</v>
      </c>
      <c r="E114" s="48"/>
      <c r="F114" s="1001">
        <f>SUM(F115:F192)-F149-F172</f>
        <v>287674.5</v>
      </c>
      <c r="G114" s="1001">
        <f>SUM(G115:G192)-G149-G172</f>
        <v>1570193</v>
      </c>
      <c r="H114" s="101">
        <f>287158-75</f>
        <v>287083</v>
      </c>
      <c r="I114" s="101"/>
    </row>
    <row r="115" spans="1:9" outlineLevel="2">
      <c r="A115" s="122">
        <v>520468</v>
      </c>
      <c r="B115" s="803" t="s">
        <v>377</v>
      </c>
      <c r="C115" s="974">
        <f>-(SUMIF('6.BP2026'!A:A,DATOS!A115,'6.BP2026'!H:H)/2)+(SUMIF('6.BP2026'!A:A,DATOS!A115,'6.BP2026'!G:G)/2)</f>
        <v>1523</v>
      </c>
      <c r="D115" s="974">
        <f>SUMIF('6.BP2026'!A:A,DATOS!A115,'6.BP2026'!I:I)/2</f>
        <v>9067</v>
      </c>
      <c r="E115" s="48"/>
      <c r="F115" s="974">
        <f>+(SUMIF('7.BP2025'!A:A,DATOS!A115,'7.BP2025'!G:G)/2)-(SUMIF('7.BP2025'!A:A,DATOS!A115,'7.BP2025'!H:H)/2)</f>
        <v>1540</v>
      </c>
      <c r="G115" s="974">
        <f>SUMIF('7.BP2025'!A:A,DATOS!A115,'7.BP2025'!I:I)/2</f>
        <v>8379.5</v>
      </c>
      <c r="H115" s="48"/>
    </row>
    <row r="116" spans="1:9" outlineLevel="2">
      <c r="A116" s="122">
        <v>520469</v>
      </c>
      <c r="B116" s="803" t="s">
        <v>378</v>
      </c>
      <c r="C116" s="974">
        <f>-(SUMIF('6.BP2026'!A:A,DATOS!A116,'6.BP2026'!H:H)/2)+(SUMIF('6.BP2026'!A:A,DATOS!A116,'6.BP2026'!G:G)/2)</f>
        <v>5</v>
      </c>
      <c r="D116" s="974">
        <f>SUMIF('6.BP2026'!A:A,DATOS!A116,'6.BP2026'!I:I)/2</f>
        <v>14.5</v>
      </c>
      <c r="F116" s="974">
        <f>+(SUMIF('7.BP2025'!A:A,DATOS!A116,'7.BP2025'!G:G)/2)-(SUMIF('7.BP2025'!A:A,DATOS!A116,'7.BP2025'!H:H)/2)</f>
        <v>0</v>
      </c>
      <c r="G116" s="974">
        <f>SUMIF('7.BP2025'!A:A,DATOS!A116,'7.BP2025'!I:I)/2</f>
        <v>5</v>
      </c>
      <c r="H116" s="48"/>
      <c r="I116" s="48"/>
    </row>
    <row r="117" spans="1:9" outlineLevel="2">
      <c r="A117" s="122">
        <v>520470</v>
      </c>
      <c r="B117" s="803" t="s">
        <v>379</v>
      </c>
      <c r="C117" s="974">
        <f>-(SUMIF('6.BP2026'!A:A,DATOS!A117,'6.BP2026'!H:H)/2)+(SUMIF('6.BP2026'!A:A,DATOS!A117,'6.BP2026'!G:G)/2)</f>
        <v>7971</v>
      </c>
      <c r="D117" s="974">
        <f>SUMIF('6.BP2026'!A:A,DATOS!A117,'6.BP2026'!I:I)/2</f>
        <v>47263</v>
      </c>
      <c r="F117" s="974">
        <f>+(SUMIF('7.BP2025'!A:A,DATOS!A117,'7.BP2025'!G:G)/2)-(SUMIF('7.BP2025'!A:A,DATOS!A117,'7.BP2025'!H:H)/2)</f>
        <v>7772</v>
      </c>
      <c r="G117" s="974">
        <f>SUMIF('7.BP2025'!A:A,DATOS!A117,'7.BP2025'!I:I)/2</f>
        <v>43610.5</v>
      </c>
      <c r="H117" s="48"/>
    </row>
    <row r="118" spans="1:9" outlineLevel="2">
      <c r="A118" s="122">
        <v>520472</v>
      </c>
      <c r="B118" s="803" t="s">
        <v>380</v>
      </c>
      <c r="C118" s="974">
        <f>-(SUMIF('6.BP2026'!A:A,DATOS!A118,'6.BP2026'!H:H)/2)+(SUMIF('6.BP2026'!A:A,DATOS!A118,'6.BP2026'!G:G)/2)</f>
        <v>2541.5</v>
      </c>
      <c r="D118" s="974">
        <f>SUMIF('6.BP2026'!A:A,DATOS!A118,'6.BP2026'!I:I)/2</f>
        <v>15715.5</v>
      </c>
      <c r="F118" s="974">
        <f>+(SUMIF('7.BP2025'!A:A,DATOS!A118,'7.BP2025'!G:G)/2)-(SUMIF('7.BP2025'!A:A,DATOS!A118,'7.BP2025'!H:H)/2)</f>
        <v>2596.5</v>
      </c>
      <c r="G118" s="974">
        <f>SUMIF('7.BP2025'!A:A,DATOS!A118,'7.BP2025'!I:I)/2</f>
        <v>14613.5</v>
      </c>
      <c r="H118" s="48"/>
    </row>
    <row r="119" spans="1:9" outlineLevel="2">
      <c r="A119" s="122">
        <v>520506</v>
      </c>
      <c r="B119" s="803" t="s">
        <v>381</v>
      </c>
      <c r="C119" s="974">
        <f>-(SUMIF('6.BP2026'!A:A,DATOS!A119,'6.BP2026'!H:H))+(SUMIF('6.BP2026'!A:A,DATOS!A119,'6.BP2026'!G:G))</f>
        <v>50039</v>
      </c>
      <c r="D119" s="974">
        <f>SUMIF('6.BP2026'!A:A,DATOS!A119,'6.BP2026'!I:I)</f>
        <v>303194</v>
      </c>
      <c r="E119" s="48"/>
      <c r="F119" s="974">
        <f>+SUMIF('7.BP2025'!A:A,DATOS!A119,'7.BP2025'!G:G)-SUMIF('7.BP2025'!A:A,DATOS!A119,'7.BP2025'!H:H)</f>
        <v>51262</v>
      </c>
      <c r="G119" s="974">
        <f>SUMIF('7.BP2025'!A:A,DATOS!A119,'7.BP2025'!I:I)</f>
        <v>281725</v>
      </c>
    </row>
    <row r="120" spans="1:9" outlineLevel="2">
      <c r="A120" s="122">
        <v>520515</v>
      </c>
      <c r="B120" s="803" t="s">
        <v>544</v>
      </c>
      <c r="C120" s="974">
        <f>-(SUMIF('6.BP2026'!A:A,DATOS!A120,'6.BP2026'!H:H))+(SUMIF('6.BP2026'!A:A,DATOS!A120,'6.BP2026'!G:G))</f>
        <v>10750</v>
      </c>
      <c r="D120" s="974">
        <f>SUMIF('6.BP2026'!A:A,DATOS!A120,'6.BP2026'!I:I)</f>
        <v>63045</v>
      </c>
      <c r="F120" s="974">
        <f>+SUMIF('7.BP2025'!A:A,DATOS!A120,'7.BP2025'!G:G)-SUMIF('7.BP2025'!A:A,DATOS!A120,'7.BP2025'!H:H)</f>
        <v>10669</v>
      </c>
      <c r="G120" s="974">
        <f>SUMIF('7.BP2025'!A:A,DATOS!A120,'7.BP2025'!I:I)</f>
        <v>53832</v>
      </c>
    </row>
    <row r="121" spans="1:9" outlineLevel="2">
      <c r="A121" s="122">
        <v>520524</v>
      </c>
      <c r="B121" s="803" t="s">
        <v>372</v>
      </c>
      <c r="C121" s="974">
        <f>-(SUMIF('6.BP2026'!A:A,DATOS!A121,'6.BP2026'!H:H))+(SUMIF('6.BP2026'!A:A,DATOS!A121,'6.BP2026'!G:G))</f>
        <v>1279</v>
      </c>
      <c r="D121" s="974">
        <f>SUMIF('6.BP2026'!A:A,DATOS!A121,'6.BP2026'!I:I)</f>
        <v>4018</v>
      </c>
      <c r="F121" s="974">
        <f>+SUMIF('7.BP2025'!A:A,DATOS!A121,'7.BP2025'!G:G)-SUMIF('7.BP2025'!A:A,DATOS!A121,'7.BP2025'!H:H)</f>
        <v>348</v>
      </c>
      <c r="G121" s="974">
        <f>SUMIF('7.BP2025'!A:A,DATOS!A121,'7.BP2025'!I:I)</f>
        <v>2969</v>
      </c>
    </row>
    <row r="122" spans="1:9" outlineLevel="2">
      <c r="A122" s="122">
        <v>520527</v>
      </c>
      <c r="B122" s="803" t="s">
        <v>382</v>
      </c>
      <c r="C122" s="974">
        <f>-(SUMIF('6.BP2026'!A:A,DATOS!A122,'6.BP2026'!H:H))+(SUMIF('6.BP2026'!A:A,DATOS!A122,'6.BP2026'!G:G))</f>
        <v>6269</v>
      </c>
      <c r="D122" s="974">
        <f>SUMIF('6.BP2026'!A:A,DATOS!A122,'6.BP2026'!I:I)</f>
        <v>38726</v>
      </c>
      <c r="F122" s="974">
        <f>+SUMIF('7.BP2025'!A:A,DATOS!A122,'7.BP2025'!G:G)-SUMIF('7.BP2025'!A:A,DATOS!A122,'7.BP2025'!H:H)</f>
        <v>5980</v>
      </c>
      <c r="G122" s="974">
        <f>SUMIF('7.BP2025'!A:A,DATOS!A122,'7.BP2025'!I:I)</f>
        <v>33073</v>
      </c>
    </row>
    <row r="123" spans="1:9" outlineLevel="2">
      <c r="A123" s="122">
        <v>520530</v>
      </c>
      <c r="B123" s="803" t="s">
        <v>352</v>
      </c>
      <c r="C123" s="974">
        <f>-(SUMIF('6.BP2026'!A:A,DATOS!A123,'6.BP2026'!H:H))+(SUMIF('6.BP2026'!A:A,DATOS!A123,'6.BP2026'!G:G))</f>
        <v>5594</v>
      </c>
      <c r="D123" s="974">
        <f>SUMIF('6.BP2026'!A:A,DATOS!A123,'6.BP2026'!I:I)</f>
        <v>34754</v>
      </c>
      <c r="F123" s="974">
        <f>+SUMIF('7.BP2025'!A:A,DATOS!A123,'7.BP2025'!G:G)-SUMIF('7.BP2025'!A:A,DATOS!A123,'7.BP2025'!H:H)</f>
        <v>6351</v>
      </c>
      <c r="G123" s="974">
        <f>SUMIF('7.BP2025'!A:A,DATOS!A123,'7.BP2025'!I:I)</f>
        <v>32795</v>
      </c>
    </row>
    <row r="124" spans="1:9" outlineLevel="2">
      <c r="A124" s="122">
        <v>520533</v>
      </c>
      <c r="B124" s="803" t="s">
        <v>349</v>
      </c>
      <c r="C124" s="974">
        <f>-(SUMIF('6.BP2026'!A:A,DATOS!A124,'6.BP2026'!H:H))+(SUMIF('6.BP2026'!A:A,DATOS!A124,'6.BP2026'!G:G))</f>
        <v>515</v>
      </c>
      <c r="D124" s="974">
        <f>SUMIF('6.BP2026'!A:A,DATOS!A124,'6.BP2026'!I:I)</f>
        <v>1809</v>
      </c>
      <c r="F124" s="974">
        <f>+SUMIF('7.BP2025'!A:A,DATOS!A124,'7.BP2025'!G:G)-SUMIF('7.BP2025'!A:A,DATOS!A124,'7.BP2025'!H:H)</f>
        <v>599</v>
      </c>
      <c r="G124" s="974">
        <f>SUMIF('7.BP2025'!A:A,DATOS!A124,'7.BP2025'!I:I)</f>
        <v>1893</v>
      </c>
    </row>
    <row r="125" spans="1:9" outlineLevel="2">
      <c r="A125" s="122">
        <v>520536</v>
      </c>
      <c r="B125" s="803" t="s">
        <v>350</v>
      </c>
      <c r="C125" s="974">
        <f>-(SUMIF('6.BP2026'!A:A,DATOS!A125,'6.BP2026'!H:H))+(SUMIF('6.BP2026'!A:A,DATOS!A125,'6.BP2026'!G:G))</f>
        <v>9158</v>
      </c>
      <c r="D125" s="974">
        <f>SUMIF('6.BP2026'!A:A,DATOS!A125,'6.BP2026'!I:I)</f>
        <v>38162</v>
      </c>
      <c r="F125" s="974">
        <f>+SUMIF('7.BP2025'!A:A,DATOS!A125,'7.BP2025'!G:G)-SUMIF('7.BP2025'!A:A,DATOS!A125,'7.BP2025'!H:H)</f>
        <v>5639</v>
      </c>
      <c r="G125" s="974">
        <f>SUMIF('7.BP2025'!A:A,DATOS!A125,'7.BP2025'!I:I)</f>
        <v>32101</v>
      </c>
    </row>
    <row r="126" spans="1:9" outlineLevel="2">
      <c r="A126" s="122">
        <v>520539</v>
      </c>
      <c r="B126" s="803" t="s">
        <v>355</v>
      </c>
      <c r="C126" s="974">
        <f>-(SUMIF('6.BP2026'!A:A,DATOS!A126,'6.BP2026'!H:H))+(SUMIF('6.BP2026'!A:A,DATOS!A126,'6.BP2026'!G:G))</f>
        <v>2546</v>
      </c>
      <c r="D126" s="974">
        <f>SUMIF('6.BP2026'!A:A,DATOS!A126,'6.BP2026'!I:I)</f>
        <v>17854</v>
      </c>
      <c r="F126" s="974">
        <f>+SUMIF('7.BP2025'!A:A,DATOS!A126,'7.BP2025'!G:G)-SUMIF('7.BP2025'!A:A,DATOS!A126,'7.BP2025'!H:H)</f>
        <v>3884</v>
      </c>
      <c r="G126" s="974">
        <f>SUMIF('7.BP2025'!A:A,DATOS!A126,'7.BP2025'!I:I)</f>
        <v>18951</v>
      </c>
    </row>
    <row r="127" spans="1:9" outlineLevel="2">
      <c r="A127" s="122">
        <v>520545</v>
      </c>
      <c r="B127" s="803" t="s">
        <v>797</v>
      </c>
      <c r="C127" s="974">
        <f>-(SUMIF('6.BP2026'!A:A,DATOS!A127,'6.BP2026'!H:H))+(SUMIF('6.BP2026'!A:A,DATOS!A127,'6.BP2026'!G:G))</f>
        <v>0</v>
      </c>
      <c r="D127" s="974">
        <f>SUMIF('6.BP2026'!A:A,DATOS!A127,'6.BP2026'!I:I)</f>
        <v>0</v>
      </c>
      <c r="E127" s="48"/>
      <c r="F127" s="974">
        <f>+SUMIF('7.BP2025'!A:A,DATOS!A127,'7.BP2025'!G:G)-SUMIF('7.BP2025'!A:A,DATOS!A127,'7.BP2025'!H:H)</f>
        <v>400</v>
      </c>
      <c r="G127" s="974">
        <f>SUMIF('7.BP2025'!A:A,DATOS!A127,'7.BP2025'!I:I)</f>
        <v>3117</v>
      </c>
    </row>
    <row r="128" spans="1:9" outlineLevel="2">
      <c r="A128" s="122">
        <v>52054801</v>
      </c>
      <c r="B128" s="803" t="s">
        <v>383</v>
      </c>
      <c r="C128" s="974">
        <f>-(SUMIF('6.BP2026'!A:A,DATOS!A128,'6.BP2026'!H:H)/2)+(SUMIF('6.BP2026'!A:A,DATOS!A128,'6.BP2026'!G:G)/2)</f>
        <v>0</v>
      </c>
      <c r="D128" s="974">
        <f>SUMIF('6.BP2026'!A:A,DATOS!A128,'6.BP2026'!I:I)/2</f>
        <v>2950</v>
      </c>
      <c r="F128" s="974">
        <f>+(SUMIF('7.BP2025'!A:A,DATOS!A128,'7.BP2025'!G:G)/2)-(SUMIF('7.BP2025'!A:A,DATOS!A128,'7.BP2025'!H:H)/2)</f>
        <v>1250</v>
      </c>
      <c r="G128" s="974">
        <f>SUMIF('7.BP2025'!A:A,DATOS!A128,'7.BP2025'!I:I)/2</f>
        <v>5750</v>
      </c>
    </row>
    <row r="129" spans="1:7" outlineLevel="2">
      <c r="A129" s="916">
        <v>52054802</v>
      </c>
      <c r="B129" s="917" t="s">
        <v>939</v>
      </c>
      <c r="C129" s="974">
        <f>-(SUMIF('6.BP2026'!A:A,DATOS!A129,'6.BP2026'!H:H)/2)+(SUMIF('6.BP2026'!A:A,DATOS!A129,'6.BP2026'!G:G)/2)</f>
        <v>52</v>
      </c>
      <c r="D129" s="974">
        <f>SUMIF('6.BP2026'!A:A,DATOS!A129,'6.BP2026'!I:I)/2</f>
        <v>5709.5</v>
      </c>
      <c r="F129" s="974">
        <f>+(SUMIF('7.BP2025'!A:A,DATOS!A129,'7.BP2025'!G:G)/2)-(SUMIF('7.BP2025'!A:A,DATOS!A129,'7.BP2025'!H:H)/2)</f>
        <v>1825.5</v>
      </c>
      <c r="G129" s="974">
        <f>SUMIF('7.BP2025'!A:A,DATOS!A129,'7.BP2025'!I:I)/2</f>
        <v>11857</v>
      </c>
    </row>
    <row r="130" spans="1:7" outlineLevel="2">
      <c r="A130" s="122">
        <v>520551</v>
      </c>
      <c r="B130" s="803" t="s">
        <v>482</v>
      </c>
      <c r="C130" s="974">
        <f>-(SUMIF('6.BP2026'!A:A,DATOS!A130,'6.BP2026'!H:H))+(SUMIF('6.BP2026'!A:A,DATOS!A130,'6.BP2026'!G:G))</f>
        <v>1276</v>
      </c>
      <c r="D130" s="974">
        <f>SUMIF('6.BP2026'!A:A,DATOS!A130,'6.BP2026'!I:I)</f>
        <v>6981</v>
      </c>
      <c r="F130" s="974">
        <f>+SUMIF('7.BP2025'!A:A,DATOS!A130,'7.BP2025'!G:G)-SUMIF('7.BP2025'!A:A,DATOS!A130,'7.BP2025'!H:H)</f>
        <v>0</v>
      </c>
      <c r="G130" s="974">
        <f>SUMIF('7.BP2025'!A:A,DATOS!A130,'7.BP2025'!I:I)</f>
        <v>10100</v>
      </c>
    </row>
    <row r="131" spans="1:7" outlineLevel="2">
      <c r="A131" s="122">
        <v>520560</v>
      </c>
      <c r="B131" s="803" t="s">
        <v>132</v>
      </c>
      <c r="C131" s="974">
        <f>-(SUMIF('6.BP2026'!A:A,DATOS!A131,'6.BP2026'!H:H))+(SUMIF('6.BP2026'!A:A,DATOS!A131,'6.BP2026'!G:G))</f>
        <v>0</v>
      </c>
      <c r="D131" s="974">
        <f>SUMIF('6.BP2026'!A:A,DATOS!A131,'6.BP2026'!I:I)</f>
        <v>0</v>
      </c>
      <c r="F131" s="974">
        <f>+SUMIF('7.BP2025'!A:A,DATOS!A131,'7.BP2025'!G:G)-SUMIF('7.BP2025'!A:A,DATOS!A131,'7.BP2025'!H:H)</f>
        <v>0</v>
      </c>
      <c r="G131" s="974">
        <f>SUMIF('7.BP2025'!A:A,DATOS!A131,'7.BP2025'!I:I)</f>
        <v>0</v>
      </c>
    </row>
    <row r="132" spans="1:7" outlineLevel="2">
      <c r="A132" s="122">
        <v>520563</v>
      </c>
      <c r="B132" s="803" t="s">
        <v>581</v>
      </c>
      <c r="C132" s="974">
        <f>-(SUMIF('6.BP2026'!A:A,DATOS!A132,'6.BP2026'!H:H))+(SUMIF('6.BP2026'!A:A,DATOS!A132,'6.BP2026'!G:G))</f>
        <v>0</v>
      </c>
      <c r="D132" s="974">
        <f>SUMIF('6.BP2026'!A:A,DATOS!A132,'6.BP2026'!I:I)</f>
        <v>60</v>
      </c>
      <c r="F132" s="974">
        <f>+SUMIF('7.BP2025'!A:A,DATOS!A132,'7.BP2025'!G:G)-SUMIF('7.BP2025'!A:A,DATOS!A132,'7.BP2025'!H:H)</f>
        <v>0</v>
      </c>
      <c r="G132" s="974">
        <f>SUMIF('7.BP2025'!A:A,DATOS!A132,'7.BP2025'!I:I)</f>
        <v>55</v>
      </c>
    </row>
    <row r="133" spans="1:7" outlineLevel="2">
      <c r="A133" s="122">
        <v>520569</v>
      </c>
      <c r="B133" s="803" t="s">
        <v>948</v>
      </c>
      <c r="C133" s="974">
        <f>-(SUMIF('6.BP2026'!A:A,DATOS!A133,'6.BP2026'!H:H))+(SUMIF('6.BP2026'!A:A,DATOS!A133,'6.BP2026'!G:G))</f>
        <v>0</v>
      </c>
      <c r="D133" s="974">
        <f>SUMIF('6.BP2026'!A:A,DATOS!A133,'6.BP2026'!I:I)</f>
        <v>0</v>
      </c>
      <c r="F133" s="974">
        <f>+SUMIF('7.BP2025'!A:A,DATOS!A133,'7.BP2025'!G:G)-SUMIF('7.BP2025'!A:A,DATOS!A133,'7.BP2025'!H:H)</f>
        <v>0</v>
      </c>
      <c r="G133" s="974">
        <f>SUMIF('7.BP2025'!A:A,DATOS!A133,'7.BP2025'!I:I)</f>
        <v>0</v>
      </c>
    </row>
    <row r="134" spans="1:7" outlineLevel="2">
      <c r="A134" s="916">
        <v>520584</v>
      </c>
      <c r="B134" s="917" t="s">
        <v>384</v>
      </c>
      <c r="C134" s="974">
        <f>-(SUMIF('6.BP2026'!A:A,DATOS!A134,'6.BP2026'!H:H))+(SUMIF('6.BP2026'!A:A,DATOS!A134,'6.BP2026'!G:G))</f>
        <v>456</v>
      </c>
      <c r="D134" s="974">
        <f>SUMIF('6.BP2026'!A:A,DATOS!A134,'6.BP2026'!I:I)</f>
        <v>2696</v>
      </c>
      <c r="E134" s="30"/>
      <c r="F134" s="974">
        <f>+SUMIF('7.BP2025'!A:A,DATOS!A134,'7.BP2025'!G:G)-SUMIF('7.BP2025'!A:A,DATOS!A134,'7.BP2025'!H:H)</f>
        <v>338</v>
      </c>
      <c r="G134" s="974">
        <f>SUMIF('7.BP2025'!A:A,DATOS!A134,'7.BP2025'!I:I)</f>
        <v>2371</v>
      </c>
    </row>
    <row r="135" spans="1:7" outlineLevel="2">
      <c r="A135" s="1068">
        <v>52059501</v>
      </c>
      <c r="B135" s="917" t="s">
        <v>771</v>
      </c>
      <c r="C135" s="974">
        <f>-(SUMIF('6.BP2026'!A:A,DATOS!A135,'6.BP2026'!H:H)/2)+(SUMIF('6.BP2026'!A:A,DATOS!A135,'6.BP2026'!G:G)/2)</f>
        <v>0</v>
      </c>
      <c r="D135" s="974">
        <f>SUMIF('6.BP2026'!A:A,DATOS!A135,'6.BP2026'!I:I)/2</f>
        <v>354</v>
      </c>
      <c r="E135" s="30"/>
      <c r="F135" s="974">
        <f>+(SUMIF('7.BP2025'!A:A,DATOS!A135,'7.BP2025'!G:G)/2)-(SUMIF('7.BP2025'!A:A,DATOS!A135,'7.BP2025'!H:H)/2)</f>
        <v>99.5</v>
      </c>
      <c r="G135" s="974">
        <f>(SUMIF('7.BP2025'!A:A,DATOS!A135,'7.BP2025'!I:I)/2)</f>
        <v>552</v>
      </c>
    </row>
    <row r="136" spans="1:7" outlineLevel="2">
      <c r="A136" s="1068">
        <v>52059506</v>
      </c>
      <c r="B136" s="917" t="s">
        <v>1008</v>
      </c>
      <c r="C136" s="974">
        <f>-(SUMIF('6.BP2026'!A:A,DATOS!A136,'6.BP2026'!H:H)/2)+(SUMIF('6.BP2026'!A:A,DATOS!A136,'6.BP2026'!G:G)/2)-(SUMIF('6.BP2026'!A:A,52059505,'6.BP2026'!H:H)/2)+(SUMIF('6.BP2026'!A:A,52059505,'6.BP2026'!G:G)/2)</f>
        <v>1634</v>
      </c>
      <c r="D136" s="974">
        <f>SUMIF('6.BP2026'!A:A,DATOS!A136,'6.BP2026'!I:I)/2+SUMIF('6.BP2026'!A:A,52059505,'6.BP2026'!I:I)/2</f>
        <v>13546</v>
      </c>
      <c r="E136" s="30"/>
      <c r="F136" s="974">
        <f>+(SUMIF('7.BP2025'!A:A,DATOS!A136,'7.BP2025'!G:G)/2)-(SUMIF('7.BP2025'!A:A,DATOS!A136,'7.BP2025'!H:H)/2)</f>
        <v>1922</v>
      </c>
      <c r="G136" s="974">
        <f>SUMIF('7.BP2025'!A:A,DATOS!A136,'7.BP2025'!I:I)/2+(SUMIF('7.BP2025'!A:A,52059505,'7.BP2025'!I:I)/2)</f>
        <v>1922</v>
      </c>
    </row>
    <row r="137" spans="1:7" outlineLevel="2">
      <c r="A137" s="916">
        <v>52101001</v>
      </c>
      <c r="B137" s="917" t="s">
        <v>973</v>
      </c>
      <c r="C137" s="974">
        <f>-(SUMIF('6.BP2026'!A:A,DATOS!A137,'6.BP2026'!H:H)/2)+(SUMIF('6.BP2026'!A:A,DATOS!A137,'6.BP2026'!G:G)/2)</f>
        <v>1200</v>
      </c>
      <c r="D137" s="974">
        <f>SUMIF('6.BP2026'!A:A,DATOS!A137,'6.BP2026'!I:I)/2</f>
        <v>6000</v>
      </c>
      <c r="E137" s="1035"/>
      <c r="F137" s="974">
        <f>+(SUMIF('7.BP2025'!A:A,DATOS!A137,'7.BP2025'!G:G)/2)-(SUMIF('7.BP2025'!A:A,DATOS!A137,'7.BP2025'!H:H)/2)</f>
        <v>0</v>
      </c>
      <c r="G137" s="974">
        <f>SUMIF('7.BP2025'!A:A,DATOS!A137,'7.BP2025'!I:I)/2</f>
        <v>0</v>
      </c>
    </row>
    <row r="138" spans="1:7" outlineLevel="2">
      <c r="A138" s="122">
        <v>52104501</v>
      </c>
      <c r="B138" s="38" t="s">
        <v>966</v>
      </c>
      <c r="C138" s="974">
        <f>-(SUMIF('6.BP2026'!A:A,DATOS!A138,'6.BP2026'!H:H)/2)+(SUMIF('6.BP2026'!A:A,DATOS!A138,'6.BP2026'!G:G)/2)</f>
        <v>25821.5</v>
      </c>
      <c r="D138" s="974">
        <f>SUMIF('6.BP2026'!A:A,DATOS!A138,'6.BP2026'!I:I)/2</f>
        <v>110551</v>
      </c>
      <c r="F138" s="974">
        <f>+(SUMIF('7.BP2025'!A:A,DATOS!A138,'7.BP2025'!G:G)/2)-(SUMIF('7.BP2025'!A:A,DATOS!A138,'7.BP2025'!H:H)/2)</f>
        <v>25646</v>
      </c>
      <c r="G138" s="974">
        <f>SUMIF('7.BP2025'!A:A,DATOS!A138,'7.BP2025'!I:I)/2</f>
        <v>106949</v>
      </c>
    </row>
    <row r="139" spans="1:7" outlineLevel="2">
      <c r="A139" s="122">
        <v>52104502</v>
      </c>
      <c r="B139" s="38" t="s">
        <v>967</v>
      </c>
      <c r="C139" s="974">
        <f>-(SUMIF('6.BP2026'!A:A,DATOS!A139,'6.BP2026'!H:H)/2)+(SUMIF('6.BP2026'!A:A,DATOS!A139,'6.BP2026'!G:G)/2)</f>
        <v>0</v>
      </c>
      <c r="D139" s="974">
        <f>(SUMIF('6.BP2026'!A:A,DATOS!A139,'6.BP2026'!I:I)/2)+(SUMIF('6.BP2026'!A:A,52109501,'6.BP2026'!I:I)/2)</f>
        <v>0</v>
      </c>
      <c r="F139" s="974">
        <f>+(SUMIF('7.BP2025'!A:A,DATOS!A139,'7.BP2025'!G:G)/2)-(SUMIF('7.BP2025'!A:A,DATOS!A139,'7.BP2025'!H:H)/2)</f>
        <v>151</v>
      </c>
      <c r="G139" s="974">
        <f>SUMIF('7.BP2025'!A:A,DATOS!A139,'7.BP2025'!I:I)/2</f>
        <v>3401</v>
      </c>
    </row>
    <row r="140" spans="1:7" outlineLevel="2">
      <c r="A140" s="122">
        <v>52109502</v>
      </c>
      <c r="B140" s="38" t="s">
        <v>968</v>
      </c>
      <c r="C140" s="974">
        <f>-(SUMIF('6.BP2026'!A:A,DATOS!A140,'6.BP2026'!H:H)/2)+(SUMIF('6.BP2026'!A:A,DATOS!A140,'6.BP2026'!G:G)/2)-(SUMIF('6.BP2026'!A:A,52109501,'6.BP2026'!H:H)/2)+(SUMIF('6.BP2026'!A:A,52109501,'6.BP2026'!G:G)/2)</f>
        <v>734</v>
      </c>
      <c r="D140" s="974">
        <f>SUMIF('6.BP2026'!A:A,DATOS!A140,'6.BP2026'!I:I)/2</f>
        <v>8941</v>
      </c>
      <c r="F140" s="974">
        <f>+(SUMIF('7.BP2025'!A:A,DATOS!A140,'7.BP2025'!G:G)/2)-(SUMIF('7.BP2025'!A:A,DATOS!A140,'7.BP2025'!H:H)/2)+(SUMIF('7.BP2025'!A:A,52109501,'7.BP2025'!G:G)/2)-(SUMIF('7.BP2025'!A:A,52109501,'7.BP2025'!H:H)/2)</f>
        <v>2227.5</v>
      </c>
      <c r="G140" s="974">
        <f>SUMIF('7.BP2025'!A:A,DATOS!A140,'7.BP2025'!I:I)/2+SUMIF('7.BP2025'!A:A,52109501,'7.BP2025'!I:I)/2</f>
        <v>10679.5</v>
      </c>
    </row>
    <row r="141" spans="1:7" outlineLevel="2">
      <c r="A141" s="122">
        <v>52109508</v>
      </c>
      <c r="B141" s="38" t="s">
        <v>974</v>
      </c>
      <c r="C141" s="974">
        <f>-(SUMIF('6.BP2026'!A:A,DATOS!A141,'6.BP2026'!H:H)/2)+(SUMIF('6.BP2026'!A:A,DATOS!A141,'6.BP2026'!G:G)/2)</f>
        <v>0</v>
      </c>
      <c r="D141" s="974">
        <f>SUMIF('6.BP2026'!A:A,DATOS!A141,'6.BP2026'!I:I)/2</f>
        <v>0</v>
      </c>
      <c r="F141" s="974">
        <f>+(SUMIF('7.BP2025'!A:A,DATOS!A141,'7.BP2025'!G:G)/2)-(SUMIF('7.BP2025'!A:A,DATOS!A141,'7.BP2025'!H:H)/2)</f>
        <v>0</v>
      </c>
      <c r="G141" s="974">
        <f>SUMIF('7.BP2025'!A:A,DATOS!A141,'7.BP2025'!I:I)/2</f>
        <v>0</v>
      </c>
    </row>
    <row r="142" spans="1:7" outlineLevel="2">
      <c r="A142" s="122">
        <v>521505</v>
      </c>
      <c r="B142" s="38" t="s">
        <v>969</v>
      </c>
      <c r="C142" s="974">
        <f>-(SUMIF('6.BP2026'!A:A,DATOS!A142,'6.BP2026'!H:H))+(SUMIF('6.BP2026'!A:A,DATOS!A142,'6.BP2026'!G:G))</f>
        <v>4810</v>
      </c>
      <c r="D142" s="974">
        <f>SUMIF('6.BP2026'!A:A,DATOS!A142,'6.BP2026'!I:I)</f>
        <v>38548</v>
      </c>
      <c r="E142" s="48"/>
      <c r="F142" s="974">
        <f>+SUMIF('7.BP2025'!A:A,DATOS!A142,'7.BP2025'!G:G)-SUMIF('7.BP2025'!A:A,DATOS!A142,'7.BP2025'!H:H)</f>
        <v>7525</v>
      </c>
      <c r="G142" s="974">
        <f>SUMIF('7.BP2025'!A:A,DATOS!A142,'7.BP2025'!I:I)</f>
        <v>38752</v>
      </c>
    </row>
    <row r="143" spans="1:7" outlineLevel="2">
      <c r="A143" s="916" t="s">
        <v>999</v>
      </c>
      <c r="B143" s="973" t="s">
        <v>1000</v>
      </c>
      <c r="C143" s="974">
        <f>-(SUMIF('6.BP2026'!A:A,DATOS!A143,'6.BP2026'!H:H))+(SUMIF('6.BP2026'!A:A,DATOS!A143,'6.BP2026'!G:G))</f>
        <v>1933</v>
      </c>
      <c r="D143" s="974">
        <f>SUMIF('6.BP2026'!A:A,DATOS!A143,'6.BP2026'!I:I)</f>
        <v>3867</v>
      </c>
      <c r="E143" s="30"/>
      <c r="F143" s="974">
        <f>+SUMIF('7.BP2025'!A:A,DATOS!A143,'7.BP2025'!G:G)-SUMIF('7.BP2025'!A:A,DATOS!A143,'7.BP2025'!H:H)</f>
        <v>0</v>
      </c>
      <c r="G143" s="974">
        <f>SUMIF('7.BP2025'!A:A,DATOS!A143,'7.BP2025'!I:I)</f>
        <v>12785</v>
      </c>
    </row>
    <row r="144" spans="1:7" outlineLevel="2">
      <c r="A144" s="916" t="s">
        <v>1001</v>
      </c>
      <c r="B144" s="973" t="s">
        <v>772</v>
      </c>
      <c r="C144" s="974">
        <f>-(SUMIF('6.BP2026'!A:A,DATOS!A144,'6.BP2026'!H:H))+(SUMIF('6.BP2026'!A:A,DATOS!A144,'6.BP2026'!G:G))</f>
        <v>0</v>
      </c>
      <c r="D144" s="974">
        <f>SUMIF('6.BP2026'!A:A,DATOS!A144,'6.BP2026'!I:I)</f>
        <v>0</v>
      </c>
      <c r="E144" s="30"/>
      <c r="F144" s="974">
        <f>+SUMIF('7.BP2025'!A:A,DATOS!A144,'7.BP2025'!G:G)-SUMIF('7.BP2025'!A:A,DATOS!A144,'7.BP2025'!H:H)</f>
        <v>0</v>
      </c>
      <c r="G144" s="974">
        <f>SUMIF('7.BP2025'!A:A,DATOS!A144,'7.BP2025'!I:I)</f>
        <v>26</v>
      </c>
    </row>
    <row r="145" spans="1:8" outlineLevel="2">
      <c r="A145" s="916" t="s">
        <v>1002</v>
      </c>
      <c r="B145" s="973" t="s">
        <v>888</v>
      </c>
      <c r="C145" s="974">
        <f>-(SUMIF('6.BP2026'!A:A,DATOS!A145,'6.BP2026'!H:H))+(SUMIF('6.BP2026'!A:A,DATOS!A145,'6.BP2026'!G:G))</f>
        <v>0</v>
      </c>
      <c r="D145" s="974">
        <f>SUMIF('6.BP2026'!A:A,DATOS!A145,'6.BP2026'!I:I)</f>
        <v>0</v>
      </c>
      <c r="E145" s="30"/>
      <c r="F145" s="974">
        <f>+SUMIF('7.BP2025'!A:A,DATOS!A145,'7.BP2025'!G:G)-SUMIF('7.BP2025'!A:A,DATOS!A145,'7.BP2025'!H:H)</f>
        <v>0</v>
      </c>
      <c r="G145" s="974">
        <f>SUMIF('7.BP2025'!A:A,DATOS!A145,'7.BP2025'!I:I)</f>
        <v>0</v>
      </c>
    </row>
    <row r="146" spans="1:8" outlineLevel="2">
      <c r="A146" s="122">
        <v>5220</v>
      </c>
      <c r="B146" s="38" t="s">
        <v>119</v>
      </c>
      <c r="C146" s="974">
        <f>-(SUMIF('6.BP2026'!A:A,DATOS!A146,'6.BP2026'!H:H))+(SUMIF('6.BP2026'!A:A,DATOS!A146,'6.BP2026'!G:G))</f>
        <v>85409</v>
      </c>
      <c r="D146" s="974">
        <f>SUMIF('6.BP2026'!A:A,DATOS!A146,'6.BP2026'!I:I)</f>
        <v>509925</v>
      </c>
      <c r="E146" s="48"/>
      <c r="F146" s="974">
        <f>+SUMIF('7.BP2025'!A:A,DATOS!A146,'7.BP2025'!G:G)-SUMIF('7.BP2025'!A:A,DATOS!A146,'7.BP2025'!H:H)</f>
        <v>65084</v>
      </c>
      <c r="G146" s="974">
        <f>SUMIF('7.BP2025'!A:A,DATOS!A146,'7.BP2025'!I:I)</f>
        <v>394049</v>
      </c>
    </row>
    <row r="147" spans="1:8" outlineLevel="2">
      <c r="A147" s="122">
        <v>5225</v>
      </c>
      <c r="B147" s="38" t="s">
        <v>137</v>
      </c>
      <c r="C147" s="974">
        <f>-(SUMIF('6.BP2026'!A:A,DATOS!A147,'6.BP2026'!H:H))+(SUMIF('6.BP2026'!A:A,DATOS!A147,'6.BP2026'!G:G))</f>
        <v>9181</v>
      </c>
      <c r="D147" s="974">
        <f>SUMIF('6.BP2026'!A:A,DATOS!A147,'6.BP2026'!I:I)</f>
        <v>51970</v>
      </c>
      <c r="E147" s="48"/>
      <c r="F147" s="974">
        <f>+SUMIF('7.BP2025'!A:A,DATOS!A147,'7.BP2025'!G:G)-SUMIF('7.BP2025'!A:A,DATOS!A147,'7.BP2025'!H:H)</f>
        <v>12012</v>
      </c>
      <c r="G147" s="974">
        <f>SUMIF('7.BP2025'!A:A,DATOS!A147,'7.BP2025'!I:I)</f>
        <v>73967</v>
      </c>
      <c r="H147" s="48"/>
    </row>
    <row r="148" spans="1:8" outlineLevel="2">
      <c r="A148" s="122">
        <v>5230</v>
      </c>
      <c r="B148" s="38" t="s">
        <v>138</v>
      </c>
      <c r="C148" s="974">
        <f>-(SUMIF('6.BP2026'!A:A,DATOS!A148,'6.BP2026'!H:H))+(SUMIF('6.BP2026'!A:A,DATOS!A148,'6.BP2026'!G:G))</f>
        <v>0</v>
      </c>
      <c r="D148" s="974">
        <f>SUMIF('6.BP2026'!A:A,DATOS!A148,'6.BP2026'!I:I)</f>
        <v>2176</v>
      </c>
      <c r="E148" s="1033"/>
      <c r="F148" s="974">
        <f>+SUMIF('7.BP2025'!A:A,DATOS!A148,'7.BP2025'!G:G)-SUMIF('7.BP2025'!A:A,DATOS!A148,'7.BP2025'!H:H)</f>
        <v>0</v>
      </c>
      <c r="G148" s="974">
        <f>SUMIF('7.BP2025'!A:A,DATOS!A148,'7.BP2025'!I:I)</f>
        <v>10730</v>
      </c>
      <c r="H148" s="48"/>
    </row>
    <row r="149" spans="1:8" outlineLevel="2">
      <c r="A149" s="844">
        <v>5235</v>
      </c>
      <c r="B149" s="845" t="s">
        <v>180</v>
      </c>
      <c r="C149" s="987">
        <f>+SUM(C150:C167)</f>
        <v>36679.5</v>
      </c>
      <c r="D149" s="987">
        <f>+SUM(D150:D167)</f>
        <v>282345.5</v>
      </c>
      <c r="E149" s="1033"/>
      <c r="F149" s="987">
        <f>+SUM(F150:F167)</f>
        <v>63050.5</v>
      </c>
      <c r="G149" s="987">
        <f>+SUM(G150:G167)</f>
        <v>285521</v>
      </c>
      <c r="H149" s="48"/>
    </row>
    <row r="150" spans="1:8" s="69" customFormat="1" outlineLevel="2">
      <c r="A150" s="339">
        <v>52350501</v>
      </c>
      <c r="B150" s="340" t="s">
        <v>387</v>
      </c>
      <c r="C150" s="974">
        <f>-(SUMIF('6.BP2026'!A:A,DATOS!A150,'6.BP2026'!H:H)/2)+(SUMIF('6.BP2026'!A:A,DATOS!A150,'6.BP2026'!G:G)/2)</f>
        <v>906</v>
      </c>
      <c r="D150" s="974">
        <f>SUMIF('6.BP2026'!A:A,DATOS!A150,'6.BP2026'!I:I)/2</f>
        <v>5256.5</v>
      </c>
      <c r="E150" s="1034"/>
      <c r="F150" s="974">
        <f>+(SUMIF('7.BP2025'!A:A,DATOS!A150,'7.BP2025'!G:G)/2)-(SUMIF('7.BP2025'!A:A,DATOS!A150,'7.BP2025'!H:H)/2)</f>
        <v>571.5</v>
      </c>
      <c r="G150" s="974">
        <f>SUMIF('7.BP2025'!A:A,DATOS!A150,'7.BP2025'!I:I)/2</f>
        <v>4638</v>
      </c>
    </row>
    <row r="151" spans="1:8" s="69" customFormat="1" outlineLevel="2">
      <c r="A151" s="339">
        <v>52351001</v>
      </c>
      <c r="B151" s="340" t="s">
        <v>388</v>
      </c>
      <c r="C151" s="974">
        <f>-(SUMIF('6.BP2026'!A:A,DATOS!A151,'6.BP2026'!H:H)/2)+(SUMIF('6.BP2026'!A:A,DATOS!A151,'6.BP2026'!G:G)/2)</f>
        <v>0</v>
      </c>
      <c r="D151" s="974">
        <f>SUMIF('6.BP2026'!A:A,DATOS!A151,'6.BP2026'!I:I)/2</f>
        <v>0</v>
      </c>
      <c r="E151" s="1034"/>
      <c r="F151" s="974">
        <f>+(SUMIF('7.BP2025'!A:A,DATOS!A151,'7.BP2025'!G:G)/2)-(SUMIF('7.BP2025'!A:A,DATOS!A151,'7.BP2025'!H:H)/2)</f>
        <v>10892</v>
      </c>
      <c r="G151" s="974">
        <f>SUMIF('7.BP2025'!A:A,DATOS!A151,'7.BP2025'!I:I)/2</f>
        <v>26366</v>
      </c>
    </row>
    <row r="152" spans="1:8" s="69" customFormat="1" outlineLevel="2">
      <c r="A152" s="339">
        <v>52351002</v>
      </c>
      <c r="B152" s="340" t="s">
        <v>558</v>
      </c>
      <c r="C152" s="974">
        <f>-(SUMIF('6.BP2026'!A:A,DATOS!A152,'6.BP2026'!H:H)/2)+(SUMIF('6.BP2026'!A:A,DATOS!A152,'6.BP2026'!G:G)/2)</f>
        <v>0</v>
      </c>
      <c r="D152" s="974">
        <f>SUMIF('6.BP2026'!A:A,DATOS!A152,'6.BP2026'!I:I)/2</f>
        <v>0</v>
      </c>
      <c r="E152" s="1034"/>
      <c r="F152" s="974">
        <f>+(SUMIF('7.BP2025'!A:A,DATOS!A152,'7.BP2025'!G:G)/2)-(SUMIF('7.BP2025'!A:A,DATOS!A152,'7.BP2025'!H:H)/2)</f>
        <v>871</v>
      </c>
      <c r="G152" s="974">
        <f>SUMIF('7.BP2025'!A:A,DATOS!A152,'7.BP2025'!I:I)/2</f>
        <v>1903</v>
      </c>
    </row>
    <row r="153" spans="1:8" s="69" customFormat="1" outlineLevel="2">
      <c r="A153" s="339">
        <v>523515</v>
      </c>
      <c r="B153" s="340" t="s">
        <v>975</v>
      </c>
      <c r="C153" s="974">
        <f>+(SUMIF('6.BP2026'!A:A,DATOS!A153,'6.BP2026'!G:G)-(SUMIF('6.BP2026'!A:A,DATOS!A153,'6.BP2026'!H:H)))</f>
        <v>0</v>
      </c>
      <c r="D153" s="974">
        <f>SUMIF('6.BP2026'!A:A,DATOS!A153,'6.BP2026'!I:I)</f>
        <v>60</v>
      </c>
      <c r="E153" s="1034"/>
      <c r="F153" s="974">
        <f>+SUMIF('7.BP2025'!A:A,DATOS!A153,'7.BP2025'!G:G)-SUMIF('7.BP2025'!A:A,DATOS!A153,'7.BP2025'!H:H)</f>
        <v>0</v>
      </c>
      <c r="G153" s="974">
        <f>SUMIF('7.BP2025'!A:A,DATOS!A153,'7.BP2025'!I:I)</f>
        <v>0</v>
      </c>
    </row>
    <row r="154" spans="1:8" s="69" customFormat="1" outlineLevel="2">
      <c r="A154" s="339">
        <v>52352001</v>
      </c>
      <c r="B154" s="340" t="s">
        <v>389</v>
      </c>
      <c r="C154" s="974">
        <f>-(SUMIF('6.BP2026'!A:A,DATOS!A154,'6.BP2026'!H:H)/2)+(SUMIF('6.BP2026'!A:A,DATOS!A154,'6.BP2026'!G:G)/2)</f>
        <v>3171.5</v>
      </c>
      <c r="D154" s="974">
        <f>SUMIF('6.BP2026'!A:A,DATOS!A154,'6.BP2026'!I:I)/2</f>
        <v>20719.5</v>
      </c>
      <c r="E154" s="1034"/>
      <c r="F154" s="974">
        <f>+(SUMIF('7.BP2025'!A:A,DATOS!A154,'7.BP2025'!G:G)/2)-(SUMIF('7.BP2025'!A:A,DATOS!A154,'7.BP2025'!H:H)/2)</f>
        <v>4254.5</v>
      </c>
      <c r="G154" s="974">
        <f>SUMIF('7.BP2025'!A:A,DATOS!A154,'7.BP2025'!I:I)/2</f>
        <v>21514</v>
      </c>
    </row>
    <row r="155" spans="1:8" s="69" customFormat="1" outlineLevel="2">
      <c r="A155" s="339">
        <v>52352501</v>
      </c>
      <c r="B155" s="340" t="s">
        <v>396</v>
      </c>
      <c r="C155" s="974">
        <f>-(SUMIF('6.BP2026'!A:A,DATOS!A155,'6.BP2026'!H:H)/2)+(SUMIF('6.BP2026'!A:A,DATOS!A155,'6.BP2026'!G:G)/2)</f>
        <v>1602</v>
      </c>
      <c r="D155" s="974">
        <f>SUMIF('6.BP2026'!A:A,DATOS!A155,'6.BP2026'!I:I)/2</f>
        <v>9085</v>
      </c>
      <c r="E155" s="1034"/>
      <c r="F155" s="974">
        <f>+(SUMIF('7.BP2025'!A:A,DATOS!A155,'7.BP2025'!G:G)/2)-(SUMIF('7.BP2025'!A:A,DATOS!A155,'7.BP2025'!H:H)/2)</f>
        <v>1329</v>
      </c>
      <c r="G155" s="974">
        <f>SUMIF('7.BP2025'!A:A,DATOS!A155,'7.BP2025'!I:I)/2</f>
        <v>7962</v>
      </c>
    </row>
    <row r="156" spans="1:8" s="69" customFormat="1" outlineLevel="2">
      <c r="A156" s="339">
        <v>52353001</v>
      </c>
      <c r="B156" s="340" t="s">
        <v>390</v>
      </c>
      <c r="C156" s="974">
        <f>-(SUMIF('6.BP2026'!A:A,DATOS!A156,'6.BP2026'!H:H)/2)+(SUMIF('6.BP2026'!A:A,DATOS!A156,'6.BP2026'!G:G)/2)</f>
        <v>14094.5</v>
      </c>
      <c r="D156" s="974">
        <f>SUMIF('6.BP2026'!A:A,DATOS!A156,'6.BP2026'!I:I)/2</f>
        <v>84697</v>
      </c>
      <c r="E156" s="1034"/>
      <c r="F156" s="974">
        <f>+(SUMIF('7.BP2025'!A:A,DATOS!A156,'7.BP2025'!G:G)/2)-(SUMIF('7.BP2025'!A:A,DATOS!A156,'7.BP2025'!H:H)/2)</f>
        <v>14028</v>
      </c>
      <c r="G156" s="974">
        <f>SUMIF('7.BP2025'!A:A,DATOS!A156,'7.BP2025'!I:I)/2</f>
        <v>88695.5</v>
      </c>
    </row>
    <row r="157" spans="1:8" s="69" customFormat="1" outlineLevel="2">
      <c r="A157" s="339">
        <v>523535</v>
      </c>
      <c r="B157" s="340" t="s">
        <v>773</v>
      </c>
      <c r="C157" s="974">
        <f>-(SUMIF('6.BP2026'!A:A,DATOS!A157,'6.BP2026'!H:H))+(SUMIF('6.BP2026'!A:A,DATOS!A157,'6.BP2026'!G:G))</f>
        <v>0</v>
      </c>
      <c r="D157" s="974">
        <f>SUMIF('6.BP2026'!A:A,DATOS!A157,'6.BP2026'!I:I)</f>
        <v>1116</v>
      </c>
      <c r="E157" s="1034"/>
      <c r="F157" s="974">
        <f>+(SUMIF('7.BP2025'!A:A,DATOS!A157,'7.BP2025'!G:G))-(SUMIF('7.BP2025'!A:A,DATOS!A157,'7.BP2025'!H:H))</f>
        <v>0</v>
      </c>
      <c r="G157" s="974">
        <f>SUMIF('7.BP2025'!A:A,DATOS!A157,'7.BP2025'!I:I)</f>
        <v>1</v>
      </c>
    </row>
    <row r="158" spans="1:8" outlineLevel="2">
      <c r="A158" s="122">
        <v>52355001</v>
      </c>
      <c r="B158" s="38" t="s">
        <v>366</v>
      </c>
      <c r="C158" s="974">
        <f>-(SUMIF('6.BP2026'!A:A,DATOS!A158,'6.BP2026'!H:H)/2)+(SUMIF('6.BP2026'!A:A,DATOS!A158,'6.BP2026'!G:G)/2)-(SUMIF('6.BP2026'!A:A,52354002,'6.BP2026'!H:H)/2)+(SUMIF('6.BP2026'!A:A,52354002,'6.BP2026'!G:G)/2)</f>
        <v>6283.5</v>
      </c>
      <c r="D158" s="974">
        <f>SUMIF('6.BP2026'!A:A,DATOS!A158,'6.BP2026'!I:I)/2+SUMIF('6.BP2026'!A:A,52354002,'6.BP2026'!I:I)/2</f>
        <v>46292.5</v>
      </c>
      <c r="F158" s="974">
        <f>+(SUMIF('7.BP2025'!A:A,DATOS!A158,'7.BP2025'!G:G)/2)-(SUMIF('7.BP2025'!A:A,DATOS!A158,'7.BP2025'!H:H)/2)</f>
        <v>3352.5</v>
      </c>
      <c r="G158" s="974">
        <f>SUMIF('7.BP2025'!A:A,DATOS!A158,'7.BP2025'!I:I)/2</f>
        <v>21748</v>
      </c>
    </row>
    <row r="159" spans="1:8" outlineLevel="2">
      <c r="A159" s="122">
        <v>52356001</v>
      </c>
      <c r="B159" s="38" t="s">
        <v>884</v>
      </c>
      <c r="C159" s="974">
        <f>-(SUMIF('6.BP2026'!A:A,DATOS!A159,'6.BP2026'!H:H)/2)+(SUMIF('6.BP2026'!A:A,DATOS!A159,'6.BP2026'!G:G)/2)</f>
        <v>763</v>
      </c>
      <c r="D159" s="974">
        <f>SUMIF('6.BP2026'!A:A,DATOS!A159,'6.BP2026'!I:I)/2</f>
        <v>5203</v>
      </c>
      <c r="F159" s="974">
        <f>+(SUMIF('7.BP2025'!A:A,DATOS!A159,'7.BP2025'!G:G)/2)-(SUMIF('7.BP2025'!A:A,DATOS!A159,'7.BP2025'!H:H)/2)</f>
        <v>7649</v>
      </c>
      <c r="G159" s="974">
        <f>SUMIF('7.BP2025'!A:A,DATOS!A159,'7.BP2025'!I:I)/2</f>
        <v>13036</v>
      </c>
    </row>
    <row r="160" spans="1:8" outlineLevel="2">
      <c r="A160" s="122">
        <v>52356501</v>
      </c>
      <c r="B160" s="38" t="s">
        <v>774</v>
      </c>
      <c r="C160" s="974">
        <f>-(SUMIF('6.BP2026'!A:A,DATOS!A160,'6.BP2026'!H:H)/2)+(SUMIF('6.BP2026'!A:A,DATOS!A160,'6.BP2026'!G:G)/2)</f>
        <v>110</v>
      </c>
      <c r="D160" s="974">
        <f>SUMIF('6.BP2026'!A:A,DATOS!A160,'6.BP2026'!I:I)/2</f>
        <v>659</v>
      </c>
      <c r="F160" s="974">
        <f>+(SUMIF('7.BP2025'!A:A,DATOS!A160,'7.BP2025'!G:G)/2)-(SUMIF('7.BP2025'!A:A,DATOS!A160,'7.BP2025'!H:H)/2)</f>
        <v>387.5</v>
      </c>
      <c r="G160" s="974">
        <f>SUMIF('7.BP2025'!A:A,DATOS!A160,'7.BP2025'!I:I)/2</f>
        <v>1106</v>
      </c>
    </row>
    <row r="161" spans="1:9" outlineLevel="2">
      <c r="A161" s="122">
        <v>52359503</v>
      </c>
      <c r="B161" s="38" t="s">
        <v>775</v>
      </c>
      <c r="C161" s="974">
        <f>-(SUMIF('6.BP2026'!A:A,DATOS!A161,'6.BP2026'!H:H)/2)+(SUMIF('6.BP2026'!A:A,DATOS!A161,'6.BP2026'!G:G)/2)</f>
        <v>5580</v>
      </c>
      <c r="D161" s="974">
        <f>SUMIF('6.BP2026'!A:A,DATOS!A161,'6.BP2026'!I:I)/2</f>
        <v>80470</v>
      </c>
      <c r="F161" s="974">
        <f>+(SUMIF('7.BP2025'!A:A,DATOS!A161,'7.BP2025'!G:G)/2)-(SUMIF('7.BP2025'!A:A,DATOS!A161,'7.BP2025'!H:H)/2)</f>
        <v>16825.5</v>
      </c>
      <c r="G161" s="974">
        <f>SUMIF('7.BP2025'!A:A,DATOS!A161,'7.BP2025'!I:I)/2</f>
        <v>79623.5</v>
      </c>
    </row>
    <row r="162" spans="1:9" outlineLevel="2">
      <c r="A162" s="122">
        <v>52359504</v>
      </c>
      <c r="B162" s="38" t="s">
        <v>940</v>
      </c>
      <c r="C162" s="974">
        <f>-(SUMIF('6.BP2026'!A:A,DATOS!A162,'6.BP2026'!H:H)/2)+(SUMIF('6.BP2026'!A:A,DATOS!A162,'6.BP2026'!G:G)/2)</f>
        <v>2548</v>
      </c>
      <c r="D162" s="974">
        <f>SUMIF('6.BP2026'!A:A,DATOS!A162,'6.BP2026'!I:I)/2</f>
        <v>15136</v>
      </c>
      <c r="F162" s="974">
        <f>+(SUMIF('7.BP2025'!A:A,DATOS!A162,'7.BP2025'!G:G)/2)-(SUMIF('7.BP2025'!A:A,DATOS!A162,'7.BP2025'!H:H)/2)</f>
        <v>0</v>
      </c>
      <c r="G162" s="974">
        <f>SUMIF('7.BP2025'!A:A,DATOS!A162,'7.BP2025'!I:I)/2</f>
        <v>4495</v>
      </c>
    </row>
    <row r="163" spans="1:9" outlineLevel="2">
      <c r="A163" s="122">
        <v>52359505</v>
      </c>
      <c r="B163" s="38" t="s">
        <v>546</v>
      </c>
      <c r="C163" s="974">
        <f>-(SUMIF('6.BP2026'!A:A,DATOS!A163,'6.BP2026'!H:H)/2)+(SUMIF('6.BP2026'!A:A,DATOS!A163,'6.BP2026'!G:G)/2)</f>
        <v>635</v>
      </c>
      <c r="D163" s="974">
        <f>SUMIF('6.BP2026'!A:A,DATOS!A163,'6.BP2026'!I:I)/2</f>
        <v>6527</v>
      </c>
      <c r="F163" s="974">
        <f>+(SUMIF('7.BP2025'!A:A,DATOS!A163,'7.BP2025'!G:G)/2)-(SUMIF('7.BP2025'!A:A,DATOS!A163,'7.BP2025'!H:H)/2)</f>
        <v>1399</v>
      </c>
      <c r="G163" s="974">
        <f>SUMIF('7.BP2025'!A:A,DATOS!A163,'7.BP2025'!I:I)/2</f>
        <v>4828</v>
      </c>
    </row>
    <row r="164" spans="1:9" outlineLevel="2">
      <c r="A164" s="122">
        <v>52359506</v>
      </c>
      <c r="B164" s="38" t="s">
        <v>976</v>
      </c>
      <c r="C164" s="974">
        <f>-(SUMIF('6.BP2026'!A:A,DATOS!A164,'6.BP2026'!H:H)/2)+(SUMIF('6.BP2026'!A:A,DATOS!A164,'6.BP2026'!G:G)/2)</f>
        <v>0</v>
      </c>
      <c r="D164" s="974">
        <f>SUMIF('6.BP2026'!A:A,DATOS!A164,'6.BP2026'!I:I)/2</f>
        <v>0</v>
      </c>
      <c r="F164" s="974">
        <f>+(SUMIF('7.BP2025'!A:A,DATOS!A164,'7.BP2025'!G:G)/2)-(SUMIF('7.BP2025'!A:A,DATOS!A164,'7.BP2025'!H:H)/2)</f>
        <v>0</v>
      </c>
      <c r="G164" s="974">
        <f>SUMIF('7.BP2025'!A:A,DATOS!A164,'7.BP2025'!I:I)/2</f>
        <v>0</v>
      </c>
    </row>
    <row r="165" spans="1:9" outlineLevel="2">
      <c r="A165" s="122">
        <v>52359507</v>
      </c>
      <c r="B165" s="38" t="s">
        <v>1432</v>
      </c>
      <c r="C165" s="974">
        <f>-(SUMIF('6.BP2026'!A:A,DATOS!A165,'6.BP2026'!H:H)/2)+(SUMIF('6.BP2026'!A:A,DATOS!A165,'6.BP2026'!G:G)/2)</f>
        <v>0</v>
      </c>
      <c r="D165" s="974">
        <f>SUMIF('6.BP2026'!A:A,DATOS!A165,'6.BP2026'!I:I)/2</f>
        <v>30</v>
      </c>
      <c r="F165" s="974">
        <f>+(SUMIF('7.BP2025'!A:A,DATOS!A165,'7.BP2025'!G:G)/2)-(SUMIF('7.BP2025'!A:A,DATOS!A165,'7.BP2025'!H:H)/2)</f>
        <v>0</v>
      </c>
      <c r="G165" s="974">
        <f>SUMIF('7.BP2025'!A:A,DATOS!A165,'7.BP2025'!I:I)/2</f>
        <v>0</v>
      </c>
    </row>
    <row r="166" spans="1:9" outlineLevel="2">
      <c r="A166" s="122">
        <v>52359509</v>
      </c>
      <c r="B166" s="38" t="s">
        <v>776</v>
      </c>
      <c r="C166" s="974">
        <f>-(SUMIF('6.BP2026'!A:A,DATOS!A166,'6.BP2026'!H:H)/2)+(SUMIF('6.BP2026'!A:A,DATOS!A166,'6.BP2026'!G:G)/2)</f>
        <v>0</v>
      </c>
      <c r="D166" s="974">
        <f>SUMIF('6.BP2026'!A:A,DATOS!A166,'6.BP2026'!I:I)/2</f>
        <v>110</v>
      </c>
      <c r="F166" s="974">
        <f>+(SUMIF('7.BP2025'!A:A,DATOS!A166,'7.BP2025'!G:G)/2)-(SUMIF('7.BP2025'!A:A,DATOS!A166,'7.BP2025'!H:H)/2)</f>
        <v>0</v>
      </c>
      <c r="G166" s="974">
        <f>SUMIF('7.BP2025'!A:A,DATOS!A166,'7.BP2025'!I:I)/2</f>
        <v>95</v>
      </c>
    </row>
    <row r="167" spans="1:9" outlineLevel="2">
      <c r="A167" s="122">
        <v>52359595</v>
      </c>
      <c r="B167" s="38" t="s">
        <v>391</v>
      </c>
      <c r="C167" s="974">
        <f>-(SUMIF('6.BP2026'!A:A,DATOS!A167,'6.BP2026'!H:H)/2)+(SUMIF('6.BP2026'!A:A,DATOS!A167,'6.BP2026'!G:G)/2)</f>
        <v>986</v>
      </c>
      <c r="D167" s="974">
        <f>SUMIF('6.BP2026'!A:A,DATOS!A167,'6.BP2026'!I:I)/2</f>
        <v>6984</v>
      </c>
      <c r="F167" s="974">
        <f>+(SUMIF('7.BP2025'!A:A,DATOS!A167,'7.BP2025'!G:G)/2)-(SUMIF('7.BP2025'!A:A,DATOS!A167,'7.BP2025'!H:H)/2)</f>
        <v>1491</v>
      </c>
      <c r="G167" s="974">
        <f>SUMIF('7.BP2025'!A:A,DATOS!A167,'7.BP2025'!I:I)/2</f>
        <v>9510</v>
      </c>
    </row>
    <row r="168" spans="1:9" outlineLevel="2">
      <c r="A168" s="122">
        <v>5240</v>
      </c>
      <c r="B168" s="38" t="s">
        <v>139</v>
      </c>
      <c r="C168" s="974">
        <f>-(SUMIF('6.BP2026'!A:A,DATOS!A168,'6.BP2026'!H:H))+(SUMIF('6.BP2026'!A:A,DATOS!A168,'6.BP2026'!G:G))</f>
        <v>12</v>
      </c>
      <c r="D168" s="974">
        <f>SUMIF('6.BP2026'!A:A,DATOS!A168,'6.BP2026'!I:I)</f>
        <v>6582</v>
      </c>
      <c r="E168" s="48"/>
      <c r="F168" s="974">
        <f>+SUMIF('7.BP2025'!A:A,DATOS!A168,'7.BP2025'!G:G)-SUMIF('7.BP2025'!A:A,DATOS!A168,'7.BP2025'!H:H)</f>
        <v>0</v>
      </c>
      <c r="G168" s="974">
        <f>SUMIF('7.BP2025'!A:A,DATOS!A168,'7.BP2025'!I:I)</f>
        <v>6130</v>
      </c>
    </row>
    <row r="169" spans="1:9" outlineLevel="2">
      <c r="A169" s="122">
        <v>5245</v>
      </c>
      <c r="B169" s="38" t="s">
        <v>140</v>
      </c>
      <c r="C169" s="974">
        <f>-(SUMIF('6.BP2026'!A:A,DATOS!A169,'6.BP2026'!H:H))+(SUMIF('6.BP2026'!A:A,DATOS!A169,'6.BP2026'!G:G))</f>
        <v>2778</v>
      </c>
      <c r="D169" s="974">
        <f>SUMIF('6.BP2026'!A:A,DATOS!A169,'6.BP2026'!I:I)</f>
        <v>24804</v>
      </c>
      <c r="E169" s="48"/>
      <c r="F169" s="974">
        <f>+SUMIF('7.BP2025'!A:A,DATOS!A169,'7.BP2025'!G:G)-SUMIF('7.BP2025'!A:A,DATOS!A169,'7.BP2025'!H:H)</f>
        <v>2795</v>
      </c>
      <c r="G169" s="974">
        <f>SUMIF('7.BP2025'!A:A,DATOS!A169,'7.BP2025'!I:I)</f>
        <v>15052</v>
      </c>
    </row>
    <row r="170" spans="1:9" outlineLevel="2">
      <c r="A170" s="122">
        <v>5250</v>
      </c>
      <c r="B170" s="38" t="s">
        <v>781</v>
      </c>
      <c r="C170" s="974">
        <f>-(SUMIF('6.BP2026'!A:A,DATOS!A170,'6.BP2026'!H:H))+(SUMIF('6.BP2026'!A:A,DATOS!A170,'6.BP2026'!G:G))</f>
        <v>0</v>
      </c>
      <c r="D170" s="974">
        <f>SUMIF('6.BP2026'!A:A,DATOS!A170,'6.BP2026'!I:I)</f>
        <v>2941</v>
      </c>
      <c r="E170" s="48"/>
      <c r="F170" s="974">
        <f>+SUMIF('7.BP2025'!A:A,DATOS!A170,'7.BP2025'!G:G)-SUMIF('7.BP2025'!A:A,DATOS!A170,'7.BP2025'!H:H)</f>
        <v>1387</v>
      </c>
      <c r="G170" s="974">
        <f>SUMIF('7.BP2025'!A:A,DATOS!A170,'7.BP2025'!I:I)</f>
        <v>13492</v>
      </c>
    </row>
    <row r="171" spans="1:9" outlineLevel="2">
      <c r="A171" s="122">
        <v>5260</v>
      </c>
      <c r="B171" s="38" t="s">
        <v>149</v>
      </c>
      <c r="C171" s="974">
        <f>-(SUMIF('6.BP2026'!A:A,DATOS!A171,'6.BP2026'!H:H))+(SUMIF('6.BP2026'!A:A,DATOS!A171,'6.BP2026'!G:G))</f>
        <v>904</v>
      </c>
      <c r="D171" s="974">
        <f>SUMIF('6.BP2026'!A:A,DATOS!A171,'6.BP2026'!I:I)</f>
        <v>5402</v>
      </c>
      <c r="E171" s="48"/>
      <c r="F171" s="974">
        <f>+SUMIF('7.BP2025'!A:A,DATOS!A171,'7.BP2025'!G:G)-SUMIF('7.BP2025'!A:A,DATOS!A171,'7.BP2025'!H:H)</f>
        <v>890</v>
      </c>
      <c r="G171" s="974">
        <f>SUMIF('7.BP2025'!A:A,DATOS!A171,'7.BP2025'!I:I)</f>
        <v>5481</v>
      </c>
    </row>
    <row r="172" spans="1:9" outlineLevel="2">
      <c r="A172" s="844">
        <v>5295</v>
      </c>
      <c r="B172" s="845" t="s">
        <v>414</v>
      </c>
      <c r="C172" s="987">
        <f>+SUM(C173:C191)</f>
        <v>3264</v>
      </c>
      <c r="D172" s="987">
        <f>+SUM(D173:D191)</f>
        <v>21643.5</v>
      </c>
      <c r="E172" s="48"/>
      <c r="F172" s="987">
        <f>+SUM(F173:F191)</f>
        <v>3975</v>
      </c>
      <c r="G172" s="987">
        <f>+SUM(G173:G191)</f>
        <v>27620</v>
      </c>
    </row>
    <row r="173" spans="1:9" outlineLevel="2">
      <c r="A173" s="122">
        <v>52952501</v>
      </c>
      <c r="B173" s="38" t="s">
        <v>970</v>
      </c>
      <c r="C173" s="974">
        <f>-(SUMIF('6.BP2026'!A:A,DATOS!A173,'6.BP2026'!H:H)/2)+(SUMIF('6.BP2026'!A:A,DATOS!A173,'6.BP2026'!G:G)/2)</f>
        <v>0</v>
      </c>
      <c r="D173" s="974">
        <f>SUMIF('6.BP2026'!A:A,DATOS!A173,'6.BP2026'!I:I)/2</f>
        <v>112</v>
      </c>
      <c r="F173" s="974">
        <f>+(SUMIF('7.BP2025'!A:A,DATOS!A173,'7.BP2025'!G:G)/2)-(SUMIF('7.BP2025'!A:A,DATOS!A173,'7.BP2025'!H:H)/2)</f>
        <v>0</v>
      </c>
      <c r="G173" s="974">
        <f>SUMIF('7.BP2025'!A:A,DATOS!A173,'7.BP2025'!I:I)/2</f>
        <v>0</v>
      </c>
      <c r="I173" s="48"/>
    </row>
    <row r="174" spans="1:9" outlineLevel="2">
      <c r="A174" s="122">
        <v>52952502</v>
      </c>
      <c r="B174" s="38" t="s">
        <v>548</v>
      </c>
      <c r="C174" s="974">
        <f>-(SUMIF('6.BP2026'!A:A,DATOS!A174,'6.BP2026'!H:H)/2)+(SUMIF('6.BP2026'!A:A,DATOS!A174,'6.BP2026'!G:G)/2)</f>
        <v>1375</v>
      </c>
      <c r="D174" s="974">
        <f>SUMIF('6.BP2026'!A:A,DATOS!A174,'6.BP2026'!I:I)/2</f>
        <v>6826.5</v>
      </c>
      <c r="F174" s="974">
        <f>+(SUMIF('7.BP2025'!A:A,DATOS!A174,'7.BP2025'!G:G)/2)-(SUMIF('7.BP2025'!A:A,DATOS!A174,'7.BP2025'!H:H)/2)</f>
        <v>1421</v>
      </c>
      <c r="G174" s="974">
        <f>SUMIF('7.BP2025'!A:A,DATOS!A174,'7.BP2025'!I:I)/2</f>
        <v>7623</v>
      </c>
    </row>
    <row r="175" spans="1:9" outlineLevel="2">
      <c r="A175" s="122">
        <v>52953001</v>
      </c>
      <c r="B175" s="38" t="s">
        <v>399</v>
      </c>
      <c r="C175" s="974">
        <f>-(SUMIF('6.BP2026'!A:A,DATOS!A175,'6.BP2026'!H:H)/2)+(SUMIF('6.BP2026'!A:A,DATOS!A175,'6.BP2026'!G:G)/2)</f>
        <v>499</v>
      </c>
      <c r="D175" s="974">
        <f>SUMIF('6.BP2026'!A:A,DATOS!A175,'6.BP2026'!I:I)/2</f>
        <v>3219.5</v>
      </c>
      <c r="F175" s="974">
        <f>+(SUMIF('7.BP2025'!A:A,DATOS!A175,'7.BP2025'!G:G)/2)-(SUMIF('7.BP2025'!A:A,DATOS!A175,'7.BP2025'!H:H)/2)</f>
        <v>361</v>
      </c>
      <c r="G175" s="974">
        <f>SUMIF('7.BP2025'!A:A,DATOS!A175,'7.BP2025'!I:I)/2</f>
        <v>3767.5</v>
      </c>
    </row>
    <row r="176" spans="1:9" outlineLevel="2">
      <c r="A176" s="122">
        <v>52953501</v>
      </c>
      <c r="B176" s="38" t="s">
        <v>1433</v>
      </c>
      <c r="C176" s="974">
        <f>-(SUMIF('6.BP2026'!A:A,DATOS!A176,'6.BP2026'!H:H)/2)+(SUMIF('6.BP2026'!A:A,DATOS!A176,'6.BP2026'!G:G)/2)</f>
        <v>0</v>
      </c>
      <c r="D176" s="974">
        <f>SUMIF('6.BP2026'!A:A,DATOS!A176,'6.BP2026'!I:I)/2</f>
        <v>0</v>
      </c>
      <c r="F176" s="974">
        <f>+(SUMIF('7.BP2025'!A:A,DATOS!A176,'7.BP2025'!G:G)/2)-(SUMIF('7.BP2025'!A:A,DATOS!A176,'7.BP2025'!H:H)/2)</f>
        <v>0</v>
      </c>
      <c r="G176" s="974">
        <f>SUMIF('7.BP2025'!A:A,DATOS!A176,'7.BP2025'!I:I)/2</f>
        <v>0</v>
      </c>
    </row>
    <row r="177" spans="1:9" outlineLevel="2">
      <c r="A177" s="122">
        <v>52954001</v>
      </c>
      <c r="B177" s="38" t="s">
        <v>477</v>
      </c>
      <c r="C177" s="974">
        <f>-(SUMIF('6.BP2026'!A:A,DATOS!A177,'6.BP2026'!H:H)/2)+(SUMIF('6.BP2026'!A:A,DATOS!A177,'6.BP2026'!G:G)/2)</f>
        <v>0</v>
      </c>
      <c r="D177" s="974">
        <f>SUMIF('6.BP2026'!A:A,DATOS!A177,'6.BP2026'!I:I)/2</f>
        <v>69</v>
      </c>
      <c r="F177" s="974">
        <f>+(SUMIF('7.BP2025'!A:A,DATOS!A177,'7.BP2025'!G:G)/2)-(SUMIF('7.BP2025'!A:A,DATOS!A177,'7.BP2025'!H:H)/2)</f>
        <v>190.5</v>
      </c>
      <c r="G177" s="974">
        <f>SUMIF('7.BP2025'!A:A,DATOS!A177,'7.BP2025'!I:I)/2</f>
        <v>420</v>
      </c>
    </row>
    <row r="178" spans="1:9" outlineLevel="2">
      <c r="A178" s="122">
        <v>52954501</v>
      </c>
      <c r="B178" s="38" t="s">
        <v>394</v>
      </c>
      <c r="C178" s="974">
        <f>-(SUMIF('6.BP2026'!A:A,DATOS!A178,'6.BP2026'!H:H)/2)+(SUMIF('6.BP2026'!A:A,DATOS!A178,'6.BP2026'!G:G)/2)</f>
        <v>312</v>
      </c>
      <c r="D178" s="974">
        <f>SUMIF('6.BP2026'!A:A,DATOS!A178,'6.BP2026'!I:I)/2</f>
        <v>2034.5</v>
      </c>
      <c r="F178" s="974">
        <f>+(SUMIF('7.BP2025'!A:A,DATOS!A178,'7.BP2025'!G:G)/2)-(SUMIF('7.BP2025'!A:A,DATOS!A178,'7.BP2025'!H:H)/2)</f>
        <v>377</v>
      </c>
      <c r="G178" s="974">
        <f>SUMIF('7.BP2025'!A:A,DATOS!A178,'7.BP2025'!I:I)/2</f>
        <v>1649</v>
      </c>
      <c r="I178" s="48"/>
    </row>
    <row r="179" spans="1:9" outlineLevel="2">
      <c r="A179" s="122">
        <v>52956001</v>
      </c>
      <c r="B179" s="38" t="s">
        <v>1532</v>
      </c>
      <c r="C179" s="974">
        <f>-(SUMIF('6.BP2026'!A:A,DATOS!A179,'6.BP2026'!H:H)/2)+(SUMIF('6.BP2026'!A:A,DATOS!A179,'6.BP2026'!G:G)/2)</f>
        <v>0</v>
      </c>
      <c r="D179" s="974">
        <f>SUMIF('6.BP2026'!A:A,DATOS!A179,'6.BP2026'!I:I)/2</f>
        <v>38</v>
      </c>
      <c r="F179" s="974">
        <f>+(SUMIF('7.BP2025'!A:A,DATOS!A179,'7.BP2025'!G:G)/2)-(SUMIF('7.BP2025'!A:A,DATOS!A179,'7.BP2025'!H:H)/2)</f>
        <v>0</v>
      </c>
      <c r="G179" s="974">
        <f>SUMIF('7.BP2025'!A:A,DATOS!A179,'7.BP2025'!I:I)/2</f>
        <v>0</v>
      </c>
      <c r="I179" s="48"/>
    </row>
    <row r="180" spans="1:9" outlineLevel="2">
      <c r="A180" s="122">
        <v>52956501</v>
      </c>
      <c r="B180" s="38" t="s">
        <v>795</v>
      </c>
      <c r="C180" s="974">
        <f>-(SUMIF('6.BP2026'!A:A,DATOS!A180,'6.BP2026'!H:H)/2)+(SUMIF('6.BP2026'!A:A,DATOS!A180,'6.BP2026'!G:G)/2)</f>
        <v>19</v>
      </c>
      <c r="D180" s="974">
        <f>SUMIF('6.BP2026'!A:A,DATOS!A180,'6.BP2026'!I:I)/2</f>
        <v>83.5</v>
      </c>
      <c r="F180" s="974">
        <f>+(SUMIF('7.BP2025'!A:A,DATOS!A180,'7.BP2025'!G:G)/2)-(SUMIF('7.BP2025'!A:A,DATOS!A180,'7.BP2025'!H:H)/2)</f>
        <v>95</v>
      </c>
      <c r="G180" s="974">
        <f>SUMIF('7.BP2025'!A:A,DATOS!A180,'7.BP2025'!I:I)/2</f>
        <v>813</v>
      </c>
    </row>
    <row r="181" spans="1:9" outlineLevel="2">
      <c r="A181" s="122">
        <v>52959501</v>
      </c>
      <c r="B181" s="38" t="s">
        <v>434</v>
      </c>
      <c r="C181" s="974">
        <f>-(SUMIF('6.BP2026'!A:A,DATOS!A181,'6.BP2026'!H:H)/2)+(SUMIF('6.BP2026'!A:A,DATOS!A181,'6.BP2026'!G:G)/2)</f>
        <v>24</v>
      </c>
      <c r="D181" s="974">
        <f>SUMIF('6.BP2026'!A:A,DATOS!A181,'6.BP2026'!I:I)/2</f>
        <v>874</v>
      </c>
      <c r="F181" s="974">
        <f>+(SUMIF('7.BP2025'!A:A,DATOS!A181,'7.BP2025'!G:G)/2)-(SUMIF('7.BP2025'!A:A,DATOS!A181,'7.BP2025'!H:H)/2)</f>
        <v>265</v>
      </c>
      <c r="G181" s="974">
        <f>SUMIF('7.BP2025'!A:A,DATOS!A181,'7.BP2025'!I:I)/2</f>
        <v>2159.5</v>
      </c>
    </row>
    <row r="182" spans="1:9" outlineLevel="2">
      <c r="A182" s="122">
        <v>52959502</v>
      </c>
      <c r="B182" s="38" t="s">
        <v>971</v>
      </c>
      <c r="C182" s="974">
        <f>-(SUMIF('6.BP2026'!A:A,DATOS!A182,'6.BP2026'!H:H)/2)+(SUMIF('6.BP2026'!A:A,DATOS!A182,'6.BP2026'!G:G)/2)</f>
        <v>0</v>
      </c>
      <c r="D182" s="974">
        <f>SUMIF('6.BP2026'!A:A,DATOS!A182,'6.BP2026'!I:I)/2</f>
        <v>0</v>
      </c>
      <c r="F182" s="974">
        <f>+(SUMIF('7.BP2025'!A:A,DATOS!A182,'7.BP2025'!G:G)/2)-(SUMIF('7.BP2025'!A:A,DATOS!A182,'7.BP2025'!H:H)/2)</f>
        <v>0</v>
      </c>
      <c r="G182" s="974">
        <f>SUMIF('7.BP2025'!A:A,DATOS!A182,'7.BP2025'!I:I)/2</f>
        <v>0</v>
      </c>
    </row>
    <row r="183" spans="1:9" outlineLevel="2">
      <c r="A183" s="122">
        <v>52959506</v>
      </c>
      <c r="B183" s="38" t="s">
        <v>550</v>
      </c>
      <c r="C183" s="974">
        <f>-(SUMIF('6.BP2026'!A:A,DATOS!A183,'6.BP2026'!H:H)/2)+(SUMIF('6.BP2026'!A:A,DATOS!A183,'6.BP2026'!G:G)/2)</f>
        <v>59</v>
      </c>
      <c r="D183" s="974">
        <f>SUMIF('6.BP2026'!A:A,DATOS!A183,'6.BP2026'!I:I)/2</f>
        <v>3169</v>
      </c>
      <c r="F183" s="974">
        <f>+(SUMIF('7.BP2025'!A:A,DATOS!A183,'7.BP2025'!G:G)/2)-(SUMIF('7.BP2025'!A:A,DATOS!A183,'7.BP2025'!H:H)/2)</f>
        <v>792</v>
      </c>
      <c r="G183" s="974">
        <f>SUMIF('7.BP2025'!A:A,DATOS!A183,'7.BP2025'!I:I)/2</f>
        <v>3814</v>
      </c>
    </row>
    <row r="184" spans="1:9" outlineLevel="2">
      <c r="A184" s="122">
        <v>52959508</v>
      </c>
      <c r="B184" s="38" t="s">
        <v>549</v>
      </c>
      <c r="C184" s="974">
        <f>-(SUMIF('6.BP2026'!A:A,DATOS!A184,'6.BP2026'!H:H)/2)+(SUMIF('6.BP2026'!A:A,DATOS!A184,'6.BP2026'!G:G)/2)</f>
        <v>174</v>
      </c>
      <c r="D184" s="974">
        <f>SUMIF('6.BP2026'!A:A,DATOS!A184,'6.BP2026'!I:I)/2</f>
        <v>2422</v>
      </c>
      <c r="E184" s="101"/>
      <c r="F184" s="974">
        <f>+(SUMIF('7.BP2025'!A:A,DATOS!A184,'7.BP2025'!G:G)/2)-(SUMIF('7.BP2025'!A:A,DATOS!A184,'7.BP2025'!H:H)/2)</f>
        <v>152</v>
      </c>
      <c r="G184" s="974">
        <f>SUMIF('7.BP2025'!A:A,DATOS!A184,'7.BP2025'!I:I)/2</f>
        <v>3433.5</v>
      </c>
    </row>
    <row r="185" spans="1:9" outlineLevel="2">
      <c r="A185" s="122">
        <v>52959514</v>
      </c>
      <c r="B185" s="38" t="s">
        <v>1424</v>
      </c>
      <c r="C185" s="974">
        <f>-(SUMIF('6.BP2026'!A:A,DATOS!A185,'6.BP2026'!H:H)/2)+(SUMIF('6.BP2026'!A:A,DATOS!A185,'6.BP2026'!G:G)/2)</f>
        <v>0</v>
      </c>
      <c r="D185" s="974">
        <f>SUMIF('6.BP2026'!A:A,DATOS!A185,'6.BP2026'!I:I)/2</f>
        <v>0</v>
      </c>
      <c r="F185" s="974">
        <f>+(SUMIF('7.BP2025'!A:A,DATOS!A185,'7.BP2025'!G:G)/2)-(SUMIF('7.BP2025'!A:A,DATOS!A185,'7.BP2025'!H:H)/2)</f>
        <v>0</v>
      </c>
      <c r="G185" s="974">
        <f>SUMIF('7.BP2025'!A:A,DATOS!A185,'7.BP2025'!I:I)/2</f>
        <v>0</v>
      </c>
    </row>
    <row r="186" spans="1:9" outlineLevel="2">
      <c r="A186" s="122">
        <v>52959515</v>
      </c>
      <c r="B186" s="38" t="s">
        <v>941</v>
      </c>
      <c r="C186" s="974">
        <f>-(SUMIF('6.BP2026'!A:A,DATOS!A186,'6.BP2026'!H:H)/2)+(SUMIF('6.BP2026'!A:A,DATOS!A186,'6.BP2026'!G:G)/2)</f>
        <v>68</v>
      </c>
      <c r="D186" s="974">
        <f>SUMIF('6.BP2026'!A:A,DATOS!A186,'6.BP2026'!I:I)/2</f>
        <v>64</v>
      </c>
      <c r="F186" s="974">
        <f>+(SUMIF('7.BP2025'!A:A,DATOS!A186,'7.BP2025'!G:G)/2)-(SUMIF('7.BP2025'!A:A,DATOS!A186,'7.BP2025'!H:H)/2)</f>
        <v>0</v>
      </c>
      <c r="G186" s="974">
        <f>SUMIF('7.BP2025'!A:A,DATOS!A186,'7.BP2025'!I:I)/2</f>
        <v>0</v>
      </c>
    </row>
    <row r="187" spans="1:9" ht="13.15" customHeight="1" outlineLevel="2">
      <c r="A187" s="122">
        <v>52959516</v>
      </c>
      <c r="B187" s="38" t="s">
        <v>784</v>
      </c>
      <c r="C187" s="974">
        <f>-(SUMIF('6.BP2026'!A:A,DATOS!A187,'6.BP2026'!H:H)/2)+(SUMIF('6.BP2026'!A:A,DATOS!A187,'6.BP2026'!G:G)/2)</f>
        <v>58</v>
      </c>
      <c r="D187" s="974">
        <f>SUMIF('6.BP2026'!A:A,DATOS!A187,'6.BP2026'!I:I)/2</f>
        <v>467</v>
      </c>
      <c r="F187" s="974">
        <f>+(SUMIF('7.BP2025'!A:A,DATOS!A187,'7.BP2025'!G:G)/2)-(SUMIF('7.BP2025'!A:A,DATOS!A187,'7.BP2025'!H:H)/2)</f>
        <v>86</v>
      </c>
      <c r="G187" s="974">
        <f>SUMIF('7.BP2025'!A:A,DATOS!A187,'7.BP2025'!I:I)/2</f>
        <v>386</v>
      </c>
    </row>
    <row r="188" spans="1:9" outlineLevel="2">
      <c r="A188" s="122">
        <v>52959595</v>
      </c>
      <c r="B188" s="38" t="s">
        <v>147</v>
      </c>
      <c r="C188" s="974">
        <f>-(SUMIF('6.BP2026'!A:A,DATOS!A188,'6.BP2026'!H:H)/2)+(SUMIF('6.BP2026'!A:A,DATOS!A188,'6.BP2026'!G:G)/2)</f>
        <v>5</v>
      </c>
      <c r="D188" s="974">
        <f>SUMIF('6.BP2026'!A:A,DATOS!A188,'6.BP2026'!I:I)/2</f>
        <v>465.5</v>
      </c>
      <c r="F188" s="974">
        <f>+(SUMIF('7.BP2025'!A:A,DATOS!A188,'7.BP2025'!G:G)/2)-(SUMIF('7.BP2025'!A:A,DATOS!A188,'7.BP2025'!H:H)/2)</f>
        <v>11</v>
      </c>
      <c r="G188" s="974">
        <f>SUMIF('7.BP2025'!A:A,DATOS!A188,'7.BP2025'!I:I)/2</f>
        <v>791</v>
      </c>
    </row>
    <row r="189" spans="1:9" outlineLevel="2">
      <c r="A189" s="122">
        <v>52959601</v>
      </c>
      <c r="B189" s="38" t="s">
        <v>942</v>
      </c>
      <c r="C189" s="974">
        <f>-(SUMIF('6.BP2026'!A:A,DATOS!A189,'6.BP2026'!H:H)/2)+(SUMIF('6.BP2026'!A:A,DATOS!A189,'6.BP2026'!G:G)/2)-(SUMIF('6.BP2026'!A:A,52959603,'6.BP2026'!H:H)/2)+(SUMIF('6.BP2026'!A:A,52959603,'6.BP2026'!G:G)/2)-(SUMIF('6.BP2026'!A:A,52959605,'6.BP2026'!H:H)/2)+(SUMIF('6.BP2026'!A:A,52959605,'6.BP2026'!G:G)/2)-(SUMIF('6.BP2026'!A:A,52959609,'6.BP2026'!H:H)/2)+(SUMIF('6.BP2026'!A:A,52959609,'6.BP2026'!G:G)/2)-(SUMIF('6.BP2026'!A:A,52959611,'6.BP2026'!H:H)/2)+(SUMIF('6.BP2026'!A:A,52959611,'6.BP2026'!G:G)/2)</f>
        <v>149</v>
      </c>
      <c r="D189" s="974">
        <f>SUMIF('6.BP2026'!A:A,DATOS!A189,'6.BP2026'!I:I)/2+SUMIF('6.BP2026'!A:A,52959603,'6.BP2026'!I:I)/2+SUMIF('6.BP2026'!A:A,52959605,'6.BP2026'!I:I)/2+SUMIF('6.BP2026'!A:A,52959609,'6.BP2026'!I:I)/2+SUMIF('6.BP2026'!A:A,52959611,'6.BP2026'!I:I)/2</f>
        <v>1277</v>
      </c>
      <c r="F189" s="974">
        <f>+(SUMIF('7.BP2025'!A:A,DATOS!A189,'7.BP2025'!G:G)/2)-(SUMIF('7.BP2025'!A:A,DATOS!A189,'7.BP2025'!H:H)/2)</f>
        <v>224.5</v>
      </c>
      <c r="G189" s="974">
        <f>(SUMIF('7.BP2025'!A:A,DATOS!A189,'7.BP2025'!I:I)/2)+(SUMIF('7.BP2025'!A:A,52959602,'7.BP2025'!I:I)/2)+(SUMIF('7.BP2025'!A:A,52959606,'7.BP2025'!I:I)/2)</f>
        <v>1384.5</v>
      </c>
    </row>
    <row r="190" spans="1:9" outlineLevel="2">
      <c r="A190" s="122">
        <v>52959607</v>
      </c>
      <c r="B190" s="38" t="s">
        <v>1906</v>
      </c>
      <c r="C190" s="974">
        <f>-(SUMIF('6.BP2026'!A:A,DATOS!A190,'6.BP2026'!H:H)/2)+(SUMIF('6.BP2026'!A:A,DATOS!A190,'6.BP2026'!G:G)/2)</f>
        <v>522</v>
      </c>
      <c r="D190" s="974">
        <f>SUMIF('6.BP2026'!A:A,DATOS!A190,'6.BP2026'!I:I)/2</f>
        <v>522</v>
      </c>
      <c r="F190" s="974">
        <f>+(SUMIF('7.BP2025'!A:A,DATOS!A190,'7.BP2025'!G:G)/2)-(SUMIF('7.BP2025'!A:A,DATOS!A190,'7.BP2025'!H:H)/2)</f>
        <v>0</v>
      </c>
      <c r="G190" s="974">
        <f>SUMIF('7.BP2025'!A:A,DATOS!A190,'7.BP2025'!I:I)/2</f>
        <v>0</v>
      </c>
    </row>
    <row r="191" spans="1:9" outlineLevel="2">
      <c r="A191" s="122">
        <v>52959612</v>
      </c>
      <c r="B191" s="38" t="s">
        <v>906</v>
      </c>
      <c r="C191" s="974">
        <f>-(SUMIF('6.BP2026'!A:A,DATOS!A191,'6.BP2026'!H:H)/2)+(SUMIF('6.BP2026'!A:A,DATOS!A191,'6.BP2026'!G:G)/2)</f>
        <v>0</v>
      </c>
      <c r="D191" s="974">
        <f>SUMIF('6.BP2026'!A:A,DATOS!A191,'6.BP2026'!I:I)/2</f>
        <v>0</v>
      </c>
      <c r="F191" s="974">
        <f>+(SUMIF('7.BP2025'!A:A,DATOS!A191,'7.BP2025'!G:G)/2)-(SUMIF('7.BP2025'!A:A,DATOS!A191,'7.BP2025'!H:H)/2)</f>
        <v>0</v>
      </c>
      <c r="G191" s="974">
        <f>SUMIF('7.BP2025'!A:A,DATOS!A191,'7.BP2025'!I:I)/2</f>
        <v>1379</v>
      </c>
    </row>
    <row r="192" spans="1:9" outlineLevel="2">
      <c r="A192" s="122">
        <v>5297</v>
      </c>
      <c r="B192" s="38" t="s">
        <v>551</v>
      </c>
      <c r="C192" s="974">
        <f>-(SUMIF('6.BP2026'!A:A,DATOS!A192,'6.BP2026'!H:H))+(SUMIF('6.BP2026'!A:A,DATOS!A192,'6.BP2026'!G:G))</f>
        <v>5501</v>
      </c>
      <c r="D192" s="974">
        <f>SUMIF('6.BP2026'!A:A,DATOS!A192,'6.BP2026'!I:I)</f>
        <v>7773</v>
      </c>
      <c r="F192" s="974">
        <f>+SUMIF('7.BP2025'!A:A,DATOS!A192,'7.BP2025'!G:G)-SUMIF('7.BP2025'!A:A,DATOS!A192,'7.BP2025'!H:H)</f>
        <v>456</v>
      </c>
      <c r="G192" s="974">
        <f>SUMIF('7.BP2025'!A:A,DATOS!A192,'7.BP2025'!I:I)</f>
        <v>5887</v>
      </c>
    </row>
    <row r="193" spans="1:9" outlineLevel="1">
      <c r="A193" s="123">
        <v>53</v>
      </c>
      <c r="B193" s="124" t="s">
        <v>195</v>
      </c>
      <c r="C193" s="136">
        <f>+SUM(C194:C201)</f>
        <v>12703</v>
      </c>
      <c r="D193" s="136">
        <f>+SUM(D194:D201)</f>
        <v>74650</v>
      </c>
      <c r="E193" s="1035"/>
      <c r="F193" s="136">
        <f>+SUM(F194:F201)</f>
        <v>13190</v>
      </c>
      <c r="G193" s="136">
        <f>+SUM(G194:G201)</f>
        <v>79418</v>
      </c>
      <c r="I193" s="48"/>
    </row>
    <row r="194" spans="1:9" s="49" customFormat="1" outlineLevel="2">
      <c r="A194" s="125">
        <v>530505</v>
      </c>
      <c r="B194" s="40" t="s">
        <v>144</v>
      </c>
      <c r="C194" s="1002">
        <f>-(SUMIF('6.BP2026'!A:A,DATOS!A194,'6.BP2026'!H:H))+(SUMIF('6.BP2026'!A:A,DATOS!A194,'6.BP2026'!G:G))</f>
        <v>819</v>
      </c>
      <c r="D194" s="929">
        <f>SUMIF('6.BP2026'!A:A,DATOS!A194,'6.BP2026'!I:I)</f>
        <v>5118</v>
      </c>
      <c r="E194" s="1035"/>
      <c r="F194" s="1002">
        <f>+SUMIF('7.BP2025'!A:A,DATOS!A194,'7.BP2025'!G:G)-SUMIF('7.BP2025'!A:A,DATOS!A194,'7.BP2025'!H:H)</f>
        <v>242</v>
      </c>
      <c r="G194" s="1002">
        <f>SUMIF('7.BP2025'!A:A,DATOS!A194,'7.BP2025'!I:I)</f>
        <v>2497</v>
      </c>
    </row>
    <row r="195" spans="1:9" s="76" customFormat="1" outlineLevel="2">
      <c r="A195" s="125">
        <v>530506</v>
      </c>
      <c r="B195" s="40" t="s">
        <v>235</v>
      </c>
      <c r="C195" s="1002">
        <f>-(SUMIF('6.BP2026'!A:A,DATOS!A195,'6.BP2026'!H:H))+(SUMIF('6.BP2026'!A:A,DATOS!A195,'6.BP2026'!G:G))</f>
        <v>2514</v>
      </c>
      <c r="D195" s="929">
        <f>SUMIF('6.BP2026'!A:A,DATOS!A195,'6.BP2026'!I:I)</f>
        <v>15385</v>
      </c>
      <c r="E195" s="48"/>
      <c r="F195" s="1002">
        <f>+SUMIF('7.BP2025'!A:A,DATOS!A195,'7.BP2025'!G:G)-SUMIF('7.BP2025'!A:A,DATOS!A195,'7.BP2025'!H:H)</f>
        <v>2457</v>
      </c>
      <c r="G195" s="1002">
        <f>SUMIF('7.BP2025'!A:A,DATOS!A195,'7.BP2025'!I:I)</f>
        <v>14603</v>
      </c>
    </row>
    <row r="196" spans="1:9" outlineLevel="2">
      <c r="A196" s="125">
        <v>530515</v>
      </c>
      <c r="B196" s="40" t="s">
        <v>455</v>
      </c>
      <c r="C196" s="1002">
        <f>-(SUMIF('6.BP2026'!A:A,DATOS!A196,'6.BP2026'!H:H))+(SUMIF('6.BP2026'!A:A,DATOS!A196,'6.BP2026'!G:G))-(SUMIF('6.BP2026'!A:A,530516,'6.BP2026'!H:H))+(SUMIF('6.BP2026'!A:A,530516,'6.BP2026'!G:G))</f>
        <v>4407</v>
      </c>
      <c r="D196" s="929">
        <f>SUMIF('6.BP2026'!A:A,DATOS!A196,'6.BP2026'!I:I)+SUMIF('6.BP2026'!A:A,530516,'6.BP2026'!I:I)</f>
        <v>30140</v>
      </c>
      <c r="E196" s="48"/>
      <c r="F196" s="1002">
        <f>+SUMIF('7.BP2025'!A:A,DATOS!A196,'7.BP2025'!G:G)-SUMIF('7.BP2025'!A:A,DATOS!A196,'7.BP2025'!H:H)</f>
        <v>6018</v>
      </c>
      <c r="G196" s="1002">
        <f>SUMIF('7.BP2025'!A:A,DATOS!A196,'7.BP2025'!I:I)+SUMIF('7.BP2025'!A:A,530516,'7.BP2025'!I:I)</f>
        <v>39182</v>
      </c>
    </row>
    <row r="197" spans="1:9" outlineLevel="2">
      <c r="A197" s="125">
        <v>530520</v>
      </c>
      <c r="B197" s="40" t="s">
        <v>130</v>
      </c>
      <c r="C197" s="1002">
        <f>-(SUMIF('6.BP2026'!A:A,DATOS!A197,'6.BP2026'!H:H))+(SUMIF('6.BP2026'!A:A,DATOS!A197,'6.BP2026'!G:G))</f>
        <v>4832</v>
      </c>
      <c r="D197" s="929">
        <f>SUMIF('6.BP2026'!A:A,DATOS!A197,'6.BP2026'!I:I)</f>
        <v>23371</v>
      </c>
      <c r="F197" s="1002">
        <f>+SUMIF('7.BP2025'!A:A,DATOS!A197,'7.BP2025'!G:G)-SUMIF('7.BP2025'!A:A,DATOS!A197,'7.BP2025'!H:H)</f>
        <v>4321</v>
      </c>
      <c r="G197" s="1002">
        <f>SUMIF('7.BP2025'!A:A,DATOS!A197,'7.BP2025'!I:I)</f>
        <v>22900</v>
      </c>
    </row>
    <row r="198" spans="1:9" outlineLevel="2">
      <c r="A198" s="125">
        <v>530521</v>
      </c>
      <c r="B198" s="40" t="s">
        <v>585</v>
      </c>
      <c r="C198" s="1002">
        <f>-(SUMIF('6.BP2026'!A:A,DATOS!A198,'6.BP2026'!H:H))+(SUMIF('6.BP2026'!A:A,DATOS!A198,'6.BP2026'!G:G))</f>
        <v>0</v>
      </c>
      <c r="D198" s="929">
        <f>SUMIF('6.BP2026'!A:A,DATOS!A198,'6.BP2026'!I:I)</f>
        <v>38</v>
      </c>
      <c r="F198" s="1002">
        <f>+SUMIF('7.BP2025'!A:A,DATOS!A198,'7.BP2025'!G:G)-SUMIF('7.BP2025'!A:A,DATOS!A198,'7.BP2025'!H:H)</f>
        <v>103</v>
      </c>
      <c r="G198" s="1002">
        <f>SUMIF('7.BP2025'!A:A,DATOS!A198,'7.BP2025'!I:I)</f>
        <v>140</v>
      </c>
    </row>
    <row r="199" spans="1:9" outlineLevel="2">
      <c r="A199" s="343">
        <v>530535</v>
      </c>
      <c r="B199" s="40" t="s">
        <v>401</v>
      </c>
      <c r="C199" s="1002">
        <f>-(SUMIF('6.BP2026'!A:A,DATOS!A199,'6.BP2026'!H:H))+(SUMIF('6.BP2026'!A:A,DATOS!A199,'6.BP2026'!G:G))</f>
        <v>131</v>
      </c>
      <c r="D199" s="929">
        <f>SUMIF('6.BP2026'!A:A,DATOS!A199,'6.BP2026'!I:I)</f>
        <v>598</v>
      </c>
      <c r="F199" s="1002">
        <f>+SUMIF('7.BP2025'!A:A,DATOS!A199,'7.BP2025'!G:G)-SUMIF('7.BP2025'!A:A,DATOS!A199,'7.BP2025'!H:H)</f>
        <v>49</v>
      </c>
      <c r="G199" s="1002">
        <f>SUMIF('7.BP2025'!A:A,DATOS!A199,'7.BP2025'!I:I)</f>
        <v>49</v>
      </c>
      <c r="H199" s="22"/>
    </row>
    <row r="200" spans="1:9" outlineLevel="2">
      <c r="A200" s="343">
        <v>531515</v>
      </c>
      <c r="B200" s="40" t="s">
        <v>949</v>
      </c>
      <c r="C200" s="1002">
        <f>-(SUMIF('6.BP2026'!A:A,DATOS!A200,'6.BP2026'!H:H))+(SUMIF('6.BP2026'!A:A,DATOS!A200,'6.BP2026'!G:G))</f>
        <v>0</v>
      </c>
      <c r="D200" s="929">
        <f>SUMIF('6.BP2026'!A:A,DATOS!A200,'6.BP2026'!I:I)</f>
        <v>0</v>
      </c>
      <c r="F200" s="1002">
        <f>+SUMIF('7.BP2025'!A:A,DATOS!A200,'7.BP2025'!G:G)-SUMIF('7.BP2025'!A:A,DATOS!A200,'7.BP2025'!H:H)</f>
        <v>0</v>
      </c>
      <c r="G200" s="1002">
        <f>SUMIF('7.BP2025'!A:A,DATOS!A200,'7.BP2025'!I:I)</f>
        <v>0</v>
      </c>
      <c r="H200" s="22"/>
    </row>
    <row r="201" spans="1:9" s="80" customFormat="1" outlineLevel="2">
      <c r="A201" s="343">
        <v>5395</v>
      </c>
      <c r="B201" s="40" t="s">
        <v>147</v>
      </c>
      <c r="C201" s="1002">
        <f>-(SUMIF('6.BP2026'!A:A,DATOS!A201,'6.BP2026'!H:H))+(SUMIF('6.BP2026'!A:A,DATOS!A201,'6.BP2026'!G:G))</f>
        <v>0</v>
      </c>
      <c r="D201" s="929">
        <f>SUMIF('6.BP2026'!A:A,DATOS!A201,'6.BP2026'!I:I)</f>
        <v>0</v>
      </c>
      <c r="E201" s="101"/>
      <c r="F201" s="1002">
        <f>+SUMIF('7.BP2025'!A:A,DATOS!A201,'7.BP2025'!G:G)-SUMIF('7.BP2025'!A:A,DATOS!A201,'7.BP2025'!H:H)</f>
        <v>0</v>
      </c>
      <c r="G201" s="1002">
        <f>SUMIF('7.BP2025'!A:A,DATOS!A201,'7.BP2025'!I:I)</f>
        <v>47</v>
      </c>
      <c r="H201" s="77"/>
    </row>
    <row r="202" spans="1:9" s="76" customFormat="1" outlineLevel="1">
      <c r="A202" s="126">
        <v>54</v>
      </c>
      <c r="B202" s="127" t="s">
        <v>174</v>
      </c>
      <c r="C202" s="1003">
        <f>SUM(C203:C204)</f>
        <v>-1021</v>
      </c>
      <c r="D202" s="287">
        <f>SUM(D203:D204)</f>
        <v>16683</v>
      </c>
      <c r="E202" s="48"/>
      <c r="F202" s="1003">
        <f>SUM(F203:F204)</f>
        <v>362</v>
      </c>
      <c r="G202" s="1003">
        <f>SUM(G203:G204)</f>
        <v>26671</v>
      </c>
      <c r="H202" s="77"/>
    </row>
    <row r="203" spans="1:9" outlineLevel="2">
      <c r="A203" s="341">
        <v>5402</v>
      </c>
      <c r="B203" s="342" t="s">
        <v>170</v>
      </c>
      <c r="C203" s="288">
        <f>-(SUMIF('6.BP2026'!A:A,DATOS!A203,'6.BP2026'!H:H))+(SUMIF('6.BP2026'!A:A,DATOS!A203,'6.BP2026'!G:G))</f>
        <v>0</v>
      </c>
      <c r="D203" s="930">
        <f>SUMIF('6.BP2026'!A:A,DATOS!A203,'6.BP2026'!I:I)</f>
        <v>0</v>
      </c>
      <c r="E203" s="140"/>
      <c r="F203" s="288">
        <f>+SUMIF('7.BP2025'!A:A,DATOS!A203,'7.BP2025'!G:G)-SUMIF('7.BP2025'!A:A,DATOS!A203,'7.BP2025'!H:H)</f>
        <v>0</v>
      </c>
      <c r="G203" s="288">
        <f>SUMIF('7.BP2025'!A:A,DATOS!A203,'7.BP2025'!I:I)</f>
        <v>0</v>
      </c>
      <c r="H203" s="22"/>
    </row>
    <row r="204" spans="1:9" outlineLevel="2">
      <c r="A204" s="341">
        <v>540505</v>
      </c>
      <c r="B204" s="342" t="s">
        <v>426</v>
      </c>
      <c r="C204" s="288">
        <f>-(SUMIF('6.BP2026'!A:A,DATOS!A204,'6.BP2026'!H:H))+(SUMIF('6.BP2026'!A:A,DATOS!A204,'6.BP2026'!G:G))</f>
        <v>-1021</v>
      </c>
      <c r="D204" s="930">
        <f>SUMIF('6.BP2026'!A:A,DATOS!A204,'6.BP2026'!I:I)</f>
        <v>16683</v>
      </c>
      <c r="E204" s="1033"/>
      <c r="F204" s="288">
        <f>+SUMIF('7.BP2025'!A:A,DATOS!A204,'7.BP2025'!G:G)-SUMIF('7.BP2025'!A:A,DATOS!A204,'7.BP2025'!H:H)</f>
        <v>362</v>
      </c>
      <c r="G204" s="288">
        <f>SUMIF('7.BP2025'!A:A,DATOS!A204,'7.BP2025'!I:I)</f>
        <v>26671</v>
      </c>
      <c r="H204" s="22"/>
    </row>
    <row r="205" spans="1:9" s="69" customFormat="1" outlineLevel="1">
      <c r="A205" s="99">
        <v>55</v>
      </c>
      <c r="B205" s="128" t="s">
        <v>142</v>
      </c>
      <c r="C205" s="137">
        <f>SUM(C206:C209)</f>
        <v>143</v>
      </c>
      <c r="D205" s="137">
        <f>SUM(D206:D209)</f>
        <v>903</v>
      </c>
      <c r="E205" s="1036"/>
      <c r="F205" s="137">
        <f>SUM(F206:F209)</f>
        <v>108</v>
      </c>
      <c r="G205" s="137">
        <f>SUM(G206:G209)</f>
        <v>582</v>
      </c>
    </row>
    <row r="206" spans="1:9" s="96" customFormat="1" outlineLevel="2">
      <c r="A206" s="100">
        <v>5515</v>
      </c>
      <c r="B206" s="41" t="s">
        <v>456</v>
      </c>
      <c r="C206" s="857">
        <f>-(SUMIF('6.BP2026'!A:A,DATOS!A206,'6.BP2026'!H:H))+(SUMIF('6.BP2026'!A:A,DATOS!A206,'6.BP2026'!G:G))-(SUMIF('6.BP2026'!A:A,551520,'6.BP2026'!H:H))+(SUMIF('6.BP2026'!A:A,551520,'6.BP2026'!G:G))</f>
        <v>84</v>
      </c>
      <c r="D206" s="33">
        <f>SUMIF('6.BP2026'!A:A,DATOS!A206,'6.BP2026'!I:I)+SUMIF('6.BP2026'!A:A,551520,'6.BP2026'!I:I)</f>
        <v>118</v>
      </c>
      <c r="F206" s="332">
        <f>+SUMIF('7.BP2025'!A:A,DATOS!A206,'7.BP2025'!G:G)-SUMIF('7.BP2025'!A:A,DATOS!A206,'7.BP2025'!H:H)</f>
        <v>33</v>
      </c>
      <c r="G206" s="332">
        <f>SUMIF('7.BP2025'!A:A,DATOS!A206,'7.BP2025'!I:I)</f>
        <v>370</v>
      </c>
    </row>
    <row r="207" spans="1:9" s="96" customFormat="1" outlineLevel="2">
      <c r="A207" s="100">
        <v>559520</v>
      </c>
      <c r="B207" s="41" t="s">
        <v>950</v>
      </c>
      <c r="C207" s="857">
        <f>-(SUMIF('6.BP2026'!A:A,DATOS!A207,'6.BP2026'!H:H))+(SUMIF('6.BP2026'!A:A,DATOS!A207,'6.BP2026'!G:G))</f>
        <v>27</v>
      </c>
      <c r="D207" s="33">
        <f>SUMIF('6.BP2026'!A:A,DATOS!A207,'6.BP2026'!I:I)</f>
        <v>377</v>
      </c>
      <c r="F207" s="332">
        <f>+SUMIF('7.BP2025'!A:A,DATOS!A207,'7.BP2025'!G:G)-SUMIF('7.BP2025'!A:A,DATOS!A207,'7.BP2025'!H:H)</f>
        <v>39</v>
      </c>
      <c r="G207" s="332">
        <f>SUMIF('7.BP2025'!A:A,DATOS!A207,'7.BP2025'!I:I)</f>
        <v>39</v>
      </c>
    </row>
    <row r="208" spans="1:9" s="96" customFormat="1" outlineLevel="2">
      <c r="A208" s="100">
        <v>559525</v>
      </c>
      <c r="B208" s="31" t="s">
        <v>374</v>
      </c>
      <c r="C208" s="857">
        <f>-(SUMIF('6.BP2026'!A:A,DATOS!A208,'6.BP2026'!H:H))+(SUMIF('6.BP2026'!A:A,DATOS!A208,'6.BP2026'!G:G))</f>
        <v>0</v>
      </c>
      <c r="D208" s="33">
        <f>SUMIF('6.BP2026'!A:A,DATOS!A208,'6.BP2026'!I:I)</f>
        <v>200</v>
      </c>
      <c r="E208" s="19"/>
      <c r="F208" s="33">
        <f>+SUMIF('7.BP2025'!A:A,DATOS!A208,'7.BP2025'!G:G)-SUMIF('7.BP2025'!A:A,DATOS!A208,'7.BP2025'!H:H)</f>
        <v>0</v>
      </c>
      <c r="G208" s="33">
        <f>SUMIF('7.BP2025'!A:A,DATOS!A208,'7.BP2025'!I:I)</f>
        <v>0</v>
      </c>
    </row>
    <row r="209" spans="1:7" s="96" customFormat="1" outlineLevel="2">
      <c r="A209" s="100">
        <v>559581</v>
      </c>
      <c r="B209" s="31" t="s">
        <v>374</v>
      </c>
      <c r="C209" s="857">
        <f>-(SUMIF('6.BP2026'!A:A,DATOS!A209,'6.BP2026'!H:H))+(SUMIF('6.BP2026'!A:A,DATOS!A209,'6.BP2026'!G:G))</f>
        <v>32</v>
      </c>
      <c r="D209" s="33">
        <f>SUMIF('6.BP2026'!A:A,DATOS!A209,'6.BP2026'!I:I)</f>
        <v>208</v>
      </c>
      <c r="E209" s="19"/>
      <c r="F209" s="33">
        <f>+SUMIF('7.BP2025'!A:A,DATOS!A209,'7.BP2025'!G:G)-SUMIF('7.BP2025'!A:A,DATOS!A209,'7.BP2025'!H:H)</f>
        <v>36</v>
      </c>
      <c r="G209" s="33">
        <f>SUMIF('7.BP2025'!A:A,DATOS!A209,'7.BP2025'!I:I)</f>
        <v>173</v>
      </c>
    </row>
    <row r="210" spans="1:7" outlineLevel="1">
      <c r="A210" s="118"/>
      <c r="B210" s="119"/>
      <c r="C210" s="81"/>
      <c r="D210" s="81"/>
    </row>
    <row r="211" spans="1:7" outlineLevel="1">
      <c r="A211" s="129" t="s">
        <v>252</v>
      </c>
      <c r="B211" s="82" t="s">
        <v>255</v>
      </c>
      <c r="C211" s="79">
        <v>0</v>
      </c>
      <c r="D211" s="79">
        <v>0</v>
      </c>
      <c r="F211" s="79">
        <f>+F213+F214-F215-F216</f>
        <v>221817</v>
      </c>
      <c r="G211" s="79">
        <f>+G213+G214-G215-G216</f>
        <v>1241065</v>
      </c>
    </row>
    <row r="212" spans="1:7">
      <c r="A212" s="130">
        <v>6</v>
      </c>
      <c r="B212" s="131" t="s">
        <v>145</v>
      </c>
      <c r="C212" s="83">
        <f>SUM(C213:C214)</f>
        <v>199860</v>
      </c>
      <c r="D212" s="83">
        <f>SUM(D213:D214)</f>
        <v>1279136</v>
      </c>
      <c r="E212" s="48"/>
      <c r="F212" s="83">
        <f>SUM(F213:F214)</f>
        <v>221817</v>
      </c>
      <c r="G212" s="83">
        <f>SUM(G213:G214)</f>
        <v>1241065</v>
      </c>
    </row>
    <row r="213" spans="1:7" outlineLevel="1">
      <c r="A213" s="132">
        <v>6120</v>
      </c>
      <c r="B213" s="42" t="s">
        <v>213</v>
      </c>
      <c r="C213" s="43">
        <f>-(SUMIF('6.BP2026'!A:A,DATOS!A213,'6.BP2026'!H:H))+(SUMIF('6.BP2026'!A:A,DATOS!A213,'6.BP2026'!G:G))</f>
        <v>0</v>
      </c>
      <c r="D213" s="43">
        <f>SUMIF('6.BP2026'!A:A,DATOS!A213,'6.BP2026'!I:I)</f>
        <v>0</v>
      </c>
      <c r="F213" s="43">
        <f>+SUMIF('7.BP2025'!A:A,DATOS!A213,'7.BP2025'!G:G)-SUMIF('7.BP2025'!A:A,DATOS!A213,'7.BP2025'!H:H)</f>
        <v>0</v>
      </c>
      <c r="G213" s="43">
        <f>SUMIF('7.BP2025'!A:A,DATOS!A213,'7.BP2025'!I:I)</f>
        <v>0</v>
      </c>
    </row>
    <row r="214" spans="1:7" outlineLevel="1">
      <c r="A214" s="132">
        <v>6135</v>
      </c>
      <c r="B214" s="42" t="s">
        <v>463</v>
      </c>
      <c r="C214" s="43">
        <f>-(SUMIF('6.BP2026'!A:A,DATOS!A214,'6.BP2026'!H:H))+(SUMIF('6.BP2026'!A:A,DATOS!A214,'6.BP2026'!G:G))</f>
        <v>199860</v>
      </c>
      <c r="D214" s="43">
        <f>SUMIF('6.BP2026'!A:A,DATOS!A214,'6.BP2026'!I:I)</f>
        <v>1279136</v>
      </c>
      <c r="F214" s="43">
        <f>+SUMIF('7.BP2025'!A:A,DATOS!A214,'7.BP2025'!G:G)-SUMIF('7.BP2025'!A:A,DATOS!A214,'7.BP2025'!H:H)</f>
        <v>221817</v>
      </c>
      <c r="G214" s="43">
        <f>SUMIF('7.BP2025'!A:A,DATOS!A214,'7.BP2025'!I:I)</f>
        <v>1241065</v>
      </c>
    </row>
    <row r="215" spans="1:7" outlineLevel="1">
      <c r="A215" s="133">
        <v>72</v>
      </c>
      <c r="B215" s="67" t="s">
        <v>183</v>
      </c>
      <c r="C215" s="68"/>
      <c r="D215" s="68"/>
      <c r="F215" s="68"/>
      <c r="G215" s="68"/>
    </row>
    <row r="216" spans="1:7" outlineLevel="1">
      <c r="A216" s="134">
        <v>73</v>
      </c>
      <c r="B216" s="135" t="s">
        <v>146</v>
      </c>
      <c r="C216" s="70"/>
      <c r="D216" s="70"/>
      <c r="F216" s="70"/>
      <c r="G216" s="70"/>
    </row>
    <row r="217" spans="1:7" outlineLevel="1">
      <c r="A217" s="141"/>
      <c r="B217" s="142"/>
      <c r="C217" s="143"/>
      <c r="D217" s="143"/>
      <c r="F217" s="143"/>
      <c r="G217" s="143"/>
    </row>
    <row r="218" spans="1:7" outlineLevel="1">
      <c r="A218" s="134">
        <v>7360</v>
      </c>
      <c r="B218" s="144" t="s">
        <v>149</v>
      </c>
      <c r="C218" s="70"/>
      <c r="D218" s="70"/>
      <c r="F218" s="145"/>
      <c r="G218" s="145"/>
    </row>
    <row r="219" spans="1:7" outlineLevel="1">
      <c r="A219" s="134">
        <v>7365</v>
      </c>
      <c r="B219" s="144" t="s">
        <v>150</v>
      </c>
      <c r="C219" s="70"/>
      <c r="D219" s="70"/>
      <c r="F219" s="145"/>
      <c r="G219" s="145"/>
    </row>
    <row r="220" spans="1:7">
      <c r="D220" s="22"/>
    </row>
  </sheetData>
  <autoFilter ref="A85:I209" xr:uid="{00000000-0009-0000-0000-000000000000}"/>
  <customSheetViews>
    <customSheetView guid="{EA1A954B-E3BC-4BCB-9C9D-ACAC3EBC5AD2}" scale="90" showGridLines="0" state="hidden">
      <selection activeCell="B23" sqref="B23"/>
      <pageMargins left="0.7" right="0.7" top="0.75" bottom="0.75" header="0.3" footer="0.3"/>
      <pageSetup orientation="portrait" r:id="rId1"/>
    </customSheetView>
    <customSheetView guid="{B6DC502A-BFFB-4FBB-BBF2-1962512F02D0}" scale="90" showGridLines="0" state="hidden">
      <selection activeCell="B23" sqref="B23"/>
      <pageMargins left="0.7" right="0.7" top="0.75" bottom="0.75" header="0.3" footer="0.3"/>
      <pageSetup orientation="portrait" r:id="rId2"/>
    </customSheetView>
  </customSheetViews>
  <mergeCells count="3">
    <mergeCell ref="C84:D84"/>
    <mergeCell ref="F84:G84"/>
    <mergeCell ref="A1:E1"/>
  </mergeCells>
  <conditionalFormatting sqref="A110:A113">
    <cfRule type="duplicateValues" dxfId="4" priority="4"/>
  </conditionalFormatting>
  <conditionalFormatting sqref="A114:A142 A146:A207 A84:A109 A209:A220">
    <cfRule type="duplicateValues" dxfId="3" priority="14"/>
  </conditionalFormatting>
  <conditionalFormatting sqref="A143:A145">
    <cfRule type="duplicateValues" dxfId="2" priority="3"/>
  </conditionalFormatting>
  <conditionalFormatting sqref="A208">
    <cfRule type="duplicateValues" dxfId="1" priority="1"/>
  </conditionalFormatting>
  <pageMargins left="0.7" right="0.7" top="0.75" bottom="0.75" header="0.3" footer="0.3"/>
  <pageSetup orientation="portrait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59999389629810485"/>
  </sheetPr>
  <dimension ref="A1:J53"/>
  <sheetViews>
    <sheetView workbookViewId="0"/>
  </sheetViews>
  <sheetFormatPr baseColWidth="10" defaultRowHeight="15" outlineLevelRow="1"/>
  <cols>
    <col min="1" max="1" width="42.85546875" bestFit="1" customWidth="1"/>
    <col min="2" max="2" width="16.28515625" style="619" customWidth="1"/>
    <col min="3" max="3" width="17.7109375" style="619" bestFit="1" customWidth="1"/>
    <col min="4" max="4" width="20.140625" style="619" bestFit="1" customWidth="1"/>
    <col min="5" max="5" width="16" style="619" bestFit="1" customWidth="1"/>
    <col min="6" max="6" width="17.42578125" style="619" customWidth="1"/>
    <col min="7" max="7" width="23.5703125" style="589" bestFit="1" customWidth="1"/>
    <col min="8" max="8" width="20.140625" bestFit="1" customWidth="1"/>
    <col min="9" max="9" width="17.140625" bestFit="1" customWidth="1"/>
    <col min="10" max="10" width="22" customWidth="1"/>
  </cols>
  <sheetData>
    <row r="1" spans="1:10">
      <c r="B1" s="588">
        <f>+B3</f>
        <v>2</v>
      </c>
      <c r="C1" s="588">
        <f>+C3</f>
        <v>3</v>
      </c>
      <c r="D1" s="588">
        <f>+D3</f>
        <v>2</v>
      </c>
      <c r="E1" s="588">
        <f>+E3</f>
        <v>5</v>
      </c>
      <c r="F1" s="588">
        <f>+F3</f>
        <v>12</v>
      </c>
    </row>
    <row r="2" spans="1:10" outlineLevel="1">
      <c r="A2" s="590" t="s">
        <v>600</v>
      </c>
      <c r="B2" s="590" t="s">
        <v>601</v>
      </c>
      <c r="C2" s="590" t="s">
        <v>602</v>
      </c>
      <c r="D2" s="590" t="s">
        <v>603</v>
      </c>
      <c r="E2" s="590" t="s">
        <v>594</v>
      </c>
      <c r="F2" s="590" t="s">
        <v>247</v>
      </c>
    </row>
    <row r="3" spans="1:10" outlineLevel="1">
      <c r="A3" s="591" t="s">
        <v>604</v>
      </c>
      <c r="B3" s="592">
        <v>2</v>
      </c>
      <c r="C3" s="592">
        <v>3</v>
      </c>
      <c r="D3" s="592">
        <v>2</v>
      </c>
      <c r="E3" s="592">
        <v>5</v>
      </c>
      <c r="F3" s="592">
        <f t="shared" ref="F3:F8" si="0">SUM(B3:E3)</f>
        <v>12</v>
      </c>
    </row>
    <row r="4" spans="1:10" outlineLevel="1">
      <c r="A4" s="593" t="s">
        <v>605</v>
      </c>
      <c r="B4" s="594"/>
      <c r="C4" s="594"/>
      <c r="D4" s="594"/>
      <c r="E4" s="594"/>
      <c r="F4" s="595">
        <f t="shared" si="0"/>
        <v>0</v>
      </c>
    </row>
    <row r="5" spans="1:10" outlineLevel="1">
      <c r="A5" s="596" t="s">
        <v>606</v>
      </c>
      <c r="B5" s="597"/>
      <c r="C5" s="597"/>
      <c r="D5" s="597"/>
      <c r="E5" s="597"/>
      <c r="F5" s="597">
        <f t="shared" si="0"/>
        <v>0</v>
      </c>
    </row>
    <row r="6" spans="1:10" outlineLevel="1">
      <c r="A6" s="593" t="s">
        <v>607</v>
      </c>
      <c r="B6" s="594"/>
      <c r="C6" s="594"/>
      <c r="D6" s="594"/>
      <c r="E6" s="594"/>
      <c r="F6" s="595">
        <f t="shared" si="0"/>
        <v>0</v>
      </c>
    </row>
    <row r="7" spans="1:10" outlineLevel="1">
      <c r="A7" s="593" t="s">
        <v>608</v>
      </c>
      <c r="B7" s="594"/>
      <c r="C7" s="594"/>
      <c r="D7" s="594"/>
      <c r="E7" s="594"/>
      <c r="F7" s="595">
        <f t="shared" si="0"/>
        <v>0</v>
      </c>
    </row>
    <row r="8" spans="1:10" outlineLevel="1">
      <c r="A8" s="596" t="s">
        <v>609</v>
      </c>
      <c r="B8" s="598">
        <f>+B6+B7</f>
        <v>0</v>
      </c>
      <c r="C8" s="598">
        <f>+C6+C7-5</f>
        <v>-5</v>
      </c>
      <c r="D8" s="598">
        <f t="shared" ref="D8:E8" si="1">+D6+D7</f>
        <v>0</v>
      </c>
      <c r="E8" s="598">
        <f t="shared" si="1"/>
        <v>0</v>
      </c>
      <c r="F8" s="598">
        <f t="shared" si="0"/>
        <v>-5</v>
      </c>
      <c r="H8" s="599">
        <f>+F4*5%</f>
        <v>0</v>
      </c>
      <c r="I8" s="600" t="e">
        <f>+H8/F4</f>
        <v>#DIV/0!</v>
      </c>
    </row>
    <row r="9" spans="1:10" s="601" customFormat="1" outlineLevel="1">
      <c r="B9" s="602" t="e">
        <f>+B8/B4</f>
        <v>#DIV/0!</v>
      </c>
      <c r="C9" s="602" t="e">
        <f>+C8/C4</f>
        <v>#DIV/0!</v>
      </c>
      <c r="D9" s="602" t="e">
        <f>+D8/D4</f>
        <v>#DIV/0!</v>
      </c>
      <c r="E9" s="602" t="e">
        <f>+E8/E4</f>
        <v>#DIV/0!</v>
      </c>
      <c r="F9" s="602" t="e">
        <f>+F8/F4</f>
        <v>#DIV/0!</v>
      </c>
      <c r="H9" s="603"/>
    </row>
    <row r="10" spans="1:10" outlineLevel="1">
      <c r="B10" s="604"/>
      <c r="C10" s="604"/>
      <c r="D10" s="604"/>
      <c r="E10" s="604"/>
      <c r="F10" s="604"/>
    </row>
    <row r="11" spans="1:10" ht="21">
      <c r="A11" s="606" t="s">
        <v>178</v>
      </c>
      <c r="B11" s="606" t="s">
        <v>601</v>
      </c>
      <c r="C11" s="606" t="s">
        <v>602</v>
      </c>
      <c r="D11" s="606" t="s">
        <v>603</v>
      </c>
      <c r="E11" s="606" t="s">
        <v>594</v>
      </c>
      <c r="F11" s="606" t="s">
        <v>247</v>
      </c>
    </row>
    <row r="12" spans="1:10" ht="21">
      <c r="A12" s="607" t="s">
        <v>610</v>
      </c>
      <c r="B12" s="608"/>
      <c r="C12" s="608"/>
      <c r="D12" s="608"/>
      <c r="E12" s="608"/>
      <c r="F12" s="608"/>
      <c r="H12" s="160">
        <f>+B12-'2.E.R.I. MES-ACUMULADO'!CM13</f>
        <v>-3042065.5</v>
      </c>
      <c r="I12" s="160">
        <f>+B13-'2.E.R.I. MES-ACUMULADO'!CM152</f>
        <v>-56427</v>
      </c>
      <c r="J12" s="160">
        <f>+B15-'2.E.R.I. MES-ACUMULADO'!CM158</f>
        <v>-39744</v>
      </c>
    </row>
    <row r="13" spans="1:10" ht="21">
      <c r="A13" s="1083" t="s">
        <v>606</v>
      </c>
      <c r="B13" s="609"/>
      <c r="C13" s="609"/>
      <c r="D13" s="609"/>
      <c r="E13" s="609"/>
      <c r="F13" s="609"/>
      <c r="G13" s="589" t="e">
        <f>+F13/F12</f>
        <v>#DIV/0!</v>
      </c>
      <c r="H13" s="160">
        <f>+B13-'2.E.R.I. MES-ACUMULADO'!CM152</f>
        <v>-56427</v>
      </c>
    </row>
    <row r="14" spans="1:10" outlineLevel="1">
      <c r="A14" s="1083"/>
      <c r="B14" s="610"/>
      <c r="C14" s="610"/>
      <c r="D14" s="610"/>
      <c r="E14" s="610"/>
      <c r="F14" s="610"/>
      <c r="G14" s="611" t="s">
        <v>611</v>
      </c>
      <c r="H14" s="605"/>
    </row>
    <row r="15" spans="1:10" ht="21" outlineLevel="1">
      <c r="A15" s="1084" t="s">
        <v>607</v>
      </c>
      <c r="B15" s="811"/>
      <c r="C15" s="811"/>
      <c r="D15" s="811"/>
      <c r="E15" s="811"/>
      <c r="F15" s="812"/>
      <c r="H15" s="160">
        <f>+B15-'2.E.R.I. MES-ACUMULADO'!CM158</f>
        <v>-39744</v>
      </c>
    </row>
    <row r="16" spans="1:10" outlineLevel="1">
      <c r="A16" s="1084"/>
      <c r="B16" s="612"/>
      <c r="C16" s="612"/>
      <c r="D16" s="612"/>
      <c r="E16" s="612"/>
      <c r="F16" s="612"/>
    </row>
    <row r="17" spans="1:10" ht="15.75" outlineLevel="1">
      <c r="A17" s="607" t="e">
        <f>+#REF!</f>
        <v>#REF!</v>
      </c>
      <c r="B17" s="613"/>
      <c r="C17" s="613"/>
      <c r="D17" s="613"/>
      <c r="E17" s="613"/>
      <c r="F17" s="613"/>
      <c r="H17" s="160"/>
    </row>
    <row r="18" spans="1:10" ht="15.75" outlineLevel="1">
      <c r="A18" s="727"/>
      <c r="B18" s="728"/>
      <c r="C18" s="728"/>
      <c r="D18" s="728"/>
      <c r="E18" s="728"/>
      <c r="F18" s="613"/>
    </row>
    <row r="19" spans="1:10" ht="15.75" customHeight="1" outlineLevel="1">
      <c r="A19" s="1085" t="s">
        <v>612</v>
      </c>
      <c r="B19" s="732"/>
      <c r="C19" s="732"/>
      <c r="D19" s="732"/>
      <c r="E19" s="732"/>
      <c r="F19" s="732"/>
      <c r="H19" s="160">
        <f>+F13+F17</f>
        <v>0</v>
      </c>
    </row>
    <row r="20" spans="1:10" ht="15.75" customHeight="1" outlineLevel="1">
      <c r="A20" s="1085"/>
      <c r="B20" s="614"/>
      <c r="C20" s="615"/>
      <c r="D20" s="615"/>
      <c r="E20" s="615"/>
      <c r="F20" s="615"/>
    </row>
    <row r="21" spans="1:10">
      <c r="A21" t="s">
        <v>613</v>
      </c>
      <c r="B21" s="616">
        <f>+B12*8%</f>
        <v>0</v>
      </c>
      <c r="C21" s="616">
        <f>+C12*8%</f>
        <v>0</v>
      </c>
      <c r="D21" s="616">
        <f>+D12*8%</f>
        <v>0</v>
      </c>
      <c r="E21" s="616">
        <f>+E12*8%</f>
        <v>0</v>
      </c>
      <c r="F21" s="616">
        <f>+F12*8%</f>
        <v>0</v>
      </c>
    </row>
    <row r="22" spans="1:10">
      <c r="A22" t="s">
        <v>614</v>
      </c>
      <c r="B22" s="588">
        <f>-(+C22+D22+E22)</f>
        <v>353000</v>
      </c>
      <c r="C22" s="588">
        <f>-75000-27000</f>
        <v>-102000</v>
      </c>
      <c r="D22" s="588">
        <f>-23000-9000</f>
        <v>-32000</v>
      </c>
      <c r="E22" s="588">
        <f>-165000-54000</f>
        <v>-219000</v>
      </c>
      <c r="F22" s="616">
        <f>SUM(B22:E22)</f>
        <v>0</v>
      </c>
    </row>
    <row r="23" spans="1:10" outlineLevel="1">
      <c r="B23" s="617" t="s">
        <v>615</v>
      </c>
      <c r="C23" s="618" t="s">
        <v>615</v>
      </c>
      <c r="D23" s="618" t="s">
        <v>616</v>
      </c>
      <c r="F23" s="616"/>
    </row>
    <row r="24" spans="1:10" s="76" customFormat="1" outlineLevel="1">
      <c r="A24" s="620"/>
      <c r="B24" s="621" t="s">
        <v>617</v>
      </c>
      <c r="C24" s="590" t="s">
        <v>618</v>
      </c>
      <c r="D24" s="590" t="s">
        <v>619</v>
      </c>
      <c r="E24" s="590" t="s">
        <v>247</v>
      </c>
      <c r="F24" s="616"/>
      <c r="G24" s="622"/>
    </row>
    <row r="25" spans="1:10" outlineLevel="1">
      <c r="A25" s="593" t="s">
        <v>620</v>
      </c>
      <c r="B25" s="623">
        <v>5801891</v>
      </c>
      <c r="C25" s="623">
        <v>5485827</v>
      </c>
      <c r="D25" s="623">
        <f>+C25</f>
        <v>5485827</v>
      </c>
      <c r="E25" s="623">
        <f>SUM(B25:D25)</f>
        <v>16773545</v>
      </c>
      <c r="F25" s="616"/>
    </row>
    <row r="26" spans="1:10" outlineLevel="1">
      <c r="A26" t="s">
        <v>621</v>
      </c>
      <c r="B26" s="624">
        <f>+B25*8</f>
        <v>46415128</v>
      </c>
      <c r="C26" s="624">
        <f>+C25*8</f>
        <v>43886616</v>
      </c>
      <c r="D26" s="624">
        <f>+D25*8</f>
        <v>43886616</v>
      </c>
      <c r="E26" s="624"/>
      <c r="F26" s="616"/>
    </row>
    <row r="27" spans="1:10" outlineLevel="1">
      <c r="B27" s="624"/>
      <c r="C27" s="624"/>
      <c r="D27" s="624"/>
      <c r="E27" s="624"/>
      <c r="F27" s="616"/>
    </row>
    <row r="28" spans="1:10" outlineLevel="1">
      <c r="B28" s="616"/>
      <c r="C28" s="616"/>
      <c r="D28" s="616"/>
      <c r="E28" s="616"/>
      <c r="F28" s="616"/>
    </row>
    <row r="29" spans="1:10" outlineLevel="1">
      <c r="B29" s="625" t="s">
        <v>622</v>
      </c>
      <c r="C29" s="625" t="s">
        <v>623</v>
      </c>
      <c r="D29" s="616"/>
      <c r="F29" s="616"/>
      <c r="H29" s="625" t="s">
        <v>624</v>
      </c>
      <c r="I29" s="625" t="s">
        <v>625</v>
      </c>
      <c r="J29" s="625" t="s">
        <v>626</v>
      </c>
    </row>
    <row r="30" spans="1:10" ht="15.75" outlineLevel="1">
      <c r="A30" s="607" t="s">
        <v>610</v>
      </c>
      <c r="B30" s="623">
        <v>34152</v>
      </c>
      <c r="C30" s="623">
        <v>48152</v>
      </c>
      <c r="D30" s="616"/>
      <c r="F30" s="616"/>
      <c r="H30" s="593" t="s">
        <v>224</v>
      </c>
      <c r="I30" s="623">
        <f>+B30/3*12</f>
        <v>136608</v>
      </c>
      <c r="J30" s="623">
        <f>+C30/3*12</f>
        <v>192608</v>
      </c>
    </row>
    <row r="31" spans="1:10" ht="15.75" outlineLevel="1">
      <c r="A31" s="607" t="s">
        <v>627</v>
      </c>
      <c r="B31" s="623">
        <f>34152+5471</f>
        <v>39623</v>
      </c>
      <c r="C31" s="623">
        <v>28220</v>
      </c>
      <c r="D31" s="616"/>
      <c r="F31" s="616"/>
      <c r="H31" s="593" t="s">
        <v>628</v>
      </c>
      <c r="I31" s="623">
        <f>+B31/3*12</f>
        <v>158492</v>
      </c>
      <c r="J31" s="623">
        <f>+C31/3*12</f>
        <v>112880</v>
      </c>
    </row>
    <row r="32" spans="1:10" outlineLevel="1">
      <c r="A32" s="1083" t="s">
        <v>606</v>
      </c>
      <c r="B32" s="626">
        <v>-5471</v>
      </c>
      <c r="C32" s="623">
        <v>19932</v>
      </c>
      <c r="D32" s="616"/>
      <c r="F32" s="616"/>
      <c r="H32" s="593" t="s">
        <v>629</v>
      </c>
      <c r="I32" s="623">
        <f>+I30-I31</f>
        <v>-21884</v>
      </c>
      <c r="J32" s="623">
        <f>+J30-J31</f>
        <v>79728</v>
      </c>
    </row>
    <row r="33" spans="1:10" outlineLevel="1">
      <c r="A33" s="1083"/>
      <c r="B33" s="627">
        <f>+B32/B30</f>
        <v>-0.16019559615835091</v>
      </c>
      <c r="C33" s="628">
        <f>+C32/C30</f>
        <v>0.41393919255690315</v>
      </c>
      <c r="D33" s="616"/>
      <c r="E33" s="616"/>
      <c r="F33" s="616"/>
      <c r="H33" s="593" t="s">
        <v>630</v>
      </c>
      <c r="I33" s="593">
        <v>0</v>
      </c>
      <c r="J33" s="629">
        <v>3322</v>
      </c>
    </row>
    <row r="34" spans="1:10" outlineLevel="1">
      <c r="B34" s="616"/>
      <c r="C34" s="616"/>
      <c r="D34" s="616"/>
      <c r="E34" s="616"/>
      <c r="F34" s="616"/>
      <c r="J34" s="630">
        <f>+J33/J32</f>
        <v>4.1666666666666664E-2</v>
      </c>
    </row>
    <row r="35" spans="1:10" outlineLevel="1">
      <c r="A35" s="593" t="s">
        <v>631</v>
      </c>
      <c r="B35" s="623">
        <f>+B30/3</f>
        <v>11384</v>
      </c>
      <c r="C35" s="623">
        <f>+C30/3</f>
        <v>16050.666666666666</v>
      </c>
      <c r="D35" s="616"/>
      <c r="E35" s="616"/>
      <c r="F35" s="616"/>
    </row>
    <row r="36" spans="1:10" outlineLevel="1">
      <c r="A36" s="593" t="s">
        <v>632</v>
      </c>
      <c r="B36" s="623">
        <f>+B32/3</f>
        <v>-1823.6666666666667</v>
      </c>
      <c r="C36" s="623">
        <f>+C32/3</f>
        <v>6644</v>
      </c>
      <c r="D36" s="616"/>
      <c r="E36" s="616"/>
      <c r="F36" s="616"/>
    </row>
    <row r="37" spans="1:10" outlineLevel="1">
      <c r="B37" s="616"/>
      <c r="C37" s="616"/>
      <c r="D37" s="616"/>
      <c r="E37" s="616"/>
      <c r="F37" s="616"/>
      <c r="H37" s="625" t="s">
        <v>633</v>
      </c>
      <c r="I37" s="625" t="str">
        <f>+I29</f>
        <v>AÑO 2023  ANA</v>
      </c>
      <c r="J37" s="625" t="str">
        <f>+J29</f>
        <v>AÑO 2023  FERNANDO</v>
      </c>
    </row>
    <row r="38" spans="1:10" outlineLevel="1">
      <c r="F38" s="616"/>
      <c r="H38" s="593" t="s">
        <v>224</v>
      </c>
      <c r="I38" s="623">
        <f>+I30+(5801*8)+(5486*8)</f>
        <v>226904</v>
      </c>
      <c r="J38" s="623">
        <f>+J30</f>
        <v>192608</v>
      </c>
    </row>
    <row r="39" spans="1:10" outlineLevel="1">
      <c r="F39" s="616"/>
      <c r="H39" s="593" t="s">
        <v>628</v>
      </c>
      <c r="I39" s="623">
        <f>+I31</f>
        <v>158492</v>
      </c>
      <c r="J39" s="623">
        <f>+J31</f>
        <v>112880</v>
      </c>
    </row>
    <row r="40" spans="1:10" outlineLevel="1">
      <c r="F40" s="616"/>
      <c r="H40" s="593" t="s">
        <v>629</v>
      </c>
      <c r="I40" s="623">
        <f>+I38-I39</f>
        <v>68412</v>
      </c>
      <c r="J40" s="623">
        <f>+J38-J39</f>
        <v>79728</v>
      </c>
    </row>
    <row r="41" spans="1:10" outlineLevel="1">
      <c r="F41" s="616"/>
      <c r="H41" s="593" t="s">
        <v>630</v>
      </c>
      <c r="I41" s="629">
        <v>1121</v>
      </c>
      <c r="J41" s="629">
        <f>+J33</f>
        <v>3322</v>
      </c>
    </row>
    <row r="42" spans="1:10" outlineLevel="1">
      <c r="F42" s="616"/>
      <c r="I42" s="589">
        <f>+I41/I40</f>
        <v>1.6386014149564403E-2</v>
      </c>
      <c r="J42" s="589">
        <f>+J41/J40</f>
        <v>4.1666666666666664E-2</v>
      </c>
    </row>
    <row r="43" spans="1:10">
      <c r="C43" s="631"/>
      <c r="D43" s="631"/>
      <c r="E43" s="631"/>
    </row>
    <row r="44" spans="1:10">
      <c r="C44" s="616"/>
      <c r="D44" s="616"/>
      <c r="E44" s="616"/>
    </row>
    <row r="45" spans="1:10">
      <c r="A45" s="593" t="s">
        <v>634</v>
      </c>
      <c r="B45" s="632"/>
      <c r="C45" s="632"/>
      <c r="D45" s="632"/>
      <c r="E45" s="632"/>
      <c r="F45" s="632"/>
    </row>
    <row r="46" spans="1:10">
      <c r="A46" s="593" t="s">
        <v>635</v>
      </c>
      <c r="B46" s="633"/>
      <c r="C46" s="623">
        <f>+$C$22*0.6</f>
        <v>-61200</v>
      </c>
      <c r="D46" s="623">
        <f>+$D$22*0.6</f>
        <v>-19200</v>
      </c>
      <c r="E46" s="623">
        <f>+$E$22*0.6</f>
        <v>-131400</v>
      </c>
      <c r="F46" s="623"/>
      <c r="G46" s="301"/>
      <c r="H46" s="301"/>
    </row>
    <row r="47" spans="1:10">
      <c r="A47" s="593" t="s">
        <v>636</v>
      </c>
      <c r="B47" s="632"/>
      <c r="C47" s="623">
        <f>+$C$22*0.4</f>
        <v>-40800</v>
      </c>
      <c r="D47" s="623">
        <f>+$D$22*0.4</f>
        <v>-12800</v>
      </c>
      <c r="E47" s="623">
        <f>+$E$22*0.4</f>
        <v>-87600</v>
      </c>
      <c r="F47" s="623"/>
      <c r="G47" s="301"/>
      <c r="H47" s="301"/>
    </row>
    <row r="48" spans="1:10" s="76" customFormat="1">
      <c r="A48" s="620" t="s">
        <v>247</v>
      </c>
      <c r="B48" s="109"/>
      <c r="C48" s="634">
        <f>SUM(C46:C47)</f>
        <v>-102000</v>
      </c>
      <c r="D48" s="634">
        <f>SUM(D46:D47)</f>
        <v>-32000</v>
      </c>
      <c r="E48" s="634">
        <f>SUM(E46:E47)</f>
        <v>-219000</v>
      </c>
      <c r="F48" s="634">
        <f>SUM(C48:E48)</f>
        <v>-353000</v>
      </c>
      <c r="G48" s="635"/>
      <c r="H48" s="635"/>
    </row>
    <row r="49" spans="1:8">
      <c r="B49" s="619">
        <f>+'2.E.R.I. MES-ACUMULADO'!CM168</f>
        <v>58028</v>
      </c>
      <c r="C49" s="616"/>
      <c r="D49" s="616"/>
      <c r="E49" s="616"/>
      <c r="F49" s="616"/>
      <c r="G49" s="301"/>
      <c r="H49" s="301"/>
    </row>
    <row r="50" spans="1:8">
      <c r="C50" s="616"/>
      <c r="D50" s="616"/>
      <c r="E50" s="616"/>
      <c r="F50" s="616"/>
      <c r="G50" s="301"/>
      <c r="H50" s="301"/>
    </row>
    <row r="51" spans="1:8">
      <c r="C51" s="616"/>
      <c r="D51" s="616"/>
      <c r="E51" s="616"/>
      <c r="F51" s="616"/>
      <c r="G51" s="301"/>
      <c r="H51" s="301"/>
    </row>
    <row r="52" spans="1:8">
      <c r="A52" s="636" t="s">
        <v>637</v>
      </c>
      <c r="B52" s="637"/>
      <c r="C52" s="616"/>
      <c r="D52" s="616"/>
      <c r="E52" s="616"/>
      <c r="F52" s="616"/>
      <c r="G52" s="301"/>
      <c r="H52" s="301"/>
    </row>
    <row r="53" spans="1:8">
      <c r="A53" s="636" t="s">
        <v>638</v>
      </c>
      <c r="B53" s="637"/>
    </row>
  </sheetData>
  <mergeCells count="4">
    <mergeCell ref="A13:A14"/>
    <mergeCell ref="A15:A16"/>
    <mergeCell ref="A19:A20"/>
    <mergeCell ref="A32:A33"/>
  </mergeCells>
  <pageMargins left="0.7" right="0.7" top="0.75" bottom="0.75" header="0.3" footer="0.3"/>
  <pageSetup scale="67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>
    <tabColor theme="6" tint="0.59999389629810485"/>
  </sheetPr>
  <dimension ref="A1:W108"/>
  <sheetViews>
    <sheetView topLeftCell="B1" workbookViewId="0"/>
  </sheetViews>
  <sheetFormatPr baseColWidth="10" defaultColWidth="11.42578125" defaultRowHeight="15" outlineLevelRow="2" outlineLevelCol="1"/>
  <cols>
    <col min="1" max="1" width="8.85546875" style="204" hidden="1" customWidth="1" outlineLevel="1"/>
    <col min="2" max="2" width="71" style="1" customWidth="1" collapsed="1"/>
    <col min="3" max="3" width="13.140625" style="58" bestFit="1" customWidth="1"/>
    <col min="4" max="4" width="9.28515625" style="308" bestFit="1" customWidth="1"/>
    <col min="5" max="5" width="4.42578125" style="148" customWidth="1"/>
    <col min="6" max="6" width="15" style="90" customWidth="1"/>
    <col min="7" max="7" width="11.28515625" style="314" bestFit="1" customWidth="1"/>
    <col min="8" max="8" width="1.28515625" style="88" customWidth="1"/>
    <col min="9" max="9" width="11.7109375" style="91" bestFit="1" customWidth="1"/>
    <col min="10" max="10" width="14.42578125" style="321" customWidth="1"/>
    <col min="11" max="11" width="9.5703125" style="85" customWidth="1"/>
    <col min="12" max="12" width="13" style="1" customWidth="1"/>
    <col min="13" max="13" width="33.7109375" style="1" customWidth="1"/>
    <col min="14" max="14" width="13.140625" style="1" bestFit="1" customWidth="1"/>
    <col min="15" max="15" width="11.7109375" style="1" customWidth="1"/>
    <col min="16" max="16" width="27.28515625" style="1" customWidth="1"/>
    <col min="17" max="17" width="12" style="1" bestFit="1" customWidth="1"/>
    <col min="18" max="18" width="46.85546875" style="1" customWidth="1"/>
    <col min="19" max="19" width="12.28515625" style="1" bestFit="1" customWidth="1"/>
    <col min="20" max="20" width="34.7109375" style="1" bestFit="1" customWidth="1"/>
    <col min="21" max="21" width="11.7109375" style="1" bestFit="1" customWidth="1"/>
    <col min="22" max="16384" width="11.42578125" style="1"/>
  </cols>
  <sheetData>
    <row r="1" spans="1:23" ht="6.2" customHeight="1" thickBot="1">
      <c r="A1" s="52"/>
      <c r="B1" s="52"/>
      <c r="C1" s="232"/>
      <c r="D1" s="304"/>
      <c r="E1" s="233"/>
      <c r="F1" s="234"/>
      <c r="G1" s="309"/>
      <c r="H1" s="235"/>
      <c r="I1" s="236"/>
      <c r="J1" s="315"/>
    </row>
    <row r="2" spans="1:23" ht="15.75" customHeight="1">
      <c r="A2" s="52"/>
      <c r="B2" s="1091" t="str">
        <f>+DATOS!H6</f>
        <v>GRUPO DE LOLITA SAS</v>
      </c>
      <c r="C2" s="1092"/>
      <c r="D2" s="1092"/>
      <c r="E2" s="1092"/>
      <c r="F2" s="1092"/>
      <c r="G2" s="1092"/>
      <c r="H2" s="1092"/>
      <c r="I2" s="1092"/>
      <c r="J2" s="1093"/>
      <c r="M2" s="1089" t="s">
        <v>253</v>
      </c>
      <c r="N2" s="1103"/>
      <c r="O2" s="1090"/>
      <c r="P2" s="1089" t="s">
        <v>221</v>
      </c>
      <c r="Q2" s="1090"/>
      <c r="R2" s="1089" t="s">
        <v>222</v>
      </c>
      <c r="S2" s="1090"/>
      <c r="T2" s="1089" t="s">
        <v>223</v>
      </c>
      <c r="U2" s="1090"/>
    </row>
    <row r="3" spans="1:23" ht="15.75">
      <c r="A3" s="52"/>
      <c r="B3" s="1097" t="str">
        <f>+DATOS!H7</f>
        <v>NIT: 900.307.969-5</v>
      </c>
      <c r="C3" s="1098"/>
      <c r="D3" s="1098"/>
      <c r="E3" s="1098"/>
      <c r="F3" s="1098"/>
      <c r="G3" s="1098"/>
      <c r="H3" s="1098"/>
      <c r="I3" s="1098"/>
      <c r="J3" s="1099"/>
      <c r="M3" s="57" t="s">
        <v>224</v>
      </c>
      <c r="N3" s="58" t="e">
        <f>+C13</f>
        <v>#REF!</v>
      </c>
      <c r="O3" s="59" t="e">
        <f>+N3/N3</f>
        <v>#REF!</v>
      </c>
      <c r="P3" s="57" t="str">
        <f>+M3</f>
        <v>INGRESOS</v>
      </c>
      <c r="Q3" s="60" t="e">
        <f>-+N7</f>
        <v>#REF!</v>
      </c>
      <c r="R3" s="57" t="str">
        <f>+P3</f>
        <v>INGRESOS</v>
      </c>
      <c r="S3" s="61" t="e">
        <f>+N3</f>
        <v>#REF!</v>
      </c>
      <c r="T3" s="57" t="str">
        <f>+P3</f>
        <v>INGRESOS</v>
      </c>
      <c r="U3" s="275">
        <v>0</v>
      </c>
    </row>
    <row r="4" spans="1:23" ht="15.75" customHeight="1">
      <c r="A4" s="52"/>
      <c r="B4" s="1100" t="s">
        <v>219</v>
      </c>
      <c r="C4" s="1101"/>
      <c r="D4" s="1101"/>
      <c r="E4" s="1101"/>
      <c r="F4" s="1101"/>
      <c r="G4" s="1101"/>
      <c r="H4" s="1101"/>
      <c r="I4" s="1101"/>
      <c r="J4" s="1102"/>
      <c r="M4" s="57" t="s">
        <v>225</v>
      </c>
      <c r="N4" s="58">
        <f>+C15</f>
        <v>0</v>
      </c>
      <c r="O4" s="59" t="e">
        <f>+N4/N3</f>
        <v>#REF!</v>
      </c>
      <c r="P4" s="57" t="str">
        <f>+M4</f>
        <v>CMV  VARIABLE</v>
      </c>
      <c r="Q4" s="60" t="e">
        <f>Q3*O4</f>
        <v>#REF!</v>
      </c>
      <c r="R4" s="57" t="str">
        <f>+P4</f>
        <v>CMV  VARIABLE</v>
      </c>
      <c r="S4" s="61" t="e">
        <f>S3*O4</f>
        <v>#REF!</v>
      </c>
      <c r="T4" s="57" t="str">
        <f>+P4</f>
        <v>CMV  VARIABLE</v>
      </c>
      <c r="U4" s="60" t="e">
        <f>+U3*O4</f>
        <v>#REF!</v>
      </c>
    </row>
    <row r="5" spans="1:23" ht="15.75">
      <c r="A5" s="52"/>
      <c r="B5" s="1100" t="str">
        <f>+DATOS!H8</f>
        <v>A 30 DE JUNIO DE 2026 Y 2025</v>
      </c>
      <c r="C5" s="1101"/>
      <c r="D5" s="1101"/>
      <c r="E5" s="1101"/>
      <c r="F5" s="1101"/>
      <c r="G5" s="1101"/>
      <c r="H5" s="1101"/>
      <c r="I5" s="1101"/>
      <c r="J5" s="1102"/>
      <c r="M5" s="78" t="s">
        <v>226</v>
      </c>
      <c r="N5" s="62" t="e">
        <f>+N3+N4</f>
        <v>#REF!</v>
      </c>
      <c r="O5" s="63" t="e">
        <f>+N5/N3</f>
        <v>#REF!</v>
      </c>
      <c r="P5" s="78" t="str">
        <f>+M5</f>
        <v>U.DESPUES DE GTOS VBLES</v>
      </c>
      <c r="Q5" s="64" t="e">
        <f>SUM(Q3:Q4)</f>
        <v>#REF!</v>
      </c>
      <c r="R5" s="78" t="str">
        <f>+P5</f>
        <v>U.DESPUES DE GTOS VBLES</v>
      </c>
      <c r="S5" s="65" t="e">
        <f>SUM(S3:S4)</f>
        <v>#REF!</v>
      </c>
      <c r="T5" s="276" t="str">
        <f>+P5</f>
        <v>U.DESPUES DE GTOS VBLES</v>
      </c>
      <c r="U5" s="60" t="e">
        <f>SUM(U3:U4)</f>
        <v>#REF!</v>
      </c>
    </row>
    <row r="6" spans="1:23" ht="16.5" thickBot="1">
      <c r="A6" s="52"/>
      <c r="B6" s="1094" t="s">
        <v>59</v>
      </c>
      <c r="C6" s="1095"/>
      <c r="D6" s="1095"/>
      <c r="E6" s="1095"/>
      <c r="F6" s="1095"/>
      <c r="G6" s="1095"/>
      <c r="H6" s="1095"/>
      <c r="I6" s="1095"/>
      <c r="J6" s="1096"/>
      <c r="M6" s="57" t="s">
        <v>227</v>
      </c>
      <c r="N6" s="58" t="e">
        <f>+C19+C20+C26+C34+C48+C64+C71+C75</f>
        <v>#REF!</v>
      </c>
      <c r="O6" s="59"/>
      <c r="P6" s="57" t="str">
        <f>+M6</f>
        <v xml:space="preserve">GTOS FIJOS </v>
      </c>
      <c r="Q6" s="60" t="e">
        <f>+N6</f>
        <v>#REF!</v>
      </c>
      <c r="R6" s="57" t="str">
        <f>+P6</f>
        <v xml:space="preserve">GTOS FIJOS </v>
      </c>
      <c r="S6" s="61" t="e">
        <f>+N6</f>
        <v>#REF!</v>
      </c>
      <c r="T6" s="57" t="str">
        <f>+P6</f>
        <v xml:space="preserve">GTOS FIJOS </v>
      </c>
      <c r="U6" s="60" t="e">
        <f>+Q6</f>
        <v>#REF!</v>
      </c>
      <c r="V6" s="161"/>
    </row>
    <row r="7" spans="1:23" ht="15" customHeight="1" thickBot="1">
      <c r="A7" s="52"/>
      <c r="B7" s="237"/>
      <c r="C7" s="240"/>
      <c r="D7" s="305"/>
      <c r="E7" s="241"/>
      <c r="F7" s="241"/>
      <c r="G7" s="310"/>
      <c r="H7" s="239"/>
      <c r="I7" s="236"/>
      <c r="J7" s="316"/>
      <c r="M7" s="66" t="s">
        <v>228</v>
      </c>
      <c r="N7" s="58" t="e">
        <f>+N6/O5</f>
        <v>#REF!</v>
      </c>
      <c r="O7" s="59"/>
      <c r="P7" s="57" t="str">
        <f>+M7</f>
        <v>P.EQ</v>
      </c>
      <c r="Q7" s="60" t="e">
        <f>+Q5+Q6</f>
        <v>#REF!</v>
      </c>
      <c r="R7" s="57"/>
      <c r="S7" s="75"/>
      <c r="T7" s="277" t="s">
        <v>230</v>
      </c>
      <c r="U7" s="278" t="e">
        <f>+U5+U6</f>
        <v>#REF!</v>
      </c>
    </row>
    <row r="8" spans="1:23" s="6" customFormat="1">
      <c r="A8" s="242"/>
      <c r="B8" s="290"/>
      <c r="C8" s="349" t="str">
        <f>+DATOS!H10</f>
        <v>2026-06</v>
      </c>
      <c r="D8" s="350" t="s">
        <v>60</v>
      </c>
      <c r="E8" s="243"/>
      <c r="F8" s="371" t="str">
        <f>+DATOS!H11</f>
        <v>2025-06</v>
      </c>
      <c r="G8" s="372" t="s">
        <v>60</v>
      </c>
      <c r="H8" s="243"/>
      <c r="I8" s="291" t="s">
        <v>99</v>
      </c>
      <c r="J8" s="317" t="s">
        <v>100</v>
      </c>
      <c r="K8" s="86"/>
      <c r="M8" s="206" t="s">
        <v>231</v>
      </c>
      <c r="N8" s="207" t="e">
        <f>+N6/O5</f>
        <v>#REF!</v>
      </c>
      <c r="O8" s="208"/>
      <c r="P8" s="206" t="s">
        <v>229</v>
      </c>
      <c r="Q8" s="209" t="e">
        <f>+Q5+Q6</f>
        <v>#REF!</v>
      </c>
      <c r="R8" s="206" t="s">
        <v>229</v>
      </c>
      <c r="S8" s="210" t="e">
        <f>SUM(S5:S6)</f>
        <v>#REF!</v>
      </c>
      <c r="T8" s="1"/>
      <c r="U8" s="1"/>
      <c r="V8" s="1"/>
      <c r="W8" s="1"/>
    </row>
    <row r="9" spans="1:23" ht="12.75" hidden="1" outlineLevel="1">
      <c r="A9" s="52">
        <v>4120</v>
      </c>
      <c r="B9" s="55" t="s">
        <v>457</v>
      </c>
      <c r="C9" s="351" t="e">
        <f>DATOS!#REF!</f>
        <v>#REF!</v>
      </c>
      <c r="D9" s="352" t="e">
        <f>C9/$C$13</f>
        <v>#REF!</v>
      </c>
      <c r="E9" s="238"/>
      <c r="F9" s="373" t="e">
        <f>DATOS!#REF!</f>
        <v>#REF!</v>
      </c>
      <c r="G9" s="374" t="e">
        <f>+F9/$F$13</f>
        <v>#REF!</v>
      </c>
      <c r="H9" s="238"/>
      <c r="I9" s="153" t="e">
        <f>+C9-F9</f>
        <v>#REF!</v>
      </c>
      <c r="J9" s="344" t="e">
        <f>+I9/F9</f>
        <v>#REF!</v>
      </c>
    </row>
    <row r="10" spans="1:23" ht="12.75" hidden="1" outlineLevel="1">
      <c r="A10" s="52">
        <v>4121</v>
      </c>
      <c r="B10" s="55" t="s">
        <v>458</v>
      </c>
      <c r="C10" s="351" t="e">
        <f>DATOS!#REF!</f>
        <v>#REF!</v>
      </c>
      <c r="D10" s="352" t="e">
        <f t="shared" ref="D10:D33" si="0">C10/$C$13</f>
        <v>#REF!</v>
      </c>
      <c r="E10" s="238"/>
      <c r="F10" s="373" t="e">
        <f>DATOS!#REF!</f>
        <v>#REF!</v>
      </c>
      <c r="G10" s="374" t="e">
        <f t="shared" ref="G10:G33" si="1">+F10/$F$13</f>
        <v>#REF!</v>
      </c>
      <c r="H10" s="238"/>
      <c r="I10" s="153" t="e">
        <f>+C10-F10</f>
        <v>#REF!</v>
      </c>
      <c r="J10" s="344">
        <f>IFERROR(I10/F10,0%)</f>
        <v>0</v>
      </c>
    </row>
    <row r="11" spans="1:23" ht="12.75" hidden="1" outlineLevel="1">
      <c r="A11" s="52">
        <v>4135</v>
      </c>
      <c r="B11" s="55" t="s">
        <v>459</v>
      </c>
      <c r="C11" s="351">
        <f>DATOS!C89</f>
        <v>481388</v>
      </c>
      <c r="D11" s="352" t="e">
        <f>C11/$C$13</f>
        <v>#REF!</v>
      </c>
      <c r="E11" s="238"/>
      <c r="F11" s="373">
        <f>DATOS!F89</f>
        <v>518220</v>
      </c>
      <c r="G11" s="374" t="e">
        <f t="shared" si="1"/>
        <v>#REF!</v>
      </c>
      <c r="H11" s="238"/>
      <c r="I11" s="153">
        <f>+C11-F11</f>
        <v>-36832</v>
      </c>
      <c r="J11" s="344">
        <f>IFERROR(I11/F11,0%)</f>
        <v>-7.1074061209524919E-2</v>
      </c>
    </row>
    <row r="12" spans="1:23" ht="12.75" hidden="1" outlineLevel="1">
      <c r="A12" s="73">
        <v>4175</v>
      </c>
      <c r="B12" s="55" t="s">
        <v>61</v>
      </c>
      <c r="C12" s="351">
        <f>-+DATOS!C95</f>
        <v>-1237</v>
      </c>
      <c r="D12" s="352" t="e">
        <f>C12/$C$13</f>
        <v>#REF!</v>
      </c>
      <c r="E12" s="244"/>
      <c r="F12" s="373">
        <f>-DATOS!F95</f>
        <v>-703</v>
      </c>
      <c r="G12" s="374" t="e">
        <f t="shared" si="1"/>
        <v>#REF!</v>
      </c>
      <c r="H12" s="244"/>
      <c r="I12" s="153">
        <f>+C12-F12</f>
        <v>-534</v>
      </c>
      <c r="J12" s="344">
        <f t="shared" ref="J12:J33" si="2">+I12/F12</f>
        <v>0.75960170697012808</v>
      </c>
    </row>
    <row r="13" spans="1:23" ht="13.5" collapsed="1" thickBot="1">
      <c r="A13" s="73"/>
      <c r="B13" s="245" t="s">
        <v>62</v>
      </c>
      <c r="C13" s="353" t="e">
        <f>SUM(C9:C12)</f>
        <v>#REF!</v>
      </c>
      <c r="D13" s="354" t="e">
        <f>C13/$C$13</f>
        <v>#REF!</v>
      </c>
      <c r="E13" s="244"/>
      <c r="F13" s="375" t="e">
        <f>SUM(F9:F12)</f>
        <v>#REF!</v>
      </c>
      <c r="G13" s="376" t="e">
        <f t="shared" si="1"/>
        <v>#REF!</v>
      </c>
      <c r="H13" s="244"/>
      <c r="I13" s="154" t="e">
        <f>+C13-F13</f>
        <v>#REF!</v>
      </c>
      <c r="J13" s="345" t="e">
        <f t="shared" si="2"/>
        <v>#REF!</v>
      </c>
      <c r="L13" s="74"/>
      <c r="M13" s="1" t="s">
        <v>436</v>
      </c>
      <c r="N13" s="2" t="e">
        <f>+(N6+C108)/O5</f>
        <v>#REF!</v>
      </c>
    </row>
    <row r="14" spans="1:23" ht="15.75" customHeight="1" thickTop="1">
      <c r="A14" s="73"/>
      <c r="B14" s="55"/>
      <c r="C14" s="355"/>
      <c r="D14" s="356"/>
      <c r="E14" s="244"/>
      <c r="F14" s="377"/>
      <c r="G14" s="378" t="e">
        <f t="shared" si="1"/>
        <v>#REF!</v>
      </c>
      <c r="H14" s="244"/>
      <c r="I14" s="155"/>
      <c r="J14" s="346"/>
      <c r="N14" s="2"/>
      <c r="R14" s="6"/>
      <c r="S14" s="562"/>
      <c r="T14" s="562"/>
      <c r="U14" s="6"/>
      <c r="V14" s="279"/>
      <c r="W14" s="279"/>
    </row>
    <row r="15" spans="1:23" ht="15" customHeight="1" thickBot="1">
      <c r="A15" s="73"/>
      <c r="B15" s="245" t="s">
        <v>479</v>
      </c>
      <c r="C15" s="353">
        <f>+C16</f>
        <v>0</v>
      </c>
      <c r="D15" s="354" t="e">
        <f>C15/$C$13</f>
        <v>#REF!</v>
      </c>
      <c r="E15" s="244"/>
      <c r="F15" s="375">
        <f>+F16</f>
        <v>-221817</v>
      </c>
      <c r="G15" s="376" t="e">
        <f t="shared" si="1"/>
        <v>#REF!</v>
      </c>
      <c r="H15" s="244"/>
      <c r="I15" s="154">
        <f>+C15-F15</f>
        <v>221817</v>
      </c>
      <c r="J15" s="345">
        <f t="shared" si="2"/>
        <v>-1</v>
      </c>
      <c r="M15" s="10" t="s">
        <v>431</v>
      </c>
      <c r="S15" s="281"/>
      <c r="T15" s="281"/>
      <c r="U15" s="281"/>
    </row>
    <row r="16" spans="1:23" ht="14.25" hidden="1" outlineLevel="1" thickTop="1" thickBot="1">
      <c r="A16" s="73"/>
      <c r="B16" s="55" t="s">
        <v>478</v>
      </c>
      <c r="C16" s="351">
        <f>-DATOS!C201</f>
        <v>0</v>
      </c>
      <c r="D16" s="356" t="e">
        <f>C16/$C$13</f>
        <v>#REF!</v>
      </c>
      <c r="E16" s="244"/>
      <c r="F16" s="373">
        <f>-DATOS!F211</f>
        <v>-221817</v>
      </c>
      <c r="G16" s="378" t="e">
        <f t="shared" si="1"/>
        <v>#REF!</v>
      </c>
      <c r="H16" s="244"/>
      <c r="I16" s="153">
        <f>+C16-F16</f>
        <v>221817</v>
      </c>
      <c r="J16" s="346">
        <f t="shared" si="2"/>
        <v>-1</v>
      </c>
      <c r="M16" s="1086" t="s">
        <v>420</v>
      </c>
      <c r="N16" s="1087"/>
      <c r="O16" s="1087"/>
      <c r="P16" s="1088"/>
    </row>
    <row r="17" spans="1:21" ht="14.25" collapsed="1" thickTop="1" thickBot="1">
      <c r="A17" s="52"/>
      <c r="B17" s="245" t="s">
        <v>246</v>
      </c>
      <c r="C17" s="353" t="e">
        <f>+C13+C15</f>
        <v>#REF!</v>
      </c>
      <c r="D17" s="354" t="e">
        <f t="shared" si="0"/>
        <v>#REF!</v>
      </c>
      <c r="E17" s="244"/>
      <c r="F17" s="375" t="e">
        <f>+F13+F15</f>
        <v>#REF!</v>
      </c>
      <c r="G17" s="376" t="e">
        <f t="shared" si="1"/>
        <v>#REF!</v>
      </c>
      <c r="H17" s="244"/>
      <c r="I17" s="154" t="e">
        <f>+C17-F17</f>
        <v>#REF!</v>
      </c>
      <c r="J17" s="345" t="e">
        <f t="shared" si="2"/>
        <v>#REF!</v>
      </c>
      <c r="M17" s="401"/>
      <c r="N17" s="579">
        <v>2024</v>
      </c>
      <c r="O17" s="580">
        <v>2023</v>
      </c>
      <c r="P17" s="402" t="s">
        <v>99</v>
      </c>
      <c r="S17" s="281"/>
      <c r="T17" s="281"/>
      <c r="U17" s="281"/>
    </row>
    <row r="18" spans="1:21" ht="13.5" thickTop="1">
      <c r="A18" s="52"/>
      <c r="B18" s="248"/>
      <c r="C18" s="357"/>
      <c r="D18" s="358" t="e">
        <f t="shared" si="0"/>
        <v>#REF!</v>
      </c>
      <c r="E18" s="244"/>
      <c r="F18" s="379"/>
      <c r="G18" s="380"/>
      <c r="H18" s="244"/>
      <c r="I18" s="156"/>
      <c r="J18" s="347"/>
      <c r="M18" s="56"/>
      <c r="N18" s="397"/>
      <c r="O18" s="577"/>
      <c r="P18" s="286"/>
      <c r="S18" s="281"/>
      <c r="T18" s="281"/>
      <c r="U18" s="281"/>
    </row>
    <row r="19" spans="1:21" ht="12.75">
      <c r="A19" s="52">
        <v>72</v>
      </c>
      <c r="B19" s="55" t="s">
        <v>240</v>
      </c>
      <c r="C19" s="359">
        <f>-DATOS!C205</f>
        <v>-143</v>
      </c>
      <c r="D19" s="360" t="e">
        <f t="shared" si="0"/>
        <v>#REF!</v>
      </c>
      <c r="E19" s="244"/>
      <c r="F19" s="381">
        <f>+-DATOS!F215</f>
        <v>0</v>
      </c>
      <c r="G19" s="382" t="e">
        <f t="shared" si="1"/>
        <v>#REF!</v>
      </c>
      <c r="H19" s="244"/>
      <c r="I19" s="159">
        <f>+C19-F19</f>
        <v>-143</v>
      </c>
      <c r="J19" s="521">
        <f>IFERROR(I19/F19,0%)</f>
        <v>0</v>
      </c>
      <c r="M19" s="271" t="s">
        <v>412</v>
      </c>
      <c r="N19" s="396">
        <v>8172</v>
      </c>
      <c r="O19" s="399">
        <v>8740</v>
      </c>
      <c r="P19" s="272">
        <f t="shared" ref="P19:P27" si="3">N19-O19</f>
        <v>-568</v>
      </c>
      <c r="S19" s="281"/>
      <c r="T19" s="281"/>
      <c r="U19" s="281"/>
    </row>
    <row r="20" spans="1:21" ht="12.75">
      <c r="A20" s="52">
        <v>73</v>
      </c>
      <c r="B20" s="246" t="s">
        <v>241</v>
      </c>
      <c r="C20" s="359">
        <f>-DATOS!C206</f>
        <v>-84</v>
      </c>
      <c r="D20" s="360" t="e">
        <f t="shared" si="0"/>
        <v>#REF!</v>
      </c>
      <c r="E20" s="244"/>
      <c r="F20" s="381">
        <f>-DATOS!F216</f>
        <v>0</v>
      </c>
      <c r="G20" s="382" t="e">
        <f t="shared" si="1"/>
        <v>#REF!</v>
      </c>
      <c r="H20" s="244"/>
      <c r="I20" s="159">
        <f>C20-F20</f>
        <v>-84</v>
      </c>
      <c r="J20" s="521">
        <f>IFERROR(I20/F20,0%)</f>
        <v>0</v>
      </c>
      <c r="M20" s="271" t="s">
        <v>415</v>
      </c>
      <c r="N20" s="396">
        <v>8435</v>
      </c>
      <c r="O20" s="399">
        <v>10699</v>
      </c>
      <c r="P20" s="272">
        <f t="shared" si="3"/>
        <v>-2264</v>
      </c>
      <c r="S20" s="281"/>
      <c r="T20" s="281"/>
      <c r="U20" s="281"/>
    </row>
    <row r="21" spans="1:21" ht="12.75">
      <c r="A21" s="52"/>
      <c r="B21" s="247"/>
      <c r="C21" s="357"/>
      <c r="D21" s="358"/>
      <c r="E21" s="244"/>
      <c r="F21" s="379"/>
      <c r="G21" s="380"/>
      <c r="H21" s="244"/>
      <c r="I21" s="156"/>
      <c r="J21" s="347"/>
      <c r="M21" s="273" t="s">
        <v>413</v>
      </c>
      <c r="N21" s="396">
        <v>33768</v>
      </c>
      <c r="O21" s="399">
        <v>28101</v>
      </c>
      <c r="P21" s="272">
        <f t="shared" si="3"/>
        <v>5667</v>
      </c>
      <c r="Q21" s="6"/>
      <c r="S21" s="281"/>
      <c r="T21" s="281"/>
      <c r="U21" s="281"/>
    </row>
    <row r="22" spans="1:21" ht="12.75">
      <c r="A22" s="52"/>
      <c r="B22" s="268" t="s">
        <v>480</v>
      </c>
      <c r="C22" s="357">
        <f>+C15+C19+C20</f>
        <v>-227</v>
      </c>
      <c r="D22" s="360" t="e">
        <f t="shared" si="0"/>
        <v>#REF!</v>
      </c>
      <c r="E22" s="244"/>
      <c r="F22" s="381">
        <f>+F15+F19+F20</f>
        <v>-221817</v>
      </c>
      <c r="G22" s="382" t="e">
        <f t="shared" si="1"/>
        <v>#REF!</v>
      </c>
      <c r="H22" s="244"/>
      <c r="I22" s="159">
        <f>C22-F22</f>
        <v>221590</v>
      </c>
      <c r="J22" s="521">
        <f>IFERROR(I22/F22,0%)</f>
        <v>-0.99897663389190183</v>
      </c>
      <c r="M22" s="273" t="s">
        <v>416</v>
      </c>
      <c r="N22" s="396">
        <v>-1386</v>
      </c>
      <c r="O22" s="399">
        <v>848</v>
      </c>
      <c r="P22" s="272">
        <f t="shared" si="3"/>
        <v>-2234</v>
      </c>
      <c r="Q22" s="6"/>
      <c r="S22" s="281"/>
      <c r="T22" s="281"/>
      <c r="U22" s="281"/>
    </row>
    <row r="23" spans="1:21" ht="12.75">
      <c r="A23" s="52"/>
      <c r="B23" s="247"/>
      <c r="C23" s="357"/>
      <c r="D23" s="358"/>
      <c r="E23" s="244"/>
      <c r="F23" s="379"/>
      <c r="G23" s="380"/>
      <c r="H23" s="244"/>
      <c r="I23" s="156"/>
      <c r="J23" s="347"/>
      <c r="M23" s="273" t="s">
        <v>285</v>
      </c>
      <c r="N23" s="396"/>
      <c r="O23" s="399">
        <v>993</v>
      </c>
      <c r="P23" s="272">
        <f t="shared" si="3"/>
        <v>-993</v>
      </c>
      <c r="Q23" s="6"/>
      <c r="S23" s="281"/>
      <c r="T23" s="281"/>
      <c r="U23" s="281"/>
    </row>
    <row r="24" spans="1:21" ht="13.5" thickBot="1">
      <c r="A24" s="52"/>
      <c r="B24" s="245" t="s">
        <v>242</v>
      </c>
      <c r="C24" s="353" t="e">
        <f>+C17+C19+C20</f>
        <v>#REF!</v>
      </c>
      <c r="D24" s="354" t="e">
        <f t="shared" si="0"/>
        <v>#REF!</v>
      </c>
      <c r="E24" s="244"/>
      <c r="F24" s="375" t="e">
        <f>+F17+F19+F20</f>
        <v>#REF!</v>
      </c>
      <c r="G24" s="376" t="e">
        <f t="shared" si="1"/>
        <v>#REF!</v>
      </c>
      <c r="H24" s="244"/>
      <c r="I24" s="154" t="e">
        <f>+C24-F24</f>
        <v>#REF!</v>
      </c>
      <c r="J24" s="345" t="e">
        <f t="shared" si="2"/>
        <v>#REF!</v>
      </c>
      <c r="M24" s="273" t="s">
        <v>180</v>
      </c>
      <c r="N24" s="396">
        <v>34088</v>
      </c>
      <c r="O24" s="399">
        <v>39185</v>
      </c>
      <c r="P24" s="272">
        <f t="shared" si="3"/>
        <v>-5097</v>
      </c>
      <c r="S24" s="281"/>
      <c r="T24" s="281"/>
      <c r="U24" s="281"/>
    </row>
    <row r="25" spans="1:21" ht="13.5" thickTop="1">
      <c r="A25" s="52"/>
      <c r="B25" s="248"/>
      <c r="C25" s="361"/>
      <c r="D25" s="358"/>
      <c r="E25" s="244"/>
      <c r="F25" s="383"/>
      <c r="G25" s="380"/>
      <c r="H25" s="244"/>
      <c r="I25" s="157"/>
      <c r="J25" s="347"/>
      <c r="M25" s="273" t="s">
        <v>417</v>
      </c>
      <c r="N25" s="396">
        <v>2890</v>
      </c>
      <c r="O25" s="399">
        <v>4465</v>
      </c>
      <c r="P25" s="272">
        <f t="shared" si="3"/>
        <v>-1575</v>
      </c>
      <c r="S25" s="281"/>
      <c r="T25" s="281"/>
      <c r="U25" s="281"/>
    </row>
    <row r="26" spans="1:21" ht="12.75">
      <c r="A26" s="52"/>
      <c r="B26" s="248" t="s">
        <v>69</v>
      </c>
      <c r="C26" s="362" t="e">
        <f>+SUM(C27:C33)</f>
        <v>#REF!</v>
      </c>
      <c r="D26" s="360" t="e">
        <f t="shared" si="0"/>
        <v>#REF!</v>
      </c>
      <c r="E26" s="244"/>
      <c r="F26" s="384" t="e">
        <f>SUM(F27:F33)</f>
        <v>#REF!</v>
      </c>
      <c r="G26" s="382" t="e">
        <f t="shared" si="1"/>
        <v>#REF!</v>
      </c>
      <c r="H26" s="244"/>
      <c r="I26" s="158" t="e">
        <f t="shared" ref="I26:I33" si="4">+C26-F26</f>
        <v>#REF!</v>
      </c>
      <c r="J26" s="348" t="e">
        <f t="shared" si="2"/>
        <v>#REF!</v>
      </c>
      <c r="M26" s="273" t="s">
        <v>418</v>
      </c>
      <c r="N26" s="396">
        <v>1973</v>
      </c>
      <c r="O26" s="399">
        <v>1553</v>
      </c>
      <c r="P26" s="272">
        <f t="shared" si="3"/>
        <v>420</v>
      </c>
      <c r="S26" s="281"/>
      <c r="T26" s="281"/>
      <c r="U26" s="281"/>
    </row>
    <row r="27" spans="1:21" ht="12.75" hidden="1" outlineLevel="1">
      <c r="A27" s="52">
        <v>4205</v>
      </c>
      <c r="B27" s="55" t="s">
        <v>189</v>
      </c>
      <c r="C27" s="355" t="e">
        <f>DATOS!#REF!</f>
        <v>#REF!</v>
      </c>
      <c r="D27" s="356" t="e">
        <f t="shared" si="0"/>
        <v>#REF!</v>
      </c>
      <c r="E27" s="244"/>
      <c r="F27" s="377" t="e">
        <f>+DATOS!#REF!</f>
        <v>#REF!</v>
      </c>
      <c r="G27" s="378" t="e">
        <f t="shared" si="1"/>
        <v>#REF!</v>
      </c>
      <c r="H27" s="244"/>
      <c r="I27" s="155" t="e">
        <f t="shared" si="4"/>
        <v>#REF!</v>
      </c>
      <c r="J27" s="346" t="e">
        <f t="shared" si="2"/>
        <v>#REF!</v>
      </c>
      <c r="M27" s="273" t="s">
        <v>421</v>
      </c>
      <c r="N27" s="396"/>
      <c r="O27" s="399"/>
      <c r="P27" s="286">
        <f t="shared" si="3"/>
        <v>0</v>
      </c>
    </row>
    <row r="28" spans="1:21" ht="12.75" hidden="1" outlineLevel="1">
      <c r="A28" s="52">
        <v>4235</v>
      </c>
      <c r="B28" s="55" t="s">
        <v>190</v>
      </c>
      <c r="C28" s="355">
        <f>DATOS!C99</f>
        <v>899</v>
      </c>
      <c r="D28" s="356" t="e">
        <f>C28/$C$13</f>
        <v>#REF!</v>
      </c>
      <c r="E28" s="244"/>
      <c r="F28" s="377">
        <f>+DATOS!F99</f>
        <v>1421</v>
      </c>
      <c r="G28" s="378" t="e">
        <f t="shared" si="1"/>
        <v>#REF!</v>
      </c>
      <c r="H28" s="244"/>
      <c r="I28" s="155">
        <f t="shared" si="4"/>
        <v>-522</v>
      </c>
      <c r="J28" s="346">
        <f t="shared" si="2"/>
        <v>-0.36734693877551022</v>
      </c>
      <c r="M28" s="273"/>
      <c r="N28" s="396"/>
      <c r="O28" s="399"/>
      <c r="P28" s="272"/>
    </row>
    <row r="29" spans="1:21" ht="12.75" hidden="1" outlineLevel="1">
      <c r="A29" s="52">
        <v>4245</v>
      </c>
      <c r="B29" s="55" t="s">
        <v>443</v>
      </c>
      <c r="C29" s="355" t="e">
        <f>DATOS!#REF!</f>
        <v>#REF!</v>
      </c>
      <c r="D29" s="356" t="e">
        <f>C29/$C$13</f>
        <v>#REF!</v>
      </c>
      <c r="E29" s="244"/>
      <c r="F29" s="377" t="e">
        <f>+DATOS!#REF!</f>
        <v>#REF!</v>
      </c>
      <c r="G29" s="378" t="e">
        <f t="shared" si="1"/>
        <v>#REF!</v>
      </c>
      <c r="H29" s="244"/>
      <c r="I29" s="155" t="e">
        <f t="shared" si="4"/>
        <v>#REF!</v>
      </c>
      <c r="J29" s="346" t="e">
        <f t="shared" si="2"/>
        <v>#REF!</v>
      </c>
      <c r="M29" s="56"/>
      <c r="N29" s="396"/>
      <c r="O29" s="399"/>
      <c r="P29" s="286"/>
    </row>
    <row r="30" spans="1:21" ht="12.75" hidden="1" outlineLevel="1">
      <c r="A30" s="52">
        <v>4250</v>
      </c>
      <c r="B30" s="55" t="s">
        <v>70</v>
      </c>
      <c r="C30" s="355">
        <f>+DATOS!C101</f>
        <v>3</v>
      </c>
      <c r="D30" s="356" t="e">
        <f t="shared" si="0"/>
        <v>#REF!</v>
      </c>
      <c r="E30" s="244"/>
      <c r="F30" s="377">
        <f>+DATOS!F101</f>
        <v>4</v>
      </c>
      <c r="G30" s="378" t="e">
        <f t="shared" si="1"/>
        <v>#REF!</v>
      </c>
      <c r="H30" s="244"/>
      <c r="I30" s="155">
        <f t="shared" si="4"/>
        <v>-1</v>
      </c>
      <c r="J30" s="344">
        <f>IFERROR(I30/F30,0%)</f>
        <v>-0.25</v>
      </c>
      <c r="M30" s="56"/>
      <c r="N30" s="396"/>
      <c r="O30" s="399"/>
      <c r="P30" s="286"/>
    </row>
    <row r="31" spans="1:21" ht="12.75" hidden="1" outlineLevel="1">
      <c r="A31" s="52">
        <v>4255</v>
      </c>
      <c r="B31" s="55" t="s">
        <v>243</v>
      </c>
      <c r="C31" s="355">
        <f>DATOS!C102</f>
        <v>0</v>
      </c>
      <c r="D31" s="356" t="e">
        <f t="shared" si="0"/>
        <v>#REF!</v>
      </c>
      <c r="E31" s="244"/>
      <c r="F31" s="377">
        <f>+DATOS!F102</f>
        <v>0</v>
      </c>
      <c r="G31" s="378" t="e">
        <f t="shared" si="1"/>
        <v>#REF!</v>
      </c>
      <c r="H31" s="244"/>
      <c r="I31" s="155">
        <f t="shared" si="4"/>
        <v>0</v>
      </c>
      <c r="J31" s="344">
        <f>IFERROR(I31/F31,0%)</f>
        <v>0</v>
      </c>
      <c r="M31" s="56"/>
      <c r="N31" s="396"/>
      <c r="O31" s="399"/>
      <c r="P31" s="286"/>
    </row>
    <row r="32" spans="1:21" hidden="1" outlineLevel="1">
      <c r="A32" s="52">
        <v>4265</v>
      </c>
      <c r="B32" s="55" t="s">
        <v>460</v>
      </c>
      <c r="C32" s="355">
        <f>DATOS!C103</f>
        <v>0</v>
      </c>
      <c r="D32" s="356" t="e">
        <f t="shared" si="0"/>
        <v>#REF!</v>
      </c>
      <c r="F32" s="377">
        <f>+DATOS!F103</f>
        <v>0</v>
      </c>
      <c r="G32" s="378" t="e">
        <f t="shared" si="1"/>
        <v>#REF!</v>
      </c>
      <c r="I32" s="155">
        <f t="shared" si="4"/>
        <v>0</v>
      </c>
      <c r="J32" s="344">
        <f>IFERROR(I32/F32,0%)</f>
        <v>0</v>
      </c>
      <c r="M32" s="56"/>
      <c r="N32" s="396"/>
      <c r="O32" s="399"/>
      <c r="P32" s="286"/>
    </row>
    <row r="33" spans="1:23" ht="12.75" hidden="1" outlineLevel="1">
      <c r="A33" s="52">
        <v>4295</v>
      </c>
      <c r="B33" s="55" t="s">
        <v>71</v>
      </c>
      <c r="C33" s="355">
        <f>DATOS!C104</f>
        <v>720</v>
      </c>
      <c r="D33" s="356" t="e">
        <f t="shared" si="0"/>
        <v>#REF!</v>
      </c>
      <c r="E33" s="244"/>
      <c r="F33" s="377">
        <f>+DATOS!F104</f>
        <v>519</v>
      </c>
      <c r="G33" s="378" t="e">
        <f t="shared" si="1"/>
        <v>#REF!</v>
      </c>
      <c r="H33" s="244"/>
      <c r="I33" s="155">
        <f t="shared" si="4"/>
        <v>201</v>
      </c>
      <c r="J33" s="346">
        <f t="shared" si="2"/>
        <v>0.38728323699421963</v>
      </c>
      <c r="M33" s="56"/>
      <c r="N33" s="396"/>
      <c r="O33" s="399"/>
      <c r="P33" s="286"/>
    </row>
    <row r="34" spans="1:23" ht="12.75" collapsed="1">
      <c r="A34" s="52"/>
      <c r="B34" s="248" t="s">
        <v>72</v>
      </c>
      <c r="C34" s="359" t="e">
        <f>+SUM(C35:C47)</f>
        <v>#REF!</v>
      </c>
      <c r="D34" s="360" t="e">
        <f t="shared" ref="D34:D64" si="5">C34/$C$13</f>
        <v>#REF!</v>
      </c>
      <c r="E34" s="244"/>
      <c r="F34" s="381" t="e">
        <f>SUM(F35:F47)</f>
        <v>#REF!</v>
      </c>
      <c r="G34" s="382" t="e">
        <f t="shared" ref="G34:G64" si="6">+F34/$F$13</f>
        <v>#REF!</v>
      </c>
      <c r="H34" s="244"/>
      <c r="I34" s="159" t="e">
        <f t="shared" ref="I34:I67" si="7">+C34-F34</f>
        <v>#REF!</v>
      </c>
      <c r="J34" s="348" t="e">
        <f t="shared" ref="J34:J40" si="8">+I34/F34</f>
        <v>#REF!</v>
      </c>
      <c r="M34" s="273" t="s">
        <v>414</v>
      </c>
      <c r="N34" s="396">
        <v>11486</v>
      </c>
      <c r="O34" s="399">
        <v>13373</v>
      </c>
      <c r="P34" s="272">
        <f>N34-O34</f>
        <v>-1887</v>
      </c>
      <c r="T34" s="281"/>
      <c r="U34" s="281"/>
    </row>
    <row r="35" spans="1:23" ht="12.75" hidden="1" outlineLevel="1">
      <c r="A35" s="52">
        <v>5204</v>
      </c>
      <c r="B35" s="55" t="s">
        <v>63</v>
      </c>
      <c r="C35" s="351">
        <f>-DATOS!C115</f>
        <v>-1523</v>
      </c>
      <c r="D35" s="356" t="e">
        <f t="shared" si="5"/>
        <v>#REF!</v>
      </c>
      <c r="E35" s="244"/>
      <c r="F35" s="373">
        <f>-DATOS!F115</f>
        <v>-1540</v>
      </c>
      <c r="G35" s="378" t="e">
        <f t="shared" si="6"/>
        <v>#REF!</v>
      </c>
      <c r="H35" s="244"/>
      <c r="I35" s="153">
        <f t="shared" si="7"/>
        <v>17</v>
      </c>
      <c r="J35" s="346">
        <f t="shared" si="8"/>
        <v>-1.1038961038961039E-2</v>
      </c>
      <c r="M35" s="56"/>
      <c r="N35" s="396"/>
      <c r="O35" s="399"/>
      <c r="P35" s="286"/>
    </row>
    <row r="36" spans="1:23" ht="12.75" hidden="1" outlineLevel="1">
      <c r="A36" s="52">
        <v>5205</v>
      </c>
      <c r="B36" s="55" t="s">
        <v>244</v>
      </c>
      <c r="C36" s="351">
        <f>-DATOS!C119</f>
        <v>-50039</v>
      </c>
      <c r="D36" s="356" t="e">
        <f t="shared" si="5"/>
        <v>#REF!</v>
      </c>
      <c r="E36" s="244"/>
      <c r="F36" s="373">
        <f>-DATOS!F119</f>
        <v>-51262</v>
      </c>
      <c r="G36" s="378" t="e">
        <f t="shared" si="6"/>
        <v>#REF!</v>
      </c>
      <c r="H36" s="244"/>
      <c r="I36" s="153">
        <f t="shared" si="7"/>
        <v>1223</v>
      </c>
      <c r="J36" s="346">
        <f t="shared" si="8"/>
        <v>-2.3857828410908666E-2</v>
      </c>
      <c r="M36" s="273"/>
      <c r="N36" s="396"/>
      <c r="O36" s="399"/>
      <c r="P36" s="272"/>
    </row>
    <row r="37" spans="1:23" ht="12.75" hidden="1" outlineLevel="1">
      <c r="A37" s="52">
        <v>5210</v>
      </c>
      <c r="B37" s="55" t="s">
        <v>64</v>
      </c>
      <c r="C37" s="351">
        <f>-DATOS!C138</f>
        <v>-25821.5</v>
      </c>
      <c r="D37" s="356" t="e">
        <f t="shared" si="5"/>
        <v>#REF!</v>
      </c>
      <c r="E37" s="244"/>
      <c r="F37" s="373">
        <f>-DATOS!F138</f>
        <v>-25646</v>
      </c>
      <c r="G37" s="378" t="e">
        <f t="shared" si="6"/>
        <v>#REF!</v>
      </c>
      <c r="H37" s="244"/>
      <c r="I37" s="153">
        <f t="shared" si="7"/>
        <v>-175.5</v>
      </c>
      <c r="J37" s="346">
        <f t="shared" si="8"/>
        <v>6.8431724245496374E-3</v>
      </c>
      <c r="M37" s="56"/>
      <c r="N37" s="396"/>
      <c r="O37" s="399"/>
      <c r="P37" s="286"/>
      <c r="V37" s="6"/>
      <c r="W37" s="6"/>
    </row>
    <row r="38" spans="1:23" s="6" customFormat="1" ht="12.75" hidden="1" outlineLevel="1">
      <c r="A38" s="52">
        <v>5215</v>
      </c>
      <c r="B38" s="55" t="s">
        <v>65</v>
      </c>
      <c r="C38" s="351">
        <f>-DATOS!C142</f>
        <v>-4810</v>
      </c>
      <c r="D38" s="356" t="e">
        <f t="shared" si="5"/>
        <v>#REF!</v>
      </c>
      <c r="E38" s="244"/>
      <c r="F38" s="373">
        <f>-DATOS!F142</f>
        <v>-7525</v>
      </c>
      <c r="G38" s="378" t="e">
        <f t="shared" si="6"/>
        <v>#REF!</v>
      </c>
      <c r="H38" s="244"/>
      <c r="I38" s="153">
        <f t="shared" si="7"/>
        <v>2715</v>
      </c>
      <c r="J38" s="346">
        <f t="shared" si="8"/>
        <v>-0.36079734219269105</v>
      </c>
      <c r="K38" s="85"/>
      <c r="M38" s="56"/>
      <c r="N38" s="396"/>
      <c r="O38" s="399"/>
      <c r="P38" s="286"/>
      <c r="Q38" s="1"/>
    </row>
    <row r="39" spans="1:23" s="6" customFormat="1" ht="12.75" hidden="1" outlineLevel="1">
      <c r="A39" s="52">
        <v>5220</v>
      </c>
      <c r="B39" s="55" t="s">
        <v>66</v>
      </c>
      <c r="C39" s="351">
        <f>-DATOS!C146</f>
        <v>-85409</v>
      </c>
      <c r="D39" s="356" t="e">
        <f t="shared" si="5"/>
        <v>#REF!</v>
      </c>
      <c r="E39" s="244"/>
      <c r="F39" s="373">
        <f>-DATOS!F146</f>
        <v>-65084</v>
      </c>
      <c r="G39" s="378" t="e">
        <f t="shared" si="6"/>
        <v>#REF!</v>
      </c>
      <c r="H39" s="244"/>
      <c r="I39" s="153">
        <f t="shared" si="7"/>
        <v>-20325</v>
      </c>
      <c r="J39" s="346">
        <f t="shared" si="8"/>
        <v>0.31228873455841683</v>
      </c>
      <c r="K39" s="85"/>
      <c r="M39" s="56"/>
      <c r="N39" s="396"/>
      <c r="O39" s="399"/>
      <c r="P39" s="286"/>
      <c r="Q39" s="1"/>
    </row>
    <row r="40" spans="1:23" s="6" customFormat="1" ht="12.75" hidden="1" outlineLevel="1">
      <c r="A40" s="52">
        <v>5225</v>
      </c>
      <c r="B40" s="55" t="s">
        <v>435</v>
      </c>
      <c r="C40" s="351">
        <f>-DATOS!C147</f>
        <v>-9181</v>
      </c>
      <c r="D40" s="356" t="e">
        <f t="shared" si="5"/>
        <v>#REF!</v>
      </c>
      <c r="E40" s="244"/>
      <c r="F40" s="373">
        <f>-DATOS!F147</f>
        <v>-12012</v>
      </c>
      <c r="G40" s="378" t="e">
        <f t="shared" si="6"/>
        <v>#REF!</v>
      </c>
      <c r="H40" s="244"/>
      <c r="I40" s="153">
        <f t="shared" si="7"/>
        <v>2831</v>
      </c>
      <c r="J40" s="346">
        <f t="shared" si="8"/>
        <v>-0.23568098568098569</v>
      </c>
      <c r="K40" s="85"/>
      <c r="M40" s="273"/>
      <c r="N40" s="396"/>
      <c r="O40" s="399"/>
      <c r="P40" s="403"/>
      <c r="Q40" s="1"/>
      <c r="V40" s="1"/>
      <c r="W40" s="1"/>
    </row>
    <row r="41" spans="1:23" ht="12.75" hidden="1" outlineLevel="1">
      <c r="A41" s="52">
        <v>5230</v>
      </c>
      <c r="B41" s="55" t="s">
        <v>67</v>
      </c>
      <c r="C41" s="351">
        <f>-DATOS!C148</f>
        <v>0</v>
      </c>
      <c r="D41" s="356" t="e">
        <f t="shared" si="5"/>
        <v>#REF!</v>
      </c>
      <c r="E41" s="244"/>
      <c r="F41" s="373">
        <f>-DATOS!F148</f>
        <v>0</v>
      </c>
      <c r="G41" s="378" t="e">
        <f t="shared" si="6"/>
        <v>#REF!</v>
      </c>
      <c r="H41" s="244"/>
      <c r="I41" s="153">
        <f t="shared" si="7"/>
        <v>0</v>
      </c>
      <c r="J41" s="344">
        <f>IFERROR(I41/F41,0%)</f>
        <v>0</v>
      </c>
      <c r="M41" s="273"/>
      <c r="N41" s="396"/>
      <c r="O41" s="399"/>
      <c r="P41" s="403"/>
    </row>
    <row r="42" spans="1:23" s="50" customFormat="1" ht="14.25" hidden="1" customHeight="1" outlineLevel="1">
      <c r="A42" s="52">
        <v>5235</v>
      </c>
      <c r="B42" s="55" t="s">
        <v>190</v>
      </c>
      <c r="C42" s="351" t="e">
        <f>-DATOS!#REF!</f>
        <v>#REF!</v>
      </c>
      <c r="D42" s="356" t="e">
        <f t="shared" si="5"/>
        <v>#REF!</v>
      </c>
      <c r="E42" s="244"/>
      <c r="F42" s="373" t="e">
        <f>-DATOS!#REF!</f>
        <v>#REF!</v>
      </c>
      <c r="G42" s="378" t="e">
        <f t="shared" si="6"/>
        <v>#REF!</v>
      </c>
      <c r="H42" s="244"/>
      <c r="I42" s="153" t="e">
        <f t="shared" si="7"/>
        <v>#REF!</v>
      </c>
      <c r="J42" s="344">
        <f t="shared" ref="J42:J96" si="9">IFERROR(I42/F42,0%)</f>
        <v>0</v>
      </c>
      <c r="L42" s="84"/>
      <c r="M42" s="273"/>
      <c r="N42" s="396"/>
      <c r="O42" s="399"/>
      <c r="P42" s="403"/>
      <c r="Q42" s="1"/>
    </row>
    <row r="43" spans="1:23" s="6" customFormat="1" ht="12.75" hidden="1" outlineLevel="1">
      <c r="A43" s="52">
        <v>5240</v>
      </c>
      <c r="B43" s="55" t="s">
        <v>191</v>
      </c>
      <c r="C43" s="351">
        <f>-DATOS!C158</f>
        <v>-6283.5</v>
      </c>
      <c r="D43" s="356" t="e">
        <f t="shared" si="5"/>
        <v>#REF!</v>
      </c>
      <c r="E43" s="244"/>
      <c r="F43" s="373">
        <f>-DATOS!F158</f>
        <v>-3352.5</v>
      </c>
      <c r="G43" s="378" t="e">
        <f t="shared" si="6"/>
        <v>#REF!</v>
      </c>
      <c r="H43" s="244"/>
      <c r="I43" s="153">
        <f t="shared" si="7"/>
        <v>-2931</v>
      </c>
      <c r="J43" s="344">
        <f t="shared" si="9"/>
        <v>0.87427293064876954</v>
      </c>
      <c r="K43" s="85"/>
      <c r="M43" s="56"/>
      <c r="N43" s="396"/>
      <c r="O43" s="399"/>
      <c r="P43" s="286"/>
      <c r="Q43" s="1"/>
    </row>
    <row r="44" spans="1:23" s="6" customFormat="1" ht="12.75" hidden="1" outlineLevel="1">
      <c r="A44" s="52">
        <v>5245</v>
      </c>
      <c r="B44" s="55" t="s">
        <v>192</v>
      </c>
      <c r="C44" s="351">
        <f>-DATOS!C168</f>
        <v>-12</v>
      </c>
      <c r="D44" s="356" t="e">
        <f t="shared" si="5"/>
        <v>#REF!</v>
      </c>
      <c r="E44" s="244"/>
      <c r="F44" s="373">
        <f>-DATOS!F168</f>
        <v>0</v>
      </c>
      <c r="G44" s="378" t="e">
        <f t="shared" si="6"/>
        <v>#REF!</v>
      </c>
      <c r="H44" s="244"/>
      <c r="I44" s="153">
        <f t="shared" si="7"/>
        <v>-12</v>
      </c>
      <c r="J44" s="344">
        <f t="shared" si="9"/>
        <v>0</v>
      </c>
      <c r="K44" s="85"/>
      <c r="M44" s="284"/>
      <c r="N44" s="396"/>
      <c r="O44" s="399"/>
      <c r="P44" s="404"/>
      <c r="Q44" s="50"/>
      <c r="R44" s="1"/>
      <c r="S44" s="1"/>
      <c r="T44" s="1"/>
      <c r="U44" s="1"/>
    </row>
    <row r="45" spans="1:23" s="6" customFormat="1" ht="12.75" hidden="1" outlineLevel="1">
      <c r="A45" s="52">
        <v>5260</v>
      </c>
      <c r="B45" s="55" t="s">
        <v>76</v>
      </c>
      <c r="C45" s="351" t="e">
        <f>-DATOS!#REF!</f>
        <v>#REF!</v>
      </c>
      <c r="D45" s="356" t="e">
        <f t="shared" si="5"/>
        <v>#REF!</v>
      </c>
      <c r="E45" s="244"/>
      <c r="F45" s="373" t="e">
        <f>-DATOS!#REF!</f>
        <v>#REF!</v>
      </c>
      <c r="G45" s="378" t="e">
        <f t="shared" si="6"/>
        <v>#REF!</v>
      </c>
      <c r="H45" s="244"/>
      <c r="I45" s="153" t="e">
        <f t="shared" si="7"/>
        <v>#REF!</v>
      </c>
      <c r="J45" s="344">
        <f t="shared" si="9"/>
        <v>0</v>
      </c>
      <c r="K45" s="85"/>
      <c r="M45" s="273"/>
      <c r="N45" s="396"/>
      <c r="O45" s="399"/>
      <c r="P45" s="403"/>
      <c r="R45" s="1"/>
      <c r="S45" s="1"/>
      <c r="T45" s="1"/>
      <c r="U45" s="1"/>
    </row>
    <row r="46" spans="1:23" s="6" customFormat="1" ht="12.75" hidden="1" outlineLevel="1">
      <c r="A46" s="52">
        <v>5265</v>
      </c>
      <c r="B46" s="55" t="s">
        <v>237</v>
      </c>
      <c r="C46" s="351" t="e">
        <f>-DATOS!#REF!</f>
        <v>#REF!</v>
      </c>
      <c r="D46" s="356" t="e">
        <f t="shared" si="5"/>
        <v>#REF!</v>
      </c>
      <c r="E46" s="244"/>
      <c r="F46" s="373" t="e">
        <f>-DATOS!#REF!</f>
        <v>#REF!</v>
      </c>
      <c r="G46" s="378" t="e">
        <f t="shared" si="6"/>
        <v>#REF!</v>
      </c>
      <c r="H46" s="244"/>
      <c r="I46" s="153" t="e">
        <f t="shared" si="7"/>
        <v>#REF!</v>
      </c>
      <c r="J46" s="344">
        <f t="shared" si="9"/>
        <v>0</v>
      </c>
      <c r="K46" s="85"/>
      <c r="M46" s="273"/>
      <c r="N46" s="396"/>
      <c r="O46" s="399"/>
      <c r="P46" s="403"/>
      <c r="Q46" s="1"/>
    </row>
    <row r="47" spans="1:23" s="6" customFormat="1" ht="12.75" hidden="1" outlineLevel="1">
      <c r="A47" s="52">
        <v>5295</v>
      </c>
      <c r="B47" s="55" t="s">
        <v>71</v>
      </c>
      <c r="C47" s="351">
        <f>-DATOS!C184</f>
        <v>-174</v>
      </c>
      <c r="D47" s="356" t="e">
        <f t="shared" si="5"/>
        <v>#REF!</v>
      </c>
      <c r="E47" s="244"/>
      <c r="F47" s="373">
        <f>-DATOS!F184</f>
        <v>-152</v>
      </c>
      <c r="G47" s="378" t="e">
        <f t="shared" si="6"/>
        <v>#REF!</v>
      </c>
      <c r="H47" s="244"/>
      <c r="I47" s="153">
        <f t="shared" si="7"/>
        <v>-22</v>
      </c>
      <c r="J47" s="344">
        <f t="shared" si="9"/>
        <v>0.14473684210526316</v>
      </c>
      <c r="K47" s="85"/>
      <c r="M47" s="273"/>
      <c r="N47" s="396"/>
      <c r="O47" s="399"/>
      <c r="P47" s="403"/>
      <c r="Q47" s="1"/>
    </row>
    <row r="48" spans="1:23" ht="12.75" collapsed="1">
      <c r="A48" s="52"/>
      <c r="B48" s="248" t="s">
        <v>73</v>
      </c>
      <c r="C48" s="359" t="e">
        <f>SUM(C49:C63)</f>
        <v>#REF!</v>
      </c>
      <c r="D48" s="360" t="e">
        <f t="shared" si="5"/>
        <v>#REF!</v>
      </c>
      <c r="E48" s="244"/>
      <c r="F48" s="381" t="e">
        <f>SUM(F49:F63)</f>
        <v>#REF!</v>
      </c>
      <c r="G48" s="382" t="e">
        <f t="shared" si="6"/>
        <v>#REF!</v>
      </c>
      <c r="H48" s="244"/>
      <c r="I48" s="159" t="e">
        <f t="shared" si="7"/>
        <v>#REF!</v>
      </c>
      <c r="J48" s="521">
        <f t="shared" si="9"/>
        <v>0</v>
      </c>
      <c r="M48" s="273" t="s">
        <v>419</v>
      </c>
      <c r="N48" s="396"/>
      <c r="O48" s="399">
        <v>14598</v>
      </c>
      <c r="P48" s="272">
        <f>N48-O48</f>
        <v>-14598</v>
      </c>
      <c r="Q48" s="6"/>
      <c r="R48" s="563"/>
      <c r="S48" s="564"/>
      <c r="T48" s="564"/>
      <c r="U48" s="564"/>
    </row>
    <row r="49" spans="1:23" ht="12.75" hidden="1" outlineLevel="1">
      <c r="A49" s="52">
        <v>5104</v>
      </c>
      <c r="B49" s="55" t="s">
        <v>63</v>
      </c>
      <c r="C49" s="351" t="e">
        <f>-DATOS!#REF!</f>
        <v>#REF!</v>
      </c>
      <c r="D49" s="356" t="e">
        <f t="shared" si="5"/>
        <v>#REF!</v>
      </c>
      <c r="E49" s="244"/>
      <c r="F49" s="373" t="e">
        <f>-DATOS!#REF!</f>
        <v>#REF!</v>
      </c>
      <c r="G49" s="378" t="e">
        <f t="shared" si="6"/>
        <v>#REF!</v>
      </c>
      <c r="H49" s="244"/>
      <c r="I49" s="153" t="e">
        <f t="shared" si="7"/>
        <v>#REF!</v>
      </c>
      <c r="J49" s="344">
        <f t="shared" si="9"/>
        <v>0</v>
      </c>
      <c r="M49" s="273"/>
      <c r="N49" s="396"/>
      <c r="O49" s="399"/>
      <c r="P49" s="403"/>
      <c r="Q49" s="6"/>
    </row>
    <row r="50" spans="1:23" ht="12.75" hidden="1" outlineLevel="1">
      <c r="A50" s="52">
        <v>5105</v>
      </c>
      <c r="B50" s="55" t="s">
        <v>245</v>
      </c>
      <c r="C50" s="351" t="e">
        <f>-DATOS!#REF!</f>
        <v>#REF!</v>
      </c>
      <c r="D50" s="356" t="e">
        <f t="shared" si="5"/>
        <v>#REF!</v>
      </c>
      <c r="E50" s="244"/>
      <c r="F50" s="373" t="e">
        <f>-DATOS!#REF!</f>
        <v>#REF!</v>
      </c>
      <c r="G50" s="378" t="e">
        <f t="shared" si="6"/>
        <v>#REF!</v>
      </c>
      <c r="H50" s="244"/>
      <c r="I50" s="153" t="e">
        <f t="shared" si="7"/>
        <v>#REF!</v>
      </c>
      <c r="J50" s="344">
        <f t="shared" si="9"/>
        <v>0</v>
      </c>
      <c r="M50" s="273"/>
      <c r="N50" s="396"/>
      <c r="O50" s="399"/>
      <c r="P50" s="272"/>
      <c r="Q50" s="6"/>
    </row>
    <row r="51" spans="1:23" ht="12.75" hidden="1" outlineLevel="1">
      <c r="A51" s="52">
        <v>5110</v>
      </c>
      <c r="B51" s="55" t="s">
        <v>64</v>
      </c>
      <c r="C51" s="351" t="e">
        <f>-DATOS!#REF!</f>
        <v>#REF!</v>
      </c>
      <c r="D51" s="356" t="e">
        <f t="shared" si="5"/>
        <v>#REF!</v>
      </c>
      <c r="E51" s="244"/>
      <c r="F51" s="373" t="e">
        <f>-DATOS!#REF!</f>
        <v>#REF!</v>
      </c>
      <c r="G51" s="378" t="e">
        <f t="shared" si="6"/>
        <v>#REF!</v>
      </c>
      <c r="H51" s="244"/>
      <c r="I51" s="153" t="e">
        <f t="shared" si="7"/>
        <v>#REF!</v>
      </c>
      <c r="J51" s="344">
        <f t="shared" si="9"/>
        <v>0</v>
      </c>
      <c r="M51" s="56"/>
      <c r="N51" s="396"/>
      <c r="O51" s="577"/>
      <c r="P51" s="286"/>
    </row>
    <row r="52" spans="1:23" ht="12.75" hidden="1" outlineLevel="1">
      <c r="A52" s="52">
        <v>5115</v>
      </c>
      <c r="B52" s="55" t="s">
        <v>65</v>
      </c>
      <c r="C52" s="351" t="e">
        <f>-DATOS!#REF!</f>
        <v>#REF!</v>
      </c>
      <c r="D52" s="356" t="e">
        <f t="shared" si="5"/>
        <v>#REF!</v>
      </c>
      <c r="E52" s="244"/>
      <c r="F52" s="373" t="e">
        <f>-DATOS!#REF!</f>
        <v>#REF!</v>
      </c>
      <c r="G52" s="378" t="e">
        <f t="shared" si="6"/>
        <v>#REF!</v>
      </c>
      <c r="H52" s="244"/>
      <c r="I52" s="153" t="e">
        <f t="shared" si="7"/>
        <v>#REF!</v>
      </c>
      <c r="J52" s="344">
        <f t="shared" si="9"/>
        <v>0</v>
      </c>
      <c r="M52" s="56"/>
      <c r="N52" s="396"/>
      <c r="O52" s="577"/>
      <c r="P52" s="286"/>
    </row>
    <row r="53" spans="1:23" ht="12.75" hidden="1" outlineLevel="1">
      <c r="A53" s="52">
        <v>5120</v>
      </c>
      <c r="B53" s="55" t="s">
        <v>66</v>
      </c>
      <c r="C53" s="351" t="e">
        <f>-DATOS!#REF!</f>
        <v>#REF!</v>
      </c>
      <c r="D53" s="356" t="e">
        <f t="shared" si="5"/>
        <v>#REF!</v>
      </c>
      <c r="E53" s="244"/>
      <c r="F53" s="373" t="e">
        <f>-DATOS!#REF!</f>
        <v>#REF!</v>
      </c>
      <c r="G53" s="378" t="e">
        <f t="shared" si="6"/>
        <v>#REF!</v>
      </c>
      <c r="H53" s="244"/>
      <c r="I53" s="153" t="e">
        <f t="shared" si="7"/>
        <v>#REF!</v>
      </c>
      <c r="J53" s="344">
        <f t="shared" si="9"/>
        <v>0</v>
      </c>
      <c r="M53" s="56"/>
      <c r="N53" s="396"/>
      <c r="O53" s="577"/>
      <c r="P53" s="286"/>
    </row>
    <row r="54" spans="1:23" ht="12.75" hidden="1" outlineLevel="1">
      <c r="A54" s="52">
        <v>5125</v>
      </c>
      <c r="B54" s="55" t="s">
        <v>435</v>
      </c>
      <c r="C54" s="351" t="e">
        <f>-DATOS!#REF!</f>
        <v>#REF!</v>
      </c>
      <c r="D54" s="356" t="e">
        <f t="shared" si="5"/>
        <v>#REF!</v>
      </c>
      <c r="E54" s="244"/>
      <c r="F54" s="373" t="e">
        <f>-DATOS!#REF!</f>
        <v>#REF!</v>
      </c>
      <c r="G54" s="378" t="e">
        <f t="shared" si="6"/>
        <v>#REF!</v>
      </c>
      <c r="H54" s="244"/>
      <c r="I54" s="153" t="e">
        <f t="shared" si="7"/>
        <v>#REF!</v>
      </c>
      <c r="J54" s="344">
        <f t="shared" si="9"/>
        <v>0</v>
      </c>
      <c r="M54" s="56"/>
      <c r="N54" s="396"/>
      <c r="O54" s="577"/>
      <c r="P54" s="286"/>
    </row>
    <row r="55" spans="1:23" ht="12.75" hidden="1" outlineLevel="1">
      <c r="A55" s="1">
        <v>5130</v>
      </c>
      <c r="B55" s="55" t="s">
        <v>67</v>
      </c>
      <c r="C55" s="351" t="e">
        <f>-DATOS!#REF!</f>
        <v>#REF!</v>
      </c>
      <c r="D55" s="356" t="e">
        <f t="shared" si="5"/>
        <v>#REF!</v>
      </c>
      <c r="E55" s="244"/>
      <c r="F55" s="373" t="e">
        <f>-DATOS!#REF!</f>
        <v>#REF!</v>
      </c>
      <c r="G55" s="378" t="e">
        <f t="shared" si="6"/>
        <v>#REF!</v>
      </c>
      <c r="H55" s="244"/>
      <c r="I55" s="153" t="e">
        <f t="shared" si="7"/>
        <v>#REF!</v>
      </c>
      <c r="J55" s="344">
        <f t="shared" si="9"/>
        <v>0</v>
      </c>
      <c r="M55" s="56"/>
      <c r="N55" s="396"/>
      <c r="O55" s="577"/>
      <c r="P55" s="286"/>
    </row>
    <row r="56" spans="1:23" ht="12.75" hidden="1" outlineLevel="1">
      <c r="A56" s="52">
        <v>5135</v>
      </c>
      <c r="B56" s="54" t="s">
        <v>190</v>
      </c>
      <c r="C56" s="351" t="e">
        <f>-DATOS!#REF!</f>
        <v>#REF!</v>
      </c>
      <c r="D56" s="363" t="e">
        <f t="shared" si="5"/>
        <v>#REF!</v>
      </c>
      <c r="E56" s="249"/>
      <c r="F56" s="373" t="e">
        <f>-DATOS!#REF!</f>
        <v>#REF!</v>
      </c>
      <c r="G56" s="385" t="e">
        <f t="shared" si="6"/>
        <v>#REF!</v>
      </c>
      <c r="H56" s="249"/>
      <c r="I56" s="153" t="e">
        <f t="shared" si="7"/>
        <v>#REF!</v>
      </c>
      <c r="J56" s="344">
        <f t="shared" si="9"/>
        <v>0</v>
      </c>
      <c r="M56" s="56"/>
      <c r="N56" s="396"/>
      <c r="O56" s="577"/>
      <c r="P56" s="286"/>
    </row>
    <row r="57" spans="1:23" ht="12.75" hidden="1" outlineLevel="1">
      <c r="A57" s="52">
        <v>5140</v>
      </c>
      <c r="B57" s="55" t="s">
        <v>68</v>
      </c>
      <c r="C57" s="351" t="e">
        <f>-DATOS!#REF!</f>
        <v>#REF!</v>
      </c>
      <c r="D57" s="356" t="e">
        <f t="shared" si="5"/>
        <v>#REF!</v>
      </c>
      <c r="E57" s="244"/>
      <c r="F57" s="373" t="e">
        <f>-DATOS!#REF!</f>
        <v>#REF!</v>
      </c>
      <c r="G57" s="378" t="e">
        <f t="shared" si="6"/>
        <v>#REF!</v>
      </c>
      <c r="H57" s="244"/>
      <c r="I57" s="153" t="e">
        <f t="shared" si="7"/>
        <v>#REF!</v>
      </c>
      <c r="J57" s="344">
        <f t="shared" si="9"/>
        <v>0</v>
      </c>
      <c r="M57" s="56"/>
      <c r="N57" s="396"/>
      <c r="O57" s="577"/>
      <c r="P57" s="286"/>
      <c r="V57" s="6"/>
      <c r="W57" s="6"/>
    </row>
    <row r="58" spans="1:23" s="6" customFormat="1" ht="12.75" hidden="1" outlineLevel="1">
      <c r="A58" s="52">
        <v>5145</v>
      </c>
      <c r="B58" s="55" t="s">
        <v>74</v>
      </c>
      <c r="C58" s="351" t="e">
        <f>-DATOS!#REF!</f>
        <v>#REF!</v>
      </c>
      <c r="D58" s="356" t="e">
        <f t="shared" si="5"/>
        <v>#REF!</v>
      </c>
      <c r="E58" s="244"/>
      <c r="F58" s="373" t="e">
        <f>-DATOS!#REF!</f>
        <v>#REF!</v>
      </c>
      <c r="G58" s="378" t="e">
        <f t="shared" si="6"/>
        <v>#REF!</v>
      </c>
      <c r="H58" s="244"/>
      <c r="I58" s="153" t="e">
        <f t="shared" si="7"/>
        <v>#REF!</v>
      </c>
      <c r="J58" s="344">
        <f t="shared" si="9"/>
        <v>0</v>
      </c>
      <c r="K58" s="85"/>
      <c r="M58" s="56"/>
      <c r="N58" s="396"/>
      <c r="O58" s="577"/>
      <c r="P58" s="286"/>
      <c r="Q58" s="1"/>
    </row>
    <row r="59" spans="1:23" s="6" customFormat="1" ht="12.75" hidden="1" outlineLevel="1">
      <c r="A59" s="52">
        <v>5150</v>
      </c>
      <c r="B59" s="55" t="s">
        <v>75</v>
      </c>
      <c r="C59" s="351" t="e">
        <f>-DATOS!#REF!</f>
        <v>#REF!</v>
      </c>
      <c r="D59" s="356" t="e">
        <f t="shared" si="5"/>
        <v>#REF!</v>
      </c>
      <c r="E59" s="244"/>
      <c r="F59" s="373" t="e">
        <f>-DATOS!#REF!</f>
        <v>#REF!</v>
      </c>
      <c r="G59" s="378" t="e">
        <f t="shared" si="6"/>
        <v>#REF!</v>
      </c>
      <c r="H59" s="244"/>
      <c r="I59" s="153" t="e">
        <f t="shared" si="7"/>
        <v>#REF!</v>
      </c>
      <c r="J59" s="344">
        <f t="shared" si="9"/>
        <v>0</v>
      </c>
      <c r="K59" s="85"/>
      <c r="M59" s="56"/>
      <c r="N59" s="396"/>
      <c r="O59" s="577"/>
      <c r="P59" s="286"/>
      <c r="Q59" s="1"/>
      <c r="R59" s="1"/>
      <c r="S59" s="1"/>
      <c r="T59" s="1"/>
      <c r="U59" s="1"/>
      <c r="V59" s="1"/>
      <c r="W59" s="1"/>
    </row>
    <row r="60" spans="1:23" ht="12.75" hidden="1" outlineLevel="1">
      <c r="A60" s="52">
        <v>5155</v>
      </c>
      <c r="B60" s="55" t="s">
        <v>193</v>
      </c>
      <c r="C60" s="351" t="e">
        <f>-DATOS!#REF!</f>
        <v>#REF!</v>
      </c>
      <c r="D60" s="356" t="e">
        <f t="shared" si="5"/>
        <v>#REF!</v>
      </c>
      <c r="E60" s="244"/>
      <c r="F60" s="373" t="e">
        <f>-DATOS!#REF!</f>
        <v>#REF!</v>
      </c>
      <c r="G60" s="378" t="e">
        <f t="shared" si="6"/>
        <v>#REF!</v>
      </c>
      <c r="H60" s="244"/>
      <c r="I60" s="153" t="e">
        <f t="shared" si="7"/>
        <v>#REF!</v>
      </c>
      <c r="J60" s="344">
        <f t="shared" si="9"/>
        <v>0</v>
      </c>
      <c r="M60" s="273"/>
      <c r="N60" s="396"/>
      <c r="O60" s="578"/>
      <c r="P60" s="403"/>
      <c r="Q60" s="6"/>
    </row>
    <row r="61" spans="1:23" ht="12.75" hidden="1" outlineLevel="1">
      <c r="A61" s="52">
        <v>5160</v>
      </c>
      <c r="B61" s="55" t="s">
        <v>76</v>
      </c>
      <c r="C61" s="351" t="e">
        <f>-DATOS!#REF!</f>
        <v>#REF!</v>
      </c>
      <c r="D61" s="356" t="e">
        <f t="shared" si="5"/>
        <v>#REF!</v>
      </c>
      <c r="E61" s="244"/>
      <c r="F61" s="373" t="e">
        <f>-DATOS!#REF!</f>
        <v>#REF!</v>
      </c>
      <c r="G61" s="378" t="e">
        <f t="shared" si="6"/>
        <v>#REF!</v>
      </c>
      <c r="H61" s="244"/>
      <c r="I61" s="153" t="e">
        <f t="shared" si="7"/>
        <v>#REF!</v>
      </c>
      <c r="J61" s="344">
        <f t="shared" si="9"/>
        <v>0</v>
      </c>
      <c r="M61" s="56"/>
      <c r="N61" s="396"/>
      <c r="O61" s="577"/>
      <c r="P61" s="286"/>
      <c r="V61" s="6"/>
      <c r="W61" s="6"/>
    </row>
    <row r="62" spans="1:23" s="6" customFormat="1" ht="12.75" hidden="1" outlineLevel="1">
      <c r="A62" s="52">
        <v>5165</v>
      </c>
      <c r="B62" s="55" t="s">
        <v>237</v>
      </c>
      <c r="C62" s="351" t="e">
        <f>-DATOS!#REF!</f>
        <v>#REF!</v>
      </c>
      <c r="D62" s="356" t="e">
        <f t="shared" si="5"/>
        <v>#REF!</v>
      </c>
      <c r="E62" s="244"/>
      <c r="F62" s="373" t="e">
        <f>-DATOS!#REF!</f>
        <v>#REF!</v>
      </c>
      <c r="G62" s="378" t="e">
        <f t="shared" si="6"/>
        <v>#REF!</v>
      </c>
      <c r="H62" s="244"/>
      <c r="I62" s="153" t="e">
        <f t="shared" si="7"/>
        <v>#REF!</v>
      </c>
      <c r="J62" s="344">
        <f t="shared" si="9"/>
        <v>0</v>
      </c>
      <c r="K62" s="85"/>
      <c r="M62" s="273"/>
      <c r="N62" s="396"/>
      <c r="O62" s="578"/>
      <c r="P62" s="286"/>
      <c r="Q62" s="1"/>
    </row>
    <row r="63" spans="1:23" ht="12.75" hidden="1" outlineLevel="1">
      <c r="A63" s="52">
        <v>5195</v>
      </c>
      <c r="B63" s="55" t="s">
        <v>71</v>
      </c>
      <c r="C63" s="351" t="e">
        <f>-DATOS!#REF!</f>
        <v>#REF!</v>
      </c>
      <c r="D63" s="356" t="e">
        <f t="shared" si="5"/>
        <v>#REF!</v>
      </c>
      <c r="E63" s="244"/>
      <c r="F63" s="373" t="e">
        <f>-DATOS!#REF!</f>
        <v>#REF!</v>
      </c>
      <c r="G63" s="378" t="e">
        <f t="shared" si="6"/>
        <v>#REF!</v>
      </c>
      <c r="H63" s="244"/>
      <c r="I63" s="153" t="e">
        <f t="shared" si="7"/>
        <v>#REF!</v>
      </c>
      <c r="J63" s="344">
        <f t="shared" si="9"/>
        <v>0</v>
      </c>
      <c r="M63" s="273"/>
      <c r="N63" s="396"/>
      <c r="O63" s="578"/>
      <c r="P63" s="403"/>
      <c r="R63" s="6"/>
      <c r="S63" s="6"/>
      <c r="T63" s="6"/>
      <c r="U63" s="6"/>
    </row>
    <row r="64" spans="1:23" s="52" customFormat="1" ht="12.75" collapsed="1">
      <c r="B64" s="248" t="s">
        <v>77</v>
      </c>
      <c r="C64" s="359" t="e">
        <f>+SUM(C65:C68)</f>
        <v>#REF!</v>
      </c>
      <c r="D64" s="360" t="e">
        <f t="shared" si="5"/>
        <v>#REF!</v>
      </c>
      <c r="E64" s="244"/>
      <c r="F64" s="381" t="e">
        <f>SUM(F65:F67)</f>
        <v>#REF!</v>
      </c>
      <c r="G64" s="382" t="e">
        <f t="shared" si="6"/>
        <v>#REF!</v>
      </c>
      <c r="H64" s="244"/>
      <c r="I64" s="159" t="e">
        <f t="shared" si="7"/>
        <v>#REF!</v>
      </c>
      <c r="J64" s="521">
        <f t="shared" si="9"/>
        <v>0</v>
      </c>
      <c r="K64" s="85"/>
      <c r="M64" s="273" t="s">
        <v>147</v>
      </c>
      <c r="N64" s="396">
        <v>20731</v>
      </c>
      <c r="O64" s="399"/>
      <c r="P64" s="272">
        <f>N64-O64</f>
        <v>20731</v>
      </c>
      <c r="Q64" s="6"/>
    </row>
    <row r="65" spans="1:23" s="52" customFormat="1" ht="12.75" hidden="1" outlineLevel="1">
      <c r="A65" s="52">
        <v>5505</v>
      </c>
      <c r="B65" s="55" t="s">
        <v>81</v>
      </c>
      <c r="C65" s="351" t="e">
        <f>-DATOS!#REF!</f>
        <v>#REF!</v>
      </c>
      <c r="D65" s="356" t="e">
        <f t="shared" ref="D65:D91" si="10">C65/$C$13</f>
        <v>#REF!</v>
      </c>
      <c r="E65" s="244"/>
      <c r="F65" s="373" t="e">
        <f>-DATOS!#REF!</f>
        <v>#REF!</v>
      </c>
      <c r="G65" s="378" t="e">
        <f t="shared" ref="G65:G91" si="11">+F65/$F$13</f>
        <v>#REF!</v>
      </c>
      <c r="H65" s="244"/>
      <c r="I65" s="153" t="e">
        <f t="shared" si="7"/>
        <v>#REF!</v>
      </c>
      <c r="J65" s="344">
        <f t="shared" si="9"/>
        <v>0</v>
      </c>
      <c r="K65" s="85"/>
      <c r="M65" s="56"/>
      <c r="N65" s="396"/>
      <c r="O65" s="577"/>
      <c r="P65" s="286"/>
      <c r="Q65" s="6"/>
      <c r="V65" s="1"/>
      <c r="W65" s="1"/>
    </row>
    <row r="66" spans="1:23" ht="12.75" hidden="1" outlineLevel="1">
      <c r="A66" s="52">
        <v>5515</v>
      </c>
      <c r="B66" s="55" t="s">
        <v>78</v>
      </c>
      <c r="C66" s="573">
        <f>-DATOS!C196-DATOS!C197</f>
        <v>-9239</v>
      </c>
      <c r="D66" s="356" t="e">
        <f t="shared" si="10"/>
        <v>#REF!</v>
      </c>
      <c r="E66" s="244"/>
      <c r="F66" s="373" t="e">
        <f>-DATOS!#REF!-DATOS!F209</f>
        <v>#REF!</v>
      </c>
      <c r="G66" s="378" t="e">
        <f t="shared" si="11"/>
        <v>#REF!</v>
      </c>
      <c r="H66" s="244"/>
      <c r="I66" s="153" t="e">
        <f t="shared" si="7"/>
        <v>#REF!</v>
      </c>
      <c r="J66" s="344">
        <f t="shared" si="9"/>
        <v>0</v>
      </c>
      <c r="M66" s="273"/>
      <c r="N66" s="396"/>
      <c r="O66" s="399"/>
      <c r="P66" s="272"/>
      <c r="V66" s="52"/>
      <c r="W66" s="52"/>
    </row>
    <row r="67" spans="1:23" s="52" customFormat="1" ht="12.75" hidden="1" outlineLevel="1">
      <c r="A67" s="52">
        <v>5595</v>
      </c>
      <c r="B67" s="55" t="s">
        <v>447</v>
      </c>
      <c r="C67" s="351">
        <f>-+DATOS!C199</f>
        <v>-131</v>
      </c>
      <c r="D67" s="356" t="e">
        <f t="shared" si="10"/>
        <v>#REF!</v>
      </c>
      <c r="E67" s="244"/>
      <c r="F67" s="373" t="e">
        <f>-DATOS!#REF!</f>
        <v>#REF!</v>
      </c>
      <c r="G67" s="378" t="e">
        <f t="shared" si="11"/>
        <v>#REF!</v>
      </c>
      <c r="H67" s="244"/>
      <c r="I67" s="153" t="e">
        <f t="shared" si="7"/>
        <v>#REF!</v>
      </c>
      <c r="J67" s="344">
        <f t="shared" si="9"/>
        <v>0</v>
      </c>
      <c r="K67" s="85"/>
      <c r="M67" s="405"/>
      <c r="N67" s="575"/>
      <c r="O67" s="576"/>
      <c r="P67" s="406"/>
      <c r="V67" s="1"/>
      <c r="W67" s="1"/>
    </row>
    <row r="68" spans="1:23" ht="13.5" collapsed="1" thickBot="1">
      <c r="A68" s="52"/>
      <c r="B68" s="55"/>
      <c r="C68" s="355"/>
      <c r="D68" s="356"/>
      <c r="E68" s="244"/>
      <c r="F68" s="377"/>
      <c r="G68" s="378"/>
      <c r="H68" s="244"/>
      <c r="I68" s="155"/>
      <c r="J68" s="344"/>
      <c r="M68" s="285" t="s">
        <v>247</v>
      </c>
      <c r="N68" s="398">
        <f>SUM(N19:N64)</f>
        <v>120157</v>
      </c>
      <c r="O68" s="400">
        <f>SUM(O19:O64)</f>
        <v>122555</v>
      </c>
      <c r="P68" s="581">
        <f>SUM(P19:P64)</f>
        <v>-2398</v>
      </c>
    </row>
    <row r="69" spans="1:23" ht="18.75" customHeight="1" thickBot="1">
      <c r="A69" s="52"/>
      <c r="B69" s="245" t="s">
        <v>249</v>
      </c>
      <c r="C69" s="353" t="e">
        <f>+C24+C26+C34+C48+C64</f>
        <v>#REF!</v>
      </c>
      <c r="D69" s="354" t="e">
        <f t="shared" si="10"/>
        <v>#REF!</v>
      </c>
      <c r="E69" s="244"/>
      <c r="F69" s="375" t="e">
        <f>+F24+F26+F34+F48+F64</f>
        <v>#REF!</v>
      </c>
      <c r="G69" s="376" t="e">
        <f t="shared" si="11"/>
        <v>#REF!</v>
      </c>
      <c r="H69" s="244"/>
      <c r="I69" s="154" t="e">
        <f>+C69-F69</f>
        <v>#REF!</v>
      </c>
      <c r="J69" s="522">
        <f t="shared" si="9"/>
        <v>0</v>
      </c>
      <c r="M69" s="52"/>
      <c r="N69" s="52"/>
      <c r="O69" s="52"/>
      <c r="P69" s="52"/>
    </row>
    <row r="70" spans="1:23" ht="13.5" thickTop="1">
      <c r="A70" s="242"/>
      <c r="B70" s="55"/>
      <c r="C70" s="361"/>
      <c r="D70" s="356"/>
      <c r="E70" s="244"/>
      <c r="F70" s="383"/>
      <c r="G70" s="378"/>
      <c r="H70" s="244"/>
      <c r="I70" s="157"/>
      <c r="J70" s="344"/>
      <c r="M70" s="6"/>
      <c r="N70" s="407"/>
      <c r="O70" s="281"/>
      <c r="P70" s="2"/>
    </row>
    <row r="71" spans="1:23" ht="12.75">
      <c r="A71" s="73"/>
      <c r="B71" s="248" t="s">
        <v>79</v>
      </c>
      <c r="C71" s="362">
        <f>+SUM(C72:C74)</f>
        <v>83</v>
      </c>
      <c r="D71" s="360" t="e">
        <f t="shared" si="10"/>
        <v>#REF!</v>
      </c>
      <c r="E71" s="244"/>
      <c r="F71" s="384">
        <f>SUM(F72:F74)</f>
        <v>324.5</v>
      </c>
      <c r="G71" s="382" t="e">
        <f t="shared" si="11"/>
        <v>#REF!</v>
      </c>
      <c r="H71" s="244"/>
      <c r="I71" s="158">
        <f t="shared" ref="I71:I81" si="12">+C71-F71</f>
        <v>-241.5</v>
      </c>
      <c r="J71" s="521">
        <f t="shared" si="9"/>
        <v>-0.74422187981510013</v>
      </c>
    </row>
    <row r="72" spans="1:23" ht="12.75" hidden="1" outlineLevel="2">
      <c r="A72" s="73">
        <v>431005</v>
      </c>
      <c r="B72" s="55" t="s">
        <v>80</v>
      </c>
      <c r="C72" s="355">
        <f>+DATOS!C106</f>
        <v>0</v>
      </c>
      <c r="D72" s="356" t="e">
        <f t="shared" si="10"/>
        <v>#REF!</v>
      </c>
      <c r="E72" s="244"/>
      <c r="F72" s="377">
        <f>+DATOS!F106</f>
        <v>217</v>
      </c>
      <c r="G72" s="378" t="e">
        <f t="shared" si="11"/>
        <v>#REF!</v>
      </c>
      <c r="H72" s="244"/>
      <c r="I72" s="155">
        <f t="shared" si="12"/>
        <v>-217</v>
      </c>
      <c r="J72" s="344">
        <f t="shared" si="9"/>
        <v>-1</v>
      </c>
      <c r="M72" s="6"/>
      <c r="N72" s="407"/>
      <c r="O72" s="281"/>
      <c r="P72" s="2"/>
    </row>
    <row r="73" spans="1:23" ht="12.75" hidden="1" outlineLevel="2">
      <c r="A73" s="73">
        <v>431020</v>
      </c>
      <c r="B73" s="55" t="s">
        <v>81</v>
      </c>
      <c r="C73" s="355">
        <f>DATOS!C107</f>
        <v>0</v>
      </c>
      <c r="D73" s="356" t="e">
        <f t="shared" si="10"/>
        <v>#REF!</v>
      </c>
      <c r="E73" s="244"/>
      <c r="F73" s="377">
        <f>+DATOS!F107</f>
        <v>0</v>
      </c>
      <c r="G73" s="378" t="e">
        <f t="shared" si="11"/>
        <v>#REF!</v>
      </c>
      <c r="H73" s="244"/>
      <c r="I73" s="155">
        <f t="shared" si="12"/>
        <v>0</v>
      </c>
      <c r="J73" s="344">
        <f t="shared" si="9"/>
        <v>0</v>
      </c>
    </row>
    <row r="74" spans="1:23" ht="12.75" hidden="1" outlineLevel="2">
      <c r="A74" s="73">
        <v>431040</v>
      </c>
      <c r="B74" s="55" t="s">
        <v>194</v>
      </c>
      <c r="C74" s="355">
        <f>+DATOS!C108</f>
        <v>83</v>
      </c>
      <c r="D74" s="356" t="e">
        <f t="shared" si="10"/>
        <v>#REF!</v>
      </c>
      <c r="E74" s="244"/>
      <c r="F74" s="377">
        <f>+DATOS!F108</f>
        <v>107.5</v>
      </c>
      <c r="G74" s="378" t="e">
        <f t="shared" si="11"/>
        <v>#REF!</v>
      </c>
      <c r="H74" s="244"/>
      <c r="I74" s="155">
        <f t="shared" si="12"/>
        <v>-24.5</v>
      </c>
      <c r="J74" s="344">
        <f t="shared" si="9"/>
        <v>-0.22790697674418606</v>
      </c>
    </row>
    <row r="75" spans="1:23" ht="12.75" collapsed="1">
      <c r="A75" s="73"/>
      <c r="B75" s="248" t="s">
        <v>82</v>
      </c>
      <c r="C75" s="359" t="e">
        <f>+SUM(C76:C81)</f>
        <v>#REF!</v>
      </c>
      <c r="D75" s="360" t="e">
        <f t="shared" si="10"/>
        <v>#REF!</v>
      </c>
      <c r="E75" s="244"/>
      <c r="F75" s="381" t="e">
        <f>SUM(F76:F81)</f>
        <v>#REF!</v>
      </c>
      <c r="G75" s="382" t="e">
        <f t="shared" si="11"/>
        <v>#REF!</v>
      </c>
      <c r="H75" s="244"/>
      <c r="I75" s="159" t="e">
        <f t="shared" si="12"/>
        <v>#REF!</v>
      </c>
      <c r="J75" s="521">
        <f t="shared" si="9"/>
        <v>0</v>
      </c>
    </row>
    <row r="76" spans="1:23" ht="12.75" hidden="1" outlineLevel="1">
      <c r="A76" s="73">
        <v>530505</v>
      </c>
      <c r="B76" s="55" t="s">
        <v>83</v>
      </c>
      <c r="C76" s="351">
        <f>-DATOS!C186</f>
        <v>-68</v>
      </c>
      <c r="D76" s="356" t="e">
        <f t="shared" si="10"/>
        <v>#REF!</v>
      </c>
      <c r="E76" s="244"/>
      <c r="F76" s="373">
        <f>-DATOS!F186</f>
        <v>0</v>
      </c>
      <c r="G76" s="378" t="e">
        <f t="shared" si="11"/>
        <v>#REF!</v>
      </c>
      <c r="H76" s="244"/>
      <c r="I76" s="153">
        <f t="shared" si="12"/>
        <v>-68</v>
      </c>
      <c r="J76" s="344">
        <f t="shared" si="9"/>
        <v>0</v>
      </c>
    </row>
    <row r="77" spans="1:23" ht="12.75" hidden="1" outlineLevel="1">
      <c r="A77" s="73">
        <v>530506</v>
      </c>
      <c r="B77" s="55" t="s">
        <v>85</v>
      </c>
      <c r="C77" s="351">
        <f>-DATOS!C187</f>
        <v>-58</v>
      </c>
      <c r="D77" s="356" t="e">
        <f t="shared" si="10"/>
        <v>#REF!</v>
      </c>
      <c r="E77" s="244"/>
      <c r="F77" s="373">
        <f>-DATOS!F187</f>
        <v>-86</v>
      </c>
      <c r="G77" s="378" t="e">
        <f t="shared" si="11"/>
        <v>#REF!</v>
      </c>
      <c r="H77" s="244"/>
      <c r="I77" s="153">
        <f t="shared" si="12"/>
        <v>28</v>
      </c>
      <c r="J77" s="344">
        <f t="shared" si="9"/>
        <v>-0.32558139534883723</v>
      </c>
      <c r="M77" s="6"/>
      <c r="N77" s="407"/>
      <c r="O77" s="281"/>
      <c r="P77" s="2"/>
    </row>
    <row r="78" spans="1:23" ht="12.75" hidden="1" outlineLevel="1">
      <c r="A78" s="73">
        <v>530515</v>
      </c>
      <c r="B78" s="55" t="s">
        <v>84</v>
      </c>
      <c r="C78" s="351" t="e">
        <f>-DATOS!#REF!</f>
        <v>#REF!</v>
      </c>
      <c r="D78" s="356" t="e">
        <f t="shared" si="10"/>
        <v>#REF!</v>
      </c>
      <c r="E78" s="244"/>
      <c r="F78" s="373" t="e">
        <f>-DATOS!#REF!</f>
        <v>#REF!</v>
      </c>
      <c r="G78" s="378" t="e">
        <f t="shared" si="11"/>
        <v>#REF!</v>
      </c>
      <c r="H78" s="244"/>
      <c r="I78" s="153" t="e">
        <f t="shared" si="12"/>
        <v>#REF!</v>
      </c>
      <c r="J78" s="344">
        <f t="shared" si="9"/>
        <v>0</v>
      </c>
    </row>
    <row r="79" spans="1:23" ht="12.75" hidden="1" outlineLevel="1">
      <c r="A79" s="73">
        <v>530516</v>
      </c>
      <c r="B79" s="55" t="s">
        <v>461</v>
      </c>
      <c r="C79" s="351" t="e">
        <f>-DATOS!#REF!</f>
        <v>#REF!</v>
      </c>
      <c r="D79" s="356" t="e">
        <f t="shared" si="10"/>
        <v>#REF!</v>
      </c>
      <c r="E79" s="244"/>
      <c r="F79" s="373">
        <v>0</v>
      </c>
      <c r="G79" s="378" t="e">
        <f t="shared" si="11"/>
        <v>#REF!</v>
      </c>
      <c r="H79" s="244"/>
      <c r="I79" s="153" t="e">
        <f t="shared" si="12"/>
        <v>#REF!</v>
      </c>
      <c r="J79" s="344">
        <f t="shared" si="9"/>
        <v>0</v>
      </c>
    </row>
    <row r="80" spans="1:23" ht="12.75" hidden="1" outlineLevel="1">
      <c r="A80" s="73">
        <v>530517</v>
      </c>
      <c r="B80" s="55" t="s">
        <v>462</v>
      </c>
      <c r="C80" s="351">
        <f>-DATOS!C188</f>
        <v>-5</v>
      </c>
      <c r="D80" s="356" t="e">
        <f t="shared" si="10"/>
        <v>#REF!</v>
      </c>
      <c r="E80" s="244"/>
      <c r="F80" s="373" t="e">
        <f>-DATOS!#REF!</f>
        <v>#REF!</v>
      </c>
      <c r="G80" s="378" t="e">
        <f t="shared" si="11"/>
        <v>#REF!</v>
      </c>
      <c r="H80" s="244"/>
      <c r="I80" s="153" t="e">
        <f t="shared" si="12"/>
        <v>#REF!</v>
      </c>
      <c r="J80" s="344">
        <f t="shared" si="9"/>
        <v>0</v>
      </c>
      <c r="V80" s="52"/>
      <c r="W80" s="52"/>
    </row>
    <row r="81" spans="1:23" s="52" customFormat="1" ht="12.75" hidden="1" outlineLevel="1">
      <c r="A81" s="73" t="s">
        <v>442</v>
      </c>
      <c r="B81" s="55" t="s">
        <v>80</v>
      </c>
      <c r="C81" s="351">
        <f>-DATOS!C192</f>
        <v>-5501</v>
      </c>
      <c r="D81" s="356" t="e">
        <f t="shared" si="10"/>
        <v>#REF!</v>
      </c>
      <c r="E81" s="244"/>
      <c r="F81" s="373">
        <f>-DATOS!F192</f>
        <v>-456</v>
      </c>
      <c r="G81" s="378" t="e">
        <f t="shared" si="11"/>
        <v>#REF!</v>
      </c>
      <c r="H81" s="244"/>
      <c r="I81" s="153">
        <f t="shared" si="12"/>
        <v>-5045</v>
      </c>
      <c r="J81" s="344">
        <f t="shared" si="9"/>
        <v>11.06359649122807</v>
      </c>
      <c r="K81" s="85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2.75" collapsed="1">
      <c r="A82" s="52"/>
      <c r="B82" s="55"/>
      <c r="C82" s="361"/>
      <c r="D82" s="352"/>
      <c r="E82" s="244"/>
      <c r="F82" s="383"/>
      <c r="G82" s="374"/>
      <c r="H82" s="244"/>
      <c r="I82" s="157"/>
      <c r="J82" s="344"/>
      <c r="R82" s="52"/>
      <c r="S82" s="52"/>
      <c r="T82" s="52"/>
      <c r="U82" s="52"/>
    </row>
    <row r="83" spans="1:23" ht="18.75" customHeight="1" thickBot="1">
      <c r="A83" s="52"/>
      <c r="B83" s="245" t="s">
        <v>250</v>
      </c>
      <c r="C83" s="353" t="e">
        <f>+C69+C71+C75</f>
        <v>#REF!</v>
      </c>
      <c r="D83" s="354" t="e">
        <f t="shared" si="10"/>
        <v>#REF!</v>
      </c>
      <c r="E83" s="244"/>
      <c r="F83" s="375" t="e">
        <f>+F69+F71+F75</f>
        <v>#REF!</v>
      </c>
      <c r="G83" s="376" t="e">
        <f t="shared" si="11"/>
        <v>#REF!</v>
      </c>
      <c r="H83" s="244"/>
      <c r="I83" s="154" t="e">
        <f>+C83-F83</f>
        <v>#REF!</v>
      </c>
      <c r="J83" s="523">
        <f t="shared" si="9"/>
        <v>0</v>
      </c>
      <c r="V83" s="6"/>
      <c r="W83" s="6"/>
    </row>
    <row r="84" spans="1:23" s="6" customFormat="1" ht="13.5" thickTop="1">
      <c r="A84" s="52"/>
      <c r="B84" s="248"/>
      <c r="C84" s="361"/>
      <c r="D84" s="358"/>
      <c r="E84" s="244"/>
      <c r="F84" s="383"/>
      <c r="G84" s="380"/>
      <c r="H84" s="244"/>
      <c r="I84" s="157"/>
      <c r="J84" s="344"/>
      <c r="K84" s="85"/>
      <c r="N84" s="407"/>
      <c r="O84" s="281"/>
      <c r="P84" s="2"/>
      <c r="Q84" s="52"/>
      <c r="R84" s="1"/>
      <c r="S84" s="1"/>
      <c r="T84" s="1"/>
      <c r="U84" s="1"/>
      <c r="V84" s="1"/>
      <c r="W84" s="1"/>
    </row>
    <row r="85" spans="1:23" ht="12.75">
      <c r="A85" s="52"/>
      <c r="B85" s="248" t="s">
        <v>86</v>
      </c>
      <c r="C85" s="357">
        <f>+C86+C87</f>
        <v>-13522</v>
      </c>
      <c r="D85" s="360" t="e">
        <f t="shared" si="10"/>
        <v>#REF!</v>
      </c>
      <c r="E85" s="244"/>
      <c r="F85" s="379" t="e">
        <f>+F87+F86</f>
        <v>#REF!</v>
      </c>
      <c r="G85" s="382" t="e">
        <f t="shared" si="11"/>
        <v>#REF!</v>
      </c>
      <c r="H85" s="244"/>
      <c r="I85" s="156" t="e">
        <f>+C85-F85</f>
        <v>#REF!</v>
      </c>
      <c r="J85" s="521">
        <f t="shared" si="9"/>
        <v>0</v>
      </c>
    </row>
    <row r="86" spans="1:23" ht="12.75" hidden="1" outlineLevel="1">
      <c r="A86" s="52">
        <v>5402</v>
      </c>
      <c r="B86" s="55" t="s">
        <v>88</v>
      </c>
      <c r="C86" s="351">
        <f>-DATOS!C193</f>
        <v>-12703</v>
      </c>
      <c r="D86" s="356" t="e">
        <f t="shared" si="10"/>
        <v>#REF!</v>
      </c>
      <c r="E86" s="292"/>
      <c r="F86" s="373">
        <f>-+DATOS!F202</f>
        <v>-362</v>
      </c>
      <c r="G86" s="378" t="e">
        <f t="shared" si="11"/>
        <v>#REF!</v>
      </c>
      <c r="H86" s="244"/>
      <c r="I86" s="153">
        <f>+C86-F86</f>
        <v>-12341</v>
      </c>
      <c r="J86" s="344">
        <f t="shared" si="9"/>
        <v>34.091160220994475</v>
      </c>
      <c r="M86" s="6"/>
      <c r="N86" s="6"/>
      <c r="O86" s="6"/>
      <c r="P86" s="6"/>
    </row>
    <row r="87" spans="1:23" ht="12.75" hidden="1" outlineLevel="1">
      <c r="A87" s="52">
        <v>540505</v>
      </c>
      <c r="B87" s="55" t="s">
        <v>87</v>
      </c>
      <c r="C87" s="351">
        <f>-DATOS!C194</f>
        <v>-819</v>
      </c>
      <c r="D87" s="356" t="e">
        <f t="shared" si="10"/>
        <v>#REF!</v>
      </c>
      <c r="E87" s="244"/>
      <c r="F87" s="373" t="e">
        <f>-F83*51.9%</f>
        <v>#REF!</v>
      </c>
      <c r="G87" s="378" t="e">
        <f t="shared" si="11"/>
        <v>#REF!</v>
      </c>
      <c r="H87" s="244"/>
      <c r="I87" s="153" t="e">
        <f>+C87-F87</f>
        <v>#REF!</v>
      </c>
      <c r="J87" s="344">
        <f t="shared" si="9"/>
        <v>0</v>
      </c>
    </row>
    <row r="88" spans="1:23" ht="12.75" collapsed="1">
      <c r="A88" s="52"/>
      <c r="B88" s="55"/>
      <c r="C88" s="361"/>
      <c r="D88" s="352"/>
      <c r="E88" s="244"/>
      <c r="F88" s="383"/>
      <c r="G88" s="374"/>
      <c r="H88" s="244"/>
      <c r="I88" s="157"/>
      <c r="J88" s="344"/>
      <c r="M88" s="6"/>
      <c r="N88" s="6"/>
      <c r="O88" s="6"/>
    </row>
    <row r="89" spans="1:23" ht="13.5" thickBot="1">
      <c r="A89" s="52"/>
      <c r="B89" s="245" t="s">
        <v>89</v>
      </c>
      <c r="C89" s="353" t="e">
        <f>+C83+C85</f>
        <v>#REF!</v>
      </c>
      <c r="D89" s="354" t="e">
        <f t="shared" si="10"/>
        <v>#REF!</v>
      </c>
      <c r="E89" s="244"/>
      <c r="F89" s="375" t="e">
        <f>+F83+F85</f>
        <v>#REF!</v>
      </c>
      <c r="G89" s="376" t="e">
        <f t="shared" si="11"/>
        <v>#REF!</v>
      </c>
      <c r="H89" s="244"/>
      <c r="I89" s="154" t="e">
        <f>+C89-F89</f>
        <v>#REF!</v>
      </c>
      <c r="J89" s="522">
        <f t="shared" si="9"/>
        <v>0</v>
      </c>
      <c r="P89" s="6"/>
    </row>
    <row r="90" spans="1:23" ht="13.5" thickTop="1">
      <c r="A90" s="52"/>
      <c r="B90" s="248"/>
      <c r="C90" s="361"/>
      <c r="D90" s="364"/>
      <c r="E90" s="244"/>
      <c r="F90" s="383"/>
      <c r="G90" s="386"/>
      <c r="H90" s="244"/>
      <c r="I90" s="157"/>
      <c r="J90" s="344"/>
      <c r="M90" s="282"/>
    </row>
    <row r="91" spans="1:23" ht="13.5" thickBot="1">
      <c r="B91" s="245" t="s">
        <v>90</v>
      </c>
      <c r="C91" s="353" t="e">
        <f>+C89</f>
        <v>#REF!</v>
      </c>
      <c r="D91" s="354" t="e">
        <f t="shared" si="10"/>
        <v>#REF!</v>
      </c>
      <c r="E91" s="244"/>
      <c r="F91" s="375" t="e">
        <f>+F89</f>
        <v>#REF!</v>
      </c>
      <c r="G91" s="376" t="e">
        <f t="shared" si="11"/>
        <v>#REF!</v>
      </c>
      <c r="H91" s="244"/>
      <c r="I91" s="154" t="e">
        <f>+C91-F91</f>
        <v>#REF!</v>
      </c>
      <c r="J91" s="522">
        <f t="shared" si="9"/>
        <v>0</v>
      </c>
      <c r="K91" s="152"/>
      <c r="L91" s="152"/>
    </row>
    <row r="92" spans="1:23" ht="16.7" customHeight="1" thickTop="1" thickBot="1">
      <c r="B92" s="393"/>
      <c r="C92" s="152"/>
      <c r="D92" s="394"/>
      <c r="E92" s="12"/>
      <c r="F92" s="152"/>
      <c r="G92" s="395"/>
      <c r="H92" s="12"/>
      <c r="I92" s="152"/>
      <c r="J92" s="526"/>
      <c r="K92" s="87"/>
    </row>
    <row r="93" spans="1:23" ht="16.7" customHeight="1">
      <c r="B93" s="259" t="s">
        <v>149</v>
      </c>
      <c r="C93" s="365" t="e">
        <f>+DATOS!#REF!</f>
        <v>#REF!</v>
      </c>
      <c r="D93" s="366" t="e">
        <f>C93/C13</f>
        <v>#REF!</v>
      </c>
      <c r="E93" s="12"/>
      <c r="F93" s="387" t="e">
        <f>+DATOS!#REF!</f>
        <v>#REF!</v>
      </c>
      <c r="G93" s="388" t="e">
        <f>F93/$F$13</f>
        <v>#REF!</v>
      </c>
      <c r="H93" s="51"/>
      <c r="I93" s="260" t="e">
        <f>C93-F93</f>
        <v>#REF!</v>
      </c>
      <c r="J93" s="524">
        <f t="shared" si="9"/>
        <v>0</v>
      </c>
      <c r="M93" s="152"/>
      <c r="V93" s="6"/>
      <c r="W93" s="6"/>
    </row>
    <row r="94" spans="1:23" ht="16.7" customHeight="1">
      <c r="B94" s="53" t="s">
        <v>150</v>
      </c>
      <c r="C94" s="367" t="e">
        <f>+DATOS!#REF!</f>
        <v>#REF!</v>
      </c>
      <c r="D94" s="368" t="e">
        <f>C94/C13</f>
        <v>#REF!</v>
      </c>
      <c r="E94" s="12"/>
      <c r="F94" s="389" t="e">
        <f>+DATOS!#REF!</f>
        <v>#REF!</v>
      </c>
      <c r="G94" s="390" t="e">
        <f>F94/$F$13</f>
        <v>#REF!</v>
      </c>
      <c r="H94" s="51"/>
      <c r="I94" s="261" t="e">
        <f>C94-F94</f>
        <v>#REF!</v>
      </c>
      <c r="J94" s="344">
        <f t="shared" si="9"/>
        <v>0</v>
      </c>
      <c r="V94" s="6"/>
      <c r="W94" s="6"/>
    </row>
    <row r="95" spans="1:23" s="146" customFormat="1" ht="16.7" customHeight="1">
      <c r="A95" s="205"/>
      <c r="B95" s="53" t="s">
        <v>444</v>
      </c>
      <c r="C95" s="367">
        <v>0</v>
      </c>
      <c r="D95" s="368" t="e">
        <f>C95/C15</f>
        <v>#DIV/0!</v>
      </c>
      <c r="E95" s="12"/>
      <c r="F95" s="389"/>
      <c r="G95" s="390" t="e">
        <f>F95/$F$13</f>
        <v>#REF!</v>
      </c>
      <c r="H95" s="51"/>
      <c r="I95" s="261">
        <f>C95-F95</f>
        <v>0</v>
      </c>
      <c r="J95" s="344">
        <f t="shared" si="9"/>
        <v>0</v>
      </c>
      <c r="K95" s="150"/>
      <c r="M95" s="13"/>
      <c r="N95" s="13"/>
      <c r="O95" s="13"/>
      <c r="P95" s="1"/>
      <c r="Q95" s="1"/>
      <c r="R95" s="13"/>
      <c r="S95" s="13"/>
      <c r="T95" s="13"/>
      <c r="U95" s="13"/>
      <c r="V95" s="13"/>
      <c r="W95" s="13"/>
    </row>
    <row r="96" spans="1:23" s="228" customFormat="1" ht="16.5" thickBot="1">
      <c r="B96" s="294" t="s">
        <v>251</v>
      </c>
      <c r="C96" s="369" t="e">
        <f>C91+C93+C94+C95</f>
        <v>#REF!</v>
      </c>
      <c r="D96" s="370" t="e">
        <f>+C96/C13</f>
        <v>#REF!</v>
      </c>
      <c r="E96" s="147"/>
      <c r="F96" s="391" t="e">
        <f>+F91+F93+F94</f>
        <v>#REF!</v>
      </c>
      <c r="G96" s="392" t="e">
        <f>+F96/F13</f>
        <v>#REF!</v>
      </c>
      <c r="H96" s="293"/>
      <c r="I96" s="295" t="e">
        <f>C96-F96</f>
        <v>#REF!</v>
      </c>
      <c r="J96" s="525">
        <f t="shared" si="9"/>
        <v>0</v>
      </c>
      <c r="K96" s="231"/>
      <c r="M96" s="13"/>
      <c r="N96" s="13"/>
      <c r="O96" s="13"/>
      <c r="P96" s="1"/>
      <c r="Q96" s="1"/>
    </row>
    <row r="97" spans="1:17" s="262" customFormat="1">
      <c r="B97" s="228"/>
      <c r="C97" s="258"/>
      <c r="D97" s="306"/>
      <c r="E97" s="228"/>
      <c r="F97" s="228"/>
      <c r="G97" s="311"/>
      <c r="H97" s="229"/>
      <c r="I97" s="230"/>
      <c r="J97" s="318"/>
      <c r="K97" s="267"/>
      <c r="M97" s="1"/>
      <c r="N97" s="1"/>
      <c r="O97" s="1"/>
      <c r="P97" s="13"/>
      <c r="Q97" s="13"/>
    </row>
    <row r="98" spans="1:17">
      <c r="B98" s="257" t="s">
        <v>404</v>
      </c>
      <c r="C98" s="264">
        <f>+DATOS!C80</f>
        <v>-692.5</v>
      </c>
      <c r="D98" s="307"/>
      <c r="E98" s="263"/>
      <c r="F98" s="264">
        <f>+DATOS!E80</f>
        <v>-5686.5</v>
      </c>
      <c r="G98" s="312"/>
      <c r="H98" s="265"/>
      <c r="I98" s="266"/>
      <c r="J98" s="319"/>
      <c r="K98" s="87"/>
      <c r="M98" s="228"/>
      <c r="N98" s="228"/>
      <c r="O98" s="228"/>
      <c r="P98" s="228"/>
      <c r="Q98" s="228"/>
    </row>
    <row r="99" spans="1:17">
      <c r="C99" s="264" t="e">
        <f>C91-C98</f>
        <v>#REF!</v>
      </c>
      <c r="D99" s="264"/>
      <c r="E99" s="264"/>
      <c r="F99" s="264" t="e">
        <f>+F91-F98</f>
        <v>#REF!</v>
      </c>
      <c r="G99" s="313"/>
      <c r="H99" s="89"/>
      <c r="J99" s="320"/>
      <c r="K99" s="87"/>
      <c r="M99" s="262"/>
      <c r="N99" s="262"/>
      <c r="O99" s="262"/>
      <c r="P99" s="257"/>
      <c r="Q99" s="262"/>
    </row>
    <row r="100" spans="1:17" ht="15.75">
      <c r="E100" s="149"/>
      <c r="J100" s="566"/>
    </row>
    <row r="101" spans="1:17" ht="15.75">
      <c r="E101" s="149"/>
      <c r="J101" s="566"/>
    </row>
    <row r="102" spans="1:17" ht="15.75">
      <c r="E102" s="149"/>
    </row>
    <row r="103" spans="1:17" ht="15.75">
      <c r="E103" s="149"/>
    </row>
    <row r="104" spans="1:17" ht="12.75">
      <c r="B104" s="302" t="s">
        <v>437</v>
      </c>
      <c r="C104" s="303" t="e">
        <f>+DATOS!#REF!+DATOS!#REF!</f>
        <v>#REF!</v>
      </c>
      <c r="D104" s="1"/>
      <c r="E104" s="1"/>
      <c r="F104" s="1"/>
      <c r="G104" s="1"/>
      <c r="H104" s="1"/>
      <c r="I104" s="1"/>
      <c r="J104" s="1"/>
      <c r="K104" s="1"/>
    </row>
    <row r="105" spans="1:17" ht="12.75">
      <c r="B105" s="302" t="s">
        <v>445</v>
      </c>
      <c r="C105" s="303">
        <f>C95</f>
        <v>0</v>
      </c>
      <c r="D105" s="1"/>
      <c r="E105" s="1"/>
      <c r="F105" s="1"/>
      <c r="G105" s="1"/>
      <c r="H105" s="1"/>
      <c r="I105" s="1"/>
      <c r="J105" s="1"/>
      <c r="K105" s="1"/>
    </row>
    <row r="106" spans="1:17" ht="12.75">
      <c r="B106" s="302" t="s">
        <v>470</v>
      </c>
      <c r="C106" s="303" t="e">
        <f>+IF(DATOS!#REF!&gt;0,DATOS!#REF!,0)</f>
        <v>#REF!</v>
      </c>
      <c r="D106" s="1"/>
      <c r="E106" s="1"/>
      <c r="F106" s="1"/>
      <c r="G106" s="1"/>
      <c r="H106" s="1"/>
      <c r="I106" s="1"/>
      <c r="J106" s="1"/>
      <c r="K106" s="1"/>
    </row>
    <row r="107" spans="1:17" ht="12.75">
      <c r="A107" s="1"/>
      <c r="B107" s="302" t="s">
        <v>438</v>
      </c>
      <c r="C107" s="303" t="e">
        <f>+DATOS!#REF!</f>
        <v>#REF!</v>
      </c>
      <c r="D107" s="1"/>
      <c r="E107" s="1"/>
      <c r="F107" s="1"/>
      <c r="G107" s="1"/>
      <c r="H107" s="1"/>
      <c r="I107" s="1"/>
      <c r="J107" s="1"/>
      <c r="K107" s="1"/>
    </row>
    <row r="108" spans="1:17">
      <c r="B108" s="151"/>
      <c r="C108" s="574" t="e">
        <f>C104+C105+C106+C107</f>
        <v>#REF!</v>
      </c>
      <c r="D108" s="335"/>
      <c r="E108" s="1"/>
      <c r="F108" s="1"/>
      <c r="G108" s="1"/>
      <c r="H108" s="1"/>
      <c r="I108" s="1"/>
      <c r="J108" s="1"/>
      <c r="K108" s="1"/>
    </row>
  </sheetData>
  <sheetProtection selectLockedCells="1"/>
  <customSheetViews>
    <customSheetView guid="{EA1A954B-E3BC-4BCB-9C9D-ACAC3EBC5AD2}" scale="90" showPageBreaks="1" showGridLines="0" printArea="1" hiddenRows="1" hiddenColumns="1" topLeftCell="B1">
      <pane xSplit="1" ySplit="8" topLeftCell="C9" activePane="bottomRight" state="frozen"/>
      <selection pane="bottomRight" activeCell="J115" sqref="J115"/>
      <pageMargins left="0.36" right="0.17" top="0.28000000000000003" bottom="0.31" header="0.3" footer="0.3"/>
      <pageSetup scale="72" orientation="portrait" r:id="rId1"/>
    </customSheetView>
    <customSheetView guid="{B6DC502A-BFFB-4FBB-BBF2-1962512F02D0}" scale="90" showPageBreaks="1" showGridLines="0" printArea="1" hiddenRows="1" hiddenColumns="1" topLeftCell="B1">
      <pane xSplit="1" ySplit="8" topLeftCell="C9" activePane="bottomRight" state="frozen"/>
      <selection pane="bottomRight" activeCell="J9" sqref="J9"/>
      <pageMargins left="0.36" right="0.17" top="0.28000000000000003" bottom="0.31" header="0.3" footer="0.3"/>
      <pageSetup scale="72" orientation="portrait" r:id="rId2"/>
    </customSheetView>
  </customSheetViews>
  <mergeCells count="10">
    <mergeCell ref="M16:P16"/>
    <mergeCell ref="R2:S2"/>
    <mergeCell ref="T2:U2"/>
    <mergeCell ref="B2:J2"/>
    <mergeCell ref="B6:J6"/>
    <mergeCell ref="B3:J3"/>
    <mergeCell ref="B4:J4"/>
    <mergeCell ref="B5:J5"/>
    <mergeCell ref="M2:O2"/>
    <mergeCell ref="P2:Q2"/>
  </mergeCells>
  <pageMargins left="0.36" right="0.17" top="0.28000000000000003" bottom="0.31" header="0.3" footer="0.3"/>
  <pageSetup scale="72" orientation="portrait"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59999389629810485"/>
  </sheetPr>
  <dimension ref="A1:H250"/>
  <sheetViews>
    <sheetView showGridLines="0" topLeftCell="A73" zoomScale="110" zoomScaleNormal="110" workbookViewId="0">
      <selection sqref="A1:F1"/>
    </sheetView>
  </sheetViews>
  <sheetFormatPr baseColWidth="10" defaultColWidth="14.42578125" defaultRowHeight="12" outlineLevelRow="1"/>
  <cols>
    <col min="1" max="1" width="10" style="638" customWidth="1"/>
    <col min="2" max="2" width="38.28515625" style="638" customWidth="1"/>
    <col min="3" max="3" width="26" style="638" customWidth="1"/>
    <col min="4" max="4" width="41.28515625" style="638" customWidth="1"/>
    <col min="5" max="5" width="25.42578125" style="638" customWidth="1"/>
    <col min="6" max="6" width="55.140625" style="638" customWidth="1"/>
    <col min="7" max="16384" width="14.42578125" style="638"/>
  </cols>
  <sheetData>
    <row r="1" spans="1:6" ht="14.25" customHeight="1">
      <c r="A1" s="1104" t="str">
        <f>+DATOS!H6</f>
        <v>GRUPO DE LOLITA SAS</v>
      </c>
      <c r="B1" s="1104"/>
      <c r="C1" s="1104"/>
      <c r="D1" s="1104"/>
      <c r="E1" s="1104"/>
      <c r="F1" s="1104"/>
    </row>
    <row r="2" spans="1:6" ht="15.75">
      <c r="A2" s="1104" t="str">
        <f>+DATOS!H7</f>
        <v>NIT: 900.307.969-5</v>
      </c>
      <c r="B2" s="1104"/>
      <c r="C2" s="1104"/>
      <c r="D2" s="1104"/>
      <c r="E2" s="1104"/>
      <c r="F2" s="1104"/>
    </row>
    <row r="3" spans="1:6" ht="15.75">
      <c r="A3" s="1104" t="str">
        <f>+DATOS!H8</f>
        <v>A 30 DE JUNIO DE 2026 Y 2025</v>
      </c>
      <c r="B3" s="1104"/>
      <c r="C3" s="1104"/>
      <c r="D3" s="1104"/>
      <c r="E3" s="1104"/>
      <c r="F3" s="1104"/>
    </row>
    <row r="4" spans="1:6" ht="15.75">
      <c r="A4" s="1104" t="s">
        <v>639</v>
      </c>
      <c r="B4" s="1104"/>
      <c r="C4" s="1104"/>
      <c r="D4" s="1104"/>
      <c r="E4" s="1104"/>
      <c r="F4" s="1104"/>
    </row>
    <row r="5" spans="1:6" ht="15.75">
      <c r="A5" s="639"/>
      <c r="B5" s="639"/>
      <c r="C5" s="639"/>
      <c r="D5" s="639"/>
      <c r="E5" s="639"/>
      <c r="F5" s="639"/>
    </row>
    <row r="6" spans="1:6" ht="15.75">
      <c r="A6" s="640"/>
      <c r="B6" s="641"/>
      <c r="C6" s="642"/>
      <c r="D6" s="640"/>
      <c r="E6" s="640" t="s">
        <v>1533</v>
      </c>
      <c r="F6" s="640">
        <v>83590</v>
      </c>
    </row>
    <row r="7" spans="1:6" ht="15.75">
      <c r="A7" s="640"/>
      <c r="B7" s="641"/>
      <c r="C7" s="642" t="s">
        <v>94</v>
      </c>
      <c r="D7" s="640" t="s">
        <v>178</v>
      </c>
      <c r="E7" s="640" t="s">
        <v>1534</v>
      </c>
      <c r="F7" s="640">
        <v>81373</v>
      </c>
    </row>
    <row r="8" spans="1:6" ht="15.75">
      <c r="A8" s="640"/>
      <c r="B8" s="641"/>
      <c r="C8" s="642"/>
      <c r="D8" s="640"/>
      <c r="E8" s="640" t="s">
        <v>1535</v>
      </c>
      <c r="F8" s="640">
        <v>61703</v>
      </c>
    </row>
    <row r="9" spans="1:6" ht="15.75">
      <c r="A9" s="640"/>
      <c r="B9" s="641" t="s">
        <v>958</v>
      </c>
      <c r="C9" s="643">
        <f>+DATOS!C52</f>
        <v>14503</v>
      </c>
      <c r="D9" s="640"/>
      <c r="E9" s="640" t="s">
        <v>1536</v>
      </c>
      <c r="F9" s="640">
        <v>0</v>
      </c>
    </row>
    <row r="10" spans="1:6" ht="15.75">
      <c r="A10" s="640"/>
      <c r="B10" s="641"/>
      <c r="C10" s="642"/>
      <c r="D10" s="642"/>
      <c r="E10" s="640" t="s">
        <v>1537</v>
      </c>
      <c r="F10" s="640">
        <v>0</v>
      </c>
    </row>
    <row r="11" spans="1:6" ht="15.75">
      <c r="A11" s="408"/>
      <c r="B11" s="641" t="s">
        <v>1930</v>
      </c>
      <c r="C11" s="643">
        <f>+SUMIF('6.BP2026'!A:A,2408,'6.BP2026'!H:H)-SUMIF('6.BP2026'!A:A,2408,'6.BP2026'!G:G)-SUMIF('6.BP2026'!A:A,240899,'6.BP2026'!H:H)+SUMIF('6.BP2026'!A:A,240899,'6.BP2026'!G:G)</f>
        <v>30921</v>
      </c>
      <c r="D11" s="643">
        <f>-SUMIF('6.BP2026'!A:A,2408,'6.BP2026'!I:I)+F6+F7+F8+F9+F10</f>
        <v>226666</v>
      </c>
      <c r="E11" s="587"/>
      <c r="F11" s="408"/>
    </row>
    <row r="12" spans="1:6" ht="15.75">
      <c r="A12" s="408"/>
      <c r="B12" s="641" t="s">
        <v>960</v>
      </c>
      <c r="C12" s="644">
        <f>+C11/('2.E.R.I. MES-ACUMULADO'!CG13)</f>
        <v>6.4420360509012731E-2</v>
      </c>
      <c r="D12" s="644">
        <f>+D11/DATOS!D86</f>
        <v>7.3106049183206831E-2</v>
      </c>
      <c r="E12" s="587"/>
      <c r="F12" s="408"/>
    </row>
    <row r="13" spans="1:6" ht="15.75">
      <c r="A13" s="408"/>
      <c r="B13" s="641"/>
      <c r="C13" s="644"/>
      <c r="D13" s="644"/>
      <c r="E13" s="587"/>
      <c r="F13" s="408"/>
    </row>
    <row r="14" spans="1:6" ht="15.75">
      <c r="A14" s="408"/>
      <c r="B14" s="641"/>
      <c r="C14" s="644"/>
      <c r="D14" s="644"/>
      <c r="E14" s="587"/>
      <c r="F14" s="408"/>
    </row>
    <row r="15" spans="1:6">
      <c r="A15" s="645"/>
      <c r="B15" s="645"/>
      <c r="C15" s="645"/>
      <c r="D15" s="645"/>
      <c r="E15" s="645"/>
      <c r="F15" s="645"/>
    </row>
    <row r="16" spans="1:6">
      <c r="A16" s="646"/>
      <c r="B16" s="647"/>
      <c r="C16" s="646"/>
      <c r="D16" s="646"/>
      <c r="E16" s="646"/>
      <c r="F16" s="646"/>
    </row>
    <row r="17" spans="1:8" ht="12.75">
      <c r="A17" s="647">
        <v>1105</v>
      </c>
      <c r="B17" s="648" t="s">
        <v>258</v>
      </c>
      <c r="C17" s="649">
        <f>+DATOS!C6</f>
        <v>462620</v>
      </c>
      <c r="D17" s="650"/>
      <c r="E17" s="927"/>
      <c r="F17" s="647"/>
      <c r="H17" s="977"/>
    </row>
    <row r="18" spans="1:8">
      <c r="A18" s="647"/>
      <c r="B18" s="647"/>
      <c r="C18" s="647"/>
      <c r="D18" s="645"/>
      <c r="E18" s="645"/>
      <c r="F18" s="645"/>
    </row>
    <row r="19" spans="1:8">
      <c r="A19" s="647"/>
      <c r="B19" s="648" t="s">
        <v>591</v>
      </c>
      <c r="C19" s="648" t="s">
        <v>592</v>
      </c>
      <c r="D19" s="651" t="s">
        <v>593</v>
      </c>
      <c r="E19" s="652" t="s">
        <v>570</v>
      </c>
      <c r="F19" s="648" t="s">
        <v>259</v>
      </c>
    </row>
    <row r="20" spans="1:8" ht="12" customHeight="1">
      <c r="A20" s="646"/>
      <c r="B20" s="653" t="s">
        <v>876</v>
      </c>
      <c r="C20" s="654">
        <v>456921</v>
      </c>
      <c r="D20" s="654">
        <v>0</v>
      </c>
      <c r="E20" s="655">
        <f t="shared" ref="E20:E28" si="0">C20-D20</f>
        <v>456921</v>
      </c>
      <c r="F20" s="656" t="s">
        <v>1445</v>
      </c>
    </row>
    <row r="21" spans="1:8" ht="12" customHeight="1">
      <c r="A21" s="646"/>
      <c r="B21" s="653" t="s">
        <v>980</v>
      </c>
      <c r="C21" s="654">
        <v>300</v>
      </c>
      <c r="D21" s="654">
        <v>300</v>
      </c>
      <c r="E21" s="655">
        <f t="shared" si="0"/>
        <v>0</v>
      </c>
      <c r="F21" s="656"/>
    </row>
    <row r="22" spans="1:8" ht="12" customHeight="1">
      <c r="A22" s="646"/>
      <c r="B22" s="653" t="s">
        <v>689</v>
      </c>
      <c r="C22" s="654">
        <v>3900</v>
      </c>
      <c r="D22" s="654">
        <v>3900</v>
      </c>
      <c r="E22" s="655">
        <f t="shared" si="0"/>
        <v>0</v>
      </c>
      <c r="F22" s="656"/>
    </row>
    <row r="23" spans="1:8" ht="12" customHeight="1">
      <c r="A23" s="646"/>
      <c r="B23" s="653" t="s">
        <v>800</v>
      </c>
      <c r="C23" s="654">
        <v>300</v>
      </c>
      <c r="D23" s="654">
        <v>300</v>
      </c>
      <c r="E23" s="655">
        <f t="shared" si="0"/>
        <v>0</v>
      </c>
      <c r="F23" s="656"/>
    </row>
    <row r="24" spans="1:8" ht="12" customHeight="1">
      <c r="A24" s="646"/>
      <c r="B24" s="653" t="s">
        <v>801</v>
      </c>
      <c r="C24" s="654">
        <v>300</v>
      </c>
      <c r="D24" s="654">
        <v>300</v>
      </c>
      <c r="E24" s="655">
        <f t="shared" si="0"/>
        <v>0</v>
      </c>
      <c r="F24" s="656"/>
    </row>
    <row r="25" spans="1:8" ht="12" customHeight="1">
      <c r="A25" s="646"/>
      <c r="B25" s="653" t="s">
        <v>802</v>
      </c>
      <c r="C25" s="654">
        <v>0</v>
      </c>
      <c r="D25" s="654">
        <v>0</v>
      </c>
      <c r="E25" s="655">
        <f t="shared" si="0"/>
        <v>0</v>
      </c>
      <c r="F25" s="656"/>
    </row>
    <row r="26" spans="1:8" ht="12" customHeight="1">
      <c r="A26" s="646"/>
      <c r="B26" s="653" t="s">
        <v>803</v>
      </c>
      <c r="C26" s="654">
        <v>300</v>
      </c>
      <c r="D26" s="654">
        <v>300</v>
      </c>
      <c r="E26" s="655">
        <f t="shared" si="0"/>
        <v>0</v>
      </c>
      <c r="F26" s="656"/>
    </row>
    <row r="27" spans="1:8" ht="12" customHeight="1">
      <c r="A27" s="646"/>
      <c r="B27" s="653" t="s">
        <v>804</v>
      </c>
      <c r="C27" s="654">
        <v>300</v>
      </c>
      <c r="D27" s="654">
        <v>300</v>
      </c>
      <c r="E27" s="655">
        <f t="shared" si="0"/>
        <v>0</v>
      </c>
      <c r="F27" s="656"/>
    </row>
    <row r="28" spans="1:8" ht="12" customHeight="1">
      <c r="A28" s="646"/>
      <c r="B28" s="653" t="s">
        <v>805</v>
      </c>
      <c r="C28" s="654">
        <v>300</v>
      </c>
      <c r="D28" s="654">
        <v>300</v>
      </c>
      <c r="E28" s="655">
        <f t="shared" si="0"/>
        <v>0</v>
      </c>
      <c r="F28" s="656"/>
    </row>
    <row r="29" spans="1:8">
      <c r="A29" s="646"/>
      <c r="B29" s="648" t="s">
        <v>570</v>
      </c>
      <c r="C29" s="657">
        <f>SUM(C20:C28)</f>
        <v>462621</v>
      </c>
      <c r="D29" s="657">
        <f>SUM(D20:D28)</f>
        <v>5700</v>
      </c>
      <c r="E29" s="655">
        <f>SUM(E20:E28)</f>
        <v>456921</v>
      </c>
      <c r="F29" s="656"/>
    </row>
    <row r="30" spans="1:8">
      <c r="A30" s="646"/>
      <c r="B30" s="647"/>
      <c r="C30" s="674">
        <f>+C17-C29</f>
        <v>-1</v>
      </c>
      <c r="D30" s="658"/>
      <c r="E30" s="646"/>
      <c r="F30" s="646"/>
    </row>
    <row r="31" spans="1:8">
      <c r="A31" s="659"/>
      <c r="B31" s="660"/>
      <c r="C31" s="659"/>
      <c r="D31" s="659"/>
      <c r="E31" s="659"/>
      <c r="F31" s="659"/>
    </row>
    <row r="32" spans="1:8">
      <c r="A32" s="660">
        <v>1110</v>
      </c>
      <c r="B32" s="661" t="s">
        <v>640</v>
      </c>
      <c r="C32" s="662">
        <f>+DATOS!C7</f>
        <v>34966</v>
      </c>
      <c r="D32" s="663" t="s">
        <v>259</v>
      </c>
      <c r="E32" s="659"/>
      <c r="F32" s="659"/>
    </row>
    <row r="33" spans="1:6" s="667" customFormat="1">
      <c r="A33" s="664"/>
      <c r="B33" s="665" t="s">
        <v>641</v>
      </c>
      <c r="C33" s="666">
        <v>867</v>
      </c>
      <c r="D33" s="665" t="s">
        <v>642</v>
      </c>
      <c r="E33" s="659"/>
      <c r="F33" s="659"/>
    </row>
    <row r="34" spans="1:6">
      <c r="A34" s="660"/>
      <c r="B34" s="665" t="s">
        <v>643</v>
      </c>
      <c r="C34" s="666">
        <v>36</v>
      </c>
      <c r="D34" s="665" t="s">
        <v>642</v>
      </c>
      <c r="E34" s="659"/>
      <c r="F34" s="659"/>
    </row>
    <row r="35" spans="1:6">
      <c r="A35" s="660"/>
      <c r="B35" s="665" t="s">
        <v>644</v>
      </c>
      <c r="C35" s="666">
        <v>730</v>
      </c>
      <c r="D35" s="665" t="s">
        <v>642</v>
      </c>
      <c r="E35" s="659"/>
      <c r="F35" s="659"/>
    </row>
    <row r="36" spans="1:6">
      <c r="A36" s="660"/>
      <c r="B36" s="665" t="s">
        <v>645</v>
      </c>
      <c r="C36" s="666">
        <v>94</v>
      </c>
      <c r="D36" s="665" t="s">
        <v>642</v>
      </c>
      <c r="E36" s="659"/>
      <c r="F36" s="659"/>
    </row>
    <row r="37" spans="1:6" ht="15" customHeight="1">
      <c r="A37" s="660"/>
      <c r="B37" s="665" t="s">
        <v>646</v>
      </c>
      <c r="C37" s="666">
        <v>2502</v>
      </c>
      <c r="D37" s="665" t="s">
        <v>642</v>
      </c>
      <c r="E37" s="659"/>
      <c r="F37" s="659"/>
    </row>
    <row r="38" spans="1:6">
      <c r="A38" s="660"/>
      <c r="B38" s="665" t="s">
        <v>647</v>
      </c>
      <c r="C38" s="666">
        <v>17</v>
      </c>
      <c r="D38" s="665" t="s">
        <v>642</v>
      </c>
      <c r="E38" s="659"/>
      <c r="F38" s="659"/>
    </row>
    <row r="39" spans="1:6">
      <c r="A39" s="660"/>
      <c r="B39" s="665" t="s">
        <v>648</v>
      </c>
      <c r="C39" s="666">
        <v>30721</v>
      </c>
      <c r="D39" s="665" t="s">
        <v>642</v>
      </c>
      <c r="E39" s="659"/>
      <c r="F39" s="659"/>
    </row>
    <row r="40" spans="1:6">
      <c r="A40" s="660"/>
      <c r="B40" s="659"/>
      <c r="C40" s="668">
        <f>SUM(C33:C39)-C32</f>
        <v>1</v>
      </c>
      <c r="D40" s="669"/>
      <c r="E40" s="670"/>
      <c r="F40" s="670"/>
    </row>
    <row r="41" spans="1:6">
      <c r="A41" s="646"/>
      <c r="B41" s="646"/>
      <c r="C41" s="646"/>
      <c r="D41" s="671"/>
      <c r="E41" s="646"/>
      <c r="F41" s="646"/>
    </row>
    <row r="42" spans="1:6">
      <c r="A42" s="647">
        <v>1120</v>
      </c>
      <c r="B42" s="648" t="s">
        <v>640</v>
      </c>
      <c r="C42" s="649">
        <f>+DATOS!C8</f>
        <v>37524</v>
      </c>
      <c r="D42" s="648" t="s">
        <v>259</v>
      </c>
      <c r="E42" s="646"/>
      <c r="F42" s="646"/>
    </row>
    <row r="43" spans="1:6" ht="12" customHeight="1">
      <c r="A43" s="647"/>
      <c r="B43" s="653" t="s">
        <v>649</v>
      </c>
      <c r="C43" s="672">
        <v>10</v>
      </c>
      <c r="D43" s="673" t="s">
        <v>650</v>
      </c>
      <c r="E43" s="646"/>
      <c r="F43" s="646"/>
    </row>
    <row r="44" spans="1:6" ht="12" customHeight="1">
      <c r="A44" s="647"/>
      <c r="B44" s="653" t="s">
        <v>651</v>
      </c>
      <c r="C44" s="672">
        <v>37515</v>
      </c>
      <c r="D44" s="673" t="s">
        <v>650</v>
      </c>
      <c r="E44" s="646"/>
      <c r="F44" s="646"/>
    </row>
    <row r="45" spans="1:6">
      <c r="A45" s="646"/>
      <c r="B45" s="646"/>
      <c r="C45" s="674">
        <f>SUM(C43:C44)-C42</f>
        <v>1</v>
      </c>
      <c r="D45" s="671"/>
      <c r="E45" s="671"/>
      <c r="F45" s="671"/>
    </row>
    <row r="46" spans="1:6">
      <c r="A46" s="659"/>
      <c r="B46" s="659"/>
      <c r="C46" s="659"/>
      <c r="D46" s="675"/>
      <c r="E46" s="659"/>
      <c r="F46" s="659"/>
    </row>
    <row r="47" spans="1:6">
      <c r="A47" s="660">
        <v>1130</v>
      </c>
      <c r="B47" s="663" t="s">
        <v>652</v>
      </c>
      <c r="C47" s="676">
        <f>+DATOS!C9</f>
        <v>41670</v>
      </c>
      <c r="D47" s="663" t="s">
        <v>259</v>
      </c>
      <c r="E47" s="659"/>
      <c r="F47" s="659"/>
    </row>
    <row r="48" spans="1:6" ht="12" customHeight="1">
      <c r="A48" s="660"/>
      <c r="B48" s="677" t="s">
        <v>653</v>
      </c>
      <c r="C48" s="678">
        <v>420</v>
      </c>
      <c r="D48" s="679" t="s">
        <v>650</v>
      </c>
      <c r="E48" s="659"/>
      <c r="F48" s="659"/>
    </row>
    <row r="49" spans="1:6" ht="12" customHeight="1">
      <c r="A49" s="660"/>
      <c r="B49" s="677" t="s">
        <v>790</v>
      </c>
      <c r="C49" s="678">
        <v>41250</v>
      </c>
      <c r="D49" s="679" t="s">
        <v>650</v>
      </c>
      <c r="E49" s="659"/>
      <c r="F49" s="659"/>
    </row>
    <row r="50" spans="1:6">
      <c r="A50" s="659"/>
      <c r="B50" s="659"/>
      <c r="C50" s="711">
        <f>+C47-C48-C49</f>
        <v>0</v>
      </c>
      <c r="D50" s="675"/>
      <c r="E50" s="675"/>
      <c r="F50" s="675"/>
    </row>
    <row r="51" spans="1:6">
      <c r="A51" s="646"/>
      <c r="B51" s="646"/>
      <c r="C51" s="646"/>
      <c r="D51" s="671"/>
      <c r="E51" s="671"/>
      <c r="F51" s="671"/>
    </row>
    <row r="52" spans="1:6">
      <c r="A52" s="646"/>
      <c r="B52" s="646"/>
      <c r="C52" s="646"/>
      <c r="D52" s="646"/>
      <c r="E52" s="671"/>
      <c r="F52" s="671"/>
    </row>
    <row r="53" spans="1:6">
      <c r="A53" s="647">
        <v>1305</v>
      </c>
      <c r="B53" s="648" t="s">
        <v>654</v>
      </c>
      <c r="C53" s="649">
        <f>+DATOS!C11</f>
        <v>21421</v>
      </c>
      <c r="D53" s="1108"/>
      <c r="E53" s="1109"/>
      <c r="F53" s="1110"/>
    </row>
    <row r="54" spans="1:6">
      <c r="A54" s="647"/>
      <c r="B54" s="647"/>
      <c r="C54" s="647"/>
      <c r="D54" s="680"/>
      <c r="E54" s="647"/>
      <c r="F54" s="646"/>
    </row>
    <row r="55" spans="1:6" s="667" customFormat="1" ht="18" customHeight="1">
      <c r="A55" s="681"/>
      <c r="B55" s="1050" t="s">
        <v>561</v>
      </c>
      <c r="C55" s="1050" t="s">
        <v>562</v>
      </c>
      <c r="D55" s="1050" t="s">
        <v>563</v>
      </c>
      <c r="E55" s="1051" t="s">
        <v>908</v>
      </c>
      <c r="F55" s="1050" t="s">
        <v>262</v>
      </c>
    </row>
    <row r="56" spans="1:6" hidden="1" outlineLevel="1">
      <c r="A56" s="646"/>
      <c r="B56" s="653" t="s">
        <v>1635</v>
      </c>
      <c r="C56" s="654">
        <v>345.68599999999998</v>
      </c>
      <c r="D56" s="654">
        <v>476</v>
      </c>
      <c r="E56" s="654">
        <f>-224-27</f>
        <v>-251</v>
      </c>
      <c r="F56" s="654">
        <f t="shared" ref="F56:F64" si="1">C56-(D56+E56)</f>
        <v>120.68599999999998</v>
      </c>
    </row>
    <row r="57" spans="1:6" s="667" customFormat="1" hidden="1" outlineLevel="1">
      <c r="A57" s="681"/>
      <c r="B57" s="653" t="s">
        <v>1808</v>
      </c>
      <c r="C57" s="654">
        <v>200</v>
      </c>
      <c r="D57" s="654">
        <v>0</v>
      </c>
      <c r="E57" s="654">
        <v>0</v>
      </c>
      <c r="F57" s="654">
        <f t="shared" si="1"/>
        <v>200</v>
      </c>
    </row>
    <row r="58" spans="1:6" hidden="1" outlineLevel="1">
      <c r="A58" s="646"/>
      <c r="B58" s="653" t="s">
        <v>1931</v>
      </c>
      <c r="C58" s="654">
        <v>-1138.3689999999999</v>
      </c>
      <c r="D58" s="654">
        <v>1950</v>
      </c>
      <c r="E58" s="654">
        <v>0</v>
      </c>
      <c r="F58" s="654">
        <f t="shared" si="1"/>
        <v>-3088.3689999999997</v>
      </c>
    </row>
    <row r="59" spans="1:6" hidden="1" outlineLevel="1">
      <c r="A59" s="646"/>
      <c r="B59" s="653" t="s">
        <v>1656</v>
      </c>
      <c r="C59" s="654">
        <v>1950.4</v>
      </c>
      <c r="D59" s="654">
        <v>1950</v>
      </c>
      <c r="E59" s="654">
        <v>0</v>
      </c>
      <c r="F59" s="654">
        <f t="shared" si="1"/>
        <v>0.40000000000009095</v>
      </c>
    </row>
    <row r="60" spans="1:6" hidden="1" outlineLevel="1">
      <c r="A60" s="646"/>
      <c r="B60" s="653" t="s">
        <v>1636</v>
      </c>
      <c r="C60" s="654">
        <v>827.65499999999997</v>
      </c>
      <c r="D60" s="654">
        <v>1067</v>
      </c>
      <c r="E60" s="654">
        <v>-933</v>
      </c>
      <c r="F60" s="654">
        <f t="shared" si="1"/>
        <v>693.65499999999997</v>
      </c>
    </row>
    <row r="61" spans="1:6" hidden="1" outlineLevel="1">
      <c r="A61" s="646"/>
      <c r="B61" s="653" t="s">
        <v>1637</v>
      </c>
      <c r="C61" s="654">
        <v>206.2</v>
      </c>
      <c r="D61" s="654">
        <v>206</v>
      </c>
      <c r="E61" s="654">
        <v>-6</v>
      </c>
      <c r="F61" s="654">
        <f t="shared" si="1"/>
        <v>6.1999999999999886</v>
      </c>
    </row>
    <row r="62" spans="1:6" hidden="1" outlineLevel="1">
      <c r="A62" s="646"/>
      <c r="B62" s="653" t="s">
        <v>1638</v>
      </c>
      <c r="C62" s="654">
        <v>17570.108899999999</v>
      </c>
      <c r="D62" s="654">
        <v>17570</v>
      </c>
      <c r="E62" s="654">
        <v>0</v>
      </c>
      <c r="F62" s="654">
        <f t="shared" si="1"/>
        <v>0.10889999999926658</v>
      </c>
    </row>
    <row r="63" spans="1:6" hidden="1" outlineLevel="1">
      <c r="A63" s="646"/>
      <c r="B63" s="653" t="s">
        <v>1932</v>
      </c>
      <c r="C63" s="654">
        <v>150</v>
      </c>
      <c r="D63" s="654">
        <v>150</v>
      </c>
      <c r="E63" s="654"/>
      <c r="F63" s="654">
        <f t="shared" si="1"/>
        <v>0</v>
      </c>
    </row>
    <row r="64" spans="1:6" hidden="1" outlineLevel="1">
      <c r="A64" s="646"/>
      <c r="B64" s="653"/>
      <c r="C64" s="654"/>
      <c r="D64" s="654"/>
      <c r="E64" s="654"/>
      <c r="F64" s="654">
        <f t="shared" si="1"/>
        <v>0</v>
      </c>
    </row>
    <row r="65" spans="1:6" hidden="1" outlineLevel="1">
      <c r="A65" s="646"/>
      <c r="B65" s="653"/>
      <c r="C65" s="654"/>
      <c r="D65" s="654"/>
      <c r="E65" s="654"/>
      <c r="F65" s="654"/>
    </row>
    <row r="66" spans="1:6" hidden="1" outlineLevel="1">
      <c r="A66" s="646"/>
      <c r="B66" s="985"/>
      <c r="C66" s="998"/>
      <c r="D66" s="998"/>
      <c r="E66" s="998"/>
      <c r="F66" s="998"/>
    </row>
    <row r="67" spans="1:6" ht="15.75" customHeight="1" collapsed="1">
      <c r="A67" s="646"/>
      <c r="B67" s="682" t="s">
        <v>247</v>
      </c>
      <c r="C67" s="999">
        <f>SUM(C56:C66)</f>
        <v>20111.680899999999</v>
      </c>
      <c r="D67" s="999">
        <f>SUM(D56:D66)</f>
        <v>23369</v>
      </c>
      <c r="E67" s="999">
        <f>SUM(E64:E66)</f>
        <v>0</v>
      </c>
      <c r="F67" s="999">
        <f>SUM(F64:F66)</f>
        <v>0</v>
      </c>
    </row>
    <row r="68" spans="1:6">
      <c r="A68" s="646"/>
      <c r="B68" s="646"/>
      <c r="C68" s="1000"/>
      <c r="D68" s="1000">
        <f>+C53-D67</f>
        <v>-1948</v>
      </c>
      <c r="E68" s="1000"/>
      <c r="F68" s="1000"/>
    </row>
    <row r="69" spans="1:6">
      <c r="A69" s="659"/>
      <c r="B69" s="659"/>
      <c r="C69" s="659"/>
      <c r="D69" s="659"/>
      <c r="E69" s="659"/>
      <c r="F69" s="659"/>
    </row>
    <row r="70" spans="1:6">
      <c r="A70" s="660">
        <v>1325</v>
      </c>
      <c r="B70" s="663" t="s">
        <v>655</v>
      </c>
      <c r="C70" s="683">
        <f>+DATOS!C12</f>
        <v>0</v>
      </c>
      <c r="D70" s="684"/>
      <c r="E70" s="685"/>
      <c r="F70" s="685"/>
    </row>
    <row r="71" spans="1:6">
      <c r="A71" s="660"/>
      <c r="B71" s="663"/>
      <c r="C71" s="683">
        <f>+C72</f>
        <v>0</v>
      </c>
      <c r="D71" s="684"/>
      <c r="E71" s="685"/>
      <c r="F71" s="685"/>
    </row>
    <row r="72" spans="1:6">
      <c r="A72" s="660"/>
      <c r="B72" s="677"/>
      <c r="C72" s="686">
        <v>0</v>
      </c>
      <c r="D72" s="659"/>
      <c r="E72" s="659"/>
      <c r="F72" s="675"/>
    </row>
    <row r="73" spans="1:6">
      <c r="A73" s="659"/>
      <c r="B73" s="659"/>
      <c r="C73" s="684">
        <f>+C71-C70</f>
        <v>0</v>
      </c>
      <c r="D73" s="659"/>
      <c r="E73" s="659"/>
      <c r="F73" s="659"/>
    </row>
    <row r="74" spans="1:6">
      <c r="A74" s="646"/>
      <c r="B74" s="646"/>
      <c r="C74" s="646"/>
      <c r="D74" s="646"/>
      <c r="E74" s="646"/>
      <c r="F74" s="646"/>
    </row>
    <row r="75" spans="1:6">
      <c r="A75" s="647">
        <v>1330</v>
      </c>
      <c r="B75" s="648" t="s">
        <v>656</v>
      </c>
      <c r="C75" s="687">
        <f>+DATOS!C13</f>
        <v>327590</v>
      </c>
      <c r="D75" s="648" t="s">
        <v>259</v>
      </c>
      <c r="E75" s="646"/>
      <c r="F75" s="671"/>
    </row>
    <row r="76" spans="1:6">
      <c r="A76" s="647"/>
      <c r="B76" s="653" t="s">
        <v>1934</v>
      </c>
      <c r="C76" s="688">
        <v>3482</v>
      </c>
      <c r="D76" s="1038"/>
      <c r="E76" s="646"/>
      <c r="F76" s="671"/>
    </row>
    <row r="77" spans="1:6">
      <c r="A77" s="647"/>
      <c r="B77" s="653" t="s">
        <v>1110</v>
      </c>
      <c r="C77" s="688">
        <v>3819</v>
      </c>
      <c r="D77" s="1038"/>
      <c r="E77" s="646"/>
      <c r="F77" s="671"/>
    </row>
    <row r="78" spans="1:6">
      <c r="A78" s="647"/>
      <c r="B78" s="653" t="s">
        <v>1809</v>
      </c>
      <c r="C78" s="688">
        <v>1796</v>
      </c>
      <c r="D78" s="1038"/>
      <c r="E78" s="646"/>
      <c r="F78" s="671"/>
    </row>
    <row r="79" spans="1:6">
      <c r="A79" s="647"/>
      <c r="B79" s="653" t="s">
        <v>1017</v>
      </c>
      <c r="C79" s="688">
        <v>740</v>
      </c>
      <c r="D79" s="1038"/>
      <c r="E79" s="646"/>
      <c r="F79" s="671"/>
    </row>
    <row r="80" spans="1:6">
      <c r="A80" s="647"/>
      <c r="B80" s="653" t="s">
        <v>963</v>
      </c>
      <c r="C80" s="688">
        <v>7502</v>
      </c>
      <c r="D80" s="1038"/>
      <c r="E80" s="646"/>
      <c r="F80" s="671"/>
    </row>
    <row r="81" spans="1:6" ht="15" customHeight="1">
      <c r="A81" s="647"/>
      <c r="B81" s="653" t="s">
        <v>1017</v>
      </c>
      <c r="C81" s="688">
        <f>28432+2691+5166</f>
        <v>36289</v>
      </c>
      <c r="D81" s="1115" t="s">
        <v>834</v>
      </c>
      <c r="E81" s="646"/>
      <c r="F81" s="671"/>
    </row>
    <row r="82" spans="1:6">
      <c r="A82" s="647"/>
      <c r="B82" s="653" t="s">
        <v>817</v>
      </c>
      <c r="C82" s="688">
        <v>27460</v>
      </c>
      <c r="D82" s="1116"/>
      <c r="E82" s="646"/>
      <c r="F82" s="671"/>
    </row>
    <row r="83" spans="1:6">
      <c r="A83" s="647"/>
      <c r="B83" s="653" t="s">
        <v>743</v>
      </c>
      <c r="C83" s="688">
        <v>12483</v>
      </c>
      <c r="D83" s="1116"/>
      <c r="E83" s="646"/>
      <c r="F83" s="671"/>
    </row>
    <row r="84" spans="1:6">
      <c r="A84" s="647"/>
      <c r="B84" s="653" t="s">
        <v>1065</v>
      </c>
      <c r="C84" s="688">
        <v>2922</v>
      </c>
      <c r="D84" s="1116"/>
      <c r="E84" s="646"/>
      <c r="F84" s="671"/>
    </row>
    <row r="85" spans="1:6">
      <c r="A85" s="647"/>
      <c r="B85" s="653" t="s">
        <v>508</v>
      </c>
      <c r="C85" s="688">
        <v>18357</v>
      </c>
      <c r="D85" s="1116"/>
      <c r="E85" s="646"/>
      <c r="F85" s="671"/>
    </row>
    <row r="86" spans="1:6">
      <c r="A86" s="647"/>
      <c r="B86" s="653" t="s">
        <v>910</v>
      </c>
      <c r="C86" s="688">
        <v>41261</v>
      </c>
      <c r="D86" s="1116"/>
      <c r="E86" s="646"/>
      <c r="F86" s="671"/>
    </row>
    <row r="87" spans="1:6">
      <c r="A87" s="647"/>
      <c r="B87" s="653" t="s">
        <v>1028</v>
      </c>
      <c r="C87" s="688">
        <v>3596</v>
      </c>
      <c r="D87" s="1116"/>
      <c r="E87" s="646"/>
      <c r="F87" s="671"/>
    </row>
    <row r="88" spans="1:6">
      <c r="A88" s="647"/>
      <c r="B88" s="653" t="s">
        <v>448</v>
      </c>
      <c r="C88" s="688">
        <v>43881</v>
      </c>
      <c r="D88" s="1116"/>
      <c r="E88" s="646"/>
      <c r="F88" s="671"/>
    </row>
    <row r="89" spans="1:6">
      <c r="A89" s="647"/>
      <c r="B89" s="653" t="s">
        <v>818</v>
      </c>
      <c r="C89" s="688">
        <v>66728</v>
      </c>
      <c r="D89" s="1117"/>
      <c r="E89" s="646"/>
      <c r="F89" s="671"/>
    </row>
    <row r="90" spans="1:6">
      <c r="A90" s="647"/>
      <c r="B90" s="653" t="s">
        <v>792</v>
      </c>
      <c r="C90" s="688">
        <v>42180</v>
      </c>
      <c r="D90" s="1049"/>
      <c r="E90" s="646"/>
      <c r="F90" s="671"/>
    </row>
    <row r="91" spans="1:6">
      <c r="A91" s="647"/>
      <c r="B91" s="653" t="s">
        <v>819</v>
      </c>
      <c r="C91" s="688">
        <v>15094</v>
      </c>
      <c r="D91" s="1049"/>
      <c r="E91" s="646"/>
      <c r="F91" s="671"/>
    </row>
    <row r="92" spans="1:6">
      <c r="A92" s="647"/>
      <c r="B92" s="653"/>
      <c r="C92" s="688"/>
      <c r="D92" s="976"/>
      <c r="E92" s="646"/>
      <c r="F92" s="671"/>
    </row>
    <row r="93" spans="1:6">
      <c r="A93" s="647"/>
      <c r="B93" s="647"/>
      <c r="C93" s="689">
        <f>+SUM(C76:C92)-C75</f>
        <v>0</v>
      </c>
      <c r="D93" s="647"/>
      <c r="E93" s="646"/>
      <c r="F93" s="671"/>
    </row>
    <row r="94" spans="1:6">
      <c r="A94" s="659"/>
      <c r="B94" s="659"/>
      <c r="C94" s="659"/>
      <c r="D94" s="659"/>
      <c r="E94" s="659"/>
      <c r="F94" s="659"/>
    </row>
    <row r="95" spans="1:6">
      <c r="A95" s="660">
        <v>1365</v>
      </c>
      <c r="B95" s="663" t="s">
        <v>658</v>
      </c>
      <c r="C95" s="676">
        <f>+DATOS!C15</f>
        <v>363</v>
      </c>
      <c r="D95" s="663" t="s">
        <v>659</v>
      </c>
      <c r="E95" s="690"/>
      <c r="F95" s="659"/>
    </row>
    <row r="96" spans="1:6" hidden="1" outlineLevel="1">
      <c r="A96" s="660"/>
      <c r="B96" s="677" t="s">
        <v>987</v>
      </c>
      <c r="C96" s="677">
        <v>12</v>
      </c>
      <c r="D96" s="691" t="s">
        <v>1472</v>
      </c>
      <c r="E96" s="690"/>
      <c r="F96" s="659"/>
    </row>
    <row r="97" spans="1:6" hidden="1" outlineLevel="1">
      <c r="A97" s="660"/>
      <c r="B97" s="677" t="s">
        <v>1810</v>
      </c>
      <c r="C97" s="677"/>
      <c r="D97" s="691"/>
      <c r="E97" s="690"/>
      <c r="F97" s="659"/>
    </row>
    <row r="98" spans="1:6" hidden="1" outlineLevel="1">
      <c r="A98" s="660"/>
      <c r="B98" s="677" t="s">
        <v>1723</v>
      </c>
      <c r="C98" s="677">
        <v>19</v>
      </c>
      <c r="D98" s="691"/>
      <c r="E98" s="690"/>
      <c r="F98" s="659"/>
    </row>
    <row r="99" spans="1:6" hidden="1" outlineLevel="1">
      <c r="A99" s="660"/>
      <c r="B99" s="677" t="s">
        <v>1811</v>
      </c>
      <c r="C99" s="677">
        <v>4</v>
      </c>
      <c r="D99" s="691"/>
      <c r="E99" s="690"/>
      <c r="F99" s="659"/>
    </row>
    <row r="100" spans="1:6" hidden="1" outlineLevel="1">
      <c r="A100" s="660"/>
      <c r="B100" s="677" t="s">
        <v>1639</v>
      </c>
      <c r="C100" s="677">
        <v>122</v>
      </c>
      <c r="D100" s="691" t="s">
        <v>1471</v>
      </c>
      <c r="E100" s="690"/>
      <c r="F100" s="659"/>
    </row>
    <row r="101" spans="1:6" hidden="1" outlineLevel="1">
      <c r="A101" s="660"/>
      <c r="B101" s="677" t="s">
        <v>583</v>
      </c>
      <c r="C101" s="677">
        <v>165</v>
      </c>
      <c r="D101" s="691" t="s">
        <v>1471</v>
      </c>
      <c r="E101" s="690"/>
      <c r="F101" s="659"/>
    </row>
    <row r="102" spans="1:6" hidden="1" outlineLevel="1">
      <c r="A102" s="660"/>
      <c r="B102" s="677" t="s">
        <v>1872</v>
      </c>
      <c r="C102" s="924">
        <v>41</v>
      </c>
      <c r="D102" s="691"/>
      <c r="E102" s="690"/>
      <c r="F102" s="659"/>
    </row>
    <row r="103" spans="1:6" collapsed="1">
      <c r="A103" s="660"/>
      <c r="B103" s="660"/>
      <c r="C103" s="692">
        <f>SUM(C96:C102)-C95</f>
        <v>0</v>
      </c>
      <c r="D103" s="660"/>
      <c r="E103" s="690"/>
      <c r="F103" s="659"/>
    </row>
    <row r="104" spans="1:6">
      <c r="A104" s="646"/>
      <c r="B104" s="646"/>
      <c r="C104" s="693"/>
      <c r="D104" s="646"/>
      <c r="E104" s="693"/>
      <c r="F104" s="646"/>
    </row>
    <row r="105" spans="1:6">
      <c r="A105" s="647">
        <v>1380</v>
      </c>
      <c r="B105" s="648" t="s">
        <v>660</v>
      </c>
      <c r="C105" s="694">
        <f>+DATOS!C16</f>
        <v>87931</v>
      </c>
      <c r="D105" s="695" t="s">
        <v>259</v>
      </c>
      <c r="E105" s="693"/>
      <c r="F105" s="646"/>
    </row>
    <row r="106" spans="1:6">
      <c r="A106" s="647"/>
      <c r="B106" s="696" t="s">
        <v>257</v>
      </c>
      <c r="C106" s="696">
        <v>672</v>
      </c>
      <c r="D106" s="697" t="s">
        <v>1473</v>
      </c>
      <c r="E106" s="693"/>
      <c r="F106" s="646"/>
    </row>
    <row r="107" spans="1:6">
      <c r="A107" s="647"/>
      <c r="B107" s="696" t="s">
        <v>406</v>
      </c>
      <c r="C107" s="696">
        <v>30111</v>
      </c>
      <c r="D107" s="697" t="s">
        <v>1474</v>
      </c>
      <c r="E107" s="693"/>
      <c r="F107" s="646"/>
    </row>
    <row r="108" spans="1:6">
      <c r="A108" s="647"/>
      <c r="B108" s="696" t="s">
        <v>661</v>
      </c>
      <c r="C108" s="696">
        <f>13462+35000</f>
        <v>48462</v>
      </c>
      <c r="D108" s="697" t="s">
        <v>1474</v>
      </c>
      <c r="E108" s="693"/>
      <c r="F108" s="646"/>
    </row>
    <row r="109" spans="1:6">
      <c r="A109" s="647"/>
      <c r="B109" s="696" t="s">
        <v>681</v>
      </c>
      <c r="C109" s="696">
        <v>7916</v>
      </c>
      <c r="D109" s="697" t="s">
        <v>1475</v>
      </c>
      <c r="E109" s="693"/>
      <c r="F109" s="646"/>
    </row>
    <row r="110" spans="1:6">
      <c r="A110" s="647"/>
      <c r="B110" s="696" t="s">
        <v>406</v>
      </c>
      <c r="C110" s="696">
        <v>0</v>
      </c>
      <c r="D110" s="697" t="s">
        <v>1476</v>
      </c>
      <c r="E110" s="693"/>
      <c r="F110" s="646"/>
    </row>
    <row r="111" spans="1:6">
      <c r="A111" s="647"/>
      <c r="B111" s="696" t="s">
        <v>662</v>
      </c>
      <c r="C111" s="696">
        <v>587</v>
      </c>
      <c r="D111" s="697"/>
      <c r="E111" s="693"/>
      <c r="F111" s="646"/>
    </row>
    <row r="112" spans="1:6">
      <c r="A112" s="647"/>
      <c r="B112" s="696" t="s">
        <v>1640</v>
      </c>
      <c r="C112" s="696">
        <v>183</v>
      </c>
      <c r="D112" s="697" t="s">
        <v>1477</v>
      </c>
      <c r="E112" s="693"/>
      <c r="F112" s="646"/>
    </row>
    <row r="113" spans="1:6">
      <c r="A113" s="646"/>
      <c r="B113" s="698"/>
      <c r="C113" s="689">
        <f>SUM(C106:C112)-C105</f>
        <v>0</v>
      </c>
      <c r="D113" s="693"/>
      <c r="E113" s="693"/>
      <c r="F113" s="646"/>
    </row>
    <row r="114" spans="1:6">
      <c r="A114" s="659"/>
      <c r="B114" s="659"/>
      <c r="C114" s="659"/>
      <c r="D114" s="659"/>
      <c r="E114" s="659"/>
      <c r="F114" s="659"/>
    </row>
    <row r="115" spans="1:6">
      <c r="A115" s="660">
        <v>14</v>
      </c>
      <c r="B115" s="661" t="s">
        <v>261</v>
      </c>
      <c r="C115" s="700">
        <f>+DATOS!C17</f>
        <v>78249</v>
      </c>
      <c r="D115" s="663" t="s">
        <v>259</v>
      </c>
      <c r="E115" s="659"/>
      <c r="F115" s="659"/>
    </row>
    <row r="116" spans="1:6">
      <c r="A116" s="659"/>
      <c r="B116" s="677" t="s">
        <v>1935</v>
      </c>
      <c r="C116" s="701">
        <f>+'2.E.R.I. MES-ACUMULADO'!CD18</f>
        <v>8089</v>
      </c>
      <c r="D116" s="1114" t="s">
        <v>1446</v>
      </c>
      <c r="E116" s="659"/>
      <c r="F116" s="659"/>
    </row>
    <row r="117" spans="1:6">
      <c r="A117" s="659"/>
      <c r="B117" s="677" t="s">
        <v>808</v>
      </c>
      <c r="C117" s="701">
        <f>+'2.E.R.I. MES-ACUMULADO'!CC18</f>
        <v>11243</v>
      </c>
      <c r="D117" s="1114"/>
      <c r="E117" s="659"/>
      <c r="F117" s="659"/>
    </row>
    <row r="118" spans="1:6">
      <c r="A118" s="659"/>
      <c r="B118" s="677" t="s">
        <v>809</v>
      </c>
      <c r="C118" s="701">
        <f>+'2.E.R.I. MES-ACUMULADO'!CA18</f>
        <v>11879</v>
      </c>
      <c r="D118" s="1114"/>
      <c r="E118" s="659"/>
      <c r="F118" s="659"/>
    </row>
    <row r="119" spans="1:6">
      <c r="A119" s="659"/>
      <c r="B119" s="677" t="s">
        <v>810</v>
      </c>
      <c r="C119" s="701">
        <f>+'2.E.R.I. MES-ACUMULADO'!CB18</f>
        <v>11033</v>
      </c>
      <c r="D119" s="1114"/>
      <c r="E119" s="659"/>
      <c r="F119" s="659"/>
    </row>
    <row r="120" spans="1:6">
      <c r="A120" s="659"/>
      <c r="B120" s="677" t="s">
        <v>811</v>
      </c>
      <c r="C120" s="701">
        <f>+'2.E.R.I. MES-ACUMULADO'!BX18</f>
        <v>7348</v>
      </c>
      <c r="D120" s="1114"/>
      <c r="E120" s="659"/>
      <c r="F120" s="659"/>
    </row>
    <row r="121" spans="1:6">
      <c r="A121" s="659"/>
      <c r="B121" s="677" t="s">
        <v>812</v>
      </c>
      <c r="C121" s="701">
        <f>+'2.E.R.I. MES-ACUMULADO'!CE18</f>
        <v>0</v>
      </c>
      <c r="D121" s="1114"/>
      <c r="E121" s="659"/>
      <c r="F121" s="659"/>
    </row>
    <row r="122" spans="1:6">
      <c r="A122" s="659"/>
      <c r="B122" s="677" t="s">
        <v>813</v>
      </c>
      <c r="C122" s="701">
        <f>+'2.E.R.I. MES-ACUMULADO'!BZ18</f>
        <v>8375</v>
      </c>
      <c r="D122" s="1114"/>
      <c r="E122" s="659"/>
      <c r="F122" s="659"/>
    </row>
    <row r="123" spans="1:6">
      <c r="A123" s="659"/>
      <c r="B123" s="677" t="s">
        <v>814</v>
      </c>
      <c r="C123" s="701">
        <f>+'2.E.R.I. MES-ACUMULADO'!BY18</f>
        <v>11282</v>
      </c>
      <c r="D123" s="1114"/>
      <c r="E123" s="659"/>
      <c r="F123" s="659"/>
    </row>
    <row r="124" spans="1:6">
      <c r="A124" s="659"/>
      <c r="B124" s="677" t="s">
        <v>957</v>
      </c>
      <c r="C124" s="701">
        <f>+'2.E.R.I. MES-ACUMULADO'!CF18</f>
        <v>9000</v>
      </c>
      <c r="D124" s="1114"/>
      <c r="E124" s="659"/>
      <c r="F124" s="659"/>
    </row>
    <row r="125" spans="1:6">
      <c r="A125" s="659"/>
      <c r="B125" s="659"/>
      <c r="C125" s="684">
        <f>SUM(C116:C124)-C115</f>
        <v>0</v>
      </c>
      <c r="D125" s="659"/>
      <c r="E125" s="659"/>
      <c r="F125" s="659"/>
    </row>
    <row r="126" spans="1:6">
      <c r="A126" s="646"/>
      <c r="B126" s="646"/>
      <c r="C126" s="646"/>
      <c r="D126" s="646"/>
      <c r="E126" s="646"/>
      <c r="F126" s="646"/>
    </row>
    <row r="127" spans="1:6">
      <c r="A127" s="647">
        <v>15</v>
      </c>
      <c r="B127" s="702" t="s">
        <v>663</v>
      </c>
      <c r="C127" s="703">
        <f>+DATOS!C20</f>
        <v>1983687</v>
      </c>
      <c r="D127" s="648" t="s">
        <v>259</v>
      </c>
      <c r="E127" s="647"/>
      <c r="F127" s="646"/>
    </row>
    <row r="128" spans="1:6">
      <c r="A128" s="647"/>
      <c r="B128" s="653" t="s">
        <v>664</v>
      </c>
      <c r="C128" s="704">
        <f>+DATOS!C21</f>
        <v>339255</v>
      </c>
      <c r="D128" s="1105" t="s">
        <v>907</v>
      </c>
      <c r="E128" s="671" t="s">
        <v>1460</v>
      </c>
      <c r="F128" s="646"/>
    </row>
    <row r="129" spans="1:6">
      <c r="A129" s="647"/>
      <c r="B129" s="653" t="s">
        <v>665</v>
      </c>
      <c r="C129" s="704">
        <f>+DATOS!C22</f>
        <v>1286225.5</v>
      </c>
      <c r="D129" s="1106"/>
      <c r="E129" s="671" t="s">
        <v>1461</v>
      </c>
      <c r="F129" s="646"/>
    </row>
    <row r="130" spans="1:6">
      <c r="A130" s="647"/>
      <c r="B130" s="653" t="s">
        <v>666</v>
      </c>
      <c r="C130" s="704">
        <f>+DATOS!C23</f>
        <v>463303</v>
      </c>
      <c r="D130" s="1106"/>
      <c r="E130" s="671"/>
      <c r="F130" s="646"/>
    </row>
    <row r="131" spans="1:6">
      <c r="A131" s="647"/>
      <c r="B131" s="653" t="s">
        <v>667</v>
      </c>
      <c r="C131" s="704">
        <f>+DATOS!C24</f>
        <v>210990</v>
      </c>
      <c r="D131" s="1106"/>
      <c r="E131" s="671"/>
      <c r="F131" s="646"/>
    </row>
    <row r="132" spans="1:6">
      <c r="A132" s="647"/>
      <c r="B132" s="653" t="s">
        <v>668</v>
      </c>
      <c r="C132" s="704">
        <f>+DATOS!C25</f>
        <v>42702</v>
      </c>
      <c r="D132" s="1106"/>
      <c r="E132" s="671"/>
      <c r="F132" s="646"/>
    </row>
    <row r="133" spans="1:6">
      <c r="A133" s="647"/>
      <c r="B133" s="653" t="s">
        <v>669</v>
      </c>
      <c r="C133" s="704">
        <f>+DATOS!C26</f>
        <v>-358788.5</v>
      </c>
      <c r="D133" s="1107"/>
      <c r="E133" s="671"/>
      <c r="F133" s="646"/>
    </row>
    <row r="134" spans="1:6">
      <c r="A134" s="647"/>
      <c r="B134" s="646"/>
      <c r="C134" s="699">
        <f>SUM(C128:C133)-C127</f>
        <v>0</v>
      </c>
      <c r="D134" s="705"/>
      <c r="E134" s="671"/>
      <c r="F134" s="646"/>
    </row>
    <row r="135" spans="1:6">
      <c r="A135" s="660"/>
      <c r="B135" s="660"/>
      <c r="C135" s="660"/>
      <c r="D135" s="660"/>
      <c r="E135" s="660"/>
      <c r="F135" s="659"/>
    </row>
    <row r="136" spans="1:6">
      <c r="A136" s="660">
        <v>16</v>
      </c>
      <c r="B136" s="706" t="s">
        <v>164</v>
      </c>
      <c r="C136" s="683">
        <f>+DATOS!C27</f>
        <v>184351</v>
      </c>
      <c r="D136" s="660"/>
      <c r="E136" s="660"/>
      <c r="F136" s="659"/>
    </row>
    <row r="137" spans="1:6">
      <c r="A137" s="660"/>
      <c r="B137" s="707" t="s">
        <v>670</v>
      </c>
      <c r="C137" s="686">
        <f>+DATOS!C28</f>
        <v>184351</v>
      </c>
      <c r="D137" s="660"/>
      <c r="E137" s="675"/>
      <c r="F137" s="659"/>
    </row>
    <row r="138" spans="1:6">
      <c r="A138" s="660"/>
      <c r="B138" s="659"/>
      <c r="C138" s="684">
        <f>+C137-C136</f>
        <v>0</v>
      </c>
      <c r="D138" s="660"/>
      <c r="E138" s="675"/>
      <c r="F138" s="659"/>
    </row>
    <row r="139" spans="1:6">
      <c r="A139" s="647"/>
      <c r="B139" s="647"/>
      <c r="C139" s="647"/>
      <c r="D139" s="708"/>
      <c r="E139" s="708"/>
      <c r="F139" s="646"/>
    </row>
    <row r="140" spans="1:6">
      <c r="A140" s="647">
        <v>19</v>
      </c>
      <c r="B140" s="648" t="s">
        <v>671</v>
      </c>
      <c r="C140" s="649">
        <f>+DATOS!C31</f>
        <v>194385</v>
      </c>
      <c r="D140" s="648" t="s">
        <v>422</v>
      </c>
      <c r="E140" s="646"/>
      <c r="F140" s="646"/>
    </row>
    <row r="141" spans="1:6">
      <c r="A141" s="647"/>
      <c r="B141" s="653" t="s">
        <v>898</v>
      </c>
      <c r="C141" s="688">
        <v>0</v>
      </c>
      <c r="D141" s="653" t="s">
        <v>303</v>
      </c>
      <c r="E141" s="646"/>
      <c r="F141" s="646"/>
    </row>
    <row r="142" spans="1:6">
      <c r="A142" s="646"/>
      <c r="B142" s="653" t="s">
        <v>895</v>
      </c>
      <c r="C142" s="688">
        <v>24558</v>
      </c>
      <c r="D142" s="653" t="s">
        <v>303</v>
      </c>
      <c r="E142" s="646"/>
      <c r="F142" s="646"/>
    </row>
    <row r="143" spans="1:6">
      <c r="A143" s="646"/>
      <c r="B143" s="653" t="s">
        <v>896</v>
      </c>
      <c r="C143" s="688">
        <v>59410</v>
      </c>
      <c r="D143" s="653" t="s">
        <v>897</v>
      </c>
      <c r="E143" s="646"/>
      <c r="F143" s="646"/>
    </row>
    <row r="144" spans="1:6">
      <c r="A144" s="646"/>
      <c r="B144" s="653" t="s">
        <v>1538</v>
      </c>
      <c r="C144" s="688">
        <v>110417</v>
      </c>
      <c r="D144" s="653"/>
      <c r="E144" s="646"/>
      <c r="F144" s="646"/>
    </row>
    <row r="145" spans="1:6">
      <c r="A145" s="646"/>
      <c r="B145" s="646"/>
      <c r="C145" s="658">
        <f>SUM(C141:C144)-C140</f>
        <v>0</v>
      </c>
      <c r="D145" s="658"/>
      <c r="E145" s="646"/>
      <c r="F145" s="646"/>
    </row>
    <row r="146" spans="1:6">
      <c r="A146" s="659"/>
      <c r="B146" s="659"/>
      <c r="C146" s="659"/>
      <c r="D146" s="659"/>
      <c r="E146" s="659"/>
      <c r="F146" s="659"/>
    </row>
    <row r="147" spans="1:6">
      <c r="A147" s="660">
        <v>21</v>
      </c>
      <c r="B147" s="663" t="s">
        <v>172</v>
      </c>
      <c r="C147" s="709">
        <f>+DATOS!C34</f>
        <v>330754</v>
      </c>
      <c r="D147" s="663" t="s">
        <v>259</v>
      </c>
      <c r="E147" s="659"/>
      <c r="F147" s="659"/>
    </row>
    <row r="148" spans="1:6">
      <c r="A148" s="660"/>
      <c r="B148" s="677" t="s">
        <v>1812</v>
      </c>
      <c r="C148" s="1059">
        <v>0</v>
      </c>
      <c r="D148" s="1070"/>
      <c r="E148" s="659"/>
      <c r="F148" s="659"/>
    </row>
    <row r="149" spans="1:6" ht="15" customHeight="1">
      <c r="A149" s="659"/>
      <c r="B149" s="677" t="s">
        <v>673</v>
      </c>
      <c r="C149" s="1059">
        <v>5324</v>
      </c>
      <c r="D149" s="1057"/>
      <c r="E149" s="659"/>
      <c r="F149" s="659"/>
    </row>
    <row r="150" spans="1:6" s="667" customFormat="1">
      <c r="A150" s="659"/>
      <c r="B150" s="677" t="s">
        <v>1439</v>
      </c>
      <c r="C150" s="666">
        <v>5544</v>
      </c>
      <c r="D150" s="1058"/>
      <c r="E150" s="659"/>
      <c r="F150" s="659"/>
    </row>
    <row r="151" spans="1:6" s="667" customFormat="1">
      <c r="A151" s="659"/>
      <c r="B151" s="677" t="s">
        <v>721</v>
      </c>
      <c r="C151" s="710">
        <v>93562</v>
      </c>
      <c r="D151" s="1058"/>
      <c r="E151" s="659"/>
      <c r="F151" s="659"/>
    </row>
    <row r="152" spans="1:6">
      <c r="A152" s="659"/>
      <c r="B152" s="677" t="s">
        <v>793</v>
      </c>
      <c r="C152" s="678">
        <v>73003</v>
      </c>
      <c r="D152" s="1058"/>
      <c r="E152" s="659"/>
      <c r="F152" s="659"/>
    </row>
    <row r="153" spans="1:6">
      <c r="A153" s="659"/>
      <c r="B153" s="677" t="s">
        <v>1466</v>
      </c>
      <c r="C153" s="678">
        <v>0</v>
      </c>
      <c r="D153" s="1058" t="s">
        <v>1478</v>
      </c>
      <c r="E153" s="659"/>
      <c r="F153" s="659"/>
    </row>
    <row r="154" spans="1:6" ht="11.25" customHeight="1">
      <c r="A154" s="659"/>
      <c r="B154" s="677" t="s">
        <v>1004</v>
      </c>
      <c r="C154" s="678">
        <v>92000</v>
      </c>
      <c r="D154" s="1058"/>
      <c r="E154" s="659"/>
      <c r="F154" s="659"/>
    </row>
    <row r="155" spans="1:6" ht="11.25" customHeight="1">
      <c r="A155" s="659"/>
      <c r="B155" s="677" t="s">
        <v>674</v>
      </c>
      <c r="C155" s="678">
        <v>3420</v>
      </c>
      <c r="D155" s="1058"/>
      <c r="E155" s="659"/>
      <c r="F155" s="659"/>
    </row>
    <row r="156" spans="1:6">
      <c r="A156" s="659"/>
      <c r="B156" s="677" t="s">
        <v>912</v>
      </c>
      <c r="C156" s="678">
        <v>57901</v>
      </c>
      <c r="D156" s="868"/>
      <c r="E156" s="659"/>
      <c r="F156" s="659"/>
    </row>
    <row r="157" spans="1:6">
      <c r="A157" s="659"/>
      <c r="B157" s="659"/>
      <c r="C157" s="711">
        <f>SUM(C148:C156)-C147</f>
        <v>0</v>
      </c>
      <c r="D157" s="659"/>
      <c r="E157" s="659"/>
      <c r="F157" s="659"/>
    </row>
    <row r="158" spans="1:6">
      <c r="A158" s="647"/>
      <c r="B158" s="646"/>
      <c r="C158" s="646"/>
      <c r="D158" s="646"/>
      <c r="E158" s="646"/>
      <c r="F158" s="647"/>
    </row>
    <row r="159" spans="1:6">
      <c r="A159" s="647">
        <v>2205</v>
      </c>
      <c r="B159" s="648" t="s">
        <v>675</v>
      </c>
      <c r="C159" s="712">
        <f>+DATOS!C38</f>
        <v>497599</v>
      </c>
      <c r="D159" s="1118"/>
      <c r="E159" s="1118"/>
      <c r="F159" s="1118"/>
    </row>
    <row r="160" spans="1:6">
      <c r="A160" s="646"/>
      <c r="B160" s="646"/>
      <c r="C160" s="646"/>
      <c r="D160" s="646"/>
      <c r="E160" s="646"/>
      <c r="F160" s="646"/>
    </row>
    <row r="161" spans="1:7">
      <c r="A161" s="647"/>
      <c r="B161" s="713" t="s">
        <v>260</v>
      </c>
      <c r="C161" s="713" t="s">
        <v>562</v>
      </c>
      <c r="D161" s="713" t="s">
        <v>564</v>
      </c>
      <c r="E161" s="713" t="s">
        <v>565</v>
      </c>
      <c r="F161" s="1042" t="s">
        <v>262</v>
      </c>
    </row>
    <row r="162" spans="1:7" hidden="1" outlineLevel="1">
      <c r="A162" s="647"/>
      <c r="B162" s="653" t="s">
        <v>1643</v>
      </c>
      <c r="C162" s="714">
        <v>-2014.9</v>
      </c>
      <c r="D162" s="714">
        <v>-2015</v>
      </c>
      <c r="E162" s="715">
        <v>0</v>
      </c>
      <c r="F162" s="1043">
        <f t="shared" ref="F162:F193" si="2">C162-(D162+E162)</f>
        <v>9.9999999999909051E-2</v>
      </c>
    </row>
    <row r="163" spans="1:7" hidden="1" outlineLevel="1">
      <c r="A163" s="647"/>
      <c r="B163" s="653" t="s">
        <v>1644</v>
      </c>
      <c r="C163" s="714">
        <v>-1688</v>
      </c>
      <c r="D163" s="714">
        <v>-1688</v>
      </c>
      <c r="E163" s="715">
        <v>0</v>
      </c>
      <c r="F163" s="1043">
        <f t="shared" si="2"/>
        <v>0</v>
      </c>
    </row>
    <row r="164" spans="1:7" hidden="1" outlineLevel="1">
      <c r="A164" s="647"/>
      <c r="B164" s="653" t="s">
        <v>1873</v>
      </c>
      <c r="C164" s="714">
        <v>-615</v>
      </c>
      <c r="D164" s="714">
        <v>-615</v>
      </c>
      <c r="E164" s="715">
        <v>0</v>
      </c>
      <c r="F164" s="1043">
        <f t="shared" si="2"/>
        <v>0</v>
      </c>
    </row>
    <row r="165" spans="1:7" hidden="1" outlineLevel="1">
      <c r="A165" s="647"/>
      <c r="B165" s="653" t="s">
        <v>1724</v>
      </c>
      <c r="C165" s="714">
        <v>-430.399</v>
      </c>
      <c r="D165" s="714">
        <v>-430</v>
      </c>
      <c r="E165" s="715">
        <v>3482</v>
      </c>
      <c r="F165" s="1043">
        <f t="shared" si="2"/>
        <v>-3482.3989999999999</v>
      </c>
    </row>
    <row r="166" spans="1:7" hidden="1" outlineLevel="1">
      <c r="A166" s="647"/>
      <c r="B166" s="1075" t="s">
        <v>1874</v>
      </c>
      <c r="C166" s="1076">
        <v>-4.1660000000000004</v>
      </c>
      <c r="D166" s="1076">
        <v>-1800</v>
      </c>
      <c r="E166" s="1076">
        <v>1796</v>
      </c>
      <c r="F166" s="1043">
        <f t="shared" si="2"/>
        <v>-0.16600000000000037</v>
      </c>
      <c r="G166" s="1077" t="s">
        <v>1939</v>
      </c>
    </row>
    <row r="167" spans="1:7" hidden="1" outlineLevel="1">
      <c r="A167" s="647"/>
      <c r="B167" s="653" t="s">
        <v>1875</v>
      </c>
      <c r="C167" s="714">
        <v>212.43</v>
      </c>
      <c r="D167" s="714">
        <v>212</v>
      </c>
      <c r="E167" s="714">
        <v>0</v>
      </c>
      <c r="F167" s="1043">
        <f t="shared" si="2"/>
        <v>0.43000000000000682</v>
      </c>
    </row>
    <row r="168" spans="1:7" hidden="1" outlineLevel="1">
      <c r="A168" s="647"/>
      <c r="B168" s="653" t="s">
        <v>1645</v>
      </c>
      <c r="C168" s="714">
        <v>-5.8</v>
      </c>
      <c r="D168" s="714">
        <v>0</v>
      </c>
      <c r="E168" s="714">
        <v>0</v>
      </c>
      <c r="F168" s="1043">
        <f t="shared" si="2"/>
        <v>-5.8</v>
      </c>
      <c r="G168" s="1077"/>
    </row>
    <row r="169" spans="1:7" hidden="1" outlineLevel="1">
      <c r="A169" s="647"/>
      <c r="B169" s="653" t="s">
        <v>1539</v>
      </c>
      <c r="C169" s="714">
        <v>-1641.3789999999999</v>
      </c>
      <c r="D169" s="714">
        <v>-1641</v>
      </c>
      <c r="E169" s="714">
        <v>0</v>
      </c>
      <c r="F169" s="1043">
        <f t="shared" si="2"/>
        <v>-0.37899999999990541</v>
      </c>
    </row>
    <row r="170" spans="1:7" hidden="1" outlineLevel="1">
      <c r="A170" s="647"/>
      <c r="B170" s="653" t="s">
        <v>1646</v>
      </c>
      <c r="C170" s="714">
        <v>-4430.6440000000002</v>
      </c>
      <c r="D170" s="714">
        <v>-4431</v>
      </c>
      <c r="E170" s="714">
        <v>0</v>
      </c>
      <c r="F170" s="1043">
        <f t="shared" si="2"/>
        <v>0.35599999999976717</v>
      </c>
    </row>
    <row r="171" spans="1:7" hidden="1" outlineLevel="1">
      <c r="A171" s="647"/>
      <c r="B171" s="653" t="s">
        <v>1647</v>
      </c>
      <c r="C171" s="714">
        <v>-1646.845</v>
      </c>
      <c r="D171" s="714">
        <v>-1678</v>
      </c>
      <c r="E171" s="714">
        <v>0</v>
      </c>
      <c r="F171" s="1043">
        <f t="shared" si="2"/>
        <v>31.154999999999973</v>
      </c>
    </row>
    <row r="172" spans="1:7" hidden="1" outlineLevel="1">
      <c r="A172" s="647"/>
      <c r="B172" s="653" t="s">
        <v>1813</v>
      </c>
      <c r="C172" s="714">
        <v>-1604.5429999999999</v>
      </c>
      <c r="D172" s="714">
        <v>-1605</v>
      </c>
      <c r="E172" s="714">
        <v>0</v>
      </c>
      <c r="F172" s="1043">
        <f t="shared" si="2"/>
        <v>0.45700000000010732</v>
      </c>
    </row>
    <row r="173" spans="1:7" hidden="1" outlineLevel="1">
      <c r="A173" s="647"/>
      <c r="B173" s="653" t="s">
        <v>1648</v>
      </c>
      <c r="C173" s="714">
        <v>35.286000000000001</v>
      </c>
      <c r="D173" s="714">
        <v>0</v>
      </c>
      <c r="E173" s="714">
        <v>0</v>
      </c>
      <c r="F173" s="1043">
        <f t="shared" si="2"/>
        <v>35.286000000000001</v>
      </c>
    </row>
    <row r="174" spans="1:7" hidden="1" outlineLevel="1">
      <c r="A174" s="647"/>
      <c r="B174" s="653" t="s">
        <v>1937</v>
      </c>
      <c r="C174" s="714">
        <v>-28978.046999999999</v>
      </c>
      <c r="D174" s="714">
        <v>-28978</v>
      </c>
      <c r="E174" s="714">
        <v>0</v>
      </c>
      <c r="F174" s="1043">
        <f t="shared" si="2"/>
        <v>-4.6999999998661224E-2</v>
      </c>
    </row>
    <row r="175" spans="1:7" hidden="1" outlineLevel="1">
      <c r="A175" s="647"/>
      <c r="B175" s="653" t="s">
        <v>1649</v>
      </c>
      <c r="C175" s="714">
        <v>-10329.127</v>
      </c>
      <c r="D175" s="714">
        <v>-10950</v>
      </c>
      <c r="E175" s="714">
        <v>0</v>
      </c>
      <c r="F175" s="1043">
        <f t="shared" si="2"/>
        <v>620.87299999999959</v>
      </c>
      <c r="G175" s="1077"/>
    </row>
    <row r="176" spans="1:7" hidden="1" outlineLevel="1">
      <c r="A176" s="647"/>
      <c r="B176" s="653" t="s">
        <v>1650</v>
      </c>
      <c r="C176" s="714">
        <v>-5422.2420000000002</v>
      </c>
      <c r="D176" s="714">
        <v>-5422</v>
      </c>
      <c r="E176" s="714">
        <v>0</v>
      </c>
      <c r="F176" s="1043">
        <f t="shared" si="2"/>
        <v>-0.24200000000018917</v>
      </c>
    </row>
    <row r="177" spans="1:7" hidden="1" outlineLevel="1">
      <c r="A177" s="647"/>
      <c r="B177" s="653" t="s">
        <v>1651</v>
      </c>
      <c r="C177" s="714">
        <v>-24.2</v>
      </c>
      <c r="D177" s="714">
        <v>0</v>
      </c>
      <c r="E177" s="714">
        <v>0</v>
      </c>
      <c r="F177" s="1043">
        <f t="shared" si="2"/>
        <v>-24.2</v>
      </c>
    </row>
    <row r="178" spans="1:7" hidden="1" outlineLevel="1">
      <c r="A178" s="647"/>
      <c r="B178" s="653" t="s">
        <v>1652</v>
      </c>
      <c r="C178" s="714">
        <v>-7150.3950000000004</v>
      </c>
      <c r="D178" s="714">
        <v>-7150</v>
      </c>
      <c r="E178" s="714">
        <v>0</v>
      </c>
      <c r="F178" s="1043">
        <f t="shared" si="2"/>
        <v>-0.39500000000043656</v>
      </c>
    </row>
    <row r="179" spans="1:7" hidden="1" outlineLevel="1">
      <c r="A179" s="647"/>
      <c r="B179" s="653" t="s">
        <v>1653</v>
      </c>
      <c r="C179" s="714">
        <v>-8529.6820000000007</v>
      </c>
      <c r="D179" s="714">
        <v>-8530</v>
      </c>
      <c r="E179" s="714">
        <v>0</v>
      </c>
      <c r="F179" s="1043">
        <f t="shared" si="2"/>
        <v>0.31799999999930151</v>
      </c>
    </row>
    <row r="180" spans="1:7" hidden="1" outlineLevel="1">
      <c r="A180" s="647"/>
      <c r="B180" s="653" t="s">
        <v>1654</v>
      </c>
      <c r="C180" s="714">
        <v>-130.64400000000001</v>
      </c>
      <c r="D180" s="714">
        <v>-412</v>
      </c>
      <c r="E180" s="714">
        <v>0</v>
      </c>
      <c r="F180" s="1043">
        <f t="shared" si="2"/>
        <v>281.35599999999999</v>
      </c>
    </row>
    <row r="181" spans="1:7" hidden="1" outlineLevel="1">
      <c r="A181" s="647"/>
      <c r="B181" s="653" t="s">
        <v>1655</v>
      </c>
      <c r="C181" s="714">
        <v>-14.143000000000001</v>
      </c>
      <c r="D181" s="714">
        <v>-14</v>
      </c>
      <c r="E181" s="714">
        <v>0</v>
      </c>
      <c r="F181" s="1043">
        <f t="shared" si="2"/>
        <v>-0.14300000000000068</v>
      </c>
    </row>
    <row r="182" spans="1:7" hidden="1" outlineLevel="1">
      <c r="A182" s="647"/>
      <c r="B182" s="653" t="s">
        <v>1656</v>
      </c>
      <c r="C182" s="714">
        <v>-365224.16700000002</v>
      </c>
      <c r="D182" s="714">
        <v>-365148</v>
      </c>
      <c r="E182" s="714">
        <v>0</v>
      </c>
      <c r="F182" s="1043">
        <f t="shared" si="2"/>
        <v>-76.167000000015832</v>
      </c>
    </row>
    <row r="183" spans="1:7" s="717" customFormat="1" ht="12.75" hidden="1" outlineLevel="1">
      <c r="A183" s="716"/>
      <c r="B183" s="653" t="s">
        <v>1876</v>
      </c>
      <c r="C183" s="714">
        <v>-166.6</v>
      </c>
      <c r="D183" s="714">
        <v>-167</v>
      </c>
      <c r="E183" s="714">
        <v>0</v>
      </c>
      <c r="F183" s="1043">
        <f t="shared" si="2"/>
        <v>0.40000000000000568</v>
      </c>
      <c r="G183" s="638"/>
    </row>
    <row r="184" spans="1:7" hidden="1" outlineLevel="1">
      <c r="A184" s="647"/>
      <c r="B184" s="653" t="s">
        <v>1657</v>
      </c>
      <c r="C184" s="714">
        <v>-2360.5390000000002</v>
      </c>
      <c r="D184" s="714">
        <v>-2481</v>
      </c>
      <c r="E184" s="714">
        <v>0</v>
      </c>
      <c r="F184" s="1043">
        <f t="shared" si="2"/>
        <v>120.46099999999979</v>
      </c>
    </row>
    <row r="185" spans="1:7" hidden="1" outlineLevel="1">
      <c r="A185" s="647"/>
      <c r="B185" s="653" t="s">
        <v>1658</v>
      </c>
      <c r="C185" s="714">
        <v>-3895.6970000000001</v>
      </c>
      <c r="D185" s="714">
        <v>412</v>
      </c>
      <c r="E185" s="714">
        <v>0</v>
      </c>
      <c r="F185" s="1043">
        <f t="shared" si="2"/>
        <v>-4307.6970000000001</v>
      </c>
    </row>
    <row r="186" spans="1:7" hidden="1" outlineLevel="1">
      <c r="A186" s="647"/>
      <c r="B186" s="653" t="s">
        <v>1659</v>
      </c>
      <c r="C186" s="714">
        <v>-2285.105</v>
      </c>
      <c r="D186" s="714">
        <v>-2285</v>
      </c>
      <c r="E186" s="714">
        <v>0</v>
      </c>
      <c r="F186" s="1043">
        <f t="shared" si="2"/>
        <v>-0.10500000000001819</v>
      </c>
    </row>
    <row r="187" spans="1:7" hidden="1" outlineLevel="1">
      <c r="A187" s="647"/>
      <c r="B187" s="653" t="s">
        <v>1660</v>
      </c>
      <c r="C187" s="714">
        <v>-3400.32</v>
      </c>
      <c r="D187" s="714">
        <v>-3400</v>
      </c>
      <c r="E187" s="714">
        <v>0</v>
      </c>
      <c r="F187" s="1043">
        <f t="shared" si="2"/>
        <v>-0.32000000000016371</v>
      </c>
    </row>
    <row r="188" spans="1:7" hidden="1" outlineLevel="1">
      <c r="A188" s="647"/>
      <c r="B188" s="653" t="s">
        <v>1661</v>
      </c>
      <c r="C188" s="714">
        <v>-140.608</v>
      </c>
      <c r="D188" s="714">
        <v>-141</v>
      </c>
      <c r="E188" s="714">
        <v>0</v>
      </c>
      <c r="F188" s="1043">
        <f t="shared" si="2"/>
        <v>0.39199999999999591</v>
      </c>
    </row>
    <row r="189" spans="1:7" hidden="1" outlineLevel="1">
      <c r="A189" s="647"/>
      <c r="B189" s="653" t="s">
        <v>1725</v>
      </c>
      <c r="C189" s="714">
        <v>-5839.2219999999998</v>
      </c>
      <c r="D189" s="714">
        <v>-5839</v>
      </c>
      <c r="E189" s="714">
        <v>0</v>
      </c>
      <c r="F189" s="1043">
        <f t="shared" si="2"/>
        <v>-0.22199999999975262</v>
      </c>
    </row>
    <row r="190" spans="1:7" hidden="1" outlineLevel="1">
      <c r="A190" s="647"/>
      <c r="B190" s="653" t="s">
        <v>1662</v>
      </c>
      <c r="C190" s="714">
        <v>-18</v>
      </c>
      <c r="D190" s="714">
        <v>0</v>
      </c>
      <c r="E190" s="714">
        <v>0</v>
      </c>
      <c r="F190" s="1043">
        <f t="shared" si="2"/>
        <v>-18</v>
      </c>
    </row>
    <row r="191" spans="1:7" hidden="1" outlineLevel="1">
      <c r="A191" s="647"/>
      <c r="B191" s="653" t="s">
        <v>1663</v>
      </c>
      <c r="C191" s="714">
        <v>-393.976</v>
      </c>
      <c r="D191" s="714">
        <v>-394</v>
      </c>
      <c r="E191" s="714">
        <v>0</v>
      </c>
      <c r="F191" s="1043">
        <f t="shared" si="2"/>
        <v>2.4000000000000909E-2</v>
      </c>
    </row>
    <row r="192" spans="1:7" hidden="1" outlineLevel="1">
      <c r="A192" s="647"/>
      <c r="B192" s="653" t="s">
        <v>1938</v>
      </c>
      <c r="C192" s="714">
        <v>-908.327</v>
      </c>
      <c r="D192" s="714">
        <v>-908</v>
      </c>
      <c r="E192" s="714">
        <v>0</v>
      </c>
      <c r="F192" s="1043">
        <f t="shared" si="2"/>
        <v>-0.32699999999999818</v>
      </c>
    </row>
    <row r="193" spans="1:7" hidden="1" outlineLevel="1">
      <c r="A193" s="647"/>
      <c r="B193" s="653" t="s">
        <v>1814</v>
      </c>
      <c r="C193" s="714">
        <v>3234.0219999999999</v>
      </c>
      <c r="D193" s="714">
        <v>3234</v>
      </c>
      <c r="E193" s="714">
        <v>0</v>
      </c>
      <c r="F193" s="1043">
        <f t="shared" si="2"/>
        <v>2.1999999999934516E-2</v>
      </c>
    </row>
    <row r="194" spans="1:7" hidden="1" outlineLevel="1">
      <c r="A194" s="647"/>
      <c r="B194" s="653" t="s">
        <v>1726</v>
      </c>
      <c r="C194" s="714">
        <v>-95.057000000000002</v>
      </c>
      <c r="D194" s="714">
        <v>0</v>
      </c>
      <c r="E194" s="714">
        <v>0</v>
      </c>
      <c r="F194" s="1043">
        <f t="shared" ref="F194:F206" si="3">C194-(D194+E194)</f>
        <v>-95.057000000000002</v>
      </c>
    </row>
    <row r="195" spans="1:7" hidden="1" outlineLevel="1">
      <c r="A195" s="647"/>
      <c r="B195" s="653" t="s">
        <v>1664</v>
      </c>
      <c r="C195" s="714">
        <v>-31461.119999999999</v>
      </c>
      <c r="D195" s="714">
        <v>-31461</v>
      </c>
      <c r="E195" s="714">
        <v>0</v>
      </c>
      <c r="F195" s="1043">
        <f t="shared" si="3"/>
        <v>-0.11999999999898137</v>
      </c>
    </row>
    <row r="196" spans="1:7" hidden="1" outlineLevel="1">
      <c r="A196" s="647"/>
      <c r="B196" s="653" t="s">
        <v>1638</v>
      </c>
      <c r="C196" s="714">
        <v>-2930.038</v>
      </c>
      <c r="D196" s="714">
        <v>-2773</v>
      </c>
      <c r="E196" s="714">
        <v>0</v>
      </c>
      <c r="F196" s="1043">
        <f t="shared" si="3"/>
        <v>-157.03800000000001</v>
      </c>
    </row>
    <row r="197" spans="1:7" hidden="1" outlineLevel="1">
      <c r="A197" s="647"/>
      <c r="B197" s="653" t="s">
        <v>1665</v>
      </c>
      <c r="C197" s="714">
        <v>-42</v>
      </c>
      <c r="D197" s="714">
        <v>-42</v>
      </c>
      <c r="E197" s="714">
        <v>0</v>
      </c>
      <c r="F197" s="1043">
        <f t="shared" si="3"/>
        <v>0</v>
      </c>
    </row>
    <row r="198" spans="1:7" hidden="1" outlineLevel="1">
      <c r="A198" s="647"/>
      <c r="B198" s="653" t="s">
        <v>1666</v>
      </c>
      <c r="C198" s="714">
        <v>-2788.598</v>
      </c>
      <c r="D198" s="714">
        <v>-2789</v>
      </c>
      <c r="E198" s="714">
        <v>0</v>
      </c>
      <c r="F198" s="1043">
        <f t="shared" si="3"/>
        <v>0.40200000000004366</v>
      </c>
    </row>
    <row r="199" spans="1:7" hidden="1" outlineLevel="1">
      <c r="A199" s="647"/>
      <c r="B199" s="653" t="s">
        <v>1667</v>
      </c>
      <c r="C199" s="714">
        <v>-686.50800000000004</v>
      </c>
      <c r="D199" s="714">
        <v>-687</v>
      </c>
      <c r="E199" s="714">
        <v>0</v>
      </c>
      <c r="F199" s="1043">
        <f t="shared" si="3"/>
        <v>0.4919999999999618</v>
      </c>
    </row>
    <row r="200" spans="1:7" hidden="1" outlineLevel="1">
      <c r="A200" s="647"/>
      <c r="B200" s="653" t="s">
        <v>1668</v>
      </c>
      <c r="C200" s="714">
        <v>-170</v>
      </c>
      <c r="D200" s="714">
        <v>-170</v>
      </c>
      <c r="E200" s="714">
        <v>0</v>
      </c>
      <c r="F200" s="1043">
        <f t="shared" si="3"/>
        <v>0</v>
      </c>
    </row>
    <row r="201" spans="1:7" hidden="1" outlineLevel="1">
      <c r="A201" s="647"/>
      <c r="B201" s="653" t="s">
        <v>1669</v>
      </c>
      <c r="C201" s="714">
        <v>-703.4</v>
      </c>
      <c r="D201" s="714">
        <v>-703</v>
      </c>
      <c r="E201" s="715">
        <v>0</v>
      </c>
      <c r="F201" s="1043">
        <f t="shared" si="3"/>
        <v>-0.39999999999997726</v>
      </c>
    </row>
    <row r="202" spans="1:7" hidden="1" outlineLevel="1">
      <c r="A202" s="647"/>
      <c r="B202" s="653" t="s">
        <v>994</v>
      </c>
      <c r="C202" s="714">
        <v>0</v>
      </c>
      <c r="D202" s="714">
        <v>-43</v>
      </c>
      <c r="E202" s="715">
        <v>0</v>
      </c>
      <c r="F202" s="1043">
        <f t="shared" si="3"/>
        <v>43</v>
      </c>
    </row>
    <row r="203" spans="1:7" hidden="1" outlineLevel="1">
      <c r="A203" s="647"/>
      <c r="B203" s="653" t="s">
        <v>676</v>
      </c>
      <c r="C203" s="714">
        <v>0</v>
      </c>
      <c r="D203" s="714">
        <v>-774</v>
      </c>
      <c r="E203" s="715">
        <v>0</v>
      </c>
      <c r="F203" s="1043">
        <f t="shared" si="3"/>
        <v>774</v>
      </c>
    </row>
    <row r="204" spans="1:7" hidden="1" outlineLevel="1">
      <c r="A204" s="647"/>
      <c r="B204" s="653" t="s">
        <v>728</v>
      </c>
      <c r="C204" s="714">
        <v>0</v>
      </c>
      <c r="D204" s="714">
        <v>-151</v>
      </c>
      <c r="E204" s="715">
        <v>0</v>
      </c>
      <c r="F204" s="1043">
        <f t="shared" si="3"/>
        <v>151</v>
      </c>
    </row>
    <row r="205" spans="1:7" hidden="1" outlineLevel="1">
      <c r="A205" s="647"/>
      <c r="B205" s="1075" t="s">
        <v>1110</v>
      </c>
      <c r="C205" s="1076">
        <v>0</v>
      </c>
      <c r="D205" s="1076">
        <v>-3819</v>
      </c>
      <c r="E205" s="1043">
        <v>3819</v>
      </c>
      <c r="F205" s="1043">
        <f t="shared" si="3"/>
        <v>0</v>
      </c>
      <c r="G205" s="1077" t="s">
        <v>1939</v>
      </c>
    </row>
    <row r="206" spans="1:7" hidden="1" outlineLevel="1">
      <c r="A206" s="647"/>
      <c r="B206" s="653" t="s">
        <v>701</v>
      </c>
      <c r="C206" s="714">
        <v>0</v>
      </c>
      <c r="D206" s="714">
        <v>110</v>
      </c>
      <c r="E206" s="715">
        <v>0</v>
      </c>
      <c r="F206" s="1043">
        <f t="shared" si="3"/>
        <v>-110</v>
      </c>
      <c r="G206" s="1077"/>
    </row>
    <row r="207" spans="1:7" hidden="1" outlineLevel="1">
      <c r="A207" s="647"/>
      <c r="B207" s="653" t="s">
        <v>1827</v>
      </c>
      <c r="C207" s="714">
        <v>0</v>
      </c>
      <c r="D207" s="714">
        <v>-33</v>
      </c>
      <c r="E207" s="715">
        <v>0</v>
      </c>
      <c r="F207" s="1043">
        <f t="shared" ref="F207:F210" si="4">C207-(D207+E207)</f>
        <v>33</v>
      </c>
    </row>
    <row r="208" spans="1:7" hidden="1" outlineLevel="1">
      <c r="A208" s="647"/>
      <c r="B208" s="653" t="s">
        <v>1540</v>
      </c>
      <c r="C208" s="714"/>
      <c r="D208" s="714"/>
      <c r="E208" s="715">
        <v>7502</v>
      </c>
      <c r="F208" s="1043">
        <f t="shared" si="4"/>
        <v>-7502</v>
      </c>
    </row>
    <row r="209" spans="1:6" hidden="1" outlineLevel="1">
      <c r="A209" s="647"/>
      <c r="B209" s="653"/>
      <c r="C209" s="714"/>
      <c r="D209" s="714"/>
      <c r="E209" s="715"/>
      <c r="F209" s="1043">
        <f t="shared" si="4"/>
        <v>0</v>
      </c>
    </row>
    <row r="210" spans="1:6" hidden="1" outlineLevel="1">
      <c r="A210" s="647"/>
      <c r="B210" s="653"/>
      <c r="C210" s="714"/>
      <c r="D210" s="714"/>
      <c r="E210" s="715"/>
      <c r="F210" s="1043">
        <f t="shared" si="4"/>
        <v>0</v>
      </c>
    </row>
    <row r="211" spans="1:6" ht="20.45" customHeight="1" collapsed="1">
      <c r="A211" s="647"/>
      <c r="B211" s="718" t="s">
        <v>247</v>
      </c>
      <c r="C211" s="719">
        <f>SUM(C162:C210)</f>
        <v>-494687.69999999995</v>
      </c>
      <c r="D211" s="719">
        <f>SUM(D162:D210)</f>
        <v>-497599</v>
      </c>
      <c r="E211" s="719">
        <f>SUM(E162:E210)</f>
        <v>16599</v>
      </c>
      <c r="F211" s="1044">
        <f>SUM(F162:F210)</f>
        <v>-13687.700000000015</v>
      </c>
    </row>
    <row r="212" spans="1:6">
      <c r="A212" s="647"/>
      <c r="B212" s="646"/>
      <c r="C212" s="646"/>
      <c r="D212" s="658">
        <f>+C159+D211</f>
        <v>0</v>
      </c>
      <c r="E212" s="646"/>
      <c r="F212" s="647"/>
    </row>
    <row r="213" spans="1:6">
      <c r="A213" s="659"/>
      <c r="B213" s="659"/>
      <c r="C213" s="659"/>
      <c r="D213" s="659"/>
      <c r="E213" s="659"/>
      <c r="F213" s="659"/>
    </row>
    <row r="214" spans="1:6">
      <c r="A214" s="660">
        <v>2380</v>
      </c>
      <c r="B214" s="661" t="s">
        <v>425</v>
      </c>
      <c r="C214" s="720">
        <f>+DATOS!C45</f>
        <v>28943</v>
      </c>
      <c r="D214" s="1119" t="s">
        <v>680</v>
      </c>
      <c r="E214" s="1119"/>
      <c r="F214" s="675"/>
    </row>
    <row r="215" spans="1:6">
      <c r="A215" s="659"/>
      <c r="B215" s="677" t="s">
        <v>504</v>
      </c>
      <c r="C215" s="721">
        <v>15163</v>
      </c>
      <c r="D215" s="1120" t="s">
        <v>1447</v>
      </c>
      <c r="E215" s="1120"/>
      <c r="F215" s="659"/>
    </row>
    <row r="216" spans="1:6">
      <c r="A216" s="659"/>
      <c r="B216" s="677" t="s">
        <v>786</v>
      </c>
      <c r="C216" s="721">
        <v>0</v>
      </c>
      <c r="D216" s="1120"/>
      <c r="E216" s="1120"/>
      <c r="F216" s="659"/>
    </row>
    <row r="217" spans="1:6">
      <c r="A217" s="659"/>
      <c r="B217" s="677" t="s">
        <v>257</v>
      </c>
      <c r="C217" s="721">
        <v>0</v>
      </c>
      <c r="D217" s="1120"/>
      <c r="E217" s="1120"/>
      <c r="F217" s="659"/>
    </row>
    <row r="218" spans="1:6">
      <c r="A218" s="659"/>
      <c r="B218" s="677" t="s">
        <v>1727</v>
      </c>
      <c r="C218" s="721">
        <v>13281</v>
      </c>
      <c r="D218" s="1069"/>
      <c r="E218" s="1069"/>
      <c r="F218" s="659"/>
    </row>
    <row r="219" spans="1:6">
      <c r="A219" s="660"/>
      <c r="B219" s="677" t="s">
        <v>510</v>
      </c>
      <c r="C219" s="721">
        <f>146+353</f>
        <v>499</v>
      </c>
      <c r="D219" s="1120"/>
      <c r="E219" s="1120"/>
      <c r="F219" s="659"/>
    </row>
    <row r="220" spans="1:6">
      <c r="A220" s="659"/>
      <c r="B220" s="684"/>
      <c r="C220" s="684">
        <f>-SUM(C215:C219)+C214</f>
        <v>0</v>
      </c>
      <c r="D220" s="723"/>
      <c r="E220" s="659"/>
      <c r="F220" s="659"/>
    </row>
    <row r="221" spans="1:6">
      <c r="A221" s="646"/>
      <c r="B221" s="646"/>
      <c r="C221" s="646"/>
      <c r="D221" s="646"/>
      <c r="E221" s="646"/>
      <c r="F221" s="646"/>
    </row>
    <row r="222" spans="1:6">
      <c r="A222" s="647">
        <v>24</v>
      </c>
      <c r="B222" s="702" t="s">
        <v>682</v>
      </c>
      <c r="C222" s="649">
        <f>+DATOS!C46</f>
        <v>178380</v>
      </c>
      <c r="D222" s="646"/>
      <c r="E222" s="646"/>
      <c r="F222" s="646"/>
    </row>
    <row r="223" spans="1:6">
      <c r="A223" s="647"/>
      <c r="B223" s="653" t="s">
        <v>683</v>
      </c>
      <c r="C223" s="688">
        <v>4118</v>
      </c>
      <c r="D223" s="646"/>
      <c r="E223" s="646"/>
      <c r="F223" s="646"/>
    </row>
    <row r="224" spans="1:6">
      <c r="A224" s="647"/>
      <c r="B224" s="653" t="s">
        <v>426</v>
      </c>
      <c r="C224" s="688">
        <f>+DATOS!C48</f>
        <v>16683</v>
      </c>
      <c r="D224" s="646"/>
      <c r="E224" s="646"/>
      <c r="F224" s="646"/>
    </row>
    <row r="225" spans="1:6">
      <c r="A225" s="646"/>
      <c r="B225" s="653" t="s">
        <v>232</v>
      </c>
      <c r="C225" s="688">
        <f>+DATOS!C52</f>
        <v>14503</v>
      </c>
      <c r="D225" s="646"/>
      <c r="E225" s="658"/>
      <c r="F225" s="646"/>
    </row>
    <row r="226" spans="1:6">
      <c r="A226" s="646"/>
      <c r="B226" s="653" t="s">
        <v>1448</v>
      </c>
      <c r="C226" s="688">
        <f>+DATOS!C55+DATOS!C53</f>
        <v>143076</v>
      </c>
      <c r="D226" s="646"/>
      <c r="E226" s="646"/>
      <c r="F226" s="646"/>
    </row>
    <row r="227" spans="1:6">
      <c r="A227" s="646"/>
      <c r="B227" s="646" t="s">
        <v>684</v>
      </c>
      <c r="C227" s="658">
        <f>SUM(C223:C226)-C222</f>
        <v>0</v>
      </c>
      <c r="D227" s="646"/>
      <c r="E227" s="646"/>
      <c r="F227" s="646"/>
    </row>
    <row r="228" spans="1:6">
      <c r="A228" s="659"/>
      <c r="B228" s="659"/>
      <c r="C228" s="659"/>
      <c r="D228" s="659"/>
      <c r="E228" s="690"/>
      <c r="F228" s="659"/>
    </row>
    <row r="229" spans="1:6">
      <c r="A229" s="660">
        <v>25</v>
      </c>
      <c r="B229" s="663" t="s">
        <v>534</v>
      </c>
      <c r="C229" s="683">
        <f>+DATOS!C56</f>
        <v>77625</v>
      </c>
      <c r="D229" s="659"/>
      <c r="E229" s="659"/>
      <c r="F229" s="659"/>
    </row>
    <row r="230" spans="1:6">
      <c r="A230" s="659"/>
      <c r="B230" s="677" t="s">
        <v>352</v>
      </c>
      <c r="C230" s="686">
        <f>+DATOS!C62+DATOS!C58</f>
        <v>25449</v>
      </c>
      <c r="D230" s="659"/>
      <c r="E230" s="660"/>
      <c r="F230" s="660"/>
    </row>
    <row r="231" spans="1:6">
      <c r="A231" s="659"/>
      <c r="B231" s="677" t="s">
        <v>349</v>
      </c>
      <c r="C231" s="686">
        <f>+DATOS!C63+DATOS!C59</f>
        <v>1493</v>
      </c>
      <c r="D231" s="659"/>
      <c r="E231" s="724"/>
      <c r="F231" s="659"/>
    </row>
    <row r="232" spans="1:6">
      <c r="A232" s="659"/>
      <c r="B232" s="677" t="s">
        <v>355</v>
      </c>
      <c r="C232" s="686">
        <f>+DATOS!C64+DATOS!C61</f>
        <v>32694</v>
      </c>
      <c r="D232" s="659"/>
      <c r="E232" s="724"/>
      <c r="F232" s="659"/>
    </row>
    <row r="233" spans="1:6">
      <c r="A233" s="659"/>
      <c r="B233" s="677" t="s">
        <v>350</v>
      </c>
      <c r="C233" s="686">
        <f>+DATOS!C65</f>
        <v>0</v>
      </c>
      <c r="D233" s="659"/>
      <c r="E233" s="724"/>
      <c r="F233" s="659"/>
    </row>
    <row r="234" spans="1:6">
      <c r="A234" s="659"/>
      <c r="B234" s="677" t="s">
        <v>685</v>
      </c>
      <c r="C234" s="686">
        <f>+DATOS!C66</f>
        <v>17989</v>
      </c>
      <c r="D234" s="659"/>
      <c r="E234" s="724"/>
      <c r="F234" s="659"/>
    </row>
    <row r="235" spans="1:6">
      <c r="A235" s="659"/>
      <c r="B235" s="659"/>
      <c r="C235" s="684">
        <f>SUM(C230:C234)-C229</f>
        <v>0</v>
      </c>
      <c r="D235" s="659"/>
      <c r="E235" s="659"/>
      <c r="F235" s="659"/>
    </row>
    <row r="236" spans="1:6">
      <c r="A236" s="659"/>
      <c r="B236" s="659"/>
      <c r="C236" s="684"/>
      <c r="D236" s="659"/>
      <c r="E236" s="659"/>
      <c r="F236" s="659"/>
    </row>
    <row r="237" spans="1:6">
      <c r="A237" s="659"/>
      <c r="B237" s="659"/>
      <c r="C237" s="684"/>
      <c r="D237" s="659"/>
      <c r="E237" s="659"/>
      <c r="F237" s="659"/>
    </row>
    <row r="238" spans="1:6">
      <c r="A238" s="647">
        <v>26</v>
      </c>
      <c r="B238" s="648" t="s">
        <v>820</v>
      </c>
      <c r="C238" s="808">
        <f>+DATOS!C68</f>
        <v>14938</v>
      </c>
      <c r="D238" s="646"/>
      <c r="E238" s="646"/>
      <c r="F238" s="646"/>
    </row>
    <row r="239" spans="1:6">
      <c r="A239" s="646"/>
      <c r="B239" s="653" t="s">
        <v>825</v>
      </c>
      <c r="C239" s="688">
        <f>+DATOS!C68</f>
        <v>14938</v>
      </c>
      <c r="D239" s="646"/>
      <c r="E239" s="646"/>
      <c r="F239" s="646"/>
    </row>
    <row r="240" spans="1:6">
      <c r="A240" s="646"/>
      <c r="B240" s="646"/>
      <c r="C240" s="658">
        <f>SUM(C239:C239)-C238</f>
        <v>0</v>
      </c>
      <c r="D240" s="646"/>
      <c r="E240" s="646"/>
      <c r="F240" s="646"/>
    </row>
    <row r="241" spans="1:6">
      <c r="A241" s="646"/>
      <c r="B241" s="646"/>
      <c r="C241" s="658"/>
      <c r="D241" s="646"/>
      <c r="E241" s="646"/>
      <c r="F241" s="646"/>
    </row>
    <row r="242" spans="1:6">
      <c r="A242" s="659"/>
      <c r="B242" s="659"/>
      <c r="C242" s="659"/>
      <c r="D242" s="659"/>
      <c r="E242" s="659"/>
      <c r="F242" s="659"/>
    </row>
    <row r="243" spans="1:6">
      <c r="A243" s="660">
        <v>2805</v>
      </c>
      <c r="B243" s="809" t="s">
        <v>686</v>
      </c>
      <c r="C243" s="676">
        <f>+DATOS!C70</f>
        <v>2323</v>
      </c>
      <c r="D243" s="660"/>
      <c r="E243" s="659"/>
      <c r="F243" s="659"/>
    </row>
    <row r="244" spans="1:6">
      <c r="A244" s="659"/>
      <c r="B244" s="659"/>
      <c r="C244" s="659"/>
      <c r="D244" s="659"/>
      <c r="E244" s="659"/>
      <c r="F244" s="659"/>
    </row>
    <row r="245" spans="1:6">
      <c r="A245" s="659"/>
      <c r="B245" s="810" t="s">
        <v>561</v>
      </c>
      <c r="C245" s="810" t="s">
        <v>687</v>
      </c>
      <c r="D245" s="1121" t="s">
        <v>422</v>
      </c>
      <c r="E245" s="1121"/>
      <c r="F245" s="1121"/>
    </row>
    <row r="246" spans="1:6">
      <c r="A246" s="659"/>
      <c r="B246" s="722" t="s">
        <v>573</v>
      </c>
      <c r="C246" s="686">
        <v>933</v>
      </c>
      <c r="D246" s="1111"/>
      <c r="E246" s="1112"/>
      <c r="F246" s="1113"/>
    </row>
    <row r="247" spans="1:6">
      <c r="A247" s="659"/>
      <c r="B247" s="1065" t="s">
        <v>662</v>
      </c>
      <c r="C247" s="686">
        <f>224+27</f>
        <v>251</v>
      </c>
      <c r="D247" s="1111"/>
      <c r="E247" s="1112"/>
      <c r="F247" s="1113"/>
    </row>
    <row r="248" spans="1:6">
      <c r="A248" s="659"/>
      <c r="B248" s="1074" t="s">
        <v>1933</v>
      </c>
      <c r="C248" s="686">
        <v>1138</v>
      </c>
      <c r="D248" s="1071"/>
      <c r="E248" s="1072"/>
      <c r="F248" s="1073"/>
    </row>
    <row r="249" spans="1:6">
      <c r="A249" s="659"/>
      <c r="B249" s="722" t="s">
        <v>505</v>
      </c>
      <c r="C249" s="686">
        <v>1</v>
      </c>
      <c r="D249" s="1111"/>
      <c r="E249" s="1112"/>
      <c r="F249" s="1113"/>
    </row>
    <row r="250" spans="1:6">
      <c r="A250" s="659"/>
      <c r="B250" s="659"/>
      <c r="C250" s="684">
        <f>SUM(C246:C249)-C243</f>
        <v>0</v>
      </c>
      <c r="D250" s="659"/>
      <c r="E250" s="659"/>
      <c r="F250" s="659"/>
    </row>
  </sheetData>
  <autoFilter ref="B161:F212" xr:uid="{00000000-0009-0000-0000-000003000000}"/>
  <mergeCells count="18">
    <mergeCell ref="D246:F246"/>
    <mergeCell ref="D249:F249"/>
    <mergeCell ref="D116:D124"/>
    <mergeCell ref="D81:D89"/>
    <mergeCell ref="D159:F159"/>
    <mergeCell ref="D214:E214"/>
    <mergeCell ref="D215:E215"/>
    <mergeCell ref="D216:E216"/>
    <mergeCell ref="D217:E217"/>
    <mergeCell ref="D219:E219"/>
    <mergeCell ref="D245:F245"/>
    <mergeCell ref="D247:F247"/>
    <mergeCell ref="A1:F1"/>
    <mergeCell ref="A2:F2"/>
    <mergeCell ref="A3:F3"/>
    <mergeCell ref="A4:F4"/>
    <mergeCell ref="D128:D133"/>
    <mergeCell ref="D53:F53"/>
  </mergeCells>
  <phoneticPr fontId="339" type="noConversion"/>
  <pageMargins left="0.7" right="0.7" top="0.75" bottom="0.75" header="0.3" footer="0.3"/>
  <pageSetup scale="2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>
    <tabColor theme="6" tint="0.59999389629810485"/>
    <pageSetUpPr fitToPage="1"/>
  </sheetPr>
  <dimension ref="A1:CY173"/>
  <sheetViews>
    <sheetView showGridLines="0" zoomScale="115" zoomScaleNormal="115" workbookViewId="0">
      <pane xSplit="2" ySplit="8" topLeftCell="BK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11.42578125" defaultRowHeight="11.25" outlineLevelRow="2" outlineLevelCol="1"/>
  <cols>
    <col min="1" max="1" width="7.85546875" style="781" customWidth="1"/>
    <col min="2" max="2" width="38" style="735" customWidth="1"/>
    <col min="3" max="3" width="1.140625" style="735" customWidth="1"/>
    <col min="4" max="4" width="15.7109375" style="735" hidden="1" customWidth="1" outlineLevel="1"/>
    <col min="5" max="5" width="12.42578125" style="735" hidden="1" customWidth="1" outlineLevel="1"/>
    <col min="6" max="6" width="11.85546875" style="735" hidden="1" customWidth="1" outlineLevel="1"/>
    <col min="7" max="7" width="14.28515625" style="735" hidden="1" customWidth="1" outlineLevel="1"/>
    <col min="8" max="8" width="10.85546875" style="735" hidden="1" customWidth="1" outlineLevel="1"/>
    <col min="9" max="9" width="15" style="735" hidden="1" customWidth="1" outlineLevel="1"/>
    <col min="10" max="10" width="11" style="735" hidden="1" customWidth="1" outlineLevel="1"/>
    <col min="11" max="11" width="15.5703125" style="735" hidden="1" customWidth="1" outlineLevel="1"/>
    <col min="12" max="12" width="8.28515625" style="735" hidden="1" customWidth="1" outlineLevel="1"/>
    <col min="13" max="13" width="8.28515625" style="735" bestFit="1" customWidth="1" collapsed="1"/>
    <col min="14" max="14" width="7.140625" style="735" bestFit="1" customWidth="1"/>
    <col min="15" max="15" width="1.140625" style="735" customWidth="1"/>
    <col min="16" max="24" width="10.28515625" style="735" hidden="1" customWidth="1" outlineLevel="1"/>
    <col min="25" max="25" width="8.28515625" style="735" bestFit="1" customWidth="1" collapsed="1"/>
    <col min="26" max="26" width="7.140625" style="735" bestFit="1" customWidth="1"/>
    <col min="27" max="27" width="1.140625" style="735" customWidth="1"/>
    <col min="28" max="36" width="10.28515625" style="735" hidden="1" customWidth="1" outlineLevel="1"/>
    <col min="37" max="37" width="8.28515625" style="735" bestFit="1" customWidth="1" collapsed="1"/>
    <col min="38" max="38" width="7.140625" style="735" bestFit="1" customWidth="1"/>
    <col min="39" max="39" width="1.140625" style="735" customWidth="1"/>
    <col min="40" max="48" width="10.28515625" style="735" hidden="1" customWidth="1" outlineLevel="1"/>
    <col min="49" max="49" width="8.28515625" style="735" bestFit="1" customWidth="1" collapsed="1"/>
    <col min="50" max="50" width="7.140625" style="735" bestFit="1" customWidth="1"/>
    <col min="51" max="51" width="1.140625" style="735" customWidth="1"/>
    <col min="52" max="60" width="10.28515625" style="735" hidden="1" customWidth="1" outlineLevel="1"/>
    <col min="61" max="61" width="8.28515625" style="735" bestFit="1" customWidth="1" collapsed="1"/>
    <col min="62" max="62" width="7.140625" style="735" bestFit="1" customWidth="1"/>
    <col min="63" max="63" width="1.140625" style="735" customWidth="1"/>
    <col min="64" max="72" width="10.28515625" style="735" hidden="1" customWidth="1" outlineLevel="1"/>
    <col min="73" max="73" width="8.28515625" style="735" bestFit="1" customWidth="1" collapsed="1"/>
    <col min="74" max="74" width="7.140625" style="735" bestFit="1" customWidth="1"/>
    <col min="75" max="75" width="1.140625" style="735" customWidth="1"/>
    <col min="76" max="84" width="10.28515625" style="735" hidden="1" customWidth="1" outlineLevel="1"/>
    <col min="85" max="85" width="8.28515625" style="735" bestFit="1" customWidth="1" collapsed="1"/>
    <col min="86" max="86" width="7.140625" style="735" bestFit="1" customWidth="1"/>
    <col min="87" max="87" width="2.140625" style="572" customWidth="1"/>
    <col min="88" max="88" width="9.85546875" style="583" customWidth="1"/>
    <col min="89" max="89" width="9.140625" style="583" customWidth="1"/>
    <col min="90" max="90" width="3.7109375" style="735" customWidth="1"/>
    <col min="91" max="91" width="12.140625" style="735" customWidth="1"/>
    <col min="92" max="92" width="7" style="735" bestFit="1" customWidth="1"/>
    <col min="93" max="93" width="2.140625" style="735" customWidth="1"/>
    <col min="94" max="94" width="8.28515625" style="735" bestFit="1" customWidth="1"/>
    <col min="95" max="95" width="11.42578125" style="735"/>
    <col min="96" max="96" width="1.85546875" style="735" customWidth="1"/>
    <col min="97" max="98" width="11.42578125" style="735"/>
    <col min="99" max="99" width="4.140625" style="735" customWidth="1"/>
    <col min="100" max="16384" width="11.42578125" style="735"/>
  </cols>
  <sheetData>
    <row r="1" spans="1:103" ht="12" customHeight="1">
      <c r="A1" s="734"/>
      <c r="B1" s="1122" t="str">
        <f>+DATOS!H6</f>
        <v>GRUPO DE LOLITA SAS</v>
      </c>
      <c r="C1" s="1123"/>
      <c r="D1" s="1123"/>
      <c r="E1" s="1123"/>
      <c r="F1" s="1123"/>
      <c r="G1" s="1123"/>
      <c r="H1" s="1123"/>
      <c r="I1" s="1123"/>
      <c r="J1" s="1123"/>
      <c r="K1" s="1123"/>
      <c r="L1" s="1123"/>
      <c r="M1" s="1123"/>
      <c r="N1" s="1123"/>
      <c r="O1" s="1123"/>
      <c r="P1" s="1123"/>
      <c r="Q1" s="1123"/>
      <c r="R1" s="1123"/>
      <c r="S1" s="1123"/>
      <c r="T1" s="1123"/>
      <c r="U1" s="1123"/>
      <c r="V1" s="1123"/>
      <c r="W1" s="1123"/>
      <c r="X1" s="1123"/>
      <c r="Y1" s="1123"/>
      <c r="Z1" s="1123"/>
      <c r="AA1" s="1123"/>
      <c r="AB1" s="1123"/>
      <c r="AC1" s="1123"/>
      <c r="AD1" s="1123"/>
      <c r="AE1" s="1123"/>
      <c r="AF1" s="1123"/>
      <c r="AG1" s="1123"/>
      <c r="AH1" s="1123"/>
      <c r="AI1" s="1123"/>
      <c r="AJ1" s="1123"/>
      <c r="AK1" s="1123"/>
      <c r="AL1" s="1123"/>
      <c r="AM1" s="1123"/>
      <c r="AN1" s="1123"/>
      <c r="AO1" s="1123"/>
      <c r="AP1" s="1123"/>
      <c r="AQ1" s="1123"/>
      <c r="AR1" s="1123"/>
      <c r="AS1" s="1123"/>
      <c r="AT1" s="1123"/>
      <c r="AU1" s="1123"/>
      <c r="AV1" s="1123"/>
      <c r="AW1" s="1123"/>
      <c r="AX1" s="1123"/>
      <c r="AY1" s="1123"/>
      <c r="AZ1" s="1123"/>
      <c r="BA1" s="1123"/>
      <c r="BB1" s="1123"/>
      <c r="BC1" s="1123"/>
      <c r="BD1" s="1123"/>
      <c r="BE1" s="1123"/>
      <c r="BF1" s="1123"/>
      <c r="BG1" s="1123"/>
      <c r="BH1" s="1123"/>
      <c r="BI1" s="1123"/>
      <c r="BJ1" s="1123"/>
      <c r="BK1" s="1123"/>
      <c r="BL1" s="1123"/>
      <c r="BM1" s="1123"/>
      <c r="BN1" s="1123"/>
      <c r="BO1" s="1123"/>
      <c r="BP1" s="1123"/>
      <c r="BQ1" s="1123"/>
      <c r="BR1" s="1123"/>
      <c r="BS1" s="1123"/>
      <c r="BT1" s="1123"/>
      <c r="BU1" s="1123"/>
      <c r="BV1" s="1123"/>
      <c r="BW1" s="1123"/>
      <c r="BX1" s="1123"/>
      <c r="BY1" s="1123"/>
      <c r="BZ1" s="1123"/>
      <c r="CA1" s="1123"/>
      <c r="CB1" s="1123"/>
      <c r="CC1" s="1123"/>
      <c r="CD1" s="1123"/>
      <c r="CE1" s="1123"/>
      <c r="CF1" s="1123"/>
      <c r="CG1" s="1123"/>
      <c r="CH1" s="1123"/>
      <c r="CI1" s="1123"/>
      <c r="CJ1" s="1123"/>
      <c r="CK1" s="990"/>
      <c r="CL1" s="990"/>
      <c r="CM1" s="990"/>
      <c r="CN1" s="990"/>
      <c r="CO1" s="990"/>
      <c r="CP1" s="990"/>
      <c r="CQ1" s="990"/>
      <c r="CR1" s="990"/>
      <c r="CS1" s="990"/>
      <c r="CT1" s="990"/>
      <c r="CU1" s="990"/>
      <c r="CV1" s="990"/>
      <c r="CW1" s="991"/>
    </row>
    <row r="2" spans="1:103">
      <c r="A2" s="734"/>
      <c r="B2" s="1124" t="str">
        <f>+DATOS!H7</f>
        <v>NIT: 900.307.969-5</v>
      </c>
      <c r="C2" s="1125"/>
      <c r="D2" s="1125"/>
      <c r="E2" s="1125"/>
      <c r="F2" s="1125"/>
      <c r="G2" s="1125"/>
      <c r="H2" s="1125"/>
      <c r="I2" s="1125"/>
      <c r="J2" s="1125"/>
      <c r="K2" s="1125"/>
      <c r="L2" s="1125"/>
      <c r="M2" s="1125"/>
      <c r="N2" s="1125"/>
      <c r="O2" s="1125"/>
      <c r="P2" s="1125"/>
      <c r="Q2" s="1125"/>
      <c r="R2" s="1125"/>
      <c r="S2" s="1125"/>
      <c r="T2" s="1125"/>
      <c r="U2" s="1125"/>
      <c r="V2" s="1125"/>
      <c r="W2" s="1125"/>
      <c r="X2" s="1125"/>
      <c r="Y2" s="1125"/>
      <c r="Z2" s="1125"/>
      <c r="AA2" s="1125"/>
      <c r="AB2" s="1125"/>
      <c r="AC2" s="1125"/>
      <c r="AD2" s="1125"/>
      <c r="AE2" s="1125"/>
      <c r="AF2" s="1125"/>
      <c r="AG2" s="1125"/>
      <c r="AH2" s="1125"/>
      <c r="AI2" s="1125"/>
      <c r="AJ2" s="1125"/>
      <c r="AK2" s="1125"/>
      <c r="AL2" s="1125"/>
      <c r="AM2" s="1125"/>
      <c r="AN2" s="1125"/>
      <c r="AO2" s="1125"/>
      <c r="AP2" s="1125"/>
      <c r="AQ2" s="1125"/>
      <c r="AR2" s="1125"/>
      <c r="AS2" s="1125"/>
      <c r="AT2" s="1125"/>
      <c r="AU2" s="1125"/>
      <c r="AV2" s="1125"/>
      <c r="AW2" s="1125"/>
      <c r="AX2" s="1125"/>
      <c r="AY2" s="1125"/>
      <c r="AZ2" s="1125"/>
      <c r="BA2" s="1125"/>
      <c r="BB2" s="1125"/>
      <c r="BC2" s="1125"/>
      <c r="BD2" s="1125"/>
      <c r="BE2" s="1125"/>
      <c r="BF2" s="1125"/>
      <c r="BG2" s="1125"/>
      <c r="BH2" s="1125"/>
      <c r="BI2" s="1125"/>
      <c r="BJ2" s="1125"/>
      <c r="BK2" s="1125"/>
      <c r="BL2" s="1125"/>
      <c r="BM2" s="1125"/>
      <c r="BN2" s="1125"/>
      <c r="BO2" s="1125"/>
      <c r="BP2" s="1125"/>
      <c r="BQ2" s="1125"/>
      <c r="BR2" s="1125"/>
      <c r="BS2" s="1125"/>
      <c r="BT2" s="1125"/>
      <c r="BU2" s="1125"/>
      <c r="BV2" s="1125"/>
      <c r="BW2" s="1125"/>
      <c r="BX2" s="1125"/>
      <c r="BY2" s="1125"/>
      <c r="BZ2" s="1125"/>
      <c r="CA2" s="1125"/>
      <c r="CB2" s="1125"/>
      <c r="CC2" s="1125"/>
      <c r="CD2" s="1125"/>
      <c r="CE2" s="1125"/>
      <c r="CF2" s="1125"/>
      <c r="CG2" s="1125"/>
      <c r="CH2" s="1125"/>
      <c r="CI2" s="1125"/>
      <c r="CJ2" s="1125"/>
      <c r="CK2" s="988"/>
      <c r="CL2" s="988"/>
      <c r="CM2" s="988"/>
      <c r="CN2" s="988"/>
      <c r="CO2" s="988"/>
      <c r="CP2" s="988"/>
      <c r="CQ2" s="988"/>
      <c r="CR2" s="988"/>
      <c r="CS2" s="988"/>
      <c r="CT2" s="988"/>
      <c r="CU2" s="988"/>
      <c r="CV2" s="988"/>
      <c r="CW2" s="992"/>
    </row>
    <row r="3" spans="1:103">
      <c r="A3" s="734"/>
      <c r="B3" s="1126" t="s">
        <v>220</v>
      </c>
      <c r="C3" s="1127"/>
      <c r="D3" s="1127"/>
      <c r="E3" s="1127"/>
      <c r="F3" s="1127"/>
      <c r="G3" s="1127"/>
      <c r="H3" s="1127"/>
      <c r="I3" s="1127"/>
      <c r="J3" s="1127"/>
      <c r="K3" s="1127"/>
      <c r="L3" s="1127"/>
      <c r="M3" s="1127"/>
      <c r="N3" s="1127"/>
      <c r="O3" s="1127"/>
      <c r="P3" s="1127"/>
      <c r="Q3" s="1127"/>
      <c r="R3" s="1127"/>
      <c r="S3" s="1127"/>
      <c r="T3" s="1127"/>
      <c r="U3" s="1127"/>
      <c r="V3" s="1127"/>
      <c r="W3" s="1127"/>
      <c r="X3" s="1127"/>
      <c r="Y3" s="1127"/>
      <c r="Z3" s="1127"/>
      <c r="AA3" s="1127"/>
      <c r="AB3" s="1127"/>
      <c r="AC3" s="1127"/>
      <c r="AD3" s="1127"/>
      <c r="AE3" s="1127"/>
      <c r="AF3" s="1127"/>
      <c r="AG3" s="1127"/>
      <c r="AH3" s="1127"/>
      <c r="AI3" s="1127"/>
      <c r="AJ3" s="1127"/>
      <c r="AK3" s="1127"/>
      <c r="AL3" s="1127"/>
      <c r="AM3" s="1127"/>
      <c r="AN3" s="1127"/>
      <c r="AO3" s="1127"/>
      <c r="AP3" s="1127"/>
      <c r="AQ3" s="1127"/>
      <c r="AR3" s="1127"/>
      <c r="AS3" s="1127"/>
      <c r="AT3" s="1127"/>
      <c r="AU3" s="1127"/>
      <c r="AV3" s="1127"/>
      <c r="AW3" s="1127"/>
      <c r="AX3" s="1127"/>
      <c r="AY3" s="1127"/>
      <c r="AZ3" s="1127"/>
      <c r="BA3" s="1127"/>
      <c r="BB3" s="1127"/>
      <c r="BC3" s="1127"/>
      <c r="BD3" s="1127"/>
      <c r="BE3" s="1127"/>
      <c r="BF3" s="1127"/>
      <c r="BG3" s="1127"/>
      <c r="BH3" s="1127"/>
      <c r="BI3" s="1127"/>
      <c r="BJ3" s="1127"/>
      <c r="BK3" s="1127"/>
      <c r="BL3" s="1127"/>
      <c r="BM3" s="1127"/>
      <c r="BN3" s="1127"/>
      <c r="BO3" s="1127"/>
      <c r="BP3" s="1127"/>
      <c r="BQ3" s="1127"/>
      <c r="BR3" s="1127"/>
      <c r="BS3" s="1127"/>
      <c r="BT3" s="1127"/>
      <c r="BU3" s="1127"/>
      <c r="BV3" s="1127"/>
      <c r="BW3" s="1127"/>
      <c r="BX3" s="1127"/>
      <c r="BY3" s="1127"/>
      <c r="BZ3" s="1127"/>
      <c r="CA3" s="1127"/>
      <c r="CB3" s="1127"/>
      <c r="CC3" s="1127"/>
      <c r="CD3" s="1127"/>
      <c r="CE3" s="1127"/>
      <c r="CF3" s="1127"/>
      <c r="CG3" s="1127"/>
      <c r="CH3" s="1127"/>
      <c r="CI3" s="1127"/>
      <c r="CJ3" s="1127"/>
      <c r="CK3" s="988"/>
      <c r="CL3" s="988"/>
      <c r="CM3" s="988"/>
      <c r="CN3" s="988"/>
      <c r="CO3" s="988"/>
      <c r="CP3" s="988"/>
      <c r="CQ3" s="988"/>
      <c r="CR3" s="988"/>
      <c r="CS3" s="988"/>
      <c r="CT3" s="988"/>
      <c r="CU3" s="988"/>
      <c r="CV3" s="988"/>
      <c r="CW3" s="992"/>
    </row>
    <row r="4" spans="1:103">
      <c r="A4" s="734"/>
      <c r="B4" s="1126" t="str">
        <f>+DATOS!H8</f>
        <v>A 30 DE JUNIO DE 2026 Y 2025</v>
      </c>
      <c r="C4" s="1127"/>
      <c r="D4" s="1127"/>
      <c r="E4" s="1127"/>
      <c r="F4" s="1127"/>
      <c r="G4" s="1127"/>
      <c r="H4" s="1127"/>
      <c r="I4" s="1127"/>
      <c r="J4" s="1127"/>
      <c r="K4" s="1127"/>
      <c r="L4" s="1127"/>
      <c r="M4" s="1127"/>
      <c r="N4" s="1127"/>
      <c r="O4" s="1127"/>
      <c r="P4" s="1127"/>
      <c r="Q4" s="1127"/>
      <c r="R4" s="1127"/>
      <c r="S4" s="1127"/>
      <c r="T4" s="1127"/>
      <c r="U4" s="1127"/>
      <c r="V4" s="1127"/>
      <c r="W4" s="1127"/>
      <c r="X4" s="1127"/>
      <c r="Y4" s="1127"/>
      <c r="Z4" s="1127"/>
      <c r="AA4" s="1127"/>
      <c r="AB4" s="1127"/>
      <c r="AC4" s="1127"/>
      <c r="AD4" s="1127"/>
      <c r="AE4" s="1127"/>
      <c r="AF4" s="1127"/>
      <c r="AG4" s="1127"/>
      <c r="AH4" s="1127"/>
      <c r="AI4" s="1127"/>
      <c r="AJ4" s="1127"/>
      <c r="AK4" s="1127"/>
      <c r="AL4" s="1127"/>
      <c r="AM4" s="1127"/>
      <c r="AN4" s="1127"/>
      <c r="AO4" s="1127"/>
      <c r="AP4" s="1127"/>
      <c r="AQ4" s="1127"/>
      <c r="AR4" s="1127"/>
      <c r="AS4" s="1127"/>
      <c r="AT4" s="1127"/>
      <c r="AU4" s="1127"/>
      <c r="AV4" s="1127"/>
      <c r="AW4" s="1127"/>
      <c r="AX4" s="1127"/>
      <c r="AY4" s="1127"/>
      <c r="AZ4" s="1127"/>
      <c r="BA4" s="1127"/>
      <c r="BB4" s="1127"/>
      <c r="BC4" s="1127"/>
      <c r="BD4" s="1127"/>
      <c r="BE4" s="1127"/>
      <c r="BF4" s="1127"/>
      <c r="BG4" s="1127"/>
      <c r="BH4" s="1127"/>
      <c r="BI4" s="1127"/>
      <c r="BJ4" s="1127"/>
      <c r="BK4" s="1127"/>
      <c r="BL4" s="1127"/>
      <c r="BM4" s="1127"/>
      <c r="BN4" s="1127"/>
      <c r="BO4" s="1127"/>
      <c r="BP4" s="1127"/>
      <c r="BQ4" s="1127"/>
      <c r="BR4" s="1127"/>
      <c r="BS4" s="1127"/>
      <c r="BT4" s="1127"/>
      <c r="BU4" s="1127"/>
      <c r="BV4" s="1127"/>
      <c r="BW4" s="1127"/>
      <c r="BX4" s="1127"/>
      <c r="BY4" s="1127"/>
      <c r="BZ4" s="1127"/>
      <c r="CA4" s="1127"/>
      <c r="CB4" s="1127"/>
      <c r="CC4" s="1127"/>
      <c r="CD4" s="1127"/>
      <c r="CE4" s="1127"/>
      <c r="CF4" s="1127"/>
      <c r="CG4" s="1127"/>
      <c r="CH4" s="1127"/>
      <c r="CI4" s="1127"/>
      <c r="CJ4" s="1127"/>
      <c r="CK4" s="988"/>
      <c r="CL4" s="989"/>
      <c r="CM4" s="988"/>
      <c r="CN4" s="988"/>
      <c r="CO4" s="988"/>
      <c r="CP4" s="988"/>
      <c r="CQ4" s="988"/>
      <c r="CR4" s="988"/>
      <c r="CS4" s="988"/>
      <c r="CT4" s="988"/>
      <c r="CU4" s="988"/>
      <c r="CV4" s="988"/>
      <c r="CW4" s="992"/>
    </row>
    <row r="5" spans="1:103">
      <c r="A5" s="734"/>
      <c r="B5" s="1126" t="s">
        <v>59</v>
      </c>
      <c r="C5" s="1127"/>
      <c r="D5" s="1127"/>
      <c r="E5" s="1127"/>
      <c r="F5" s="1127"/>
      <c r="G5" s="1127"/>
      <c r="H5" s="1127"/>
      <c r="I5" s="1127"/>
      <c r="J5" s="1127"/>
      <c r="K5" s="1127"/>
      <c r="L5" s="1127"/>
      <c r="M5" s="1127"/>
      <c r="N5" s="1127"/>
      <c r="O5" s="1127"/>
      <c r="P5" s="1127"/>
      <c r="Q5" s="1127"/>
      <c r="R5" s="1127"/>
      <c r="S5" s="1127"/>
      <c r="T5" s="1127"/>
      <c r="U5" s="1127"/>
      <c r="V5" s="1127"/>
      <c r="W5" s="1127"/>
      <c r="X5" s="1127"/>
      <c r="Y5" s="1127"/>
      <c r="Z5" s="1127"/>
      <c r="AA5" s="1127"/>
      <c r="AB5" s="1127"/>
      <c r="AC5" s="1127"/>
      <c r="AD5" s="1127"/>
      <c r="AE5" s="1127"/>
      <c r="AF5" s="1127"/>
      <c r="AG5" s="1127"/>
      <c r="AH5" s="1127"/>
      <c r="AI5" s="1127"/>
      <c r="AJ5" s="1127"/>
      <c r="AK5" s="1127"/>
      <c r="AL5" s="1127"/>
      <c r="AM5" s="1127"/>
      <c r="AN5" s="1127"/>
      <c r="AO5" s="1127"/>
      <c r="AP5" s="1127"/>
      <c r="AQ5" s="1127"/>
      <c r="AR5" s="1127"/>
      <c r="AS5" s="1127"/>
      <c r="AT5" s="1127"/>
      <c r="AU5" s="1127"/>
      <c r="AV5" s="1127"/>
      <c r="AW5" s="1127"/>
      <c r="AX5" s="1127"/>
      <c r="AY5" s="1127"/>
      <c r="AZ5" s="1127"/>
      <c r="BA5" s="1127"/>
      <c r="BB5" s="1127"/>
      <c r="BC5" s="1127"/>
      <c r="BD5" s="1127"/>
      <c r="BE5" s="1127"/>
      <c r="BF5" s="1127"/>
      <c r="BG5" s="1127"/>
      <c r="BH5" s="1127"/>
      <c r="BI5" s="1127"/>
      <c r="BJ5" s="1127"/>
      <c r="BK5" s="1127"/>
      <c r="BL5" s="1127"/>
      <c r="BM5" s="1127"/>
      <c r="BN5" s="1127"/>
      <c r="BO5" s="1127"/>
      <c r="BP5" s="1127"/>
      <c r="BQ5" s="1127"/>
      <c r="BR5" s="1127"/>
      <c r="BS5" s="1127"/>
      <c r="BT5" s="1127"/>
      <c r="BU5" s="1127"/>
      <c r="BV5" s="1127"/>
      <c r="BW5" s="1127"/>
      <c r="BX5" s="1127"/>
      <c r="BY5" s="1127"/>
      <c r="BZ5" s="1127"/>
      <c r="CA5" s="1127"/>
      <c r="CB5" s="1127"/>
      <c r="CC5" s="1127"/>
      <c r="CD5" s="1127"/>
      <c r="CE5" s="1127"/>
      <c r="CF5" s="1127"/>
      <c r="CG5" s="1127"/>
      <c r="CH5" s="1127"/>
      <c r="CI5" s="1127"/>
      <c r="CJ5" s="1127"/>
      <c r="CK5" s="988"/>
      <c r="CL5" s="988"/>
      <c r="CM5" s="988"/>
      <c r="CN5" s="988"/>
      <c r="CO5" s="988"/>
      <c r="CP5" s="988"/>
      <c r="CQ5" s="988"/>
      <c r="CR5" s="988"/>
      <c r="CS5" s="988"/>
      <c r="CT5" s="988"/>
      <c r="CU5" s="988"/>
      <c r="CV5" s="988"/>
      <c r="CW5" s="992"/>
    </row>
    <row r="6" spans="1:103" ht="12" thickBot="1">
      <c r="A6" s="734"/>
      <c r="B6" s="1128"/>
      <c r="C6" s="1129"/>
      <c r="D6" s="1129"/>
      <c r="E6" s="1129"/>
      <c r="F6" s="1129"/>
      <c r="G6" s="1129"/>
      <c r="H6" s="1129"/>
      <c r="I6" s="1129"/>
      <c r="J6" s="1129"/>
      <c r="K6" s="1129"/>
      <c r="L6" s="1129"/>
      <c r="M6" s="1129"/>
      <c r="N6" s="1129"/>
      <c r="O6" s="1129"/>
      <c r="P6" s="1129"/>
      <c r="Q6" s="1129"/>
      <c r="R6" s="1129"/>
      <c r="S6" s="1129"/>
      <c r="T6" s="1129"/>
      <c r="U6" s="1129"/>
      <c r="V6" s="1129"/>
      <c r="W6" s="1129"/>
      <c r="X6" s="1129"/>
      <c r="Y6" s="1129"/>
      <c r="Z6" s="1129"/>
      <c r="AA6" s="1129"/>
      <c r="AB6" s="1129"/>
      <c r="AC6" s="1129"/>
      <c r="AD6" s="1129"/>
      <c r="AE6" s="1129"/>
      <c r="AF6" s="1129"/>
      <c r="AG6" s="1129"/>
      <c r="AH6" s="1129"/>
      <c r="AI6" s="1129"/>
      <c r="AJ6" s="1129"/>
      <c r="AK6" s="1129"/>
      <c r="AL6" s="1129"/>
      <c r="AM6" s="1129"/>
      <c r="AN6" s="1129"/>
      <c r="AO6" s="1129"/>
      <c r="AP6" s="1129"/>
      <c r="AQ6" s="1129"/>
      <c r="AR6" s="1129"/>
      <c r="AS6" s="1129"/>
      <c r="AT6" s="1129"/>
      <c r="AU6" s="1129"/>
      <c r="AV6" s="1129"/>
      <c r="AW6" s="1129"/>
      <c r="AX6" s="1129"/>
      <c r="AY6" s="1129"/>
      <c r="AZ6" s="1129"/>
      <c r="BA6" s="1129"/>
      <c r="BB6" s="1129"/>
      <c r="BC6" s="1129"/>
      <c r="BD6" s="1129"/>
      <c r="BE6" s="1129"/>
      <c r="BF6" s="1129"/>
      <c r="BG6" s="1129"/>
      <c r="BH6" s="1129"/>
      <c r="BI6" s="1129"/>
      <c r="BJ6" s="1129"/>
      <c r="BK6" s="1129"/>
      <c r="BL6" s="1129"/>
      <c r="BM6" s="1129"/>
      <c r="BN6" s="1129"/>
      <c r="BO6" s="1129"/>
      <c r="BP6" s="1129"/>
      <c r="BQ6" s="1129"/>
      <c r="BR6" s="1129"/>
      <c r="BS6" s="1129"/>
      <c r="BT6" s="1129"/>
      <c r="BU6" s="1129"/>
      <c r="BV6" s="1129"/>
      <c r="BW6" s="1129"/>
      <c r="BX6" s="1129"/>
      <c r="BY6" s="1129"/>
      <c r="BZ6" s="1129"/>
      <c r="CA6" s="1129"/>
      <c r="CB6" s="1129"/>
      <c r="CC6" s="1129"/>
      <c r="CD6" s="1129"/>
      <c r="CE6" s="1129"/>
      <c r="CF6" s="1129"/>
      <c r="CG6" s="1129"/>
      <c r="CH6" s="1129"/>
      <c r="CI6" s="1129"/>
      <c r="CJ6" s="1129"/>
      <c r="CK6" s="993"/>
      <c r="CL6" s="993"/>
      <c r="CM6" s="993"/>
      <c r="CN6" s="993"/>
      <c r="CO6" s="993"/>
      <c r="CP6" s="993"/>
      <c r="CQ6" s="993"/>
      <c r="CR6" s="993"/>
      <c r="CS6" s="993"/>
      <c r="CT6" s="993"/>
      <c r="CU6" s="993"/>
      <c r="CV6" s="993"/>
      <c r="CW6" s="994"/>
    </row>
    <row r="7" spans="1:103" ht="12" thickBot="1">
      <c r="A7" s="734"/>
      <c r="B7" s="736"/>
      <c r="C7" s="582"/>
      <c r="D7" s="582"/>
      <c r="E7" s="582"/>
      <c r="F7" s="582"/>
      <c r="G7" s="582"/>
      <c r="H7" s="582"/>
      <c r="I7" s="582"/>
      <c r="J7" s="582"/>
      <c r="K7" s="582"/>
      <c r="L7" s="582"/>
      <c r="M7" s="582"/>
      <c r="N7" s="582"/>
      <c r="O7" s="582"/>
      <c r="P7" s="582"/>
      <c r="Q7" s="582"/>
      <c r="R7" s="582"/>
      <c r="S7" s="582"/>
      <c r="T7" s="582"/>
      <c r="U7" s="582"/>
      <c r="V7" s="582"/>
      <c r="W7" s="582"/>
      <c r="X7" s="582"/>
      <c r="Y7" s="582"/>
      <c r="Z7" s="582"/>
      <c r="AA7" s="582"/>
      <c r="AB7" s="582"/>
      <c r="AC7" s="582"/>
      <c r="AD7" s="582"/>
      <c r="AE7" s="582"/>
      <c r="AF7" s="582"/>
      <c r="AG7" s="582"/>
      <c r="AH7" s="582"/>
      <c r="AI7" s="582"/>
      <c r="AJ7" s="582"/>
      <c r="AK7" s="582"/>
      <c r="AL7" s="582"/>
      <c r="AM7" s="582"/>
      <c r="AN7" s="582"/>
      <c r="AO7" s="582"/>
      <c r="AP7" s="582"/>
      <c r="AQ7" s="582"/>
      <c r="AR7" s="582"/>
      <c r="AS7" s="582"/>
      <c r="AT7" s="582"/>
      <c r="AU7" s="582"/>
      <c r="AV7" s="582"/>
      <c r="AW7" s="582"/>
      <c r="AX7" s="582"/>
      <c r="AY7" s="582"/>
      <c r="AZ7" s="582"/>
      <c r="BA7" s="582"/>
      <c r="BB7" s="582"/>
      <c r="BC7" s="582"/>
      <c r="BD7" s="582"/>
      <c r="BE7" s="582"/>
      <c r="BF7" s="582"/>
      <c r="BG7" s="582"/>
      <c r="BH7" s="582"/>
      <c r="BI7" s="582"/>
      <c r="BJ7" s="582"/>
      <c r="BK7" s="582"/>
      <c r="BL7" s="582"/>
      <c r="BM7" s="582"/>
      <c r="BN7" s="582"/>
      <c r="BO7" s="582"/>
      <c r="BP7" s="582"/>
      <c r="BQ7" s="582"/>
      <c r="BR7" s="582"/>
      <c r="BS7" s="582"/>
      <c r="BT7" s="582"/>
      <c r="BU7" s="582"/>
      <c r="BV7" s="582"/>
      <c r="BW7" s="582"/>
      <c r="BX7" s="582"/>
      <c r="BY7" s="582"/>
      <c r="BZ7" s="582"/>
      <c r="CA7" s="582"/>
      <c r="CB7" s="582"/>
      <c r="CC7" s="582"/>
      <c r="CD7" s="582"/>
      <c r="CE7" s="582"/>
      <c r="CF7" s="582"/>
      <c r="CG7" s="582"/>
      <c r="CH7" s="582"/>
      <c r="CI7" s="571"/>
      <c r="CJ7" s="582"/>
      <c r="CK7" s="582"/>
    </row>
    <row r="8" spans="1:103" ht="34.5" thickBot="1">
      <c r="A8" s="734"/>
      <c r="B8" s="832"/>
      <c r="C8" s="877"/>
      <c r="D8" s="931" t="s">
        <v>981</v>
      </c>
      <c r="E8" s="931" t="s">
        <v>814</v>
      </c>
      <c r="F8" s="931" t="s">
        <v>813</v>
      </c>
      <c r="G8" s="931" t="s">
        <v>809</v>
      </c>
      <c r="H8" s="931" t="s">
        <v>810</v>
      </c>
      <c r="I8" s="931" t="s">
        <v>808</v>
      </c>
      <c r="J8" s="931" t="s">
        <v>885</v>
      </c>
      <c r="K8" s="931" t="s">
        <v>812</v>
      </c>
      <c r="L8" s="931" t="s">
        <v>957</v>
      </c>
      <c r="M8" s="740" t="s">
        <v>1488</v>
      </c>
      <c r="N8" s="741" t="s">
        <v>60</v>
      </c>
      <c r="O8" s="877"/>
      <c r="P8" s="931" t="s">
        <v>981</v>
      </c>
      <c r="Q8" s="931" t="s">
        <v>814</v>
      </c>
      <c r="R8" s="931" t="s">
        <v>813</v>
      </c>
      <c r="S8" s="931" t="s">
        <v>809</v>
      </c>
      <c r="T8" s="931" t="s">
        <v>810</v>
      </c>
      <c r="U8" s="931" t="s">
        <v>808</v>
      </c>
      <c r="V8" s="931" t="s">
        <v>885</v>
      </c>
      <c r="W8" s="931" t="s">
        <v>812</v>
      </c>
      <c r="X8" s="931" t="s">
        <v>957</v>
      </c>
      <c r="Y8" s="740" t="s">
        <v>1506</v>
      </c>
      <c r="Z8" s="741" t="s">
        <v>60</v>
      </c>
      <c r="AA8" s="877"/>
      <c r="AB8" s="931" t="s">
        <v>981</v>
      </c>
      <c r="AC8" s="931" t="s">
        <v>814</v>
      </c>
      <c r="AD8" s="931" t="s">
        <v>813</v>
      </c>
      <c r="AE8" s="931" t="s">
        <v>809</v>
      </c>
      <c r="AF8" s="931" t="s">
        <v>810</v>
      </c>
      <c r="AG8" s="931" t="s">
        <v>808</v>
      </c>
      <c r="AH8" s="931" t="s">
        <v>885</v>
      </c>
      <c r="AI8" s="931" t="s">
        <v>812</v>
      </c>
      <c r="AJ8" s="931" t="s">
        <v>957</v>
      </c>
      <c r="AK8" s="740" t="s">
        <v>1599</v>
      </c>
      <c r="AL8" s="741" t="s">
        <v>60</v>
      </c>
      <c r="AM8" s="877"/>
      <c r="AN8" s="931" t="s">
        <v>981</v>
      </c>
      <c r="AO8" s="931" t="s">
        <v>814</v>
      </c>
      <c r="AP8" s="931" t="s">
        <v>813</v>
      </c>
      <c r="AQ8" s="931" t="s">
        <v>809</v>
      </c>
      <c r="AR8" s="931" t="s">
        <v>810</v>
      </c>
      <c r="AS8" s="931" t="s">
        <v>808</v>
      </c>
      <c r="AT8" s="931" t="s">
        <v>885</v>
      </c>
      <c r="AU8" s="931" t="s">
        <v>812</v>
      </c>
      <c r="AV8" s="931" t="s">
        <v>957</v>
      </c>
      <c r="AW8" s="740" t="s">
        <v>1670</v>
      </c>
      <c r="AX8" s="741" t="s">
        <v>60</v>
      </c>
      <c r="AY8" s="877"/>
      <c r="AZ8" s="931" t="s">
        <v>981</v>
      </c>
      <c r="BA8" s="931" t="s">
        <v>814</v>
      </c>
      <c r="BB8" s="931" t="s">
        <v>813</v>
      </c>
      <c r="BC8" s="931" t="s">
        <v>809</v>
      </c>
      <c r="BD8" s="931" t="s">
        <v>810</v>
      </c>
      <c r="BE8" s="931" t="s">
        <v>808</v>
      </c>
      <c r="BF8" s="931" t="s">
        <v>885</v>
      </c>
      <c r="BG8" s="931" t="s">
        <v>812</v>
      </c>
      <c r="BH8" s="931" t="s">
        <v>957</v>
      </c>
      <c r="BI8" s="740" t="s">
        <v>1729</v>
      </c>
      <c r="BJ8" s="741" t="s">
        <v>60</v>
      </c>
      <c r="BK8" s="877"/>
      <c r="BL8" s="931" t="s">
        <v>981</v>
      </c>
      <c r="BM8" s="931" t="s">
        <v>814</v>
      </c>
      <c r="BN8" s="931" t="s">
        <v>813</v>
      </c>
      <c r="BO8" s="931" t="s">
        <v>809</v>
      </c>
      <c r="BP8" s="931" t="s">
        <v>810</v>
      </c>
      <c r="BQ8" s="931" t="s">
        <v>808</v>
      </c>
      <c r="BR8" s="931" t="s">
        <v>885</v>
      </c>
      <c r="BS8" s="931" t="s">
        <v>812</v>
      </c>
      <c r="BT8" s="931" t="s">
        <v>957</v>
      </c>
      <c r="BU8" s="740" t="s">
        <v>1815</v>
      </c>
      <c r="BV8" s="741" t="s">
        <v>60</v>
      </c>
      <c r="BW8" s="877"/>
      <c r="BX8" s="931" t="s">
        <v>981</v>
      </c>
      <c r="BY8" s="931" t="s">
        <v>814</v>
      </c>
      <c r="BZ8" s="931" t="s">
        <v>813</v>
      </c>
      <c r="CA8" s="931" t="s">
        <v>809</v>
      </c>
      <c r="CB8" s="931" t="s">
        <v>810</v>
      </c>
      <c r="CC8" s="931" t="s">
        <v>808</v>
      </c>
      <c r="CD8" s="931" t="s">
        <v>885</v>
      </c>
      <c r="CE8" s="931" t="s">
        <v>812</v>
      </c>
      <c r="CF8" s="931" t="s">
        <v>957</v>
      </c>
      <c r="CG8" s="740" t="s">
        <v>1877</v>
      </c>
      <c r="CH8" s="741" t="s">
        <v>60</v>
      </c>
      <c r="CI8" s="877"/>
      <c r="CJ8" s="955" t="s">
        <v>924</v>
      </c>
      <c r="CK8" s="956" t="s">
        <v>100</v>
      </c>
      <c r="CL8" s="569"/>
      <c r="CM8" s="742" t="s">
        <v>1531</v>
      </c>
      <c r="CN8" s="743" t="s">
        <v>60</v>
      </c>
      <c r="CO8" s="569"/>
      <c r="CP8" s="740" t="str">
        <f>+DATOS!H11</f>
        <v>2025-06</v>
      </c>
      <c r="CQ8" s="741" t="s">
        <v>60</v>
      </c>
      <c r="CR8" s="877"/>
      <c r="CS8" s="742" t="s">
        <v>843</v>
      </c>
      <c r="CT8" s="743" t="s">
        <v>60</v>
      </c>
      <c r="CU8" s="877"/>
      <c r="CV8" s="895" t="s">
        <v>925</v>
      </c>
      <c r="CW8" s="896" t="s">
        <v>100</v>
      </c>
    </row>
    <row r="9" spans="1:103" hidden="1" outlineLevel="1">
      <c r="A9" s="734">
        <v>4120</v>
      </c>
      <c r="B9" s="833" t="s">
        <v>1436</v>
      </c>
      <c r="C9" s="1024"/>
      <c r="D9" s="1021">
        <v>0</v>
      </c>
      <c r="E9" s="1021">
        <v>0</v>
      </c>
      <c r="F9" s="1021">
        <v>0</v>
      </c>
      <c r="G9" s="1021">
        <v>0</v>
      </c>
      <c r="H9" s="744">
        <v>0</v>
      </c>
      <c r="I9" s="1021">
        <v>0</v>
      </c>
      <c r="J9" s="1021">
        <v>0</v>
      </c>
      <c r="K9" s="1021">
        <v>0</v>
      </c>
      <c r="L9" s="1025">
        <v>0</v>
      </c>
      <c r="M9" s="744">
        <f>SUM(D9:L9)</f>
        <v>0</v>
      </c>
      <c r="N9" s="882">
        <f>+M9/M$13</f>
        <v>0</v>
      </c>
      <c r="O9" s="1024"/>
      <c r="P9" s="1021">
        <v>0</v>
      </c>
      <c r="Q9" s="1021">
        <v>0</v>
      </c>
      <c r="R9" s="1021">
        <v>0</v>
      </c>
      <c r="S9" s="1021">
        <v>0</v>
      </c>
      <c r="T9" s="744">
        <v>0</v>
      </c>
      <c r="U9" s="1021">
        <v>0</v>
      </c>
      <c r="V9" s="1021">
        <v>0</v>
      </c>
      <c r="W9" s="1021">
        <v>0</v>
      </c>
      <c r="X9" s="1025">
        <v>0</v>
      </c>
      <c r="Y9" s="744">
        <f>SUM(P9:X9)</f>
        <v>0</v>
      </c>
      <c r="Z9" s="882">
        <f>+Y9/Y$13</f>
        <v>0</v>
      </c>
      <c r="AA9" s="1024"/>
      <c r="AB9" s="1021">
        <v>0</v>
      </c>
      <c r="AC9" s="1021">
        <v>0</v>
      </c>
      <c r="AD9" s="1021">
        <v>0</v>
      </c>
      <c r="AE9" s="1021">
        <v>0</v>
      </c>
      <c r="AF9" s="744">
        <v>0</v>
      </c>
      <c r="AG9" s="1021">
        <v>0</v>
      </c>
      <c r="AH9" s="1021">
        <v>0</v>
      </c>
      <c r="AI9" s="1021">
        <v>0</v>
      </c>
      <c r="AJ9" s="1025">
        <v>0</v>
      </c>
      <c r="AK9" s="744">
        <f>SUM(AB9:AJ9)</f>
        <v>0</v>
      </c>
      <c r="AL9" s="882">
        <f>+AK9/AK$13</f>
        <v>0</v>
      </c>
      <c r="AM9" s="1024"/>
      <c r="AN9" s="1021">
        <v>0</v>
      </c>
      <c r="AO9" s="1021">
        <v>0</v>
      </c>
      <c r="AP9" s="1021">
        <v>0</v>
      </c>
      <c r="AQ9" s="1021">
        <v>0</v>
      </c>
      <c r="AR9" s="744">
        <v>0</v>
      </c>
      <c r="AS9" s="1021">
        <v>0</v>
      </c>
      <c r="AT9" s="1021">
        <v>0</v>
      </c>
      <c r="AU9" s="1021">
        <v>0</v>
      </c>
      <c r="AV9" s="1025">
        <v>0</v>
      </c>
      <c r="AW9" s="744">
        <f>SUM(AN9:AV9)</f>
        <v>0</v>
      </c>
      <c r="AX9" s="882">
        <f>+AW9/AW$13</f>
        <v>0</v>
      </c>
      <c r="AY9" s="1024"/>
      <c r="AZ9" s="1021">
        <v>0</v>
      </c>
      <c r="BA9" s="1021">
        <v>0</v>
      </c>
      <c r="BB9" s="1021">
        <v>0</v>
      </c>
      <c r="BC9" s="1021">
        <v>0</v>
      </c>
      <c r="BD9" s="744">
        <v>2150</v>
      </c>
      <c r="BE9" s="1021">
        <v>0</v>
      </c>
      <c r="BF9" s="1021">
        <v>0</v>
      </c>
      <c r="BG9" s="1021">
        <v>0</v>
      </c>
      <c r="BH9" s="1025">
        <v>0</v>
      </c>
      <c r="BI9" s="744">
        <f>SUM(AZ9:BH9)</f>
        <v>2150</v>
      </c>
      <c r="BJ9" s="882">
        <f>+BI9/BI$13</f>
        <v>4.3351668736792866E-3</v>
      </c>
      <c r="BK9" s="1024"/>
      <c r="BL9" s="1021">
        <v>0</v>
      </c>
      <c r="BM9" s="1021">
        <v>0</v>
      </c>
      <c r="BN9" s="1021">
        <v>0</v>
      </c>
      <c r="BO9" s="1021">
        <v>0</v>
      </c>
      <c r="BP9" s="744">
        <v>0</v>
      </c>
      <c r="BQ9" s="1021">
        <v>0</v>
      </c>
      <c r="BR9" s="1021">
        <v>0</v>
      </c>
      <c r="BS9" s="1021">
        <v>0</v>
      </c>
      <c r="BT9" s="1025">
        <v>0</v>
      </c>
      <c r="BU9" s="744">
        <f>SUM(BL9:BT9)</f>
        <v>0</v>
      </c>
      <c r="BV9" s="882">
        <f>+BU9/BU$13</f>
        <v>0</v>
      </c>
      <c r="BW9" s="1024"/>
      <c r="BX9" s="1021">
        <v>0</v>
      </c>
      <c r="BY9" s="1021">
        <v>150</v>
      </c>
      <c r="BZ9" s="1021">
        <v>0</v>
      </c>
      <c r="CA9" s="1021">
        <v>0</v>
      </c>
      <c r="CB9" s="744">
        <v>0</v>
      </c>
      <c r="CC9" s="1021">
        <v>0</v>
      </c>
      <c r="CD9" s="1021">
        <v>0</v>
      </c>
      <c r="CE9" s="1021">
        <v>0</v>
      </c>
      <c r="CF9" s="1025">
        <v>0</v>
      </c>
      <c r="CG9" s="744">
        <f>SUM(BX9:CF9)</f>
        <v>150</v>
      </c>
      <c r="CH9" s="882">
        <f>+CG9/CG$13</f>
        <v>3.1250781269531741E-4</v>
      </c>
      <c r="CI9" s="1024"/>
      <c r="CJ9" s="957">
        <f>+CG9-BU9</f>
        <v>150</v>
      </c>
      <c r="CK9" s="1066">
        <f>IFERROR(+CJ9/BU9,0%)</f>
        <v>0</v>
      </c>
      <c r="CL9" s="737"/>
      <c r="CM9" s="1030">
        <f>+DATOS!D88</f>
        <v>2300</v>
      </c>
      <c r="CN9" s="747">
        <f>+CM9/CM$13</f>
        <v>7.5606524580092041E-4</v>
      </c>
      <c r="CO9" s="737"/>
      <c r="CP9" s="1022"/>
      <c r="CQ9" s="1023"/>
      <c r="CR9" s="1024"/>
      <c r="CS9" s="1026"/>
      <c r="CT9" s="1027"/>
      <c r="CU9" s="1024"/>
      <c r="CV9" s="1028"/>
      <c r="CW9" s="1029"/>
    </row>
    <row r="10" spans="1:103" s="738" customFormat="1" hidden="1" outlineLevel="1">
      <c r="A10" s="734">
        <v>4135</v>
      </c>
      <c r="B10" s="833" t="s">
        <v>459</v>
      </c>
      <c r="C10" s="878"/>
      <c r="D10" s="744">
        <v>79613</v>
      </c>
      <c r="E10" s="744">
        <v>55945</v>
      </c>
      <c r="F10" s="744">
        <v>43382</v>
      </c>
      <c r="G10" s="744">
        <v>99947</v>
      </c>
      <c r="H10" s="744">
        <v>121937</v>
      </c>
      <c r="I10" s="744">
        <v>84160</v>
      </c>
      <c r="J10" s="744">
        <v>66193</v>
      </c>
      <c r="K10" s="744">
        <v>128</v>
      </c>
      <c r="L10" s="935">
        <v>54110</v>
      </c>
      <c r="M10" s="744">
        <f>SUM(D10:L10)</f>
        <v>605415</v>
      </c>
      <c r="N10" s="882">
        <f>+M10/M$13</f>
        <v>1.1993902161186603</v>
      </c>
      <c r="O10" s="878"/>
      <c r="P10" s="744">
        <v>75219</v>
      </c>
      <c r="Q10" s="744">
        <v>50610</v>
      </c>
      <c r="R10" s="744">
        <v>36913</v>
      </c>
      <c r="S10" s="744">
        <v>78052</v>
      </c>
      <c r="T10" s="744">
        <v>106919</v>
      </c>
      <c r="U10" s="744">
        <v>77091</v>
      </c>
      <c r="V10" s="744">
        <v>57803</v>
      </c>
      <c r="W10" s="744">
        <v>0</v>
      </c>
      <c r="X10" s="935">
        <v>50111</v>
      </c>
      <c r="Y10" s="744">
        <f>SUM(P10:X10)</f>
        <v>532718</v>
      </c>
      <c r="Z10" s="882">
        <f>+Y10/Y$13</f>
        <v>1.0122291851136842</v>
      </c>
      <c r="AA10" s="878"/>
      <c r="AB10" s="744">
        <v>66066</v>
      </c>
      <c r="AC10" s="744">
        <v>56451</v>
      </c>
      <c r="AD10" s="744">
        <v>40250</v>
      </c>
      <c r="AE10" s="744">
        <v>61467</v>
      </c>
      <c r="AF10" s="744">
        <v>85050</v>
      </c>
      <c r="AG10" s="744">
        <v>88096</v>
      </c>
      <c r="AH10" s="744">
        <v>67386</v>
      </c>
      <c r="AI10" s="744">
        <v>0</v>
      </c>
      <c r="AJ10" s="935">
        <v>42596</v>
      </c>
      <c r="AK10" s="744">
        <f>SUM(AB10:AJ10)</f>
        <v>507362</v>
      </c>
      <c r="AL10" s="882">
        <f>+AK10/AK$13</f>
        <v>0.99143518744687298</v>
      </c>
      <c r="AM10" s="878"/>
      <c r="AN10" s="744">
        <v>73018</v>
      </c>
      <c r="AO10" s="744">
        <v>60645</v>
      </c>
      <c r="AP10" s="744">
        <v>41896</v>
      </c>
      <c r="AQ10" s="744">
        <v>66667</v>
      </c>
      <c r="AR10" s="744">
        <v>87219</v>
      </c>
      <c r="AS10" s="744">
        <v>89204</v>
      </c>
      <c r="AT10" s="744">
        <v>65645</v>
      </c>
      <c r="AU10" s="744">
        <v>0</v>
      </c>
      <c r="AV10" s="935">
        <v>47848</v>
      </c>
      <c r="AW10" s="744">
        <f>SUM(AN10:AV10)</f>
        <v>532142</v>
      </c>
      <c r="AX10" s="882">
        <f>+AW10/AW$13</f>
        <v>1.002105366235801</v>
      </c>
      <c r="AY10" s="878"/>
      <c r="AZ10" s="744">
        <v>60593</v>
      </c>
      <c r="BA10" s="744">
        <v>58536</v>
      </c>
      <c r="BB10" s="744">
        <v>39617</v>
      </c>
      <c r="BC10" s="744">
        <v>62449</v>
      </c>
      <c r="BD10" s="744">
        <v>86837</v>
      </c>
      <c r="BE10" s="744">
        <v>83657</v>
      </c>
      <c r="BF10" s="744">
        <v>61022</v>
      </c>
      <c r="BG10" s="744">
        <v>0</v>
      </c>
      <c r="BH10" s="935">
        <v>42115</v>
      </c>
      <c r="BI10" s="744">
        <f>SUM(AZ10:BH10)</f>
        <v>494826</v>
      </c>
      <c r="BJ10" s="882">
        <f>+BI10/BI$13</f>
        <v>0.99774571322568673</v>
      </c>
      <c r="BK10" s="878"/>
      <c r="BL10" s="744">
        <v>57292</v>
      </c>
      <c r="BM10" s="744">
        <v>56023</v>
      </c>
      <c r="BN10" s="744">
        <v>36128</v>
      </c>
      <c r="BO10" s="744">
        <v>63856</v>
      </c>
      <c r="BP10" s="744">
        <v>95263</v>
      </c>
      <c r="BQ10" s="744">
        <v>82402</v>
      </c>
      <c r="BR10" s="744">
        <v>61526</v>
      </c>
      <c r="BS10" s="744">
        <v>0</v>
      </c>
      <c r="BT10" s="935">
        <v>45700</v>
      </c>
      <c r="BU10" s="744">
        <f>SUM(BL10:BT10)</f>
        <v>498190</v>
      </c>
      <c r="BV10" s="882">
        <f>+BU10/BU$13</f>
        <v>1.0022451385507993</v>
      </c>
      <c r="BW10" s="878"/>
      <c r="BX10" s="744">
        <v>60078</v>
      </c>
      <c r="BY10" s="744">
        <v>55981</v>
      </c>
      <c r="BZ10" s="744">
        <v>36240</v>
      </c>
      <c r="CA10" s="744">
        <v>65529</v>
      </c>
      <c r="CB10" s="744">
        <v>78684</v>
      </c>
      <c r="CC10" s="744">
        <v>81938</v>
      </c>
      <c r="CD10" s="744">
        <v>57110</v>
      </c>
      <c r="CE10" s="744">
        <v>0</v>
      </c>
      <c r="CF10" s="935">
        <v>45828</v>
      </c>
      <c r="CG10" s="744">
        <f>SUM(BX10:CF10)</f>
        <v>481388</v>
      </c>
      <c r="CH10" s="882">
        <f>+CG10/CG$13</f>
        <v>1.0029167395851564</v>
      </c>
      <c r="CI10" s="878"/>
      <c r="CJ10" s="957">
        <f>+CG10-BU10</f>
        <v>-16802</v>
      </c>
      <c r="CK10" s="958">
        <f>IFERROR(+CJ10/BU10,0%)</f>
        <v>-3.3726088440153353E-2</v>
      </c>
      <c r="CL10" s="746"/>
      <c r="CM10" s="816">
        <f>SUM(DATOS!D89:D94)-CM11</f>
        <v>3046631.5</v>
      </c>
      <c r="CN10" s="747">
        <f>+CM10/CM$13</f>
        <v>1.0015009538749249</v>
      </c>
      <c r="CO10" s="746"/>
      <c r="CP10" s="744">
        <f>+DATOS!F89+DATOS!F90+DATOS!F91+DATOS!F92+DATOS!F93</f>
        <v>518352.5</v>
      </c>
      <c r="CQ10" s="745">
        <f>+CP10/CP$13</f>
        <v>1.0061258180131269</v>
      </c>
      <c r="CR10" s="878"/>
      <c r="CS10" s="816">
        <f>+DATOS!G89+DATOS!G90+DATOS!G91+DATOS!G92+DATOS!G93</f>
        <v>2938925.5</v>
      </c>
      <c r="CT10" s="747">
        <f>+CS10/CS$13</f>
        <v>0.99999761818279254</v>
      </c>
      <c r="CU10" s="878"/>
      <c r="CV10" s="897">
        <f>+CM10-CS10</f>
        <v>107706</v>
      </c>
      <c r="CW10" s="898">
        <f>+IFERROR(CV10/CS10,0)</f>
        <v>3.6648087881098038E-2</v>
      </c>
    </row>
    <row r="11" spans="1:103" s="738" customFormat="1" hidden="1" outlineLevel="1">
      <c r="A11" s="734"/>
      <c r="B11" s="870" t="s">
        <v>921</v>
      </c>
      <c r="C11" s="878"/>
      <c r="D11" s="871">
        <v>-12</v>
      </c>
      <c r="E11" s="871">
        <v>-23</v>
      </c>
      <c r="F11" s="871">
        <v>-31</v>
      </c>
      <c r="G11" s="871">
        <v>-32</v>
      </c>
      <c r="H11" s="871">
        <v>-15</v>
      </c>
      <c r="I11" s="871">
        <v>-33</v>
      </c>
      <c r="J11" s="871">
        <v>-20</v>
      </c>
      <c r="K11" s="871">
        <v>0</v>
      </c>
      <c r="L11" s="871">
        <v>-26</v>
      </c>
      <c r="M11" s="871">
        <f>SUM(D11:L11)</f>
        <v>-192</v>
      </c>
      <c r="N11" s="882">
        <f>+M11/M$13</f>
        <v>-3.8037201175191029E-4</v>
      </c>
      <c r="O11" s="878"/>
      <c r="P11" s="871">
        <v>-514</v>
      </c>
      <c r="Q11" s="871">
        <v>-335</v>
      </c>
      <c r="R11" s="871">
        <v>-409</v>
      </c>
      <c r="S11" s="871">
        <v>-697</v>
      </c>
      <c r="T11" s="871">
        <v>-1830</v>
      </c>
      <c r="U11" s="871">
        <v>-963</v>
      </c>
      <c r="V11" s="871">
        <v>-514</v>
      </c>
      <c r="W11" s="871">
        <v>0</v>
      </c>
      <c r="X11" s="871">
        <v>-267</v>
      </c>
      <c r="Y11" s="871">
        <f>SUM(P11:X11)</f>
        <v>-5529</v>
      </c>
      <c r="Z11" s="882">
        <f>+Y11/Y$13</f>
        <v>-1.050577447072102E-2</v>
      </c>
      <c r="AA11" s="878"/>
      <c r="AB11" s="871">
        <v>532</v>
      </c>
      <c r="AC11" s="871">
        <v>410</v>
      </c>
      <c r="AD11" s="871">
        <v>326</v>
      </c>
      <c r="AE11" s="871">
        <v>540</v>
      </c>
      <c r="AF11" s="871">
        <v>1683</v>
      </c>
      <c r="AG11" s="871">
        <v>963</v>
      </c>
      <c r="AH11" s="871">
        <v>465</v>
      </c>
      <c r="AI11" s="871">
        <v>0</v>
      </c>
      <c r="AJ11" s="871">
        <v>285</v>
      </c>
      <c r="AK11" s="871">
        <f>SUM(AB11:AJ11)</f>
        <v>5204</v>
      </c>
      <c r="AL11" s="882">
        <f>+AK11/AK$13</f>
        <v>1.0169127202024446E-2</v>
      </c>
      <c r="AM11" s="878"/>
      <c r="AN11" s="871">
        <v>35</v>
      </c>
      <c r="AO11" s="871">
        <v>0</v>
      </c>
      <c r="AP11" s="871">
        <v>-89</v>
      </c>
      <c r="AQ11" s="871">
        <v>-136</v>
      </c>
      <c r="AR11" s="871">
        <v>18</v>
      </c>
      <c r="AS11" s="871">
        <v>0</v>
      </c>
      <c r="AT11" s="871">
        <v>24</v>
      </c>
      <c r="AU11" s="871">
        <v>0</v>
      </c>
      <c r="AV11" s="871">
        <v>-98</v>
      </c>
      <c r="AW11" s="871">
        <f>SUM(AN11:AV11)</f>
        <v>-246</v>
      </c>
      <c r="AX11" s="882">
        <f>+AW11/AW$13</f>
        <v>-4.6325589803850671E-4</v>
      </c>
      <c r="AY11" s="878"/>
      <c r="AZ11" s="871">
        <v>171</v>
      </c>
      <c r="BA11" s="871">
        <v>-95</v>
      </c>
      <c r="BB11" s="871">
        <v>-73</v>
      </c>
      <c r="BC11" s="871">
        <v>-263</v>
      </c>
      <c r="BD11" s="871">
        <v>-9</v>
      </c>
      <c r="BE11" s="871">
        <v>0</v>
      </c>
      <c r="BF11" s="871">
        <v>26</v>
      </c>
      <c r="BG11" s="871">
        <v>0</v>
      </c>
      <c r="BH11" s="871">
        <v>78</v>
      </c>
      <c r="BI11" s="871">
        <f>SUM(AZ11:BH11)</f>
        <v>-165</v>
      </c>
      <c r="BJ11" s="882">
        <f>+BI11/BI$13</f>
        <v>-3.3269885309631731E-4</v>
      </c>
      <c r="BK11" s="878"/>
      <c r="BL11" s="871">
        <v>29</v>
      </c>
      <c r="BM11" s="871">
        <v>0</v>
      </c>
      <c r="BN11" s="871">
        <v>43</v>
      </c>
      <c r="BO11" s="871">
        <v>184</v>
      </c>
      <c r="BP11" s="871">
        <v>118</v>
      </c>
      <c r="BQ11" s="871">
        <v>0</v>
      </c>
      <c r="BR11" s="871">
        <v>-182</v>
      </c>
      <c r="BS11" s="871">
        <v>0</v>
      </c>
      <c r="BT11" s="871">
        <v>-10</v>
      </c>
      <c r="BU11" s="871">
        <f>SUM(BL11:BT11)</f>
        <v>182</v>
      </c>
      <c r="BV11" s="882">
        <f>+BU11/BU$13</f>
        <v>3.6614266688662049E-4</v>
      </c>
      <c r="BW11" s="878"/>
      <c r="BX11" s="871">
        <v>-29</v>
      </c>
      <c r="BY11" s="871">
        <v>0</v>
      </c>
      <c r="BZ11" s="871">
        <v>-43</v>
      </c>
      <c r="CA11" s="871">
        <v>-141</v>
      </c>
      <c r="CB11" s="871">
        <v>-133</v>
      </c>
      <c r="CC11" s="871">
        <v>0</v>
      </c>
      <c r="CD11" s="871">
        <v>50</v>
      </c>
      <c r="CE11" s="871">
        <v>0</v>
      </c>
      <c r="CF11" s="871">
        <v>-16</v>
      </c>
      <c r="CG11" s="871">
        <f>SUM(BX11:CF11)</f>
        <v>-312</v>
      </c>
      <c r="CH11" s="882">
        <f>+CG11/CG$13</f>
        <v>-6.5001625040626019E-4</v>
      </c>
      <c r="CI11" s="878"/>
      <c r="CJ11" s="957">
        <f>+CG11-BU11</f>
        <v>-494</v>
      </c>
      <c r="CK11" s="958">
        <f>IFERROR(+CJ11/BU11,0%)</f>
        <v>-2.7142857142857144</v>
      </c>
      <c r="CL11" s="746"/>
      <c r="CM11" s="980">
        <f>+Y11+AK11+CG11+AW11+BI11+BU11</f>
        <v>-866</v>
      </c>
      <c r="CN11" s="747">
        <f>+CM11/CM$13</f>
        <v>-2.8467500124504223E-4</v>
      </c>
      <c r="CO11" s="746"/>
      <c r="CP11" s="744">
        <f>+DATOS!F94</f>
        <v>-2453</v>
      </c>
      <c r="CQ11" s="745">
        <f t="shared" ref="CQ11:CQ79" si="0">+CP11/CP$13</f>
        <v>-4.7612901096960088E-3</v>
      </c>
      <c r="CR11" s="878"/>
      <c r="CS11" s="816">
        <f>+DATOS!G94</f>
        <v>4446</v>
      </c>
      <c r="CT11" s="747">
        <f>+CS11/CS$13</f>
        <v>1.5127941863244563E-3</v>
      </c>
      <c r="CU11" s="878"/>
      <c r="CV11" s="899">
        <f>+CM11-CS11</f>
        <v>-5312</v>
      </c>
      <c r="CW11" s="898">
        <f t="shared" ref="CW11:CW79" si="1">+IFERROR(CV11/CS11,0)</f>
        <v>-1.1947818263607737</v>
      </c>
    </row>
    <row r="12" spans="1:103" hidden="1" outlineLevel="1">
      <c r="A12" s="749">
        <v>4175</v>
      </c>
      <c r="B12" s="833" t="s">
        <v>61</v>
      </c>
      <c r="C12" s="878"/>
      <c r="D12" s="744">
        <v>0</v>
      </c>
      <c r="E12" s="744">
        <v>-87</v>
      </c>
      <c r="F12" s="744">
        <v>-38</v>
      </c>
      <c r="G12" s="744">
        <v>-41</v>
      </c>
      <c r="H12" s="744">
        <v>-100085</v>
      </c>
      <c r="I12" s="744">
        <v>-123</v>
      </c>
      <c r="J12" s="744">
        <v>0</v>
      </c>
      <c r="K12" s="744">
        <v>0</v>
      </c>
      <c r="L12" s="744">
        <v>-80</v>
      </c>
      <c r="M12" s="744">
        <f>SUM(D12:L12)</f>
        <v>-100454</v>
      </c>
      <c r="N12" s="882">
        <f>+M12/M$13</f>
        <v>-0.19900984410690831</v>
      </c>
      <c r="O12" s="878"/>
      <c r="P12" s="744">
        <v>0</v>
      </c>
      <c r="Q12" s="744">
        <v>-35</v>
      </c>
      <c r="R12" s="744">
        <v>-134</v>
      </c>
      <c r="S12" s="744">
        <v>-51</v>
      </c>
      <c r="T12" s="744">
        <v>-446</v>
      </c>
      <c r="U12" s="744">
        <v>-54</v>
      </c>
      <c r="V12" s="744">
        <v>-116</v>
      </c>
      <c r="W12" s="744">
        <v>0</v>
      </c>
      <c r="X12" s="744">
        <v>-71</v>
      </c>
      <c r="Y12" s="744">
        <f>SUM(P12:X12)</f>
        <v>-907</v>
      </c>
      <c r="Z12" s="882">
        <f>+Y12/Y$13</f>
        <v>-1.7234106429632782E-3</v>
      </c>
      <c r="AA12" s="878"/>
      <c r="AB12" s="744">
        <v>0</v>
      </c>
      <c r="AC12" s="744">
        <v>-114</v>
      </c>
      <c r="AD12" s="744">
        <v>-19</v>
      </c>
      <c r="AE12" s="744">
        <v>-236</v>
      </c>
      <c r="AF12" s="744">
        <v>-273</v>
      </c>
      <c r="AG12" s="744">
        <v>-130</v>
      </c>
      <c r="AH12" s="744">
        <v>-49</v>
      </c>
      <c r="AI12" s="744">
        <v>0</v>
      </c>
      <c r="AJ12" s="744">
        <v>0</v>
      </c>
      <c r="AK12" s="744">
        <f>SUM(AB12:AJ12)</f>
        <v>-821</v>
      </c>
      <c r="AL12" s="882">
        <f>+AK12/AK$13</f>
        <v>-1.6043146488974001E-3</v>
      </c>
      <c r="AM12" s="878"/>
      <c r="AN12" s="744">
        <v>0</v>
      </c>
      <c r="AO12" s="744">
        <v>-167</v>
      </c>
      <c r="AP12" s="744">
        <v>-155</v>
      </c>
      <c r="AQ12" s="744">
        <v>-260</v>
      </c>
      <c r="AR12" s="744">
        <v>-77</v>
      </c>
      <c r="AS12" s="744">
        <v>-148</v>
      </c>
      <c r="AT12" s="744">
        <v>-13</v>
      </c>
      <c r="AU12" s="744">
        <v>0</v>
      </c>
      <c r="AV12" s="744">
        <v>-52</v>
      </c>
      <c r="AW12" s="744">
        <f>SUM(AN12:AV12)</f>
        <v>-872</v>
      </c>
      <c r="AX12" s="882">
        <f>+AW12/AW$13</f>
        <v>-1.6421103377625118E-3</v>
      </c>
      <c r="AY12" s="878"/>
      <c r="AZ12" s="744">
        <v>0</v>
      </c>
      <c r="BA12" s="744">
        <v>-95</v>
      </c>
      <c r="BB12" s="744">
        <v>-220</v>
      </c>
      <c r="BC12" s="744">
        <v>-321</v>
      </c>
      <c r="BD12" s="744">
        <v>-52</v>
      </c>
      <c r="BE12" s="744">
        <v>0</v>
      </c>
      <c r="BF12" s="744">
        <v>-135</v>
      </c>
      <c r="BG12" s="744">
        <v>0</v>
      </c>
      <c r="BH12" s="744">
        <v>-44</v>
      </c>
      <c r="BI12" s="744">
        <f>SUM(AZ12:BH12)</f>
        <v>-867</v>
      </c>
      <c r="BJ12" s="882">
        <f>+BI12/BI$13</f>
        <v>-1.7481812462697402E-3</v>
      </c>
      <c r="BK12" s="878"/>
      <c r="BL12" s="744">
        <v>-29</v>
      </c>
      <c r="BM12" s="744">
        <v>-201</v>
      </c>
      <c r="BN12" s="744">
        <v>-89</v>
      </c>
      <c r="BO12" s="744">
        <v>-401</v>
      </c>
      <c r="BP12" s="744">
        <v>-24</v>
      </c>
      <c r="BQ12" s="744">
        <v>-90</v>
      </c>
      <c r="BR12" s="744">
        <v>-361</v>
      </c>
      <c r="BS12" s="744">
        <v>0</v>
      </c>
      <c r="BT12" s="744">
        <v>-103</v>
      </c>
      <c r="BU12" s="744">
        <f>SUM(BL12:BT12)</f>
        <v>-1298</v>
      </c>
      <c r="BV12" s="882">
        <f>+BU12/BU$13</f>
        <v>-2.611281217685898E-3</v>
      </c>
      <c r="BW12" s="878"/>
      <c r="BX12" s="744">
        <v>-218</v>
      </c>
      <c r="BY12" s="744">
        <v>-116</v>
      </c>
      <c r="BZ12" s="744">
        <v>-151</v>
      </c>
      <c r="CA12" s="744">
        <v>-407</v>
      </c>
      <c r="CB12" s="744">
        <v>-199</v>
      </c>
      <c r="CC12" s="744">
        <v>-41</v>
      </c>
      <c r="CD12" s="744">
        <v>-78</v>
      </c>
      <c r="CE12" s="744">
        <v>0</v>
      </c>
      <c r="CF12" s="744">
        <v>-28</v>
      </c>
      <c r="CG12" s="744">
        <f>SUM(BX12:CF12)</f>
        <v>-1238</v>
      </c>
      <c r="CH12" s="882">
        <f>+CG12/CG$13</f>
        <v>-2.5792311474453528E-3</v>
      </c>
      <c r="CI12" s="878"/>
      <c r="CJ12" s="957">
        <f>+CG12-BU12</f>
        <v>60</v>
      </c>
      <c r="CK12" s="958">
        <f>IFERROR(+CJ12/BU12,0%)</f>
        <v>-4.6224961479198766E-2</v>
      </c>
      <c r="CL12" s="746"/>
      <c r="CM12" s="816">
        <f>-DATOS!D95</f>
        <v>-6000</v>
      </c>
      <c r="CN12" s="747">
        <f>+CM12/CM$13</f>
        <v>-1.9723441194806619E-3</v>
      </c>
      <c r="CO12" s="746"/>
      <c r="CP12" s="744">
        <f>-DATOS!F95</f>
        <v>-703</v>
      </c>
      <c r="CQ12" s="745">
        <f t="shared" si="0"/>
        <v>-1.3645279034310209E-3</v>
      </c>
      <c r="CR12" s="878"/>
      <c r="CS12" s="816">
        <f>-DATOS!G95</f>
        <v>-4439</v>
      </c>
      <c r="CT12" s="747">
        <f>+CS12/CS$13</f>
        <v>-1.5104123691170178E-3</v>
      </c>
      <c r="CU12" s="878"/>
      <c r="CV12" s="897">
        <f>+CM12-CS12</f>
        <v>-1561</v>
      </c>
      <c r="CW12" s="898">
        <f t="shared" si="1"/>
        <v>0.35165577832845235</v>
      </c>
      <c r="CY12" s="748"/>
    </row>
    <row r="13" spans="1:103" ht="12" collapsed="1" thickBot="1">
      <c r="A13" s="749"/>
      <c r="B13" s="834" t="s">
        <v>248</v>
      </c>
      <c r="C13" s="981"/>
      <c r="D13" s="751">
        <f>SUM(D9:D12)</f>
        <v>79601</v>
      </c>
      <c r="E13" s="751">
        <f t="shared" ref="E13:G13" si="2">SUM(E9:E12)</f>
        <v>55835</v>
      </c>
      <c r="F13" s="751">
        <f t="shared" si="2"/>
        <v>43313</v>
      </c>
      <c r="G13" s="751">
        <f t="shared" si="2"/>
        <v>99874</v>
      </c>
      <c r="H13" s="751">
        <f>SUM(H9:H12)</f>
        <v>21837</v>
      </c>
      <c r="I13" s="751">
        <f t="shared" ref="I13:L13" si="3">SUM(I9:I12)</f>
        <v>84004</v>
      </c>
      <c r="J13" s="751">
        <f t="shared" si="3"/>
        <v>66173</v>
      </c>
      <c r="K13" s="751">
        <f t="shared" si="3"/>
        <v>128</v>
      </c>
      <c r="L13" s="751">
        <f t="shared" si="3"/>
        <v>54004</v>
      </c>
      <c r="M13" s="751">
        <f>SUM(M9:M12)</f>
        <v>504769</v>
      </c>
      <c r="N13" s="883">
        <f>+M13/M$13</f>
        <v>1</v>
      </c>
      <c r="O13" s="981"/>
      <c r="P13" s="751">
        <f>SUM(P9:P12)</f>
        <v>74705</v>
      </c>
      <c r="Q13" s="751">
        <f t="shared" ref="Q13:S13" si="4">SUM(Q9:Q12)</f>
        <v>50240</v>
      </c>
      <c r="R13" s="751">
        <f t="shared" si="4"/>
        <v>36370</v>
      </c>
      <c r="S13" s="751">
        <f t="shared" si="4"/>
        <v>77304</v>
      </c>
      <c r="T13" s="751">
        <f>SUM(T9:T12)</f>
        <v>104643</v>
      </c>
      <c r="U13" s="751">
        <f t="shared" ref="U13:X13" si="5">SUM(U9:U12)</f>
        <v>76074</v>
      </c>
      <c r="V13" s="751">
        <f t="shared" si="5"/>
        <v>57173</v>
      </c>
      <c r="W13" s="751">
        <f t="shared" si="5"/>
        <v>0</v>
      </c>
      <c r="X13" s="751">
        <f t="shared" si="5"/>
        <v>49773</v>
      </c>
      <c r="Y13" s="751">
        <f>SUM(Y9:Y12)</f>
        <v>526282</v>
      </c>
      <c r="Z13" s="883">
        <f>+Y13/Y$13</f>
        <v>1</v>
      </c>
      <c r="AA13" s="981"/>
      <c r="AB13" s="751">
        <f>SUM(AB9:AB12)</f>
        <v>66598</v>
      </c>
      <c r="AC13" s="751">
        <f t="shared" ref="AC13:AE13" si="6">SUM(AC9:AC12)</f>
        <v>56747</v>
      </c>
      <c r="AD13" s="751">
        <f t="shared" si="6"/>
        <v>40557</v>
      </c>
      <c r="AE13" s="751">
        <f t="shared" si="6"/>
        <v>61771</v>
      </c>
      <c r="AF13" s="751">
        <f>SUM(AF9:AF12)</f>
        <v>86460</v>
      </c>
      <c r="AG13" s="751">
        <f t="shared" ref="AG13:AJ13" si="7">SUM(AG9:AG12)</f>
        <v>88929</v>
      </c>
      <c r="AH13" s="751">
        <f t="shared" si="7"/>
        <v>67802</v>
      </c>
      <c r="AI13" s="751">
        <f t="shared" si="7"/>
        <v>0</v>
      </c>
      <c r="AJ13" s="751">
        <f t="shared" si="7"/>
        <v>42881</v>
      </c>
      <c r="AK13" s="751">
        <f>SUM(AK9:AK12)</f>
        <v>511745</v>
      </c>
      <c r="AL13" s="883">
        <f>+AK13/AK$13</f>
        <v>1</v>
      </c>
      <c r="AM13" s="981"/>
      <c r="AN13" s="751">
        <f>SUM(AN9:AN12)</f>
        <v>73053</v>
      </c>
      <c r="AO13" s="751">
        <f t="shared" ref="AO13:AQ13" si="8">SUM(AO9:AO12)</f>
        <v>60478</v>
      </c>
      <c r="AP13" s="751">
        <f t="shared" si="8"/>
        <v>41652</v>
      </c>
      <c r="AQ13" s="751">
        <f t="shared" si="8"/>
        <v>66271</v>
      </c>
      <c r="AR13" s="751">
        <f>SUM(AR9:AR12)</f>
        <v>87160</v>
      </c>
      <c r="AS13" s="751">
        <f t="shared" ref="AS13:AV13" si="9">SUM(AS9:AS12)</f>
        <v>89056</v>
      </c>
      <c r="AT13" s="751">
        <f t="shared" si="9"/>
        <v>65656</v>
      </c>
      <c r="AU13" s="751">
        <f t="shared" si="9"/>
        <v>0</v>
      </c>
      <c r="AV13" s="751">
        <f t="shared" si="9"/>
        <v>47698</v>
      </c>
      <c r="AW13" s="751">
        <f>SUM(AW9:AW12)</f>
        <v>531024</v>
      </c>
      <c r="AX13" s="883">
        <f>+AW13/AW$13</f>
        <v>1</v>
      </c>
      <c r="AY13" s="981"/>
      <c r="AZ13" s="751">
        <f>SUM(AZ9:AZ12)</f>
        <v>60764</v>
      </c>
      <c r="BA13" s="751">
        <f t="shared" ref="BA13:BC13" si="10">SUM(BA9:BA12)</f>
        <v>58346</v>
      </c>
      <c r="BB13" s="751">
        <f t="shared" si="10"/>
        <v>39324</v>
      </c>
      <c r="BC13" s="751">
        <f t="shared" si="10"/>
        <v>61865</v>
      </c>
      <c r="BD13" s="751">
        <f>SUM(BD9:BD12)</f>
        <v>88926</v>
      </c>
      <c r="BE13" s="751">
        <f t="shared" ref="BE13:BH13" si="11">SUM(BE9:BE12)</f>
        <v>83657</v>
      </c>
      <c r="BF13" s="751">
        <f t="shared" si="11"/>
        <v>60913</v>
      </c>
      <c r="BG13" s="751">
        <f t="shared" si="11"/>
        <v>0</v>
      </c>
      <c r="BH13" s="751">
        <f t="shared" si="11"/>
        <v>42149</v>
      </c>
      <c r="BI13" s="751">
        <f>SUM(BI9:BI12)</f>
        <v>495944</v>
      </c>
      <c r="BJ13" s="883">
        <f>+BI13/BI$13</f>
        <v>1</v>
      </c>
      <c r="BK13" s="981"/>
      <c r="BL13" s="751">
        <f>SUM(BL9:BL12)</f>
        <v>57292</v>
      </c>
      <c r="BM13" s="751">
        <f t="shared" ref="BM13:BO13" si="12">SUM(BM9:BM12)</f>
        <v>55822</v>
      </c>
      <c r="BN13" s="751">
        <f t="shared" si="12"/>
        <v>36082</v>
      </c>
      <c r="BO13" s="751">
        <f t="shared" si="12"/>
        <v>63639</v>
      </c>
      <c r="BP13" s="751">
        <f>SUM(BP9:BP12)</f>
        <v>95357</v>
      </c>
      <c r="BQ13" s="751">
        <f t="shared" ref="BQ13:BT13" si="13">SUM(BQ9:BQ12)</f>
        <v>82312</v>
      </c>
      <c r="BR13" s="751">
        <f t="shared" si="13"/>
        <v>60983</v>
      </c>
      <c r="BS13" s="751">
        <f t="shared" si="13"/>
        <v>0</v>
      </c>
      <c r="BT13" s="751">
        <f t="shared" si="13"/>
        <v>45587</v>
      </c>
      <c r="BU13" s="751">
        <f>SUM(BU9:BU12)</f>
        <v>497074</v>
      </c>
      <c r="BV13" s="883">
        <f>+BU13/BU$13</f>
        <v>1</v>
      </c>
      <c r="BW13" s="981"/>
      <c r="BX13" s="751">
        <f>SUM(BX9:BX12)</f>
        <v>59831</v>
      </c>
      <c r="BY13" s="751">
        <f t="shared" ref="BY13:CA13" si="14">SUM(BY9:BY12)</f>
        <v>56015</v>
      </c>
      <c r="BZ13" s="751">
        <f t="shared" si="14"/>
        <v>36046</v>
      </c>
      <c r="CA13" s="751">
        <f t="shared" si="14"/>
        <v>64981</v>
      </c>
      <c r="CB13" s="751">
        <f>SUM(CB9:CB12)</f>
        <v>78352</v>
      </c>
      <c r="CC13" s="751">
        <f t="shared" ref="CC13:CF13" si="15">SUM(CC9:CC12)</f>
        <v>81897</v>
      </c>
      <c r="CD13" s="751">
        <f t="shared" si="15"/>
        <v>57082</v>
      </c>
      <c r="CE13" s="751">
        <f t="shared" si="15"/>
        <v>0</v>
      </c>
      <c r="CF13" s="751">
        <f t="shared" si="15"/>
        <v>45784</v>
      </c>
      <c r="CG13" s="751">
        <f>SUM(CG9:CG12)</f>
        <v>479988</v>
      </c>
      <c r="CH13" s="883">
        <f>+CG13/CG$13</f>
        <v>1</v>
      </c>
      <c r="CI13" s="946"/>
      <c r="CJ13" s="959">
        <f>+CG13-BU13</f>
        <v>-17086</v>
      </c>
      <c r="CK13" s="960">
        <f>IFERROR(+CJ13/BU13,0%)</f>
        <v>-3.4373151683652736E-2</v>
      </c>
      <c r="CL13" s="753"/>
      <c r="CM13" s="754">
        <f>SUM(CM9:CM12)</f>
        <v>3042065.5</v>
      </c>
      <c r="CN13" s="755">
        <f>+CM13/CM$13</f>
        <v>1</v>
      </c>
      <c r="CO13" s="753"/>
      <c r="CP13" s="751">
        <f t="shared" ref="CP13" si="16">SUM(CP10:CP12)</f>
        <v>515196.5</v>
      </c>
      <c r="CQ13" s="752">
        <f t="shared" si="0"/>
        <v>1</v>
      </c>
      <c r="CR13" s="949">
        <f>+CP13-DATOS!F87</f>
        <v>0</v>
      </c>
      <c r="CS13" s="754">
        <f>SUM(CS10:CS12)</f>
        <v>2938932.5</v>
      </c>
      <c r="CT13" s="755">
        <f>+CS13/CS$13</f>
        <v>1</v>
      </c>
      <c r="CU13" s="875"/>
      <c r="CV13" s="900">
        <f>+CM13-CS13</f>
        <v>103133</v>
      </c>
      <c r="CW13" s="901">
        <f t="shared" si="1"/>
        <v>3.5091993436392292E-2</v>
      </c>
      <c r="CY13" s="750"/>
    </row>
    <row r="14" spans="1:103" ht="12" thickTop="1">
      <c r="A14" s="734"/>
      <c r="B14" s="833"/>
      <c r="C14" s="874"/>
      <c r="D14" s="848"/>
      <c r="E14" s="848"/>
      <c r="F14" s="848"/>
      <c r="G14" s="848"/>
      <c r="H14" s="848"/>
      <c r="I14" s="848"/>
      <c r="J14" s="848"/>
      <c r="K14" s="848"/>
      <c r="L14" s="934"/>
      <c r="M14" s="848"/>
      <c r="N14" s="884"/>
      <c r="O14" s="874"/>
      <c r="P14" s="848"/>
      <c r="Q14" s="848"/>
      <c r="R14" s="848"/>
      <c r="S14" s="848"/>
      <c r="T14" s="848"/>
      <c r="U14" s="848"/>
      <c r="V14" s="848"/>
      <c r="W14" s="848"/>
      <c r="X14" s="934"/>
      <c r="Y14" s="848"/>
      <c r="Z14" s="884"/>
      <c r="AA14" s="874"/>
      <c r="AB14" s="848"/>
      <c r="AC14" s="848"/>
      <c r="AD14" s="848"/>
      <c r="AE14" s="848"/>
      <c r="AF14" s="848"/>
      <c r="AG14" s="848"/>
      <c r="AH14" s="848"/>
      <c r="AI14" s="848"/>
      <c r="AJ14" s="934"/>
      <c r="AK14" s="848"/>
      <c r="AL14" s="884"/>
      <c r="AM14" s="874"/>
      <c r="AN14" s="848"/>
      <c r="AO14" s="848"/>
      <c r="AP14" s="848"/>
      <c r="AQ14" s="848"/>
      <c r="AR14" s="848"/>
      <c r="AS14" s="848"/>
      <c r="AT14" s="848"/>
      <c r="AU14" s="848"/>
      <c r="AV14" s="934"/>
      <c r="AW14" s="848"/>
      <c r="AX14" s="884"/>
      <c r="AY14" s="874"/>
      <c r="AZ14" s="848"/>
      <c r="BA14" s="848"/>
      <c r="BB14" s="848"/>
      <c r="BC14" s="848"/>
      <c r="BD14" s="848"/>
      <c r="BE14" s="848"/>
      <c r="BF14" s="848"/>
      <c r="BG14" s="848"/>
      <c r="BH14" s="934"/>
      <c r="BI14" s="848"/>
      <c r="BJ14" s="884"/>
      <c r="BK14" s="874"/>
      <c r="BL14" s="848"/>
      <c r="BM14" s="848"/>
      <c r="BN14" s="848"/>
      <c r="BO14" s="848"/>
      <c r="BP14" s="848"/>
      <c r="BQ14" s="848"/>
      <c r="BR14" s="848"/>
      <c r="BS14" s="848"/>
      <c r="BT14" s="934"/>
      <c r="BU14" s="848"/>
      <c r="BV14" s="884"/>
      <c r="BW14" s="874"/>
      <c r="BX14" s="848"/>
      <c r="BY14" s="848"/>
      <c r="BZ14" s="848"/>
      <c r="CA14" s="848"/>
      <c r="CB14" s="848"/>
      <c r="CC14" s="848"/>
      <c r="CD14" s="848"/>
      <c r="CE14" s="848"/>
      <c r="CF14" s="934"/>
      <c r="CG14" s="848"/>
      <c r="CH14" s="884"/>
      <c r="CI14" s="874"/>
      <c r="CJ14" s="848"/>
      <c r="CK14" s="884"/>
      <c r="CL14" s="746"/>
      <c r="CM14" s="846"/>
      <c r="CN14" s="843"/>
      <c r="CO14" s="746"/>
      <c r="CP14" s="846">
        <f>+CP15+DATOS!F212</f>
        <v>1</v>
      </c>
      <c r="CQ14" s="843"/>
      <c r="CR14" s="874"/>
      <c r="CS14" s="846">
        <f>+CS15+DATOS!G212</f>
        <v>1</v>
      </c>
      <c r="CT14" s="843"/>
      <c r="CU14" s="874"/>
      <c r="CV14" s="848"/>
      <c r="CW14" s="884"/>
      <c r="CY14" s="750"/>
    </row>
    <row r="15" spans="1:103" ht="12" thickBot="1">
      <c r="A15" s="749">
        <v>6</v>
      </c>
      <c r="B15" s="835" t="s">
        <v>480</v>
      </c>
      <c r="C15" s="875"/>
      <c r="D15" s="751">
        <f>-(D16+D17-D18)</f>
        <v>-29927</v>
      </c>
      <c r="E15" s="751">
        <f t="shared" ref="E15:K15" si="17">-(E16+E17-E18)</f>
        <v>-27561</v>
      </c>
      <c r="F15" s="751">
        <f t="shared" si="17"/>
        <v>-18660</v>
      </c>
      <c r="G15" s="751">
        <f t="shared" si="17"/>
        <v>-39572</v>
      </c>
      <c r="H15" s="751">
        <f t="shared" si="17"/>
        <v>-43047</v>
      </c>
      <c r="I15" s="751">
        <f t="shared" si="17"/>
        <v>-37823</v>
      </c>
      <c r="J15" s="751">
        <f t="shared" si="17"/>
        <v>-27747</v>
      </c>
      <c r="K15" s="751">
        <f t="shared" si="17"/>
        <v>0</v>
      </c>
      <c r="L15" s="933">
        <f>-(L16+L17-L18)</f>
        <v>-24191</v>
      </c>
      <c r="M15" s="751">
        <f>-(M16+M17-M18)</f>
        <v>-248528</v>
      </c>
      <c r="N15" s="883">
        <f>+M15/M$13</f>
        <v>-0.49235987154520189</v>
      </c>
      <c r="O15" s="875"/>
      <c r="P15" s="751">
        <f>-(P16+P17-P18)</f>
        <v>-26742</v>
      </c>
      <c r="Q15" s="751">
        <f t="shared" ref="Q15:W15" si="18">-(Q16+Q17-Q18)</f>
        <v>-22587</v>
      </c>
      <c r="R15" s="751">
        <f t="shared" si="18"/>
        <v>-14569</v>
      </c>
      <c r="S15" s="751">
        <f t="shared" si="18"/>
        <v>-27304</v>
      </c>
      <c r="T15" s="751">
        <f t="shared" si="18"/>
        <v>-36585</v>
      </c>
      <c r="U15" s="751">
        <f t="shared" si="18"/>
        <v>-32983</v>
      </c>
      <c r="V15" s="751">
        <f t="shared" si="18"/>
        <v>-25133</v>
      </c>
      <c r="W15" s="751">
        <f t="shared" si="18"/>
        <v>0</v>
      </c>
      <c r="X15" s="933">
        <f>-(X16+X17-X18)</f>
        <v>-19312</v>
      </c>
      <c r="Y15" s="751">
        <f>-(Y16+Y17-Y18)</f>
        <v>-205215</v>
      </c>
      <c r="Z15" s="883">
        <f>+Y15/Y$13</f>
        <v>-0.38993353373286566</v>
      </c>
      <c r="AA15" s="875"/>
      <c r="AB15" s="751">
        <f>-(AB16+AB17-AB18)</f>
        <v>-26091</v>
      </c>
      <c r="AC15" s="751">
        <f t="shared" ref="AC15:AI15" si="19">-(AC16+AC17-AC18)</f>
        <v>-28050</v>
      </c>
      <c r="AD15" s="751">
        <f t="shared" si="19"/>
        <v>-16919</v>
      </c>
      <c r="AE15" s="751">
        <f t="shared" si="19"/>
        <v>-25310</v>
      </c>
      <c r="AF15" s="751">
        <f t="shared" si="19"/>
        <v>-32754</v>
      </c>
      <c r="AG15" s="751">
        <f t="shared" si="19"/>
        <v>-42645</v>
      </c>
      <c r="AH15" s="751">
        <f t="shared" si="19"/>
        <v>-31887</v>
      </c>
      <c r="AI15" s="751">
        <f t="shared" si="19"/>
        <v>0</v>
      </c>
      <c r="AJ15" s="933">
        <f>-(AJ16+AJ17-AJ18)</f>
        <v>-20576</v>
      </c>
      <c r="AK15" s="751">
        <f>-(AK16+AK17-AK18)</f>
        <v>-224232</v>
      </c>
      <c r="AL15" s="883">
        <f>+AK15/AK$13</f>
        <v>-0.43817135487400949</v>
      </c>
      <c r="AM15" s="875"/>
      <c r="AN15" s="751">
        <f>-(AN16+AN17-AN18)</f>
        <v>-29508</v>
      </c>
      <c r="AO15" s="751">
        <f t="shared" ref="AO15:AU15" si="20">-(AO16+AO17-AO18)</f>
        <v>-28554</v>
      </c>
      <c r="AP15" s="751">
        <f t="shared" si="20"/>
        <v>-19049</v>
      </c>
      <c r="AQ15" s="751">
        <f t="shared" si="20"/>
        <v>-25775</v>
      </c>
      <c r="AR15" s="751">
        <f t="shared" si="20"/>
        <v>-32385</v>
      </c>
      <c r="AS15" s="751">
        <f t="shared" si="20"/>
        <v>-41083</v>
      </c>
      <c r="AT15" s="751">
        <f t="shared" si="20"/>
        <v>-28494</v>
      </c>
      <c r="AU15" s="751">
        <f t="shared" si="20"/>
        <v>0</v>
      </c>
      <c r="AV15" s="933">
        <f>-(AV16+AV17-AV18)</f>
        <v>-19745</v>
      </c>
      <c r="AW15" s="751">
        <f>-(AW16+AW17-AW18)</f>
        <v>-224593</v>
      </c>
      <c r="AX15" s="883">
        <f>+AW15/AW$13</f>
        <v>-0.42294321913887134</v>
      </c>
      <c r="AY15" s="875"/>
      <c r="AZ15" s="751">
        <f>-(AZ16+AZ17-AZ18)</f>
        <v>-25403</v>
      </c>
      <c r="BA15" s="751">
        <f t="shared" ref="BA15:BG15" si="21">-(BA16+BA17-BA18)</f>
        <v>-28195</v>
      </c>
      <c r="BB15" s="751">
        <f t="shared" si="21"/>
        <v>-17528</v>
      </c>
      <c r="BC15" s="751">
        <f t="shared" si="21"/>
        <v>-24913</v>
      </c>
      <c r="BD15" s="751">
        <f t="shared" si="21"/>
        <v>-32295</v>
      </c>
      <c r="BE15" s="751">
        <f t="shared" si="21"/>
        <v>-38201</v>
      </c>
      <c r="BF15" s="751">
        <f t="shared" si="21"/>
        <v>-27079</v>
      </c>
      <c r="BG15" s="751">
        <f t="shared" si="21"/>
        <v>0</v>
      </c>
      <c r="BH15" s="933">
        <f>-(BH16+BH17-BH18)</f>
        <v>-20834</v>
      </c>
      <c r="BI15" s="751">
        <f>-(BI16+BI17-BI18)</f>
        <v>-214448</v>
      </c>
      <c r="BJ15" s="883">
        <f>+BI15/BI$13</f>
        <v>-0.43240365847757006</v>
      </c>
      <c r="BK15" s="875"/>
      <c r="BL15" s="751">
        <f>-(BL16+BL17-BL18)</f>
        <v>-23715</v>
      </c>
      <c r="BM15" s="751">
        <f t="shared" ref="BM15:BS15" si="22">-(BM16+BM17-BM18)</f>
        <v>-26391</v>
      </c>
      <c r="BN15" s="751">
        <f t="shared" si="22"/>
        <v>-15247</v>
      </c>
      <c r="BO15" s="751">
        <f t="shared" si="22"/>
        <v>-25222</v>
      </c>
      <c r="BP15" s="751">
        <f t="shared" si="22"/>
        <v>-35192</v>
      </c>
      <c r="BQ15" s="751">
        <f t="shared" si="22"/>
        <v>-37970</v>
      </c>
      <c r="BR15" s="751">
        <f t="shared" si="22"/>
        <v>-27474</v>
      </c>
      <c r="BS15" s="751">
        <f t="shared" si="22"/>
        <v>0</v>
      </c>
      <c r="BT15" s="933">
        <f>-(BT16+BT17-BT18)</f>
        <v>-19580</v>
      </c>
      <c r="BU15" s="751">
        <f>-(BU16+BU17-BU18)</f>
        <v>-210791</v>
      </c>
      <c r="BV15" s="883">
        <f>+BU15/BU$13</f>
        <v>-0.4240636203060309</v>
      </c>
      <c r="BW15" s="875"/>
      <c r="BX15" s="751">
        <f>-(BX16+BX17-BX18)</f>
        <v>-22228</v>
      </c>
      <c r="BY15" s="751">
        <f t="shared" ref="BY15:CE15" si="23">-(BY16+BY17-BY18)</f>
        <v>-25858</v>
      </c>
      <c r="BZ15" s="751">
        <f t="shared" si="23"/>
        <v>-15501</v>
      </c>
      <c r="CA15" s="751">
        <f t="shared" si="23"/>
        <v>-25223</v>
      </c>
      <c r="CB15" s="751">
        <f t="shared" si="23"/>
        <v>-29512</v>
      </c>
      <c r="CC15" s="751">
        <f t="shared" si="23"/>
        <v>-37240</v>
      </c>
      <c r="CD15" s="751">
        <f t="shared" si="23"/>
        <v>-25151</v>
      </c>
      <c r="CE15" s="751">
        <f t="shared" si="23"/>
        <v>0</v>
      </c>
      <c r="CF15" s="933">
        <f>-(CF16+CF17-CF18)</f>
        <v>-19146</v>
      </c>
      <c r="CG15" s="751">
        <f>-(CG16+CG17-CG18)</f>
        <v>-199859</v>
      </c>
      <c r="CH15" s="883">
        <f>+CG15/CG$13</f>
        <v>-0.41638332624982294</v>
      </c>
      <c r="CI15" s="875"/>
      <c r="CJ15" s="959">
        <f>+CG15-BU15</f>
        <v>10932</v>
      </c>
      <c r="CK15" s="960">
        <f>IFERROR(+CJ15/BU15,0%)</f>
        <v>-5.1861796756028485E-2</v>
      </c>
      <c r="CL15" s="753"/>
      <c r="CM15" s="754">
        <f>-(CM16+CM17-CM18)</f>
        <v>-1279138</v>
      </c>
      <c r="CN15" s="755">
        <f>+CM15/CM$13</f>
        <v>-0.42048338538404251</v>
      </c>
      <c r="CO15" s="753"/>
      <c r="CP15" s="751">
        <f t="shared" ref="CP15" si="24">-(CP16+CP17-CP18)</f>
        <v>-221816</v>
      </c>
      <c r="CQ15" s="752">
        <f t="shared" si="0"/>
        <v>-0.43054640316849979</v>
      </c>
      <c r="CR15" s="949">
        <f>+CP15+DATOS!F212</f>
        <v>1</v>
      </c>
      <c r="CS15" s="754">
        <f t="shared" ref="CS15" si="25">-(CS16+CS17-CS18)</f>
        <v>-1241064</v>
      </c>
      <c r="CT15" s="755">
        <f>+CS15/CS$13</f>
        <v>-0.42228394153319276</v>
      </c>
      <c r="CU15" s="875"/>
      <c r="CV15" s="900">
        <f t="shared" ref="CV15:CV20" si="26">+CM15-CS15</f>
        <v>-38074</v>
      </c>
      <c r="CW15" s="901">
        <f t="shared" si="1"/>
        <v>3.0678514564921714E-2</v>
      </c>
      <c r="CY15" s="750"/>
    </row>
    <row r="16" spans="1:103" ht="12" hidden="1" outlineLevel="1" thickTop="1">
      <c r="A16" s="734">
        <v>14</v>
      </c>
      <c r="B16" s="837" t="s">
        <v>566</v>
      </c>
      <c r="C16" s="875"/>
      <c r="D16" s="762">
        <v>7928</v>
      </c>
      <c r="E16" s="762">
        <v>11481</v>
      </c>
      <c r="F16" s="762">
        <v>8062</v>
      </c>
      <c r="G16" s="762">
        <v>9639</v>
      </c>
      <c r="H16" s="762">
        <v>8472</v>
      </c>
      <c r="I16" s="762">
        <v>14525</v>
      </c>
      <c r="J16" s="762">
        <v>9215</v>
      </c>
      <c r="K16" s="762">
        <v>0</v>
      </c>
      <c r="L16" s="762">
        <v>8636</v>
      </c>
      <c r="M16" s="744">
        <f>SUM(D16:L16)</f>
        <v>77958</v>
      </c>
      <c r="N16" s="885">
        <f>+M16/M$13</f>
        <v>0.15444292339664281</v>
      </c>
      <c r="O16" s="875"/>
      <c r="P16" s="762">
        <v>7673</v>
      </c>
      <c r="Q16" s="762">
        <v>7927</v>
      </c>
      <c r="R16" s="762">
        <v>8345</v>
      </c>
      <c r="S16" s="762">
        <v>10712</v>
      </c>
      <c r="T16" s="762">
        <v>11516</v>
      </c>
      <c r="U16" s="762">
        <v>13198</v>
      </c>
      <c r="V16" s="762">
        <v>9559</v>
      </c>
      <c r="W16" s="762">
        <v>0</v>
      </c>
      <c r="X16" s="762">
        <v>9102</v>
      </c>
      <c r="Y16" s="744">
        <f>SUM(P16:X16)</f>
        <v>78032</v>
      </c>
      <c r="Z16" s="885">
        <f>+Y16/Y$13</f>
        <v>0.14827031895447687</v>
      </c>
      <c r="AA16" s="875"/>
      <c r="AB16" s="762">
        <v>7951</v>
      </c>
      <c r="AC16" s="762">
        <v>11554</v>
      </c>
      <c r="AD16" s="762">
        <v>8986</v>
      </c>
      <c r="AE16" s="762">
        <v>13481</v>
      </c>
      <c r="AF16" s="762">
        <v>12941</v>
      </c>
      <c r="AG16" s="762">
        <v>16261</v>
      </c>
      <c r="AH16" s="762">
        <v>9926</v>
      </c>
      <c r="AI16" s="762">
        <v>0</v>
      </c>
      <c r="AJ16" s="762">
        <v>9777</v>
      </c>
      <c r="AK16" s="744">
        <f>SUM(AB16:AJ16)</f>
        <v>90877</v>
      </c>
      <c r="AL16" s="885">
        <f>+AK16/AK$13</f>
        <v>0.17758258507655181</v>
      </c>
      <c r="AM16" s="875"/>
      <c r="AN16" s="762">
        <v>8244</v>
      </c>
      <c r="AO16" s="762">
        <v>10331</v>
      </c>
      <c r="AP16" s="762">
        <v>8193</v>
      </c>
      <c r="AQ16" s="762">
        <v>11096</v>
      </c>
      <c r="AR16" s="762">
        <v>11019</v>
      </c>
      <c r="AS16" s="762">
        <v>14952</v>
      </c>
      <c r="AT16" s="762">
        <v>9277</v>
      </c>
      <c r="AU16" s="762">
        <v>0</v>
      </c>
      <c r="AV16" s="762">
        <v>9414</v>
      </c>
      <c r="AW16" s="744">
        <f>SUM(AN16:AV16)</f>
        <v>82526</v>
      </c>
      <c r="AX16" s="885">
        <f>+AW16/AW$13</f>
        <v>0.15540917171351953</v>
      </c>
      <c r="AY16" s="875"/>
      <c r="AZ16" s="762">
        <v>8882</v>
      </c>
      <c r="BA16" s="762">
        <v>10926</v>
      </c>
      <c r="BB16" s="762">
        <v>8362</v>
      </c>
      <c r="BC16" s="762">
        <v>10210</v>
      </c>
      <c r="BD16" s="762">
        <v>11617</v>
      </c>
      <c r="BE16" s="762">
        <v>12673</v>
      </c>
      <c r="BF16" s="762">
        <v>7939</v>
      </c>
      <c r="BG16" s="762">
        <v>0</v>
      </c>
      <c r="BH16" s="762">
        <v>9642</v>
      </c>
      <c r="BI16" s="744">
        <f>SUM(AZ16:BH16)</f>
        <v>80251</v>
      </c>
      <c r="BJ16" s="885">
        <f>+BI16/BI$13</f>
        <v>0.16181464036262158</v>
      </c>
      <c r="BK16" s="875"/>
      <c r="BL16" s="762">
        <v>10032</v>
      </c>
      <c r="BM16" s="762">
        <v>10668</v>
      </c>
      <c r="BN16" s="762">
        <v>7927</v>
      </c>
      <c r="BO16" s="762">
        <v>11078</v>
      </c>
      <c r="BP16" s="762">
        <v>14210</v>
      </c>
      <c r="BQ16" s="762">
        <v>12520</v>
      </c>
      <c r="BR16" s="762">
        <v>8749</v>
      </c>
      <c r="BS16" s="762">
        <v>0</v>
      </c>
      <c r="BT16" s="762">
        <v>8102</v>
      </c>
      <c r="BU16" s="744">
        <f>SUM(BL16:BT16)</f>
        <v>83286</v>
      </c>
      <c r="BV16" s="885">
        <f>+BU16/BU$13</f>
        <v>0.16755251733142348</v>
      </c>
      <c r="BW16" s="875"/>
      <c r="BX16" s="762">
        <v>7337</v>
      </c>
      <c r="BY16" s="762">
        <v>10880</v>
      </c>
      <c r="BZ16" s="762">
        <v>8082</v>
      </c>
      <c r="CA16" s="762">
        <v>10491</v>
      </c>
      <c r="CB16" s="762">
        <v>9193</v>
      </c>
      <c r="CC16" s="762">
        <v>12051</v>
      </c>
      <c r="CD16" s="762">
        <v>9458</v>
      </c>
      <c r="CE16" s="762">
        <v>0</v>
      </c>
      <c r="CF16" s="762">
        <v>7508</v>
      </c>
      <c r="CG16" s="744">
        <f>SUM(BX16:CF16)</f>
        <v>75000</v>
      </c>
      <c r="CH16" s="885">
        <f>+CG16/CG$13</f>
        <v>0.15625390634765868</v>
      </c>
      <c r="CI16" s="875"/>
      <c r="CJ16" s="957">
        <f>+CG16-BU16</f>
        <v>-8286</v>
      </c>
      <c r="CK16" s="961">
        <f>IFERROR(+CJ16/BU16,0%)</f>
        <v>-9.9488509473380879E-2</v>
      </c>
      <c r="CL16" s="753"/>
      <c r="CM16" s="816">
        <f t="shared" ref="CM16" si="27">+Y16</f>
        <v>78032</v>
      </c>
      <c r="CN16" s="761">
        <f>+CM16/CM$13</f>
        <v>2.5650992721885837E-2</v>
      </c>
      <c r="CO16" s="753"/>
      <c r="CP16" s="744">
        <f>+SUMIF('7.BP2025'!A:A,14,'7.BP2025'!F:F)</f>
        <v>92469</v>
      </c>
      <c r="CQ16" s="759">
        <f t="shared" si="0"/>
        <v>0.17948297397206697</v>
      </c>
      <c r="CR16" s="875"/>
      <c r="CS16" s="816">
        <v>70972</v>
      </c>
      <c r="CT16" s="761">
        <f>+CS16/CS$13</f>
        <v>2.4148904406617027E-2</v>
      </c>
      <c r="CU16" s="875"/>
      <c r="CV16" s="897">
        <f t="shared" si="26"/>
        <v>7060</v>
      </c>
      <c r="CW16" s="903">
        <f t="shared" si="1"/>
        <v>9.9475849630840329E-2</v>
      </c>
      <c r="CY16" s="750"/>
    </row>
    <row r="17" spans="1:103" hidden="1" outlineLevel="1">
      <c r="A17" s="734">
        <v>14</v>
      </c>
      <c r="B17" s="837" t="s">
        <v>567</v>
      </c>
      <c r="C17" s="875"/>
      <c r="D17" s="762">
        <v>29672</v>
      </c>
      <c r="E17" s="762">
        <v>24007</v>
      </c>
      <c r="F17" s="762">
        <v>18943</v>
      </c>
      <c r="G17" s="762">
        <v>40645</v>
      </c>
      <c r="H17" s="762">
        <v>46091</v>
      </c>
      <c r="I17" s="762">
        <v>36496</v>
      </c>
      <c r="J17" s="762">
        <v>28091</v>
      </c>
      <c r="K17" s="762">
        <v>0</v>
      </c>
      <c r="L17" s="762">
        <v>24657</v>
      </c>
      <c r="M17" s="744">
        <f>SUM(D17:L17)</f>
        <v>248602</v>
      </c>
      <c r="N17" s="885">
        <f>+M17/M$13</f>
        <v>0.49250647325806457</v>
      </c>
      <c r="O17" s="875"/>
      <c r="P17" s="762">
        <v>27020</v>
      </c>
      <c r="Q17" s="762">
        <v>26214</v>
      </c>
      <c r="R17" s="762">
        <v>15210</v>
      </c>
      <c r="S17" s="762">
        <v>30073</v>
      </c>
      <c r="T17" s="762">
        <v>38010</v>
      </c>
      <c r="U17" s="762">
        <v>36046</v>
      </c>
      <c r="V17" s="762">
        <v>25500</v>
      </c>
      <c r="W17" s="762">
        <v>0</v>
      </c>
      <c r="X17" s="762">
        <v>19987</v>
      </c>
      <c r="Y17" s="744">
        <f>SUM(P17:X17)</f>
        <v>218060</v>
      </c>
      <c r="Z17" s="885">
        <f>+Y17/Y$13</f>
        <v>0.41434060066656281</v>
      </c>
      <c r="AA17" s="875"/>
      <c r="AB17" s="762">
        <v>26384</v>
      </c>
      <c r="AC17" s="762">
        <v>26827</v>
      </c>
      <c r="AD17" s="762">
        <v>16126</v>
      </c>
      <c r="AE17" s="762">
        <v>22925</v>
      </c>
      <c r="AF17" s="762">
        <v>30832</v>
      </c>
      <c r="AG17" s="762">
        <v>41336</v>
      </c>
      <c r="AH17" s="762">
        <v>31238</v>
      </c>
      <c r="AI17" s="762">
        <v>0</v>
      </c>
      <c r="AJ17" s="762">
        <v>20213</v>
      </c>
      <c r="AK17" s="744">
        <f>SUM(AB17:AJ17)</f>
        <v>215881</v>
      </c>
      <c r="AL17" s="885">
        <f>+AK17/AK$13</f>
        <v>0.42185268053425046</v>
      </c>
      <c r="AM17" s="875"/>
      <c r="AN17" s="762">
        <v>30146</v>
      </c>
      <c r="AO17" s="762">
        <v>29149</v>
      </c>
      <c r="AP17" s="762">
        <v>19218</v>
      </c>
      <c r="AQ17" s="762">
        <v>24889</v>
      </c>
      <c r="AR17" s="762">
        <v>32983</v>
      </c>
      <c r="AS17" s="762">
        <v>38804</v>
      </c>
      <c r="AT17" s="762">
        <v>27156</v>
      </c>
      <c r="AU17" s="762">
        <v>0</v>
      </c>
      <c r="AV17" s="762">
        <v>19973</v>
      </c>
      <c r="AW17" s="744">
        <f>SUM(AN17:AV17)</f>
        <v>222318</v>
      </c>
      <c r="AX17" s="885">
        <f>+AW17/AW$13</f>
        <v>0.41865904365904366</v>
      </c>
      <c r="AY17" s="875"/>
      <c r="AZ17" s="762">
        <v>26553</v>
      </c>
      <c r="BA17" s="762">
        <v>27937</v>
      </c>
      <c r="BB17" s="762">
        <v>17093</v>
      </c>
      <c r="BC17" s="762">
        <v>25781</v>
      </c>
      <c r="BD17" s="762">
        <v>34888</v>
      </c>
      <c r="BE17" s="762">
        <v>38048</v>
      </c>
      <c r="BF17" s="762">
        <v>27889</v>
      </c>
      <c r="BG17" s="762">
        <v>0</v>
      </c>
      <c r="BH17" s="762">
        <v>19294</v>
      </c>
      <c r="BI17" s="744">
        <f>SUM(AZ17:BH17)</f>
        <v>217483</v>
      </c>
      <c r="BJ17" s="885">
        <f>+BI17/BI$13</f>
        <v>0.43852330101785686</v>
      </c>
      <c r="BK17" s="875"/>
      <c r="BL17" s="762">
        <v>21020</v>
      </c>
      <c r="BM17" s="762">
        <v>26603</v>
      </c>
      <c r="BN17" s="762">
        <v>15402</v>
      </c>
      <c r="BO17" s="762">
        <v>24635</v>
      </c>
      <c r="BP17" s="762">
        <v>30175</v>
      </c>
      <c r="BQ17" s="762">
        <v>37501</v>
      </c>
      <c r="BR17" s="762">
        <v>28183</v>
      </c>
      <c r="BS17" s="762">
        <v>0</v>
      </c>
      <c r="BT17" s="762">
        <v>18986</v>
      </c>
      <c r="BU17" s="744">
        <f>SUM(BL17:BT17)</f>
        <v>202505</v>
      </c>
      <c r="BV17" s="885">
        <f>+BU17/BU$13</f>
        <v>0.40739407009821477</v>
      </c>
      <c r="BW17" s="875"/>
      <c r="BX17" s="762">
        <v>22239</v>
      </c>
      <c r="BY17" s="762">
        <v>26260</v>
      </c>
      <c r="BZ17" s="762">
        <v>15794</v>
      </c>
      <c r="CA17" s="762">
        <v>26611</v>
      </c>
      <c r="CB17" s="762">
        <v>31352</v>
      </c>
      <c r="CC17" s="762">
        <v>36432</v>
      </c>
      <c r="CD17" s="762">
        <v>23782</v>
      </c>
      <c r="CE17" s="762">
        <v>0</v>
      </c>
      <c r="CF17" s="762">
        <v>20638</v>
      </c>
      <c r="CG17" s="744">
        <f>SUM(BX17:CF17)</f>
        <v>203108</v>
      </c>
      <c r="CH17" s="885">
        <f>+CG17/CG$13</f>
        <v>0.4231522454728035</v>
      </c>
      <c r="CI17" s="875"/>
      <c r="CJ17" s="957">
        <f>+CG17-BU17</f>
        <v>603</v>
      </c>
      <c r="CK17" s="961">
        <f>IFERROR(+CJ17/BU17,0%)</f>
        <v>2.9777042542159455E-3</v>
      </c>
      <c r="CL17" s="753"/>
      <c r="CM17" s="816">
        <f>+Y17+AK17+CG17+AW17+BI17+BU17</f>
        <v>1279355</v>
      </c>
      <c r="CN17" s="761">
        <f>+CM17/CM$13</f>
        <v>0.42055471849636372</v>
      </c>
      <c r="CO17" s="753"/>
      <c r="CP17" s="744">
        <f>+SUMIF('7.BP2025'!A:A,1435,'7.BP2025'!G:G)-SUMIF('7.BP2025'!A:A,1435,'7.BP2025'!H:H)+SUMIF('7.BP2025'!A:A,143599,'7.BP2025'!H:H)/2</f>
        <v>211197</v>
      </c>
      <c r="CQ17" s="759">
        <f t="shared" si="0"/>
        <v>0.40993485010088382</v>
      </c>
      <c r="CR17" s="875"/>
      <c r="CS17" s="816">
        <f>184996-6-301+199683+206470+204133+245770+211197</f>
        <v>1251942</v>
      </c>
      <c r="CT17" s="761">
        <f>+CS17/CS$13</f>
        <v>0.42598528547355202</v>
      </c>
      <c r="CU17" s="875"/>
      <c r="CV17" s="897">
        <f t="shared" si="26"/>
        <v>27413</v>
      </c>
      <c r="CW17" s="898">
        <f t="shared" si="1"/>
        <v>2.1896381781264629E-2</v>
      </c>
      <c r="CY17" s="763"/>
    </row>
    <row r="18" spans="1:103" hidden="1" outlineLevel="1">
      <c r="A18" s="734">
        <v>14</v>
      </c>
      <c r="B18" s="837" t="s">
        <v>568</v>
      </c>
      <c r="C18" s="875"/>
      <c r="D18" s="762">
        <v>7673</v>
      </c>
      <c r="E18" s="762">
        <v>7927</v>
      </c>
      <c r="F18" s="762">
        <v>8345</v>
      </c>
      <c r="G18" s="762">
        <v>10712</v>
      </c>
      <c r="H18" s="762">
        <v>11516</v>
      </c>
      <c r="I18" s="762">
        <v>13198</v>
      </c>
      <c r="J18" s="762">
        <v>9559</v>
      </c>
      <c r="K18" s="762">
        <v>0</v>
      </c>
      <c r="L18" s="762">
        <v>9102</v>
      </c>
      <c r="M18" s="744">
        <f>SUM(D18:L18)</f>
        <v>78032</v>
      </c>
      <c r="N18" s="885">
        <f>+M18/M$13</f>
        <v>0.15458952510950555</v>
      </c>
      <c r="O18" s="875"/>
      <c r="P18" s="762">
        <v>7951</v>
      </c>
      <c r="Q18" s="762">
        <v>11554</v>
      </c>
      <c r="R18" s="762">
        <v>8986</v>
      </c>
      <c r="S18" s="762">
        <v>13481</v>
      </c>
      <c r="T18" s="762">
        <v>12941</v>
      </c>
      <c r="U18" s="762">
        <v>16261</v>
      </c>
      <c r="V18" s="762">
        <v>9926</v>
      </c>
      <c r="W18" s="762">
        <v>0</v>
      </c>
      <c r="X18" s="762">
        <v>9777</v>
      </c>
      <c r="Y18" s="744">
        <f>SUM(P18:X18)</f>
        <v>90877</v>
      </c>
      <c r="Z18" s="885">
        <f>+Y18/Y$13</f>
        <v>0.17267738588817402</v>
      </c>
      <c r="AA18" s="875"/>
      <c r="AB18" s="762">
        <v>8244</v>
      </c>
      <c r="AC18" s="762">
        <v>10331</v>
      </c>
      <c r="AD18" s="762">
        <v>8193</v>
      </c>
      <c r="AE18" s="762">
        <v>11096</v>
      </c>
      <c r="AF18" s="762">
        <v>11019</v>
      </c>
      <c r="AG18" s="762">
        <v>14952</v>
      </c>
      <c r="AH18" s="762">
        <v>9277</v>
      </c>
      <c r="AI18" s="762">
        <v>0</v>
      </c>
      <c r="AJ18" s="762">
        <v>9414</v>
      </c>
      <c r="AK18" s="744">
        <f>SUM(AB18:AJ18)</f>
        <v>82526</v>
      </c>
      <c r="AL18" s="885">
        <f>+AK18/AK$13</f>
        <v>0.16126391073679275</v>
      </c>
      <c r="AM18" s="875"/>
      <c r="AN18" s="762">
        <v>8882</v>
      </c>
      <c r="AO18" s="762">
        <v>10926</v>
      </c>
      <c r="AP18" s="762">
        <v>8362</v>
      </c>
      <c r="AQ18" s="762">
        <v>10210</v>
      </c>
      <c r="AR18" s="762">
        <v>11617</v>
      </c>
      <c r="AS18" s="762">
        <v>12673</v>
      </c>
      <c r="AT18" s="762">
        <v>7939</v>
      </c>
      <c r="AU18" s="762">
        <v>0</v>
      </c>
      <c r="AV18" s="762">
        <v>9642</v>
      </c>
      <c r="AW18" s="744">
        <f>SUM(AN18:AV18)</f>
        <v>80251</v>
      </c>
      <c r="AX18" s="885">
        <f>+AW18/AW$13</f>
        <v>0.15112499623369188</v>
      </c>
      <c r="AY18" s="875"/>
      <c r="AZ18" s="762">
        <v>10032</v>
      </c>
      <c r="BA18" s="762">
        <v>10668</v>
      </c>
      <c r="BB18" s="762">
        <v>7927</v>
      </c>
      <c r="BC18" s="762">
        <v>11078</v>
      </c>
      <c r="BD18" s="762">
        <v>14210</v>
      </c>
      <c r="BE18" s="762">
        <v>12520</v>
      </c>
      <c r="BF18" s="762">
        <v>8749</v>
      </c>
      <c r="BG18" s="762">
        <v>0</v>
      </c>
      <c r="BH18" s="762">
        <v>8102</v>
      </c>
      <c r="BI18" s="744">
        <f>SUM(AZ18:BH18)</f>
        <v>83286</v>
      </c>
      <c r="BJ18" s="885">
        <f>+BI18/BI$13</f>
        <v>0.1679342829029084</v>
      </c>
      <c r="BK18" s="875"/>
      <c r="BL18" s="762">
        <v>7337</v>
      </c>
      <c r="BM18" s="762">
        <v>10880</v>
      </c>
      <c r="BN18" s="762">
        <v>8082</v>
      </c>
      <c r="BO18" s="762">
        <v>10491</v>
      </c>
      <c r="BP18" s="762">
        <v>9193</v>
      </c>
      <c r="BQ18" s="762">
        <v>12051</v>
      </c>
      <c r="BR18" s="762">
        <v>9458</v>
      </c>
      <c r="BS18" s="762">
        <v>0</v>
      </c>
      <c r="BT18" s="762">
        <v>7508</v>
      </c>
      <c r="BU18" s="744">
        <f>SUM(BL18:BT18)</f>
        <v>75000</v>
      </c>
      <c r="BV18" s="885">
        <f>+BU18/BU$13</f>
        <v>0.15088296712360735</v>
      </c>
      <c r="BW18" s="875"/>
      <c r="BX18" s="762">
        <v>7348</v>
      </c>
      <c r="BY18" s="762">
        <v>11282</v>
      </c>
      <c r="BZ18" s="762">
        <v>8375</v>
      </c>
      <c r="CA18" s="762">
        <v>11879</v>
      </c>
      <c r="CB18" s="762">
        <v>11033</v>
      </c>
      <c r="CC18" s="762">
        <v>11243</v>
      </c>
      <c r="CD18" s="762">
        <v>8089</v>
      </c>
      <c r="CE18" s="762">
        <v>0</v>
      </c>
      <c r="CF18" s="762">
        <v>9000</v>
      </c>
      <c r="CG18" s="744">
        <f>SUM(BX18:CF18)</f>
        <v>78249</v>
      </c>
      <c r="CH18" s="885">
        <f>+CG18/CG$13</f>
        <v>0.16302282557063927</v>
      </c>
      <c r="CI18" s="875"/>
      <c r="CJ18" s="957">
        <f>+CG18-BU18</f>
        <v>3249</v>
      </c>
      <c r="CK18" s="961">
        <f>IFERROR(+CJ18/BU18,0%)</f>
        <v>4.3319999999999997E-2</v>
      </c>
      <c r="CL18" s="753"/>
      <c r="CM18" s="816">
        <f>+CG18</f>
        <v>78249</v>
      </c>
      <c r="CN18" s="761">
        <f>+CM18/CM$13</f>
        <v>2.5722325834207055E-2</v>
      </c>
      <c r="CO18" s="753"/>
      <c r="CP18" s="744">
        <f>+SUMIF('7.BP2025'!A:A,14,'7.BP2025'!I:I)</f>
        <v>81850</v>
      </c>
      <c r="CQ18" s="759">
        <f t="shared" si="0"/>
        <v>0.15887142090445103</v>
      </c>
      <c r="CR18" s="875"/>
      <c r="CS18" s="816">
        <f>+CP18</f>
        <v>81850</v>
      </c>
      <c r="CT18" s="761">
        <f>+CS18/CS$13</f>
        <v>2.7850248346976327E-2</v>
      </c>
      <c r="CU18" s="875"/>
      <c r="CV18" s="897">
        <f t="shared" si="26"/>
        <v>-3601</v>
      </c>
      <c r="CW18" s="898">
        <f t="shared" si="1"/>
        <v>-4.39951130116066E-2</v>
      </c>
      <c r="CY18" s="763"/>
    </row>
    <row r="19" spans="1:103" ht="12" collapsed="1" thickTop="1">
      <c r="A19" s="734"/>
      <c r="B19" s="837"/>
      <c r="C19" s="875"/>
      <c r="D19" s="762"/>
      <c r="E19" s="762"/>
      <c r="F19" s="762"/>
      <c r="G19" s="762"/>
      <c r="H19" s="762"/>
      <c r="I19" s="762"/>
      <c r="J19" s="762"/>
      <c r="K19" s="762"/>
      <c r="L19" s="935"/>
      <c r="M19" s="762"/>
      <c r="N19" s="885"/>
      <c r="O19" s="875"/>
      <c r="P19" s="762"/>
      <c r="Q19" s="762"/>
      <c r="R19" s="762"/>
      <c r="S19" s="762"/>
      <c r="T19" s="762"/>
      <c r="U19" s="762"/>
      <c r="V19" s="762"/>
      <c r="W19" s="762"/>
      <c r="X19" s="935"/>
      <c r="Y19" s="762"/>
      <c r="Z19" s="885"/>
      <c r="AA19" s="875"/>
      <c r="AB19" s="762"/>
      <c r="AC19" s="762"/>
      <c r="AD19" s="762"/>
      <c r="AE19" s="762"/>
      <c r="AF19" s="762"/>
      <c r="AG19" s="762"/>
      <c r="AH19" s="762"/>
      <c r="AI19" s="762"/>
      <c r="AJ19" s="935"/>
      <c r="AK19" s="762"/>
      <c r="AL19" s="885"/>
      <c r="AM19" s="875"/>
      <c r="AN19" s="762"/>
      <c r="AO19" s="762"/>
      <c r="AP19" s="762"/>
      <c r="AQ19" s="762"/>
      <c r="AR19" s="762"/>
      <c r="AS19" s="762"/>
      <c r="AT19" s="762"/>
      <c r="AU19" s="762"/>
      <c r="AV19" s="935"/>
      <c r="AW19" s="762"/>
      <c r="AX19" s="885"/>
      <c r="AY19" s="875"/>
      <c r="AZ19" s="762"/>
      <c r="BA19" s="762"/>
      <c r="BB19" s="762"/>
      <c r="BC19" s="762"/>
      <c r="BD19" s="762"/>
      <c r="BE19" s="762"/>
      <c r="BF19" s="762"/>
      <c r="BG19" s="762"/>
      <c r="BH19" s="935"/>
      <c r="BI19" s="762"/>
      <c r="BJ19" s="885"/>
      <c r="BK19" s="875"/>
      <c r="BL19" s="762"/>
      <c r="BM19" s="762"/>
      <c r="BN19" s="762"/>
      <c r="BO19" s="762"/>
      <c r="BP19" s="762"/>
      <c r="BQ19" s="762"/>
      <c r="BR19" s="762"/>
      <c r="BS19" s="762"/>
      <c r="BT19" s="935"/>
      <c r="BU19" s="762"/>
      <c r="BV19" s="885"/>
      <c r="BW19" s="875"/>
      <c r="BX19" s="762"/>
      <c r="BY19" s="762"/>
      <c r="BZ19" s="762"/>
      <c r="CA19" s="762"/>
      <c r="CB19" s="762"/>
      <c r="CC19" s="762"/>
      <c r="CD19" s="762"/>
      <c r="CE19" s="762"/>
      <c r="CF19" s="935"/>
      <c r="CG19" s="762"/>
      <c r="CH19" s="885"/>
      <c r="CI19" s="875"/>
      <c r="CJ19" s="962"/>
      <c r="CK19" s="961"/>
      <c r="CL19" s="753"/>
      <c r="CM19" s="816"/>
      <c r="CN19" s="761"/>
      <c r="CO19" s="753"/>
      <c r="CP19" s="762"/>
      <c r="CQ19" s="759"/>
      <c r="CR19" s="875"/>
      <c r="CS19" s="816"/>
      <c r="CT19" s="761"/>
      <c r="CU19" s="875"/>
      <c r="CV19" s="904"/>
      <c r="CW19" s="903"/>
      <c r="CY19" s="763"/>
    </row>
    <row r="20" spans="1:103" ht="12" thickBot="1">
      <c r="A20" s="734"/>
      <c r="B20" s="834" t="s">
        <v>569</v>
      </c>
      <c r="C20" s="875"/>
      <c r="D20" s="751">
        <f>+D13+D15</f>
        <v>49674</v>
      </c>
      <c r="E20" s="751">
        <f>+E13+E15</f>
        <v>28274</v>
      </c>
      <c r="F20" s="751">
        <f t="shared" ref="F20:K20" si="28">+F13+F15</f>
        <v>24653</v>
      </c>
      <c r="G20" s="751">
        <f t="shared" si="28"/>
        <v>60302</v>
      </c>
      <c r="H20" s="751">
        <f t="shared" si="28"/>
        <v>-21210</v>
      </c>
      <c r="I20" s="751">
        <f t="shared" si="28"/>
        <v>46181</v>
      </c>
      <c r="J20" s="751">
        <f t="shared" si="28"/>
        <v>38426</v>
      </c>
      <c r="K20" s="751">
        <f t="shared" si="28"/>
        <v>128</v>
      </c>
      <c r="L20" s="933">
        <f>+L13+L15</f>
        <v>29813</v>
      </c>
      <c r="M20" s="751">
        <f>+M13+M15</f>
        <v>256241</v>
      </c>
      <c r="N20" s="883">
        <f>+M20/M$13</f>
        <v>0.50764012845479811</v>
      </c>
      <c r="O20" s="875"/>
      <c r="P20" s="751">
        <f>+P13+P15</f>
        <v>47963</v>
      </c>
      <c r="Q20" s="751">
        <f>+Q13+Q15</f>
        <v>27653</v>
      </c>
      <c r="R20" s="751">
        <f t="shared" ref="R20:W20" si="29">+R13+R15</f>
        <v>21801</v>
      </c>
      <c r="S20" s="751">
        <f t="shared" si="29"/>
        <v>50000</v>
      </c>
      <c r="T20" s="751">
        <f t="shared" si="29"/>
        <v>68058</v>
      </c>
      <c r="U20" s="751">
        <f t="shared" si="29"/>
        <v>43091</v>
      </c>
      <c r="V20" s="751">
        <f t="shared" si="29"/>
        <v>32040</v>
      </c>
      <c r="W20" s="751">
        <f t="shared" si="29"/>
        <v>0</v>
      </c>
      <c r="X20" s="933">
        <f>+X13+X15</f>
        <v>30461</v>
      </c>
      <c r="Y20" s="751">
        <f>+Y13+Y15</f>
        <v>321067</v>
      </c>
      <c r="Z20" s="883">
        <f>+Y20/Y$13</f>
        <v>0.61006646626713434</v>
      </c>
      <c r="AA20" s="875"/>
      <c r="AB20" s="751">
        <f>+AB13+AB15</f>
        <v>40507</v>
      </c>
      <c r="AC20" s="751">
        <f>+AC13+AC15</f>
        <v>28697</v>
      </c>
      <c r="AD20" s="751">
        <f t="shared" ref="AD20:AI20" si="30">+AD13+AD15</f>
        <v>23638</v>
      </c>
      <c r="AE20" s="751">
        <f t="shared" si="30"/>
        <v>36461</v>
      </c>
      <c r="AF20" s="751">
        <f t="shared" si="30"/>
        <v>53706</v>
      </c>
      <c r="AG20" s="751">
        <f t="shared" si="30"/>
        <v>46284</v>
      </c>
      <c r="AH20" s="751">
        <f t="shared" si="30"/>
        <v>35915</v>
      </c>
      <c r="AI20" s="751">
        <f t="shared" si="30"/>
        <v>0</v>
      </c>
      <c r="AJ20" s="933">
        <f>+AJ13+AJ15</f>
        <v>22305</v>
      </c>
      <c r="AK20" s="751">
        <f>+AK13+AK15</f>
        <v>287513</v>
      </c>
      <c r="AL20" s="883">
        <f>+AK20/AK$13</f>
        <v>0.56182864512599051</v>
      </c>
      <c r="AM20" s="875"/>
      <c r="AN20" s="751">
        <f>+AN13+AN15</f>
        <v>43545</v>
      </c>
      <c r="AO20" s="751">
        <f>+AO13+AO15</f>
        <v>31924</v>
      </c>
      <c r="AP20" s="751">
        <f t="shared" ref="AP20:AU20" si="31">+AP13+AP15</f>
        <v>22603</v>
      </c>
      <c r="AQ20" s="751">
        <f t="shared" si="31"/>
        <v>40496</v>
      </c>
      <c r="AR20" s="751">
        <f t="shared" si="31"/>
        <v>54775</v>
      </c>
      <c r="AS20" s="751">
        <f t="shared" si="31"/>
        <v>47973</v>
      </c>
      <c r="AT20" s="751">
        <f t="shared" si="31"/>
        <v>37162</v>
      </c>
      <c r="AU20" s="751">
        <f t="shared" si="31"/>
        <v>0</v>
      </c>
      <c r="AV20" s="933">
        <f>+AV13+AV15</f>
        <v>27953</v>
      </c>
      <c r="AW20" s="751">
        <f>+AW13+AW15</f>
        <v>306431</v>
      </c>
      <c r="AX20" s="883">
        <f>+AW20/AW$13</f>
        <v>0.57705678086112866</v>
      </c>
      <c r="AY20" s="875"/>
      <c r="AZ20" s="751">
        <f>+AZ13+AZ15</f>
        <v>35361</v>
      </c>
      <c r="BA20" s="751">
        <f>+BA13+BA15</f>
        <v>30151</v>
      </c>
      <c r="BB20" s="751">
        <f t="shared" ref="BB20:BG20" si="32">+BB13+BB15</f>
        <v>21796</v>
      </c>
      <c r="BC20" s="751">
        <f t="shared" si="32"/>
        <v>36952</v>
      </c>
      <c r="BD20" s="751">
        <f t="shared" si="32"/>
        <v>56631</v>
      </c>
      <c r="BE20" s="751">
        <f t="shared" si="32"/>
        <v>45456</v>
      </c>
      <c r="BF20" s="751">
        <f t="shared" si="32"/>
        <v>33834</v>
      </c>
      <c r="BG20" s="751">
        <f t="shared" si="32"/>
        <v>0</v>
      </c>
      <c r="BH20" s="933">
        <f>+BH13+BH15</f>
        <v>21315</v>
      </c>
      <c r="BI20" s="751">
        <f>+BI13+BI15</f>
        <v>281496</v>
      </c>
      <c r="BJ20" s="883">
        <f>+BI20/BI$13</f>
        <v>0.56759634152242999</v>
      </c>
      <c r="BK20" s="875"/>
      <c r="BL20" s="751">
        <f>+BL13+BL15</f>
        <v>33577</v>
      </c>
      <c r="BM20" s="751">
        <f>+BM13+BM15</f>
        <v>29431</v>
      </c>
      <c r="BN20" s="751">
        <f t="shared" ref="BN20:BS20" si="33">+BN13+BN15</f>
        <v>20835</v>
      </c>
      <c r="BO20" s="751">
        <f t="shared" si="33"/>
        <v>38417</v>
      </c>
      <c r="BP20" s="751">
        <f t="shared" si="33"/>
        <v>60165</v>
      </c>
      <c r="BQ20" s="751">
        <f t="shared" si="33"/>
        <v>44342</v>
      </c>
      <c r="BR20" s="751">
        <f t="shared" si="33"/>
        <v>33509</v>
      </c>
      <c r="BS20" s="751">
        <f t="shared" si="33"/>
        <v>0</v>
      </c>
      <c r="BT20" s="933">
        <f>+BT13+BT15</f>
        <v>26007</v>
      </c>
      <c r="BU20" s="751">
        <f>+BU13+BU15</f>
        <v>286283</v>
      </c>
      <c r="BV20" s="883">
        <f>+BU20/BU$13</f>
        <v>0.57593637969396916</v>
      </c>
      <c r="BW20" s="875"/>
      <c r="BX20" s="751">
        <f>+BX13+BX15</f>
        <v>37603</v>
      </c>
      <c r="BY20" s="751">
        <f>+BY13+BY15</f>
        <v>30157</v>
      </c>
      <c r="BZ20" s="751">
        <f t="shared" ref="BZ20:CE20" si="34">+BZ13+BZ15</f>
        <v>20545</v>
      </c>
      <c r="CA20" s="751">
        <f t="shared" si="34"/>
        <v>39758</v>
      </c>
      <c r="CB20" s="751">
        <f t="shared" si="34"/>
        <v>48840</v>
      </c>
      <c r="CC20" s="751">
        <f t="shared" si="34"/>
        <v>44657</v>
      </c>
      <c r="CD20" s="751">
        <f t="shared" si="34"/>
        <v>31931</v>
      </c>
      <c r="CE20" s="751">
        <f t="shared" si="34"/>
        <v>0</v>
      </c>
      <c r="CF20" s="933">
        <f>+CF13+CF15</f>
        <v>26638</v>
      </c>
      <c r="CG20" s="751">
        <f>+CG13+CG15</f>
        <v>280129</v>
      </c>
      <c r="CH20" s="883">
        <f>+CG20/CG$13</f>
        <v>0.58361667375017712</v>
      </c>
      <c r="CI20" s="875"/>
      <c r="CJ20" s="959">
        <f>+CG20-BU20</f>
        <v>-6154</v>
      </c>
      <c r="CK20" s="960">
        <f>IFERROR(+CJ20/BU20,0%)</f>
        <v>-2.1496211790431145E-2</v>
      </c>
      <c r="CL20" s="753"/>
      <c r="CM20" s="754">
        <f>+CM13+CM15</f>
        <v>1762927.5</v>
      </c>
      <c r="CN20" s="755">
        <f>+CM20/CM$13</f>
        <v>0.57951661461595749</v>
      </c>
      <c r="CO20" s="753"/>
      <c r="CP20" s="751">
        <f>+CP13+CP15</f>
        <v>293380.5</v>
      </c>
      <c r="CQ20" s="752">
        <f t="shared" si="0"/>
        <v>0.56945359683150021</v>
      </c>
      <c r="CR20" s="875"/>
      <c r="CS20" s="754">
        <f t="shared" ref="CS20" si="35">+CS13+CS15</f>
        <v>1697868.5</v>
      </c>
      <c r="CT20" s="755">
        <f>+CS20/CS$13</f>
        <v>0.57771605846680729</v>
      </c>
      <c r="CU20" s="875"/>
      <c r="CV20" s="900">
        <f t="shared" si="26"/>
        <v>65059</v>
      </c>
      <c r="CW20" s="901">
        <f t="shared" si="1"/>
        <v>3.8318044065250044E-2</v>
      </c>
      <c r="CY20" s="763"/>
    </row>
    <row r="21" spans="1:103" ht="12" thickTop="1">
      <c r="A21" s="734"/>
      <c r="B21" s="836"/>
      <c r="C21" s="874"/>
      <c r="D21" s="842"/>
      <c r="E21" s="842"/>
      <c r="F21" s="842"/>
      <c r="G21" s="842"/>
      <c r="H21" s="842"/>
      <c r="I21" s="842"/>
      <c r="J21" s="842"/>
      <c r="K21" s="842"/>
      <c r="L21" s="936"/>
      <c r="M21" s="842"/>
      <c r="N21" s="886"/>
      <c r="O21" s="874"/>
      <c r="P21" s="842"/>
      <c r="Q21" s="842"/>
      <c r="R21" s="842"/>
      <c r="S21" s="842"/>
      <c r="T21" s="842"/>
      <c r="U21" s="842"/>
      <c r="V21" s="842"/>
      <c r="W21" s="842"/>
      <c r="X21" s="936"/>
      <c r="Y21" s="842"/>
      <c r="Z21" s="886"/>
      <c r="AA21" s="874"/>
      <c r="AB21" s="842"/>
      <c r="AC21" s="842"/>
      <c r="AD21" s="842"/>
      <c r="AE21" s="842"/>
      <c r="AF21" s="842"/>
      <c r="AG21" s="842"/>
      <c r="AH21" s="842"/>
      <c r="AI21" s="842"/>
      <c r="AJ21" s="936"/>
      <c r="AK21" s="842"/>
      <c r="AL21" s="886"/>
      <c r="AM21" s="874"/>
      <c r="AN21" s="842"/>
      <c r="AO21" s="842"/>
      <c r="AP21" s="842"/>
      <c r="AQ21" s="842"/>
      <c r="AR21" s="842"/>
      <c r="AS21" s="842"/>
      <c r="AT21" s="842"/>
      <c r="AU21" s="842"/>
      <c r="AV21" s="936"/>
      <c r="AW21" s="842"/>
      <c r="AX21" s="886"/>
      <c r="AY21" s="874"/>
      <c r="AZ21" s="842"/>
      <c r="BA21" s="842"/>
      <c r="BB21" s="842"/>
      <c r="BC21" s="842"/>
      <c r="BD21" s="842"/>
      <c r="BE21" s="842"/>
      <c r="BF21" s="842"/>
      <c r="BG21" s="842"/>
      <c r="BH21" s="936"/>
      <c r="BI21" s="842"/>
      <c r="BJ21" s="886"/>
      <c r="BK21" s="874"/>
      <c r="BL21" s="842"/>
      <c r="BM21" s="842"/>
      <c r="BN21" s="842"/>
      <c r="BO21" s="842"/>
      <c r="BP21" s="842"/>
      <c r="BQ21" s="842"/>
      <c r="BR21" s="842"/>
      <c r="BS21" s="842"/>
      <c r="BT21" s="936"/>
      <c r="BU21" s="842"/>
      <c r="BV21" s="886"/>
      <c r="BW21" s="874"/>
      <c r="BX21" s="842"/>
      <c r="BY21" s="842"/>
      <c r="BZ21" s="842"/>
      <c r="CA21" s="842"/>
      <c r="CB21" s="842"/>
      <c r="CC21" s="842"/>
      <c r="CD21" s="842"/>
      <c r="CE21" s="842"/>
      <c r="CF21" s="936"/>
      <c r="CG21" s="842"/>
      <c r="CH21" s="886"/>
      <c r="CI21" s="875"/>
      <c r="CJ21" s="842"/>
      <c r="CK21" s="886"/>
      <c r="CL21" s="753"/>
      <c r="CM21" s="842"/>
      <c r="CN21" s="849"/>
      <c r="CO21" s="753"/>
      <c r="CP21" s="842"/>
      <c r="CQ21" s="849"/>
      <c r="CR21" s="875"/>
      <c r="CS21" s="842"/>
      <c r="CT21" s="849"/>
      <c r="CU21" s="875"/>
      <c r="CV21" s="842"/>
      <c r="CW21" s="886"/>
      <c r="CY21" s="763"/>
    </row>
    <row r="22" spans="1:103">
      <c r="A22" s="734"/>
      <c r="B22" s="836" t="s">
        <v>69</v>
      </c>
      <c r="C22" s="874"/>
      <c r="D22" s="758">
        <f>+SUM(D25:D31)</f>
        <v>35</v>
      </c>
      <c r="E22" s="758">
        <f t="shared" ref="E22:L22" si="36">+SUM(E25:E31)</f>
        <v>44</v>
      </c>
      <c r="F22" s="758">
        <f t="shared" si="36"/>
        <v>65</v>
      </c>
      <c r="G22" s="758">
        <f t="shared" si="36"/>
        <v>237</v>
      </c>
      <c r="H22" s="758">
        <f t="shared" si="36"/>
        <v>6526</v>
      </c>
      <c r="I22" s="758">
        <f t="shared" si="36"/>
        <v>209</v>
      </c>
      <c r="J22" s="758">
        <f t="shared" si="36"/>
        <v>63</v>
      </c>
      <c r="K22" s="758">
        <f t="shared" si="36"/>
        <v>0</v>
      </c>
      <c r="L22" s="937">
        <f t="shared" si="36"/>
        <v>70</v>
      </c>
      <c r="M22" s="758">
        <f>+SUM(M25:M31)</f>
        <v>7249</v>
      </c>
      <c r="N22" s="887">
        <f t="shared" ref="N22:N31" si="37">+M22/M$13</f>
        <v>1.4361024547862488E-2</v>
      </c>
      <c r="O22" s="874"/>
      <c r="P22" s="758">
        <f t="shared" ref="P22:Y22" si="38">+SUM(P23:P31)</f>
        <v>41</v>
      </c>
      <c r="Q22" s="758">
        <f t="shared" si="38"/>
        <v>118</v>
      </c>
      <c r="R22" s="758">
        <f t="shared" si="38"/>
        <v>18</v>
      </c>
      <c r="S22" s="758">
        <f t="shared" si="38"/>
        <v>50</v>
      </c>
      <c r="T22" s="758">
        <f t="shared" si="38"/>
        <v>7422</v>
      </c>
      <c r="U22" s="758">
        <f t="shared" si="38"/>
        <v>178</v>
      </c>
      <c r="V22" s="758">
        <f t="shared" si="38"/>
        <v>81</v>
      </c>
      <c r="W22" s="758">
        <f t="shared" si="38"/>
        <v>2406</v>
      </c>
      <c r="X22" s="937">
        <f t="shared" si="38"/>
        <v>61</v>
      </c>
      <c r="Y22" s="758">
        <f t="shared" si="38"/>
        <v>10375</v>
      </c>
      <c r="Z22" s="887">
        <f>+Y22/Y$13</f>
        <v>1.9713765623753043E-2</v>
      </c>
      <c r="AA22" s="874"/>
      <c r="AB22" s="758">
        <f t="shared" ref="AB22:AK22" si="39">+SUM(AB23:AB31)</f>
        <v>15</v>
      </c>
      <c r="AC22" s="758">
        <f t="shared" si="39"/>
        <v>125</v>
      </c>
      <c r="AD22" s="758">
        <f t="shared" si="39"/>
        <v>37</v>
      </c>
      <c r="AE22" s="758">
        <f t="shared" si="39"/>
        <v>69</v>
      </c>
      <c r="AF22" s="758">
        <f t="shared" si="39"/>
        <v>5162</v>
      </c>
      <c r="AG22" s="758">
        <f t="shared" si="39"/>
        <v>295</v>
      </c>
      <c r="AH22" s="758">
        <f t="shared" si="39"/>
        <v>106</v>
      </c>
      <c r="AI22" s="758">
        <f t="shared" si="39"/>
        <v>0</v>
      </c>
      <c r="AJ22" s="937">
        <f t="shared" si="39"/>
        <v>50</v>
      </c>
      <c r="AK22" s="758">
        <f t="shared" si="39"/>
        <v>5859</v>
      </c>
      <c r="AL22" s="887">
        <f>+AK22/AK$13</f>
        <v>1.1449061544323832E-2</v>
      </c>
      <c r="AM22" s="874"/>
      <c r="AN22" s="758">
        <f t="shared" ref="AN22:AW22" si="40">+SUM(AN23:AN31)</f>
        <v>81</v>
      </c>
      <c r="AO22" s="758">
        <f t="shared" si="40"/>
        <v>156</v>
      </c>
      <c r="AP22" s="758">
        <f t="shared" si="40"/>
        <v>74</v>
      </c>
      <c r="AQ22" s="758">
        <f t="shared" si="40"/>
        <v>37</v>
      </c>
      <c r="AR22" s="758">
        <f t="shared" si="40"/>
        <v>1013</v>
      </c>
      <c r="AS22" s="758">
        <f t="shared" si="40"/>
        <v>58</v>
      </c>
      <c r="AT22" s="758">
        <f t="shared" si="40"/>
        <v>63</v>
      </c>
      <c r="AU22" s="758">
        <f t="shared" si="40"/>
        <v>6220</v>
      </c>
      <c r="AV22" s="937">
        <f t="shared" si="40"/>
        <v>110</v>
      </c>
      <c r="AW22" s="758">
        <f t="shared" si="40"/>
        <v>7812</v>
      </c>
      <c r="AX22" s="887">
        <f>+AW22/AW$13</f>
        <v>1.471119949380819E-2</v>
      </c>
      <c r="AY22" s="874"/>
      <c r="AZ22" s="758">
        <f t="shared" ref="AZ22:BI22" si="41">+SUM(AZ23:AZ31)</f>
        <v>108</v>
      </c>
      <c r="BA22" s="758">
        <f t="shared" si="41"/>
        <v>692</v>
      </c>
      <c r="BB22" s="758">
        <f t="shared" si="41"/>
        <v>98</v>
      </c>
      <c r="BC22" s="758">
        <f t="shared" si="41"/>
        <v>105</v>
      </c>
      <c r="BD22" s="758">
        <f t="shared" si="41"/>
        <v>1005</v>
      </c>
      <c r="BE22" s="758">
        <f t="shared" si="41"/>
        <v>118</v>
      </c>
      <c r="BF22" s="758">
        <f t="shared" si="41"/>
        <v>91</v>
      </c>
      <c r="BG22" s="758">
        <f t="shared" si="41"/>
        <v>7620</v>
      </c>
      <c r="BH22" s="937">
        <f t="shared" si="41"/>
        <v>121</v>
      </c>
      <c r="BI22" s="758">
        <f t="shared" si="41"/>
        <v>9958</v>
      </c>
      <c r="BJ22" s="887">
        <f>+BI22/BI$13</f>
        <v>2.0078879873534107E-2</v>
      </c>
      <c r="BK22" s="874"/>
      <c r="BL22" s="758">
        <f t="shared" ref="BL22:BU22" si="42">+SUM(BL23:BL31)</f>
        <v>405</v>
      </c>
      <c r="BM22" s="758">
        <f t="shared" si="42"/>
        <v>38</v>
      </c>
      <c r="BN22" s="758">
        <f t="shared" si="42"/>
        <v>32</v>
      </c>
      <c r="BO22" s="758">
        <f t="shared" si="42"/>
        <v>167</v>
      </c>
      <c r="BP22" s="758">
        <f t="shared" si="42"/>
        <v>1073</v>
      </c>
      <c r="BQ22" s="758">
        <f t="shared" si="42"/>
        <v>62</v>
      </c>
      <c r="BR22" s="758">
        <f t="shared" si="42"/>
        <v>698</v>
      </c>
      <c r="BS22" s="758">
        <f t="shared" si="42"/>
        <v>9246</v>
      </c>
      <c r="BT22" s="937">
        <f t="shared" si="42"/>
        <v>12</v>
      </c>
      <c r="BU22" s="758">
        <f t="shared" si="42"/>
        <v>11733</v>
      </c>
      <c r="BV22" s="887">
        <f>+BU22/BU$13</f>
        <v>2.3604131376817133E-2</v>
      </c>
      <c r="BW22" s="874"/>
      <c r="BX22" s="758">
        <f t="shared" ref="BX22:CG22" si="43">+SUM(BX23:BX31)</f>
        <v>12</v>
      </c>
      <c r="BY22" s="758">
        <f t="shared" si="43"/>
        <v>35</v>
      </c>
      <c r="BZ22" s="758">
        <f t="shared" si="43"/>
        <v>97</v>
      </c>
      <c r="CA22" s="758">
        <f t="shared" si="43"/>
        <v>167</v>
      </c>
      <c r="CB22" s="758">
        <f t="shared" si="43"/>
        <v>966</v>
      </c>
      <c r="CC22" s="758">
        <f t="shared" si="43"/>
        <v>107</v>
      </c>
      <c r="CD22" s="758">
        <f t="shared" si="43"/>
        <v>161</v>
      </c>
      <c r="CE22" s="758">
        <f t="shared" si="43"/>
        <v>9133</v>
      </c>
      <c r="CF22" s="937">
        <f t="shared" si="43"/>
        <v>78</v>
      </c>
      <c r="CG22" s="758">
        <f t="shared" si="43"/>
        <v>10756</v>
      </c>
      <c r="CH22" s="887">
        <f>+CG22/CG$13</f>
        <v>2.2408893555672226E-2</v>
      </c>
      <c r="CI22" s="947"/>
      <c r="CJ22" s="963">
        <f t="shared" ref="CJ22:CJ53" si="44">+CG22-BU22</f>
        <v>-977</v>
      </c>
      <c r="CK22" s="964">
        <f t="shared" ref="CK22:CK53" si="45">IFERROR(+CJ22/BU22,0%)</f>
        <v>-8.3269411062814283E-2</v>
      </c>
      <c r="CL22" s="766"/>
      <c r="CM22" s="760">
        <f>+SUM(CM23:CM31)</f>
        <v>56493</v>
      </c>
      <c r="CN22" s="767">
        <f t="shared" ref="CN22:CN25" si="46">+CM22/CM$13</f>
        <v>1.8570606056970175E-2</v>
      </c>
      <c r="CO22" s="766"/>
      <c r="CP22" s="758">
        <f>+SUM(CP25:CP31)</f>
        <v>1944</v>
      </c>
      <c r="CQ22" s="765">
        <f t="shared" si="0"/>
        <v>3.7733175594166497E-3</v>
      </c>
      <c r="CR22" s="879"/>
      <c r="CS22" s="760">
        <f>+SUM(CS25:CS31)</f>
        <v>9959</v>
      </c>
      <c r="CT22" s="767">
        <f>+CS22/CS$13</f>
        <v>3.3886453669827394E-3</v>
      </c>
      <c r="CU22" s="879"/>
      <c r="CV22" s="905">
        <f>+CM22-CS22</f>
        <v>46534</v>
      </c>
      <c r="CW22" s="906">
        <f t="shared" si="1"/>
        <v>4.6725574856913346</v>
      </c>
      <c r="CY22" s="750"/>
    </row>
    <row r="23" spans="1:103">
      <c r="A23" s="734">
        <v>4220</v>
      </c>
      <c r="B23" s="833" t="s">
        <v>1504</v>
      </c>
      <c r="C23" s="874"/>
      <c r="D23" s="744"/>
      <c r="E23" s="744"/>
      <c r="F23" s="744"/>
      <c r="G23" s="744"/>
      <c r="H23" s="744"/>
      <c r="I23" s="744"/>
      <c r="J23" s="744"/>
      <c r="K23" s="744"/>
      <c r="L23" s="935"/>
      <c r="M23" s="744"/>
      <c r="N23" s="888"/>
      <c r="O23" s="874"/>
      <c r="P23" s="744">
        <v>0</v>
      </c>
      <c r="Q23" s="744">
        <v>0</v>
      </c>
      <c r="R23" s="744">
        <v>0</v>
      </c>
      <c r="S23" s="744">
        <v>0</v>
      </c>
      <c r="T23" s="744">
        <v>0</v>
      </c>
      <c r="U23" s="744">
        <v>0</v>
      </c>
      <c r="V23" s="744">
        <v>0</v>
      </c>
      <c r="W23" s="744">
        <v>2406</v>
      </c>
      <c r="X23" s="935">
        <v>0</v>
      </c>
      <c r="Y23" s="744">
        <f t="shared" ref="Y23:Y25" si="47">SUM(P23:X23)</f>
        <v>2406</v>
      </c>
      <c r="Z23" s="888">
        <f t="shared" ref="Z23:Z26" si="48">+Y23/Y$13</f>
        <v>4.5716935027228746E-3</v>
      </c>
      <c r="AA23" s="874"/>
      <c r="AB23" s="744">
        <v>0</v>
      </c>
      <c r="AC23" s="744">
        <v>0</v>
      </c>
      <c r="AD23" s="744">
        <v>0</v>
      </c>
      <c r="AE23" s="744">
        <v>0</v>
      </c>
      <c r="AF23" s="744">
        <v>0</v>
      </c>
      <c r="AG23" s="744">
        <v>0</v>
      </c>
      <c r="AH23" s="744">
        <v>0</v>
      </c>
      <c r="AI23" s="744">
        <v>0</v>
      </c>
      <c r="AJ23" s="935">
        <v>0</v>
      </c>
      <c r="AK23" s="744">
        <f t="shared" ref="AK23:AK26" si="49">SUM(AB23:AJ23)</f>
        <v>0</v>
      </c>
      <c r="AL23" s="888">
        <f t="shared" ref="AL23:AL86" si="50">+AK23/AK$13</f>
        <v>0</v>
      </c>
      <c r="AM23" s="874"/>
      <c r="AN23" s="744">
        <v>0</v>
      </c>
      <c r="AO23" s="744">
        <v>0</v>
      </c>
      <c r="AP23" s="744">
        <v>0</v>
      </c>
      <c r="AQ23" s="744">
        <v>0</v>
      </c>
      <c r="AR23" s="744">
        <v>0</v>
      </c>
      <c r="AS23" s="744">
        <v>0</v>
      </c>
      <c r="AT23" s="744">
        <v>0</v>
      </c>
      <c r="AU23" s="744">
        <v>6220</v>
      </c>
      <c r="AV23" s="935">
        <v>0</v>
      </c>
      <c r="AW23" s="744">
        <f t="shared" ref="AW23:AW26" si="51">SUM(AN23:AV23)</f>
        <v>6220</v>
      </c>
      <c r="AX23" s="888">
        <f t="shared" ref="AX23:AX86" si="52">+AW23/AW$13</f>
        <v>1.1713218234957365E-2</v>
      </c>
      <c r="AY23" s="874"/>
      <c r="AZ23" s="744">
        <v>0</v>
      </c>
      <c r="BA23" s="744">
        <v>0</v>
      </c>
      <c r="BB23" s="744">
        <v>0</v>
      </c>
      <c r="BC23" s="744">
        <v>0</v>
      </c>
      <c r="BD23" s="744">
        <v>0</v>
      </c>
      <c r="BE23" s="744">
        <v>0</v>
      </c>
      <c r="BF23" s="744">
        <v>0</v>
      </c>
      <c r="BG23" s="744">
        <v>7620</v>
      </c>
      <c r="BH23" s="935">
        <v>0</v>
      </c>
      <c r="BI23" s="744">
        <f t="shared" ref="BI23:BI26" si="53">SUM(AZ23:BH23)</f>
        <v>7620</v>
      </c>
      <c r="BJ23" s="888">
        <f t="shared" ref="BJ23:BJ86" si="54">+BI23/BI$13</f>
        <v>1.5364637942993564E-2</v>
      </c>
      <c r="BK23" s="874"/>
      <c r="BL23" s="744">
        <v>0</v>
      </c>
      <c r="BM23" s="744">
        <v>0</v>
      </c>
      <c r="BN23" s="744">
        <v>0</v>
      </c>
      <c r="BO23" s="744">
        <v>0</v>
      </c>
      <c r="BP23" s="744">
        <v>0</v>
      </c>
      <c r="BQ23" s="744">
        <v>0</v>
      </c>
      <c r="BR23" s="744">
        <v>0</v>
      </c>
      <c r="BS23" s="744">
        <v>9246</v>
      </c>
      <c r="BT23" s="935">
        <v>0</v>
      </c>
      <c r="BU23" s="744">
        <f t="shared" ref="BU23:BU26" si="55">SUM(BL23:BT23)</f>
        <v>9246</v>
      </c>
      <c r="BV23" s="888">
        <f t="shared" ref="BV23:BV86" si="56">+BU23/BU$13</f>
        <v>1.8600852186998314E-2</v>
      </c>
      <c r="BW23" s="874"/>
      <c r="BX23" s="744">
        <v>0</v>
      </c>
      <c r="BY23" s="744">
        <v>0</v>
      </c>
      <c r="BZ23" s="744">
        <v>0</v>
      </c>
      <c r="CA23" s="744">
        <v>0</v>
      </c>
      <c r="CB23" s="744">
        <v>0</v>
      </c>
      <c r="CC23" s="744">
        <v>0</v>
      </c>
      <c r="CD23" s="744">
        <v>0</v>
      </c>
      <c r="CE23" s="744">
        <v>9133</v>
      </c>
      <c r="CF23" s="935">
        <v>0</v>
      </c>
      <c r="CG23" s="744">
        <f t="shared" ref="CG23:CG26" si="57">SUM(BX23:CF23)</f>
        <v>9133</v>
      </c>
      <c r="CH23" s="888">
        <f t="shared" ref="CH23:CH86" si="58">+CG23/CG$13</f>
        <v>1.902755902230889E-2</v>
      </c>
      <c r="CI23" s="951"/>
      <c r="CJ23" s="957">
        <f t="shared" si="44"/>
        <v>-113</v>
      </c>
      <c r="CK23" s="965">
        <f t="shared" si="45"/>
        <v>-1.2221501189703656E-2</v>
      </c>
      <c r="CL23" s="746"/>
      <c r="CM23" s="816">
        <f t="shared" ref="CM23:CM31" si="59">+Y23+AK23+CG23+AW23+BI23+BU23</f>
        <v>34625</v>
      </c>
      <c r="CN23" s="757">
        <f t="shared" si="46"/>
        <v>1.1382069189502988E-2</v>
      </c>
      <c r="CO23" s="746"/>
      <c r="CP23" s="744"/>
      <c r="CQ23" s="756"/>
      <c r="CR23" s="874"/>
      <c r="CS23" s="816"/>
      <c r="CT23" s="757"/>
      <c r="CU23" s="874"/>
      <c r="CV23" s="897"/>
      <c r="CW23" s="902"/>
      <c r="CY23" s="750"/>
    </row>
    <row r="24" spans="1:103">
      <c r="A24" s="734">
        <v>42358001</v>
      </c>
      <c r="B24" s="833" t="s">
        <v>1505</v>
      </c>
      <c r="C24" s="874"/>
      <c r="D24" s="744"/>
      <c r="E24" s="744"/>
      <c r="F24" s="744"/>
      <c r="G24" s="744"/>
      <c r="H24" s="744"/>
      <c r="I24" s="744"/>
      <c r="J24" s="744"/>
      <c r="K24" s="744"/>
      <c r="L24" s="935"/>
      <c r="M24" s="744"/>
      <c r="N24" s="888"/>
      <c r="O24" s="874"/>
      <c r="P24" s="744">
        <v>0</v>
      </c>
      <c r="Q24" s="744">
        <v>0</v>
      </c>
      <c r="R24" s="744">
        <v>0</v>
      </c>
      <c r="S24" s="744">
        <v>0</v>
      </c>
      <c r="T24" s="744">
        <v>899</v>
      </c>
      <c r="U24" s="744">
        <v>0</v>
      </c>
      <c r="V24" s="744">
        <v>0</v>
      </c>
      <c r="W24" s="744">
        <v>0</v>
      </c>
      <c r="X24" s="935">
        <v>0</v>
      </c>
      <c r="Y24" s="744">
        <f t="shared" si="47"/>
        <v>899</v>
      </c>
      <c r="Z24" s="888">
        <f t="shared" si="48"/>
        <v>1.7082096670606253E-3</v>
      </c>
      <c r="AA24" s="874"/>
      <c r="AB24" s="744">
        <v>0</v>
      </c>
      <c r="AC24" s="744">
        <v>0</v>
      </c>
      <c r="AD24" s="744">
        <v>0</v>
      </c>
      <c r="AE24" s="744">
        <v>0</v>
      </c>
      <c r="AF24" s="744">
        <v>899</v>
      </c>
      <c r="AG24" s="744">
        <v>0</v>
      </c>
      <c r="AH24" s="744">
        <v>0</v>
      </c>
      <c r="AI24" s="744">
        <v>0</v>
      </c>
      <c r="AJ24" s="935">
        <v>0</v>
      </c>
      <c r="AK24" s="744">
        <f t="shared" si="49"/>
        <v>899</v>
      </c>
      <c r="AL24" s="888">
        <f t="shared" si="50"/>
        <v>1.7567343110338157E-3</v>
      </c>
      <c r="AM24" s="874"/>
      <c r="AN24" s="744">
        <v>0</v>
      </c>
      <c r="AO24" s="744">
        <v>0</v>
      </c>
      <c r="AP24" s="744">
        <v>0</v>
      </c>
      <c r="AQ24" s="744">
        <v>0</v>
      </c>
      <c r="AR24" s="744">
        <v>0</v>
      </c>
      <c r="AS24" s="744">
        <v>0</v>
      </c>
      <c r="AT24" s="744">
        <v>0</v>
      </c>
      <c r="AU24" s="744">
        <v>0</v>
      </c>
      <c r="AV24" s="935">
        <v>0</v>
      </c>
      <c r="AW24" s="744">
        <f t="shared" si="51"/>
        <v>0</v>
      </c>
      <c r="AX24" s="888">
        <f t="shared" si="52"/>
        <v>0</v>
      </c>
      <c r="AY24" s="874"/>
      <c r="AZ24" s="744">
        <v>0</v>
      </c>
      <c r="BA24" s="744">
        <v>0</v>
      </c>
      <c r="BB24" s="744">
        <v>0</v>
      </c>
      <c r="BC24" s="744">
        <v>0</v>
      </c>
      <c r="BD24" s="744">
        <v>0</v>
      </c>
      <c r="BE24" s="744">
        <v>0</v>
      </c>
      <c r="BF24" s="744">
        <v>0</v>
      </c>
      <c r="BG24" s="744">
        <v>0</v>
      </c>
      <c r="BH24" s="935">
        <v>0</v>
      </c>
      <c r="BI24" s="744">
        <f t="shared" si="53"/>
        <v>0</v>
      </c>
      <c r="BJ24" s="888">
        <f t="shared" si="54"/>
        <v>0</v>
      </c>
      <c r="BK24" s="874"/>
      <c r="BL24" s="744">
        <v>0</v>
      </c>
      <c r="BM24" s="744">
        <v>0</v>
      </c>
      <c r="BN24" s="744">
        <v>0</v>
      </c>
      <c r="BO24" s="744">
        <v>0</v>
      </c>
      <c r="BP24" s="744">
        <v>0</v>
      </c>
      <c r="BQ24" s="744">
        <v>0</v>
      </c>
      <c r="BR24" s="744">
        <v>0</v>
      </c>
      <c r="BS24" s="744">
        <v>0</v>
      </c>
      <c r="BT24" s="935">
        <v>0</v>
      </c>
      <c r="BU24" s="744">
        <f t="shared" si="55"/>
        <v>0</v>
      </c>
      <c r="BV24" s="888">
        <f t="shared" si="56"/>
        <v>0</v>
      </c>
      <c r="BW24" s="874"/>
      <c r="BX24" s="744">
        <v>0</v>
      </c>
      <c r="BY24" s="744">
        <v>0</v>
      </c>
      <c r="BZ24" s="744">
        <v>0</v>
      </c>
      <c r="CA24" s="744">
        <v>0</v>
      </c>
      <c r="CB24" s="744">
        <v>0</v>
      </c>
      <c r="CC24" s="744">
        <v>0</v>
      </c>
      <c r="CD24" s="744">
        <v>0</v>
      </c>
      <c r="CE24" s="744">
        <v>0</v>
      </c>
      <c r="CF24" s="935">
        <v>0</v>
      </c>
      <c r="CG24" s="744">
        <f t="shared" si="57"/>
        <v>0</v>
      </c>
      <c r="CH24" s="888">
        <f t="shared" si="58"/>
        <v>0</v>
      </c>
      <c r="CI24" s="951"/>
      <c r="CJ24" s="957">
        <f t="shared" si="44"/>
        <v>0</v>
      </c>
      <c r="CK24" s="965">
        <f t="shared" si="45"/>
        <v>0</v>
      </c>
      <c r="CL24" s="746"/>
      <c r="CM24" s="816">
        <f t="shared" si="59"/>
        <v>1798</v>
      </c>
      <c r="CN24" s="757">
        <f t="shared" si="46"/>
        <v>5.9104578780437176E-4</v>
      </c>
      <c r="CO24" s="746"/>
      <c r="CP24" s="744"/>
      <c r="CQ24" s="756"/>
      <c r="CR24" s="874"/>
      <c r="CS24" s="816"/>
      <c r="CT24" s="757"/>
      <c r="CU24" s="874"/>
      <c r="CV24" s="897"/>
      <c r="CW24" s="902"/>
      <c r="CY24" s="750"/>
    </row>
    <row r="25" spans="1:103" hidden="1" outlineLevel="1">
      <c r="A25" s="734">
        <v>42359604</v>
      </c>
      <c r="B25" s="833" t="s">
        <v>190</v>
      </c>
      <c r="C25" s="874"/>
      <c r="D25" s="744">
        <v>0</v>
      </c>
      <c r="E25" s="744">
        <v>0</v>
      </c>
      <c r="F25" s="744">
        <v>0</v>
      </c>
      <c r="G25" s="744">
        <v>0</v>
      </c>
      <c r="H25" s="744">
        <v>6462</v>
      </c>
      <c r="I25" s="744">
        <v>0</v>
      </c>
      <c r="J25" s="744">
        <v>0</v>
      </c>
      <c r="K25" s="744">
        <v>0</v>
      </c>
      <c r="L25" s="935">
        <v>0</v>
      </c>
      <c r="M25" s="744">
        <f t="shared" ref="M25:M26" si="60">SUM(D25:L25)</f>
        <v>6462</v>
      </c>
      <c r="N25" s="888">
        <f t="shared" si="37"/>
        <v>1.2801895520525231E-2</v>
      </c>
      <c r="O25" s="874"/>
      <c r="P25" s="744">
        <v>0</v>
      </c>
      <c r="Q25" s="744">
        <v>0</v>
      </c>
      <c r="R25" s="744">
        <v>0</v>
      </c>
      <c r="S25" s="744">
        <v>0</v>
      </c>
      <c r="T25" s="744">
        <v>6354</v>
      </c>
      <c r="U25" s="744">
        <v>0</v>
      </c>
      <c r="V25" s="744">
        <v>0</v>
      </c>
      <c r="W25" s="744">
        <v>0</v>
      </c>
      <c r="X25" s="935">
        <v>0</v>
      </c>
      <c r="Y25" s="744">
        <f t="shared" si="47"/>
        <v>6354</v>
      </c>
      <c r="Z25" s="888">
        <f t="shared" si="48"/>
        <v>1.2073375110682107E-2</v>
      </c>
      <c r="AA25" s="874"/>
      <c r="AB25" s="744">
        <v>0</v>
      </c>
      <c r="AC25" s="744">
        <v>0</v>
      </c>
      <c r="AD25" s="744">
        <v>0</v>
      </c>
      <c r="AE25" s="744">
        <v>0</v>
      </c>
      <c r="AF25" s="744">
        <v>4222</v>
      </c>
      <c r="AG25" s="744">
        <v>0</v>
      </c>
      <c r="AH25" s="744">
        <v>0</v>
      </c>
      <c r="AI25" s="744">
        <v>0</v>
      </c>
      <c r="AJ25" s="935">
        <v>0</v>
      </c>
      <c r="AK25" s="744">
        <f t="shared" si="49"/>
        <v>4222</v>
      </c>
      <c r="AL25" s="888">
        <f t="shared" si="50"/>
        <v>8.2502027376916229E-3</v>
      </c>
      <c r="AM25" s="874"/>
      <c r="AN25" s="744">
        <v>0</v>
      </c>
      <c r="AO25" s="744">
        <v>0</v>
      </c>
      <c r="AP25" s="744">
        <v>0</v>
      </c>
      <c r="AQ25" s="744">
        <v>0</v>
      </c>
      <c r="AR25" s="744">
        <v>899</v>
      </c>
      <c r="AS25" s="744">
        <v>0</v>
      </c>
      <c r="AT25" s="744">
        <v>0</v>
      </c>
      <c r="AU25" s="744">
        <v>0</v>
      </c>
      <c r="AV25" s="935">
        <v>0</v>
      </c>
      <c r="AW25" s="744">
        <f t="shared" si="51"/>
        <v>899</v>
      </c>
      <c r="AX25" s="888">
        <f t="shared" si="52"/>
        <v>1.6929554973033234E-3</v>
      </c>
      <c r="AY25" s="874"/>
      <c r="AZ25" s="744">
        <v>0</v>
      </c>
      <c r="BA25" s="744">
        <v>0</v>
      </c>
      <c r="BB25" s="744">
        <v>0</v>
      </c>
      <c r="BC25" s="744">
        <v>0</v>
      </c>
      <c r="BD25" s="744">
        <v>899</v>
      </c>
      <c r="BE25" s="744">
        <v>0</v>
      </c>
      <c r="BF25" s="744">
        <v>0</v>
      </c>
      <c r="BG25" s="744">
        <v>0</v>
      </c>
      <c r="BH25" s="935">
        <v>104</v>
      </c>
      <c r="BI25" s="744">
        <f t="shared" si="53"/>
        <v>1003</v>
      </c>
      <c r="BJ25" s="888">
        <f t="shared" si="54"/>
        <v>2.022405755488523E-3</v>
      </c>
      <c r="BK25" s="874"/>
      <c r="BL25" s="744">
        <v>0</v>
      </c>
      <c r="BM25" s="744">
        <v>0</v>
      </c>
      <c r="BN25" s="744">
        <v>0</v>
      </c>
      <c r="BO25" s="744">
        <v>0</v>
      </c>
      <c r="BP25" s="744">
        <v>990</v>
      </c>
      <c r="BQ25" s="744">
        <v>0</v>
      </c>
      <c r="BR25" s="744">
        <v>627</v>
      </c>
      <c r="BS25" s="744">
        <v>0</v>
      </c>
      <c r="BT25" s="935">
        <v>0</v>
      </c>
      <c r="BU25" s="744">
        <f t="shared" si="55"/>
        <v>1617</v>
      </c>
      <c r="BV25" s="888">
        <f t="shared" si="56"/>
        <v>3.2530367711849743E-3</v>
      </c>
      <c r="BW25" s="874"/>
      <c r="BX25" s="744">
        <v>0</v>
      </c>
      <c r="BY25" s="744">
        <v>0</v>
      </c>
      <c r="BZ25" s="744">
        <v>0</v>
      </c>
      <c r="CA25" s="744">
        <v>0</v>
      </c>
      <c r="CB25" s="744">
        <v>899</v>
      </c>
      <c r="CC25" s="744">
        <v>0</v>
      </c>
      <c r="CD25" s="744">
        <v>0</v>
      </c>
      <c r="CE25" s="744">
        <v>0</v>
      </c>
      <c r="CF25" s="935">
        <v>0</v>
      </c>
      <c r="CG25" s="744">
        <f t="shared" si="57"/>
        <v>899</v>
      </c>
      <c r="CH25" s="888">
        <f t="shared" si="58"/>
        <v>1.8729634907539356E-3</v>
      </c>
      <c r="CI25" s="951"/>
      <c r="CJ25" s="957">
        <f t="shared" si="44"/>
        <v>-718</v>
      </c>
      <c r="CK25" s="965">
        <f t="shared" si="45"/>
        <v>-0.44403215831787263</v>
      </c>
      <c r="CL25" s="746"/>
      <c r="CM25" s="816">
        <f t="shared" si="59"/>
        <v>14994</v>
      </c>
      <c r="CN25" s="757">
        <f t="shared" si="46"/>
        <v>4.9288879545821744E-3</v>
      </c>
      <c r="CO25" s="746"/>
      <c r="CP25" s="744">
        <f>+DATOS!F99</f>
        <v>1421</v>
      </c>
      <c r="CQ25" s="756">
        <f t="shared" si="0"/>
        <v>2.7581709114871704E-3</v>
      </c>
      <c r="CR25" s="874"/>
      <c r="CS25" s="816">
        <f>+DATOS!G99</f>
        <v>4161</v>
      </c>
      <c r="CT25" s="757">
        <f>+CS25/CS$13</f>
        <v>1.4158202000216064E-3</v>
      </c>
      <c r="CU25" s="874"/>
      <c r="CV25" s="897">
        <f t="shared" ref="CV25:CV51" si="61">+CM25-CS25</f>
        <v>10833</v>
      </c>
      <c r="CW25" s="902">
        <f t="shared" si="1"/>
        <v>2.6034607065609228</v>
      </c>
      <c r="CY25" s="750"/>
    </row>
    <row r="26" spans="1:103" hidden="1" outlineLevel="1">
      <c r="A26" s="734">
        <v>42505001</v>
      </c>
      <c r="B26" s="838" t="s">
        <v>70</v>
      </c>
      <c r="C26" s="874"/>
      <c r="D26" s="744">
        <v>0</v>
      </c>
      <c r="E26" s="744">
        <v>0</v>
      </c>
      <c r="F26" s="744">
        <v>0</v>
      </c>
      <c r="G26" s="744">
        <v>0</v>
      </c>
      <c r="H26" s="744">
        <v>0</v>
      </c>
      <c r="I26" s="744">
        <v>0</v>
      </c>
      <c r="J26" s="744">
        <v>0</v>
      </c>
      <c r="K26" s="744">
        <v>0</v>
      </c>
      <c r="L26" s="935">
        <v>0</v>
      </c>
      <c r="M26" s="744">
        <f t="shared" si="60"/>
        <v>0</v>
      </c>
      <c r="N26" s="888">
        <f t="shared" si="37"/>
        <v>0</v>
      </c>
      <c r="O26" s="874"/>
      <c r="P26" s="744">
        <v>0</v>
      </c>
      <c r="Q26" s="744">
        <v>0</v>
      </c>
      <c r="R26" s="744">
        <v>0</v>
      </c>
      <c r="S26" s="744">
        <v>0</v>
      </c>
      <c r="T26" s="744">
        <v>0</v>
      </c>
      <c r="U26" s="744">
        <v>0</v>
      </c>
      <c r="V26" s="744">
        <v>0</v>
      </c>
      <c r="W26" s="744">
        <v>0</v>
      </c>
      <c r="X26" s="935">
        <v>0</v>
      </c>
      <c r="Y26" s="744">
        <f t="shared" ref="Y26" si="62">SUM(P26:X26)</f>
        <v>0</v>
      </c>
      <c r="Z26" s="888">
        <f t="shared" si="48"/>
        <v>0</v>
      </c>
      <c r="AA26" s="874"/>
      <c r="AB26" s="744">
        <v>0</v>
      </c>
      <c r="AC26" s="744">
        <v>0</v>
      </c>
      <c r="AD26" s="744">
        <v>0</v>
      </c>
      <c r="AE26" s="744">
        <v>0</v>
      </c>
      <c r="AF26" s="744">
        <v>0</v>
      </c>
      <c r="AG26" s="744">
        <v>0</v>
      </c>
      <c r="AH26" s="744">
        <v>0</v>
      </c>
      <c r="AI26" s="744">
        <v>0</v>
      </c>
      <c r="AJ26" s="935">
        <v>0</v>
      </c>
      <c r="AK26" s="744">
        <f t="shared" si="49"/>
        <v>0</v>
      </c>
      <c r="AL26" s="888">
        <f t="shared" si="50"/>
        <v>0</v>
      </c>
      <c r="AM26" s="874"/>
      <c r="AN26" s="744">
        <v>0</v>
      </c>
      <c r="AO26" s="744">
        <v>0</v>
      </c>
      <c r="AP26" s="744">
        <v>0</v>
      </c>
      <c r="AQ26" s="744">
        <v>0</v>
      </c>
      <c r="AR26" s="744">
        <v>0</v>
      </c>
      <c r="AS26" s="744">
        <v>0</v>
      </c>
      <c r="AT26" s="744">
        <v>0</v>
      </c>
      <c r="AU26" s="744">
        <v>0</v>
      </c>
      <c r="AV26" s="935">
        <v>0</v>
      </c>
      <c r="AW26" s="744">
        <f t="shared" si="51"/>
        <v>0</v>
      </c>
      <c r="AX26" s="888">
        <f t="shared" si="52"/>
        <v>0</v>
      </c>
      <c r="AY26" s="874"/>
      <c r="AZ26" s="744">
        <v>0</v>
      </c>
      <c r="BA26" s="744">
        <v>0</v>
      </c>
      <c r="BB26" s="744">
        <v>0</v>
      </c>
      <c r="BC26" s="744">
        <v>0</v>
      </c>
      <c r="BD26" s="744">
        <v>0</v>
      </c>
      <c r="BE26" s="744">
        <v>0</v>
      </c>
      <c r="BF26" s="744">
        <v>0</v>
      </c>
      <c r="BG26" s="744">
        <v>0</v>
      </c>
      <c r="BH26" s="935">
        <v>0</v>
      </c>
      <c r="BI26" s="744">
        <f t="shared" si="53"/>
        <v>0</v>
      </c>
      <c r="BJ26" s="888">
        <f t="shared" si="54"/>
        <v>0</v>
      </c>
      <c r="BK26" s="874"/>
      <c r="BL26" s="744">
        <v>0</v>
      </c>
      <c r="BM26" s="744">
        <v>0</v>
      </c>
      <c r="BN26" s="744">
        <v>0</v>
      </c>
      <c r="BO26" s="744">
        <v>0</v>
      </c>
      <c r="BP26" s="744">
        <v>0</v>
      </c>
      <c r="BQ26" s="744">
        <v>0</v>
      </c>
      <c r="BR26" s="744">
        <v>0</v>
      </c>
      <c r="BS26" s="744">
        <v>0</v>
      </c>
      <c r="BT26" s="935">
        <v>0</v>
      </c>
      <c r="BU26" s="744">
        <f t="shared" si="55"/>
        <v>0</v>
      </c>
      <c r="BV26" s="888">
        <f t="shared" si="56"/>
        <v>0</v>
      </c>
      <c r="BW26" s="874"/>
      <c r="BX26" s="744">
        <v>0</v>
      </c>
      <c r="BY26" s="744">
        <v>0</v>
      </c>
      <c r="BZ26" s="744">
        <v>0</v>
      </c>
      <c r="CA26" s="744">
        <v>0</v>
      </c>
      <c r="CB26" s="744">
        <v>0</v>
      </c>
      <c r="CC26" s="744">
        <v>0</v>
      </c>
      <c r="CD26" s="744">
        <v>0</v>
      </c>
      <c r="CE26" s="744">
        <v>0</v>
      </c>
      <c r="CF26" s="935">
        <v>0</v>
      </c>
      <c r="CG26" s="744">
        <f t="shared" si="57"/>
        <v>0</v>
      </c>
      <c r="CH26" s="888">
        <f t="shared" si="58"/>
        <v>0</v>
      </c>
      <c r="CI26" s="874"/>
      <c r="CJ26" s="957">
        <f t="shared" si="44"/>
        <v>0</v>
      </c>
      <c r="CK26" s="965">
        <f t="shared" si="45"/>
        <v>0</v>
      </c>
      <c r="CL26" s="746"/>
      <c r="CM26" s="816">
        <f t="shared" si="59"/>
        <v>0</v>
      </c>
      <c r="CN26" s="757">
        <f>+CM26/CM$13</f>
        <v>0</v>
      </c>
      <c r="CO26" s="746"/>
      <c r="CP26" s="744">
        <f>+DATOS!F101</f>
        <v>4</v>
      </c>
      <c r="CQ26" s="756">
        <f t="shared" si="0"/>
        <v>7.7640279000342579E-6</v>
      </c>
      <c r="CR26" s="874"/>
      <c r="CS26" s="816"/>
      <c r="CT26" s="757">
        <f t="shared" ref="CT26:CT30" si="63">+CS26/CS$13</f>
        <v>0</v>
      </c>
      <c r="CU26" s="874"/>
      <c r="CV26" s="897">
        <f t="shared" si="61"/>
        <v>0</v>
      </c>
      <c r="CW26" s="902">
        <f t="shared" si="1"/>
        <v>0</v>
      </c>
      <c r="CY26" s="750"/>
    </row>
    <row r="27" spans="1:103" hidden="1" outlineLevel="1">
      <c r="A27" s="734">
        <v>42505003</v>
      </c>
      <c r="B27" s="838" t="s">
        <v>951</v>
      </c>
      <c r="C27" s="874"/>
      <c r="D27" s="744">
        <v>0</v>
      </c>
      <c r="E27" s="744">
        <v>0</v>
      </c>
      <c r="F27" s="744">
        <v>0</v>
      </c>
      <c r="G27" s="744">
        <v>0</v>
      </c>
      <c r="H27" s="744">
        <v>1</v>
      </c>
      <c r="I27" s="744">
        <v>0</v>
      </c>
      <c r="J27" s="744">
        <v>3</v>
      </c>
      <c r="K27" s="744">
        <v>0</v>
      </c>
      <c r="L27" s="935">
        <v>0</v>
      </c>
      <c r="M27" s="744">
        <f>SUM(D27:L27)</f>
        <v>4</v>
      </c>
      <c r="N27" s="889">
        <f t="shared" si="37"/>
        <v>7.9244169114981315E-6</v>
      </c>
      <c r="O27" s="874"/>
      <c r="P27" s="744">
        <v>0</v>
      </c>
      <c r="Q27" s="744">
        <v>0</v>
      </c>
      <c r="R27" s="744">
        <v>0</v>
      </c>
      <c r="S27" s="744">
        <v>0</v>
      </c>
      <c r="T27" s="744">
        <v>1</v>
      </c>
      <c r="U27" s="744">
        <v>0</v>
      </c>
      <c r="V27" s="744">
        <v>3</v>
      </c>
      <c r="W27" s="744">
        <v>0</v>
      </c>
      <c r="X27" s="935">
        <v>0</v>
      </c>
      <c r="Y27" s="744">
        <f>SUM(P27:X27)</f>
        <v>4</v>
      </c>
      <c r="Z27" s="889">
        <f t="shared" ref="Z27:Z58" si="64">+Y27/Y$13</f>
        <v>7.6004879513264748E-6</v>
      </c>
      <c r="AA27" s="874"/>
      <c r="AB27" s="744">
        <v>0</v>
      </c>
      <c r="AC27" s="744">
        <v>0</v>
      </c>
      <c r="AD27" s="744">
        <v>0</v>
      </c>
      <c r="AE27" s="744">
        <v>0</v>
      </c>
      <c r="AF27" s="744">
        <v>1</v>
      </c>
      <c r="AG27" s="744">
        <v>0</v>
      </c>
      <c r="AH27" s="744">
        <v>3</v>
      </c>
      <c r="AI27" s="744">
        <v>0</v>
      </c>
      <c r="AJ27" s="935">
        <v>0</v>
      </c>
      <c r="AK27" s="744">
        <f>SUM(AB27:AJ27)</f>
        <v>4</v>
      </c>
      <c r="AL27" s="889">
        <f t="shared" si="50"/>
        <v>7.8163929300725948E-6</v>
      </c>
      <c r="AM27" s="874"/>
      <c r="AN27" s="744">
        <v>0</v>
      </c>
      <c r="AO27" s="744">
        <v>0</v>
      </c>
      <c r="AP27" s="744">
        <v>0</v>
      </c>
      <c r="AQ27" s="744">
        <v>0</v>
      </c>
      <c r="AR27" s="744">
        <v>1</v>
      </c>
      <c r="AS27" s="744">
        <v>0</v>
      </c>
      <c r="AT27" s="744">
        <v>3</v>
      </c>
      <c r="AU27" s="744">
        <v>0</v>
      </c>
      <c r="AV27" s="935">
        <v>0</v>
      </c>
      <c r="AW27" s="744">
        <f>SUM(AN27:AV27)</f>
        <v>4</v>
      </c>
      <c r="AX27" s="889">
        <f t="shared" si="52"/>
        <v>7.5326162282684024E-6</v>
      </c>
      <c r="AY27" s="874"/>
      <c r="AZ27" s="744">
        <v>0</v>
      </c>
      <c r="BA27" s="744">
        <v>0</v>
      </c>
      <c r="BB27" s="744">
        <v>0</v>
      </c>
      <c r="BC27" s="744">
        <v>0</v>
      </c>
      <c r="BD27" s="744">
        <v>1</v>
      </c>
      <c r="BE27" s="744">
        <v>0</v>
      </c>
      <c r="BF27" s="744">
        <v>3</v>
      </c>
      <c r="BG27" s="744">
        <v>0</v>
      </c>
      <c r="BH27" s="935">
        <v>0</v>
      </c>
      <c r="BI27" s="744">
        <f>SUM(AZ27:BH27)</f>
        <v>4</v>
      </c>
      <c r="BJ27" s="889">
        <f t="shared" si="54"/>
        <v>8.0654267417289051E-6</v>
      </c>
      <c r="BK27" s="874"/>
      <c r="BL27" s="744">
        <v>0</v>
      </c>
      <c r="BM27" s="744">
        <v>0</v>
      </c>
      <c r="BN27" s="744">
        <v>0</v>
      </c>
      <c r="BO27" s="744">
        <v>0</v>
      </c>
      <c r="BP27" s="744">
        <v>1</v>
      </c>
      <c r="BQ27" s="744">
        <v>0</v>
      </c>
      <c r="BR27" s="744">
        <v>3</v>
      </c>
      <c r="BS27" s="744">
        <v>0</v>
      </c>
      <c r="BT27" s="935">
        <v>0</v>
      </c>
      <c r="BU27" s="744">
        <f>SUM(BL27:BT27)</f>
        <v>4</v>
      </c>
      <c r="BV27" s="889">
        <f t="shared" si="56"/>
        <v>8.0470915799257253E-6</v>
      </c>
      <c r="BW27" s="874"/>
      <c r="BX27" s="744">
        <v>0</v>
      </c>
      <c r="BY27" s="744">
        <v>0</v>
      </c>
      <c r="BZ27" s="744">
        <v>0</v>
      </c>
      <c r="CA27" s="744">
        <v>0</v>
      </c>
      <c r="CB27" s="744">
        <v>1</v>
      </c>
      <c r="CC27" s="744">
        <v>0</v>
      </c>
      <c r="CD27" s="744">
        <v>3</v>
      </c>
      <c r="CE27" s="744">
        <v>0</v>
      </c>
      <c r="CF27" s="935">
        <v>0</v>
      </c>
      <c r="CG27" s="744">
        <f>SUM(BX27:CF27)</f>
        <v>4</v>
      </c>
      <c r="CH27" s="889">
        <f t="shared" si="58"/>
        <v>8.3335416718751307E-6</v>
      </c>
      <c r="CI27" s="880"/>
      <c r="CJ27" s="957">
        <f t="shared" si="44"/>
        <v>0</v>
      </c>
      <c r="CK27" s="965">
        <f t="shared" si="45"/>
        <v>0</v>
      </c>
      <c r="CL27" s="768"/>
      <c r="CM27" s="816">
        <f t="shared" si="59"/>
        <v>24</v>
      </c>
      <c r="CN27" s="769">
        <f t="shared" ref="CN27:CN31" si="65">+CM27/CM$13</f>
        <v>7.8893764779226488E-6</v>
      </c>
      <c r="CO27" s="768"/>
      <c r="CP27" s="744">
        <v>0</v>
      </c>
      <c r="CQ27" s="756">
        <f t="shared" si="0"/>
        <v>0</v>
      </c>
      <c r="CR27" s="880"/>
      <c r="CS27" s="816">
        <f>+DATOS!G101</f>
        <v>20</v>
      </c>
      <c r="CT27" s="757">
        <f t="shared" si="63"/>
        <v>6.8051920212526143E-6</v>
      </c>
      <c r="CU27" s="880"/>
      <c r="CV27" s="897">
        <f t="shared" si="61"/>
        <v>4</v>
      </c>
      <c r="CW27" s="907">
        <f t="shared" si="1"/>
        <v>0.2</v>
      </c>
      <c r="CY27" s="750"/>
    </row>
    <row r="28" spans="1:103" hidden="1" outlineLevel="1">
      <c r="A28" s="734">
        <v>42554001</v>
      </c>
      <c r="B28" s="833" t="s">
        <v>243</v>
      </c>
      <c r="C28" s="874"/>
      <c r="D28" s="744">
        <v>0</v>
      </c>
      <c r="E28" s="744">
        <v>0</v>
      </c>
      <c r="F28" s="744">
        <v>0</v>
      </c>
      <c r="G28" s="744">
        <v>0</v>
      </c>
      <c r="H28" s="744">
        <v>0</v>
      </c>
      <c r="I28" s="744">
        <v>0</v>
      </c>
      <c r="J28" s="744">
        <v>0</v>
      </c>
      <c r="K28" s="744">
        <v>0</v>
      </c>
      <c r="L28" s="935">
        <v>0</v>
      </c>
      <c r="M28" s="744">
        <f t="shared" ref="M28:M31" si="66">SUM(D28:L28)</f>
        <v>0</v>
      </c>
      <c r="N28" s="889">
        <f t="shared" si="37"/>
        <v>0</v>
      </c>
      <c r="O28" s="874"/>
      <c r="P28" s="744">
        <v>0</v>
      </c>
      <c r="Q28" s="744">
        <v>0</v>
      </c>
      <c r="R28" s="744">
        <v>0</v>
      </c>
      <c r="S28" s="744">
        <v>0</v>
      </c>
      <c r="T28" s="744">
        <v>0</v>
      </c>
      <c r="U28" s="744">
        <v>0</v>
      </c>
      <c r="V28" s="744">
        <v>0</v>
      </c>
      <c r="W28" s="744">
        <v>0</v>
      </c>
      <c r="X28" s="935">
        <v>0</v>
      </c>
      <c r="Y28" s="744">
        <f t="shared" ref="Y28:Y31" si="67">SUM(P28:X28)</f>
        <v>0</v>
      </c>
      <c r="Z28" s="889">
        <f t="shared" si="64"/>
        <v>0</v>
      </c>
      <c r="AA28" s="874"/>
      <c r="AB28" s="744">
        <v>0</v>
      </c>
      <c r="AC28" s="744">
        <v>0</v>
      </c>
      <c r="AD28" s="744">
        <v>0</v>
      </c>
      <c r="AE28" s="744">
        <v>0</v>
      </c>
      <c r="AF28" s="744">
        <v>0</v>
      </c>
      <c r="AG28" s="744">
        <v>0</v>
      </c>
      <c r="AH28" s="744">
        <v>0</v>
      </c>
      <c r="AI28" s="744">
        <v>0</v>
      </c>
      <c r="AJ28" s="935">
        <v>0</v>
      </c>
      <c r="AK28" s="744">
        <f t="shared" ref="AK28:AK31" si="68">SUM(AB28:AJ28)</f>
        <v>0</v>
      </c>
      <c r="AL28" s="889">
        <f t="shared" si="50"/>
        <v>0</v>
      </c>
      <c r="AM28" s="874"/>
      <c r="AN28" s="744">
        <v>0</v>
      </c>
      <c r="AO28" s="744">
        <v>47</v>
      </c>
      <c r="AP28" s="744">
        <v>0</v>
      </c>
      <c r="AQ28" s="744">
        <v>0</v>
      </c>
      <c r="AR28" s="744">
        <v>0</v>
      </c>
      <c r="AS28" s="744">
        <v>0</v>
      </c>
      <c r="AT28" s="744">
        <v>0</v>
      </c>
      <c r="AU28" s="744">
        <v>0</v>
      </c>
      <c r="AV28" s="935">
        <v>0</v>
      </c>
      <c r="AW28" s="744">
        <f t="shared" ref="AW28:AW31" si="69">SUM(AN28:AV28)</f>
        <v>47</v>
      </c>
      <c r="AX28" s="889">
        <f t="shared" si="52"/>
        <v>8.8508240682153732E-5</v>
      </c>
      <c r="AY28" s="874"/>
      <c r="AZ28" s="744">
        <v>0</v>
      </c>
      <c r="BA28" s="744">
        <v>226</v>
      </c>
      <c r="BB28" s="744">
        <v>0</v>
      </c>
      <c r="BC28" s="744">
        <v>0</v>
      </c>
      <c r="BD28" s="744">
        <v>0</v>
      </c>
      <c r="BE28" s="744">
        <v>0</v>
      </c>
      <c r="BF28" s="744">
        <v>0</v>
      </c>
      <c r="BG28" s="744">
        <v>0</v>
      </c>
      <c r="BH28" s="935">
        <v>0</v>
      </c>
      <c r="BI28" s="744">
        <f t="shared" ref="BI28:BI31" si="70">SUM(AZ28:BH28)</f>
        <v>226</v>
      </c>
      <c r="BJ28" s="889">
        <f t="shared" si="54"/>
        <v>4.5569661090768312E-4</v>
      </c>
      <c r="BK28" s="874"/>
      <c r="BL28" s="744">
        <v>332</v>
      </c>
      <c r="BM28" s="744">
        <v>0</v>
      </c>
      <c r="BN28" s="744">
        <v>0</v>
      </c>
      <c r="BO28" s="744">
        <v>0</v>
      </c>
      <c r="BP28" s="744">
        <v>0</v>
      </c>
      <c r="BQ28" s="744">
        <v>0</v>
      </c>
      <c r="BR28" s="744">
        <v>0</v>
      </c>
      <c r="BS28" s="744">
        <v>0</v>
      </c>
      <c r="BT28" s="935">
        <v>0</v>
      </c>
      <c r="BU28" s="744">
        <f t="shared" ref="BU28:BU31" si="71">SUM(BL28:BT28)</f>
        <v>332</v>
      </c>
      <c r="BV28" s="889">
        <f t="shared" si="56"/>
        <v>6.6790860113383524E-4</v>
      </c>
      <c r="BW28" s="874"/>
      <c r="BX28" s="744">
        <v>0</v>
      </c>
      <c r="BY28" s="744">
        <v>0</v>
      </c>
      <c r="BZ28" s="744">
        <v>0</v>
      </c>
      <c r="CA28" s="744">
        <v>0</v>
      </c>
      <c r="CB28" s="744">
        <v>0</v>
      </c>
      <c r="CC28" s="744">
        <v>0</v>
      </c>
      <c r="CD28" s="744">
        <v>0</v>
      </c>
      <c r="CE28" s="744">
        <v>0</v>
      </c>
      <c r="CF28" s="935">
        <v>0</v>
      </c>
      <c r="CG28" s="744">
        <f t="shared" ref="CG28:CG31" si="72">SUM(BX28:CF28)</f>
        <v>0</v>
      </c>
      <c r="CH28" s="889">
        <f t="shared" si="58"/>
        <v>0</v>
      </c>
      <c r="CI28" s="880"/>
      <c r="CJ28" s="957">
        <f t="shared" si="44"/>
        <v>-332</v>
      </c>
      <c r="CK28" s="965">
        <f t="shared" si="45"/>
        <v>-1</v>
      </c>
      <c r="CL28" s="768"/>
      <c r="CM28" s="816">
        <f t="shared" si="59"/>
        <v>605</v>
      </c>
      <c r="CN28" s="769">
        <f t="shared" si="65"/>
        <v>1.9887803204763342E-4</v>
      </c>
      <c r="CO28" s="768"/>
      <c r="CP28" s="744">
        <f>+DATOS!F102</f>
        <v>0</v>
      </c>
      <c r="CQ28" s="756">
        <f t="shared" si="0"/>
        <v>0</v>
      </c>
      <c r="CR28" s="880"/>
      <c r="CS28" s="816">
        <f>+DATOS!G102</f>
        <v>1051</v>
      </c>
      <c r="CT28" s="757">
        <f t="shared" si="63"/>
        <v>3.5761284071682492E-4</v>
      </c>
      <c r="CU28" s="880"/>
      <c r="CV28" s="897">
        <f t="shared" si="61"/>
        <v>-446</v>
      </c>
      <c r="CW28" s="907">
        <f t="shared" si="1"/>
        <v>-0.42435775451950525</v>
      </c>
      <c r="CY28" s="750"/>
    </row>
    <row r="29" spans="1:103" s="770" customFormat="1" hidden="1" outlineLevel="1">
      <c r="A29" s="734">
        <v>42950501</v>
      </c>
      <c r="B29" s="833" t="s">
        <v>952</v>
      </c>
      <c r="C29" s="874"/>
      <c r="D29" s="744">
        <v>0</v>
      </c>
      <c r="E29" s="744">
        <v>0</v>
      </c>
      <c r="F29" s="744">
        <v>22</v>
      </c>
      <c r="G29" s="744">
        <v>0</v>
      </c>
      <c r="H29" s="744">
        <v>0</v>
      </c>
      <c r="I29" s="744">
        <v>0</v>
      </c>
      <c r="J29" s="744">
        <v>0</v>
      </c>
      <c r="K29" s="744">
        <v>0</v>
      </c>
      <c r="L29" s="935">
        <v>0</v>
      </c>
      <c r="M29" s="744">
        <f t="shared" si="66"/>
        <v>22</v>
      </c>
      <c r="N29" s="888">
        <f t="shared" si="37"/>
        <v>4.3584293013239718E-5</v>
      </c>
      <c r="O29" s="874"/>
      <c r="P29" s="744">
        <v>0</v>
      </c>
      <c r="Q29" s="744">
        <v>0</v>
      </c>
      <c r="R29" s="744">
        <v>0</v>
      </c>
      <c r="S29" s="744">
        <v>0</v>
      </c>
      <c r="T29" s="744">
        <v>0</v>
      </c>
      <c r="U29" s="744">
        <v>0</v>
      </c>
      <c r="V29" s="744">
        <v>0</v>
      </c>
      <c r="W29" s="744">
        <v>0</v>
      </c>
      <c r="X29" s="935">
        <v>0</v>
      </c>
      <c r="Y29" s="744">
        <f t="shared" si="67"/>
        <v>0</v>
      </c>
      <c r="Z29" s="888">
        <f t="shared" si="64"/>
        <v>0</v>
      </c>
      <c r="AA29" s="874"/>
      <c r="AB29" s="744">
        <v>0</v>
      </c>
      <c r="AC29" s="744">
        <v>0</v>
      </c>
      <c r="AD29" s="744">
        <v>8</v>
      </c>
      <c r="AE29" s="744">
        <v>0</v>
      </c>
      <c r="AF29" s="744">
        <v>0</v>
      </c>
      <c r="AG29" s="744">
        <v>0</v>
      </c>
      <c r="AH29" s="744">
        <v>0</v>
      </c>
      <c r="AI29" s="744">
        <v>0</v>
      </c>
      <c r="AJ29" s="935">
        <v>0</v>
      </c>
      <c r="AK29" s="744">
        <f t="shared" si="68"/>
        <v>8</v>
      </c>
      <c r="AL29" s="888">
        <f t="shared" si="50"/>
        <v>1.563278586014519E-5</v>
      </c>
      <c r="AM29" s="874"/>
      <c r="AN29" s="744">
        <v>0</v>
      </c>
      <c r="AO29" s="744">
        <v>0</v>
      </c>
      <c r="AP29" s="744">
        <v>0</v>
      </c>
      <c r="AQ29" s="744">
        <v>0</v>
      </c>
      <c r="AR29" s="744">
        <v>0</v>
      </c>
      <c r="AS29" s="744">
        <v>0</v>
      </c>
      <c r="AT29" s="744">
        <v>0</v>
      </c>
      <c r="AU29" s="744">
        <v>0</v>
      </c>
      <c r="AV29" s="935">
        <v>0</v>
      </c>
      <c r="AW29" s="744">
        <f t="shared" si="69"/>
        <v>0</v>
      </c>
      <c r="AX29" s="888">
        <f t="shared" si="52"/>
        <v>0</v>
      </c>
      <c r="AY29" s="874"/>
      <c r="AZ29" s="744">
        <v>0</v>
      </c>
      <c r="BA29" s="744">
        <v>400</v>
      </c>
      <c r="BB29" s="744">
        <v>30</v>
      </c>
      <c r="BC29" s="744">
        <v>0</v>
      </c>
      <c r="BD29" s="744">
        <v>0</v>
      </c>
      <c r="BE29" s="744">
        <v>0</v>
      </c>
      <c r="BF29" s="744">
        <v>0</v>
      </c>
      <c r="BG29" s="744">
        <v>0</v>
      </c>
      <c r="BH29" s="935">
        <v>0</v>
      </c>
      <c r="BI29" s="744">
        <f t="shared" si="70"/>
        <v>430</v>
      </c>
      <c r="BJ29" s="888">
        <f t="shared" si="54"/>
        <v>8.6703337473585727E-4</v>
      </c>
      <c r="BK29" s="874"/>
      <c r="BL29" s="744">
        <v>0</v>
      </c>
      <c r="BM29" s="744">
        <v>0</v>
      </c>
      <c r="BN29" s="744">
        <v>0</v>
      </c>
      <c r="BO29" s="744">
        <v>0</v>
      </c>
      <c r="BP29" s="744">
        <v>0</v>
      </c>
      <c r="BQ29" s="744">
        <v>0</v>
      </c>
      <c r="BR29" s="744">
        <v>0</v>
      </c>
      <c r="BS29" s="744">
        <v>0</v>
      </c>
      <c r="BT29" s="935">
        <v>0</v>
      </c>
      <c r="BU29" s="744">
        <f t="shared" si="71"/>
        <v>0</v>
      </c>
      <c r="BV29" s="888">
        <f t="shared" si="56"/>
        <v>0</v>
      </c>
      <c r="BW29" s="874"/>
      <c r="BX29" s="744">
        <v>0</v>
      </c>
      <c r="BY29" s="744">
        <v>0</v>
      </c>
      <c r="BZ29" s="744">
        <v>42</v>
      </c>
      <c r="CA29" s="744">
        <v>0</v>
      </c>
      <c r="CB29" s="744">
        <v>35</v>
      </c>
      <c r="CC29" s="744">
        <v>0</v>
      </c>
      <c r="CD29" s="744">
        <v>0</v>
      </c>
      <c r="CE29" s="744">
        <v>0</v>
      </c>
      <c r="CF29" s="935">
        <v>0</v>
      </c>
      <c r="CG29" s="744">
        <f t="shared" si="72"/>
        <v>77</v>
      </c>
      <c r="CH29" s="888">
        <f t="shared" si="58"/>
        <v>1.6042067718359627E-4</v>
      </c>
      <c r="CI29" s="874"/>
      <c r="CJ29" s="957">
        <f t="shared" si="44"/>
        <v>77</v>
      </c>
      <c r="CK29" s="965">
        <f t="shared" si="45"/>
        <v>0</v>
      </c>
      <c r="CL29" s="746"/>
      <c r="CM29" s="816">
        <f t="shared" si="59"/>
        <v>515</v>
      </c>
      <c r="CN29" s="757">
        <f t="shared" si="65"/>
        <v>1.692928702554235E-4</v>
      </c>
      <c r="CO29" s="746"/>
      <c r="CP29" s="744">
        <v>0</v>
      </c>
      <c r="CQ29" s="756">
        <f t="shared" si="0"/>
        <v>0</v>
      </c>
      <c r="CR29" s="874"/>
      <c r="CS29" s="816">
        <v>0</v>
      </c>
      <c r="CT29" s="757">
        <f t="shared" si="63"/>
        <v>0</v>
      </c>
      <c r="CU29" s="874"/>
      <c r="CV29" s="897">
        <f t="shared" si="61"/>
        <v>515</v>
      </c>
      <c r="CW29" s="902">
        <f t="shared" si="1"/>
        <v>0</v>
      </c>
      <c r="CY29" s="771"/>
    </row>
    <row r="30" spans="1:103" hidden="1" outlineLevel="1">
      <c r="A30" s="734">
        <v>42951601</v>
      </c>
      <c r="B30" s="833" t="s">
        <v>953</v>
      </c>
      <c r="C30" s="874"/>
      <c r="D30" s="744">
        <v>35</v>
      </c>
      <c r="E30" s="744">
        <v>44</v>
      </c>
      <c r="F30" s="744">
        <v>43</v>
      </c>
      <c r="G30" s="744">
        <v>236</v>
      </c>
      <c r="H30" s="744">
        <v>63</v>
      </c>
      <c r="I30" s="744">
        <v>209</v>
      </c>
      <c r="J30" s="744">
        <v>60</v>
      </c>
      <c r="K30" s="744">
        <v>0</v>
      </c>
      <c r="L30" s="935">
        <v>70</v>
      </c>
      <c r="M30" s="744">
        <f t="shared" si="66"/>
        <v>760</v>
      </c>
      <c r="N30" s="888">
        <f t="shared" si="37"/>
        <v>1.5056392131846449E-3</v>
      </c>
      <c r="O30" s="874"/>
      <c r="P30" s="744">
        <v>41</v>
      </c>
      <c r="Q30" s="744">
        <v>118</v>
      </c>
      <c r="R30" s="744">
        <v>18</v>
      </c>
      <c r="S30" s="744">
        <v>50</v>
      </c>
      <c r="T30" s="744">
        <v>168</v>
      </c>
      <c r="U30" s="744">
        <v>178</v>
      </c>
      <c r="V30" s="744">
        <v>78</v>
      </c>
      <c r="W30" s="744">
        <v>0</v>
      </c>
      <c r="X30" s="935">
        <v>61</v>
      </c>
      <c r="Y30" s="744">
        <f t="shared" si="67"/>
        <v>712</v>
      </c>
      <c r="Z30" s="888">
        <f t="shared" si="64"/>
        <v>1.3528868553361127E-3</v>
      </c>
      <c r="AA30" s="874"/>
      <c r="AB30" s="744">
        <v>15</v>
      </c>
      <c r="AC30" s="744">
        <v>125</v>
      </c>
      <c r="AD30" s="744">
        <v>29</v>
      </c>
      <c r="AE30" s="744">
        <v>69</v>
      </c>
      <c r="AF30" s="744">
        <v>40</v>
      </c>
      <c r="AG30" s="744">
        <v>295</v>
      </c>
      <c r="AH30" s="744">
        <v>102</v>
      </c>
      <c r="AI30" s="744">
        <v>0</v>
      </c>
      <c r="AJ30" s="935">
        <v>50</v>
      </c>
      <c r="AK30" s="744">
        <f t="shared" si="68"/>
        <v>725</v>
      </c>
      <c r="AL30" s="888">
        <f t="shared" si="50"/>
        <v>1.4167212185756577E-3</v>
      </c>
      <c r="AM30" s="874"/>
      <c r="AN30" s="744">
        <v>81</v>
      </c>
      <c r="AO30" s="744">
        <v>109</v>
      </c>
      <c r="AP30" s="744">
        <v>74</v>
      </c>
      <c r="AQ30" s="744">
        <v>37</v>
      </c>
      <c r="AR30" s="744">
        <v>113</v>
      </c>
      <c r="AS30" s="744">
        <v>58</v>
      </c>
      <c r="AT30" s="744">
        <v>59</v>
      </c>
      <c r="AU30" s="744">
        <v>0</v>
      </c>
      <c r="AV30" s="935">
        <v>110</v>
      </c>
      <c r="AW30" s="744">
        <f t="shared" si="69"/>
        <v>641</v>
      </c>
      <c r="AX30" s="888">
        <f t="shared" si="52"/>
        <v>1.2071017505800115E-3</v>
      </c>
      <c r="AY30" s="874"/>
      <c r="AZ30" s="744">
        <v>108</v>
      </c>
      <c r="BA30" s="744">
        <v>66</v>
      </c>
      <c r="BB30" s="744">
        <v>68</v>
      </c>
      <c r="BC30" s="744">
        <v>105</v>
      </c>
      <c r="BD30" s="744">
        <v>105</v>
      </c>
      <c r="BE30" s="744">
        <v>118</v>
      </c>
      <c r="BF30" s="744">
        <v>88</v>
      </c>
      <c r="BG30" s="744">
        <v>0</v>
      </c>
      <c r="BH30" s="935">
        <v>17</v>
      </c>
      <c r="BI30" s="744">
        <f t="shared" si="70"/>
        <v>675</v>
      </c>
      <c r="BJ30" s="888">
        <f t="shared" si="54"/>
        <v>1.3610407626667527E-3</v>
      </c>
      <c r="BK30" s="874"/>
      <c r="BL30" s="744">
        <v>73</v>
      </c>
      <c r="BM30" s="744">
        <v>38</v>
      </c>
      <c r="BN30" s="744">
        <v>32</v>
      </c>
      <c r="BO30" s="744">
        <v>167</v>
      </c>
      <c r="BP30" s="744">
        <v>82</v>
      </c>
      <c r="BQ30" s="744">
        <v>62</v>
      </c>
      <c r="BR30" s="744">
        <v>68</v>
      </c>
      <c r="BS30" s="744">
        <v>0</v>
      </c>
      <c r="BT30" s="935">
        <v>12</v>
      </c>
      <c r="BU30" s="744">
        <f t="shared" si="71"/>
        <v>534</v>
      </c>
      <c r="BV30" s="888">
        <f t="shared" si="56"/>
        <v>1.0742867259200843E-3</v>
      </c>
      <c r="BW30" s="874"/>
      <c r="BX30" s="744">
        <v>12</v>
      </c>
      <c r="BY30" s="744">
        <v>35</v>
      </c>
      <c r="BZ30" s="744">
        <v>55</v>
      </c>
      <c r="CA30" s="744">
        <v>167</v>
      </c>
      <c r="CB30" s="744">
        <v>31</v>
      </c>
      <c r="CC30" s="744">
        <v>107</v>
      </c>
      <c r="CD30" s="744">
        <v>158</v>
      </c>
      <c r="CE30" s="744">
        <v>0</v>
      </c>
      <c r="CF30" s="935">
        <v>78</v>
      </c>
      <c r="CG30" s="744">
        <f t="shared" si="72"/>
        <v>643</v>
      </c>
      <c r="CH30" s="888">
        <f t="shared" si="58"/>
        <v>1.3396168237539271E-3</v>
      </c>
      <c r="CI30" s="874"/>
      <c r="CJ30" s="957">
        <f t="shared" si="44"/>
        <v>109</v>
      </c>
      <c r="CK30" s="965">
        <f t="shared" si="45"/>
        <v>0.20411985018726592</v>
      </c>
      <c r="CL30" s="746"/>
      <c r="CM30" s="816">
        <f t="shared" si="59"/>
        <v>3930</v>
      </c>
      <c r="CN30" s="757">
        <f t="shared" si="65"/>
        <v>1.2918853982598337E-3</v>
      </c>
      <c r="CO30" s="746"/>
      <c r="CP30" s="744">
        <v>0</v>
      </c>
      <c r="CQ30" s="756">
        <f t="shared" si="0"/>
        <v>0</v>
      </c>
      <c r="CR30" s="874"/>
      <c r="CS30" s="816"/>
      <c r="CT30" s="757">
        <f t="shared" si="63"/>
        <v>0</v>
      </c>
      <c r="CU30" s="874"/>
      <c r="CV30" s="897">
        <f t="shared" si="61"/>
        <v>3930</v>
      </c>
      <c r="CW30" s="902">
        <f t="shared" si="1"/>
        <v>0</v>
      </c>
      <c r="CY30" s="750"/>
    </row>
    <row r="31" spans="1:103" hidden="1" outlineLevel="1">
      <c r="A31" s="734">
        <v>42958101</v>
      </c>
      <c r="B31" s="833" t="s">
        <v>501</v>
      </c>
      <c r="C31" s="874"/>
      <c r="D31" s="744">
        <v>0</v>
      </c>
      <c r="E31" s="744">
        <v>0</v>
      </c>
      <c r="F31" s="744">
        <v>0</v>
      </c>
      <c r="G31" s="744">
        <v>1</v>
      </c>
      <c r="H31" s="744">
        <v>0</v>
      </c>
      <c r="I31" s="744">
        <v>0</v>
      </c>
      <c r="J31" s="744">
        <v>0</v>
      </c>
      <c r="K31" s="744">
        <v>0</v>
      </c>
      <c r="L31" s="935">
        <v>0</v>
      </c>
      <c r="M31" s="744">
        <f t="shared" si="66"/>
        <v>1</v>
      </c>
      <c r="N31" s="888">
        <f t="shared" si="37"/>
        <v>1.9811042278745329E-6</v>
      </c>
      <c r="O31" s="874"/>
      <c r="P31" s="744">
        <v>0</v>
      </c>
      <c r="Q31" s="744">
        <v>0</v>
      </c>
      <c r="R31" s="744">
        <v>0</v>
      </c>
      <c r="S31" s="744">
        <v>0</v>
      </c>
      <c r="T31" s="744">
        <v>0</v>
      </c>
      <c r="U31" s="744">
        <v>0</v>
      </c>
      <c r="V31" s="744">
        <v>0</v>
      </c>
      <c r="W31" s="744">
        <v>0</v>
      </c>
      <c r="X31" s="935">
        <v>0</v>
      </c>
      <c r="Y31" s="744">
        <f t="shared" si="67"/>
        <v>0</v>
      </c>
      <c r="Z31" s="888">
        <f t="shared" si="64"/>
        <v>0</v>
      </c>
      <c r="AA31" s="874"/>
      <c r="AB31" s="744">
        <v>0</v>
      </c>
      <c r="AC31" s="744">
        <v>0</v>
      </c>
      <c r="AD31" s="744">
        <v>0</v>
      </c>
      <c r="AE31" s="744">
        <v>0</v>
      </c>
      <c r="AF31" s="744">
        <v>0</v>
      </c>
      <c r="AG31" s="744">
        <v>0</v>
      </c>
      <c r="AH31" s="744">
        <v>1</v>
      </c>
      <c r="AI31" s="744">
        <v>0</v>
      </c>
      <c r="AJ31" s="935">
        <v>0</v>
      </c>
      <c r="AK31" s="744">
        <f t="shared" si="68"/>
        <v>1</v>
      </c>
      <c r="AL31" s="888">
        <f t="shared" si="50"/>
        <v>1.9540982325181487E-6</v>
      </c>
      <c r="AM31" s="874"/>
      <c r="AN31" s="744">
        <v>0</v>
      </c>
      <c r="AO31" s="744">
        <v>0</v>
      </c>
      <c r="AP31" s="744">
        <v>0</v>
      </c>
      <c r="AQ31" s="744">
        <v>0</v>
      </c>
      <c r="AR31" s="744">
        <v>0</v>
      </c>
      <c r="AS31" s="744">
        <v>0</v>
      </c>
      <c r="AT31" s="744">
        <v>1</v>
      </c>
      <c r="AU31" s="744">
        <v>0</v>
      </c>
      <c r="AV31" s="935">
        <v>0</v>
      </c>
      <c r="AW31" s="744">
        <f t="shared" si="69"/>
        <v>1</v>
      </c>
      <c r="AX31" s="888">
        <f t="shared" si="52"/>
        <v>1.8831540570671006E-6</v>
      </c>
      <c r="AY31" s="874"/>
      <c r="AZ31" s="744">
        <v>0</v>
      </c>
      <c r="BA31" s="744">
        <v>0</v>
      </c>
      <c r="BB31" s="744">
        <v>0</v>
      </c>
      <c r="BC31" s="744">
        <v>0</v>
      </c>
      <c r="BD31" s="744">
        <v>0</v>
      </c>
      <c r="BE31" s="744">
        <v>0</v>
      </c>
      <c r="BF31" s="744">
        <v>0</v>
      </c>
      <c r="BG31" s="744">
        <v>0</v>
      </c>
      <c r="BH31" s="935">
        <v>0</v>
      </c>
      <c r="BI31" s="744">
        <f t="shared" si="70"/>
        <v>0</v>
      </c>
      <c r="BJ31" s="888">
        <f t="shared" si="54"/>
        <v>0</v>
      </c>
      <c r="BK31" s="874"/>
      <c r="BL31" s="744">
        <v>0</v>
      </c>
      <c r="BM31" s="744">
        <v>0</v>
      </c>
      <c r="BN31" s="744">
        <v>0</v>
      </c>
      <c r="BO31" s="744">
        <v>0</v>
      </c>
      <c r="BP31" s="744">
        <v>0</v>
      </c>
      <c r="BQ31" s="744">
        <v>0</v>
      </c>
      <c r="BR31" s="744">
        <v>0</v>
      </c>
      <c r="BS31" s="744">
        <v>0</v>
      </c>
      <c r="BT31" s="935">
        <v>0</v>
      </c>
      <c r="BU31" s="744">
        <f t="shared" si="71"/>
        <v>0</v>
      </c>
      <c r="BV31" s="888">
        <f t="shared" si="56"/>
        <v>0</v>
      </c>
      <c r="BW31" s="874"/>
      <c r="BX31" s="744">
        <v>0</v>
      </c>
      <c r="BY31" s="744">
        <v>0</v>
      </c>
      <c r="BZ31" s="744">
        <v>0</v>
      </c>
      <c r="CA31" s="744">
        <v>0</v>
      </c>
      <c r="CB31" s="744">
        <v>0</v>
      </c>
      <c r="CC31" s="744">
        <v>0</v>
      </c>
      <c r="CD31" s="744">
        <v>0</v>
      </c>
      <c r="CE31" s="744">
        <v>0</v>
      </c>
      <c r="CF31" s="935">
        <v>0</v>
      </c>
      <c r="CG31" s="744">
        <f t="shared" si="72"/>
        <v>0</v>
      </c>
      <c r="CH31" s="888">
        <f t="shared" si="58"/>
        <v>0</v>
      </c>
      <c r="CI31" s="874"/>
      <c r="CJ31" s="957">
        <f t="shared" si="44"/>
        <v>0</v>
      </c>
      <c r="CK31" s="965">
        <f t="shared" si="45"/>
        <v>0</v>
      </c>
      <c r="CL31" s="746"/>
      <c r="CM31" s="816">
        <f t="shared" si="59"/>
        <v>2</v>
      </c>
      <c r="CN31" s="757">
        <f t="shared" si="65"/>
        <v>6.5744803982688736E-7</v>
      </c>
      <c r="CO31" s="746"/>
      <c r="CP31" s="744">
        <f>+DATOS!F104</f>
        <v>519</v>
      </c>
      <c r="CQ31" s="756">
        <f t="shared" si="0"/>
        <v>1.0073826200294451E-3</v>
      </c>
      <c r="CR31" s="874"/>
      <c r="CS31" s="816">
        <f>+DATOS!G104</f>
        <v>4727</v>
      </c>
      <c r="CT31" s="757">
        <f t="shared" ref="CT31:CT57" si="73">+CS31/CS$13</f>
        <v>1.6084071342230555E-3</v>
      </c>
      <c r="CU31" s="874"/>
      <c r="CV31" s="897">
        <f t="shared" si="61"/>
        <v>-4725</v>
      </c>
      <c r="CW31" s="902">
        <f t="shared" si="1"/>
        <v>-0.99957689866723076</v>
      </c>
      <c r="CY31" s="750"/>
    </row>
    <row r="32" spans="1:103" collapsed="1">
      <c r="A32" s="739"/>
      <c r="B32" s="836" t="s">
        <v>72</v>
      </c>
      <c r="C32" s="874"/>
      <c r="D32" s="758">
        <f>+D33+D39+D63+D64+D65+D66+D91+D92+D93+D116+D118+D61+D62+D67+D86+D87+D88+D89+D90+D94</f>
        <v>-36116</v>
      </c>
      <c r="E32" s="758">
        <f>+E33+E39+E63+E64+E65+E66+E91+E92+E93+E116+E118+E61+E62+E67+E86+E87+E88+E89+E90+E94</f>
        <v>-19686</v>
      </c>
      <c r="F32" s="758">
        <f>+F33+F39+F63+F64+F65+F66+F91+F92+F93+F116+F118+F61+F62+F67+F86+F87+F88+F89+F90+F94</f>
        <v>-19216</v>
      </c>
      <c r="G32" s="758">
        <f>+G33+G39+G63+G64+G65+G66+G91+G92+G93+G116+G118+G61+G62+G67+G86+G87+G88+G89+G90+G94</f>
        <v>-39331</v>
      </c>
      <c r="H32" s="758">
        <f>+H33+H39+H63+H64+H65+H66+H91+H92+H93+H116+H118+H61+H62+H67+H86+H87+H88+H89+H90+H94</f>
        <v>-57543</v>
      </c>
      <c r="I32" s="758">
        <f>+I33+I39+I63+I64+I65+I66+I91+I92+I93+I116+I61+I62+I67+I86+I87+I88+I89+I90+I94</f>
        <v>-31289</v>
      </c>
      <c r="J32" s="758">
        <f>+J33+J39+J63+J64+J65+J66+J91+J92+J93+J116+J118+J61+J62+J67+J86+J87+J88+J89+J90+J94</f>
        <v>-27914</v>
      </c>
      <c r="K32" s="758">
        <f>+K33+K39+K63+K64+K65+K66+K91+K92+K93+K116+K118+K61+K62+K67+K86+K87+K88+K89+K90+K94</f>
        <v>-14917</v>
      </c>
      <c r="L32" s="937">
        <f>+L33+L39+L63+L64+L65+L66+L91+L92+L93+L116+L118+L61+L62+L67+L86+L87+L88+L89+L90+L94</f>
        <v>-25117</v>
      </c>
      <c r="M32" s="772">
        <f>+M33+M39+M63+M64+M65+M66+M91+M92+M93+M116+M118+M61+M62+M67+M86+M87+M88+M89+M90+M94</f>
        <v>-271129</v>
      </c>
      <c r="N32" s="887">
        <f t="shared" ref="N32:N63" si="74">+M32/M$13</f>
        <v>-0.53713480819939419</v>
      </c>
      <c r="O32" s="874"/>
      <c r="P32" s="758">
        <f>+P33+P39+P63+P64+P65+P66+P91+P92+P93+P116+P118+P61+P62+P67+P86+P87+P88+P89+P90+P94</f>
        <v>-26998</v>
      </c>
      <c r="Q32" s="758">
        <f>+Q33+Q39+Q63+Q64+Q65+Q66+Q91+Q92+Q93+Q116+Q118+Q61+Q62+Q67+Q86+Q87+Q88+Q89+Q90+Q94</f>
        <v>-31394</v>
      </c>
      <c r="R32" s="758">
        <f>+R33+R39+R63+R64+R65+R66+R91+R92+R93+R116+R118+R61+R62+R67+R86+R87+R88+R89+R90+R94</f>
        <v>-15520</v>
      </c>
      <c r="S32" s="758">
        <f>+S33+S39+S63+S64+S65+S66+S91+S92+S93+S116+S118+S61+S62+S67+S86+S87+S88+S89+S90+S94</f>
        <v>-40186</v>
      </c>
      <c r="T32" s="758">
        <f>+T33+T39+T63+T64+T65+T66+T91+T92+T93+T116+T118+T61+T62+T67+T86+T87+T88+T89+T90+T94</f>
        <v>-68838</v>
      </c>
      <c r="U32" s="758">
        <f>+U33+U39+U63+U64+U65+U66+U91+U92+U93+U116+U61+U62+U67+U86+U87+U88+U89+U90+U94</f>
        <v>-29221</v>
      </c>
      <c r="V32" s="758">
        <f>+V33+V39+V63+V64+V65+V66+V91+V92+V93+V116+V118+V61+V62+V67+V86+V87+V88+V89+V90+V94</f>
        <v>-24378</v>
      </c>
      <c r="W32" s="758">
        <f>+W33+W39+W63+W64+W65+W66+W91+W92+W93+W116+W118+W61+W62+W67+W86+W87+W88+W89+W90+W94</f>
        <v>-276</v>
      </c>
      <c r="X32" s="937">
        <f>+X33+X39+X63+X64+X65+X66+X91+X92+X93+X116+X118+X61+X62+X67+X86+X87+X88+X89+X90+X94</f>
        <v>-22523</v>
      </c>
      <c r="Y32" s="772">
        <f>+Y33+Y39+Y63+Y64+Y65+Y66+Y91+Y92+Y93+Y116+Y118+Y61+Y62+Y67+Y86+Y87+Y88+Y89+Y90+Y94</f>
        <v>-261469</v>
      </c>
      <c r="Z32" s="887">
        <f t="shared" si="64"/>
        <v>-0.49682299603634555</v>
      </c>
      <c r="AA32" s="874"/>
      <c r="AB32" s="758">
        <f>+AB33+AB39+AB63+AB64+AB65+AB66+AB91+AB92+AB93+AB116+AB118+AB61+AB62+AB67+AB86+AB87+AB88+AB89+AB90+AB94</f>
        <v>-26131</v>
      </c>
      <c r="AC32" s="758">
        <f>+AC33+AC39+AC63+AC64+AC65+AC66+AC91+AC92+AC93+AC116+AC118+AC61+AC62+AC67+AC86+AC87+AC88+AC89+AC90+AC94</f>
        <v>-31244</v>
      </c>
      <c r="AD32" s="758">
        <f>+AD33+AD39+AD63+AD64+AD65+AD66+AD91+AD92+AD93+AD116+AD118+AD61+AD62+AD67+AD86+AD87+AD88+AD89+AD90+AD94</f>
        <v>-17401</v>
      </c>
      <c r="AE32" s="758">
        <f>+AE33+AE39+AE63+AE64+AE65+AE66+AE91+AE92+AE93+AE116+AE118+AE61+AE62+AE67+AE86+AE87+AE88+AE89+AE90+AE94</f>
        <v>-38211</v>
      </c>
      <c r="AF32" s="758">
        <f>+AF33+AF39+AF63+AF64+AF65+AF66+AF91+AF92+AF93+AF116+AF118+AF61+AF62+AF67+AF86+AF87+AF88+AF89+AF90+AF94</f>
        <v>-79386</v>
      </c>
      <c r="AG32" s="758">
        <f>+AG33+AG39+AG63+AG64+AG65+AG66+AG91+AG92+AG93+AG116+AG61+AG62+AG67+AG86+AG87+AG88+AG89+AG90+AG94</f>
        <v>-33391</v>
      </c>
      <c r="AH32" s="758">
        <f>+AH33+AH39+AH63+AH64+AH65+AH66+AH91+AH92+AH93+AH116+AH118+AH61+AH62+AH67+AH86+AH87+AH88+AH89+AH90+AH94</f>
        <v>-25498</v>
      </c>
      <c r="AI32" s="758">
        <f>+AI33+AI39+AI63+AI64+AI65+AI66+AI91+AI92+AI93+AI116+AI118+AI61+AI62+AI67+AI86+AI87+AI88+AI89+AI90+AI94</f>
        <v>-4496</v>
      </c>
      <c r="AJ32" s="937">
        <f>+AJ33+AJ39+AJ63+AJ64+AJ65+AJ66+AJ91+AJ92+AJ93+AJ116+AJ118+AJ61+AJ62+AJ67+AJ86+AJ87+AJ88+AJ89+AJ90+AJ94</f>
        <v>-24761</v>
      </c>
      <c r="AK32" s="772">
        <f>+AK33+AK39+AK63+AK64+AK65+AK66+AK91+AK92+AK93+AK116+AK118+AK61+AK62+AK67+AK86+AK87+AK88+AK89+AK90+AK94</f>
        <v>-283145</v>
      </c>
      <c r="AL32" s="887">
        <f t="shared" si="50"/>
        <v>-0.55329314404635122</v>
      </c>
      <c r="AM32" s="874"/>
      <c r="AN32" s="758">
        <f>+AN33+AN39+AN63+AN64+AN65+AN66+AN91+AN92+AN93+AN116+AN118+AN61+AN62+AN67+AN86+AN87+AN88+AN89+AN90+AN94</f>
        <v>-28306</v>
      </c>
      <c r="AO32" s="758">
        <f>+AO33+AO39+AO63+AO64+AO65+AO66+AO91+AO92+AO93+AO116+AO118+AO61+AO62+AO67+AO86+AO87+AO88+AO89+AO90+AO94</f>
        <v>-26582</v>
      </c>
      <c r="AP32" s="758">
        <f>+AP33+AP39+AP63+AP64+AP65+AP66+AP91+AP92+AP93+AP116+AP118+AP61+AP62+AP67+AP86+AP87+AP88+AP89+AP90+AP94</f>
        <v>-16807</v>
      </c>
      <c r="AQ32" s="758">
        <f>+AQ33+AQ39+AQ63+AQ64+AQ65+AQ66+AQ91+AQ92+AQ93+AQ116+AQ118+AQ61+AQ62+AQ67+AQ86+AQ87+AQ88+AQ89+AQ90+AQ94</f>
        <v>-36500</v>
      </c>
      <c r="AR32" s="758">
        <f>+AR33+AR39+AR63+AR64+AR65+AR66+AR91+AR92+AR93+AR116+AR118+AR61+AR62+AR67+AR86+AR87+AR88+AR89+AR90+AR94</f>
        <v>-70013</v>
      </c>
      <c r="AS32" s="758">
        <f>+AS33+AS39+AS63+AS64+AS65+AS66+AS91+AS92+AS93+AS116+AS61+AS62+AS67+AS86+AS87+AS88+AS89+AS90+AS94</f>
        <v>-30979</v>
      </c>
      <c r="AT32" s="758">
        <f>+AT33+AT39+AT63+AT64+AT65+AT66+AT91+AT92+AT93+AT116+AT118+AT61+AT62+AT67+AT86+AT87+AT88+AT89+AT90+AT94</f>
        <v>-25492</v>
      </c>
      <c r="AU32" s="758">
        <f>+AU33+AU39+AU63+AU64+AU65+AU66+AU91+AU92+AU93+AU116+AU118+AU61+AU62+AU67+AU86+AU87+AU88+AU89+AU90+AU94</f>
        <v>-4506</v>
      </c>
      <c r="AV32" s="937">
        <f>+AV33+AV39+AV63+AV64+AV65+AV66+AV91+AV92+AV93+AV116+AV118+AV61+AV62+AV67+AV86+AV87+AV88+AV89+AV90+AV94</f>
        <v>-24199</v>
      </c>
      <c r="AW32" s="772">
        <f>+AW33+AW39+AW63+AW64+AW65+AW66+AW91+AW92+AW93+AW116+AW118+AW61+AW62+AW67+AW86+AW87+AW88+AW89+AW90+AW94</f>
        <v>-264697</v>
      </c>
      <c r="AX32" s="887">
        <f t="shared" si="52"/>
        <v>-0.49846522944349031</v>
      </c>
      <c r="AY32" s="874"/>
      <c r="AZ32" s="758">
        <f>+AZ33+AZ39+AZ63+AZ64+AZ65+AZ66+AZ91+AZ92+AZ93+AZ116+AZ118+AZ61+AZ62+AZ67+AZ86+AZ87+AZ88+AZ89+AZ90+AZ94</f>
        <v>-25794</v>
      </c>
      <c r="BA32" s="758">
        <f>+BA33+BA39+BA63+BA64+BA65+BA66+BA91+BA92+BA93+BA116+BA118+BA61+BA62+BA67+BA86+BA87+BA88+BA89+BA90+BA94</f>
        <v>-25611</v>
      </c>
      <c r="BB32" s="758">
        <f>+BB33+BB39+BB63+BB64+BB65+BB66+BB91+BB92+BB93+BB116+BB118+BB61+BB62+BB67+BB86+BB87+BB88+BB89+BB90+BB94</f>
        <v>-15899</v>
      </c>
      <c r="BC32" s="758">
        <f>+BC33+BC39+BC63+BC64+BC65+BC66+BC91+BC92+BC93+BC116+BC118+BC61+BC62+BC67+BC86+BC87+BC88+BC89+BC90+BC94</f>
        <v>-39597</v>
      </c>
      <c r="BD32" s="758">
        <f>+BD33+BD39+BD63+BD64+BD65+BD66+BD91+BD92+BD93+BD116+BD118+BD61+BD62+BD67+BD86+BD87+BD88+BD89+BD90+BD94</f>
        <v>-84271</v>
      </c>
      <c r="BE32" s="758">
        <f>+BE33+BE39+BE63+BE64+BE65+BE66+BE91+BE92+BE93+BE116+BE61+BE62+BE67+BE86+BE87+BE88+BE89+BE90+BE94</f>
        <v>-33314</v>
      </c>
      <c r="BF32" s="758">
        <f>+BF33+BF39+BF63+BF64+BF65+BF66+BF91+BF92+BF93+BF116+BF118+BF61+BF62+BF67+BF86+BF87+BF88+BF89+BF90+BF94</f>
        <v>-28272</v>
      </c>
      <c r="BG32" s="758">
        <f>+BG33+BG39+BG63+BG64+BG65+BG66+BG91+BG92+BG93+BG116+BG118+BG61+BG62+BG67+BG86+BG87+BG88+BG89+BG90+BG94</f>
        <v>-4437</v>
      </c>
      <c r="BH32" s="937">
        <f>+BH33+BH39+BH63+BH64+BH65+BH66+BH91+BH92+BH93+BH116+BH118+BH61+BH62+BH67+BH86+BH87+BH88+BH89+BH90+BH94</f>
        <v>-25159</v>
      </c>
      <c r="BI32" s="772">
        <f>+BI33+BI39+BI63+BI64+BI65+BI66+BI91+BI92+BI93+BI116+BI118+BI61+BI62+BI67+BI86+BI87+BI88+BI89+BI90+BI94</f>
        <v>-282354</v>
      </c>
      <c r="BJ32" s="887">
        <f t="shared" si="54"/>
        <v>-0.56932637555853083</v>
      </c>
      <c r="BK32" s="874"/>
      <c r="BL32" s="758">
        <f>+BL33+BL39+BL63+BL64+BL65+BL66+BL91+BL92+BL93+BL116+BL118+BL61+BL62+BL67+BL86+BL87+BL88+BL89+BL90+BL94</f>
        <v>-26084</v>
      </c>
      <c r="BM32" s="758">
        <f>+BM33+BM39+BM63+BM64+BM65+BM66+BM91+BM92+BM93+BM116+BM118+BM61+BM62+BM67+BM86+BM87+BM88+BM89+BM90+BM94</f>
        <v>-27976</v>
      </c>
      <c r="BN32" s="758">
        <f>+BN33+BN39+BN63+BN64+BN65+BN66+BN91+BN92+BN93+BN116+BN118+BN61+BN62+BN67+BN86+BN87+BN88+BN89+BN90+BN94</f>
        <v>-18120</v>
      </c>
      <c r="BO32" s="758">
        <f>+BO33+BO39+BO63+BO64+BO65+BO66+BO91+BO92+BO93+BO116+BO118+BO61+BO62+BO67+BO86+BO87+BO88+BO89+BO90+BO94</f>
        <v>-38443</v>
      </c>
      <c r="BP32" s="758">
        <f>+BP33+BP39+BP63+BP64+BP65+BP66+BP91+BP92+BP93+BP116+BP118+BP61+BP62+BP67+BP86+BP87+BP88+BP89+BP90+BP94</f>
        <v>-96955</v>
      </c>
      <c r="BQ32" s="758">
        <f>+BQ33+BQ39+BQ63+BQ64+BQ65+BQ66+BQ91+BQ92+BQ93+BQ116+BQ61+BQ62+BQ67+BQ86+BQ87+BQ88+BQ89+BQ90+BQ94</f>
        <v>-31961</v>
      </c>
      <c r="BR32" s="758">
        <f>+BR33+BR39+BR63+BR64+BR65+BR66+BR91+BR92+BR93+BR116+BR118+BR61+BR62+BR67+BR86+BR87+BR88+BR89+BR90+BR94</f>
        <v>-25460</v>
      </c>
      <c r="BS32" s="758">
        <f>+BS33+BS39+BS63+BS64+BS65+BS66+BS91+BS92+BS93+BS116+BS118+BS61+BS62+BS67+BS86+BS87+BS88+BS89+BS90+BS94</f>
        <v>-26603</v>
      </c>
      <c r="BT32" s="937">
        <f>+BT33+BT39+BT63+BT64+BT65+BT66+BT91+BT92+BT93+BT116+BT118+BT61+BT62+BT67+BT86+BT87+BT88+BT89+BT90+BT94</f>
        <v>-26280</v>
      </c>
      <c r="BU32" s="772">
        <f>+BU33+BU39+BU63+BU64+BU65+BU66+BU91+BU92+BU93+BU116+BU118+BU61+BU62+BU67+BU86+BU87+BU88+BU89+BU90+BU94</f>
        <v>-317882</v>
      </c>
      <c r="BV32" s="887">
        <f t="shared" si="56"/>
        <v>-0.63950639140248733</v>
      </c>
      <c r="BW32" s="874"/>
      <c r="BX32" s="758">
        <f>+BX33+BX39+BX63+BX64+BX65+BX66+BX91+BX92+BX93+BX116+BX118+BX61+BX62+BX67+BX86+BX87+BX88+BX89+BX90+BX94</f>
        <v>-29846</v>
      </c>
      <c r="BY32" s="758">
        <f>+BY33+BY39+BY63+BY64+BY65+BY66+BY91+BY92+BY93+BY116+BY118+BY61+BY62+BY67+BY86+BY87+BY88+BY89+BY90+BY94</f>
        <v>-25257</v>
      </c>
      <c r="BZ32" s="758">
        <f>+BZ33+BZ39+BZ63+BZ64+BZ65+BZ66+BZ91+BZ92+BZ93+BZ116+BZ118+BZ61+BZ62+BZ67+BZ86+BZ87+BZ88+BZ89+BZ90+BZ94</f>
        <v>-16484</v>
      </c>
      <c r="CA32" s="758">
        <f>+CA33+CA39+CA63+CA64+CA65+CA66+CA91+CA92+CA93+CA116+CA118+CA61+CA62+CA67+CA86+CA87+CA88+CA89+CA90+CA94</f>
        <v>-46469</v>
      </c>
      <c r="CB32" s="758">
        <f>+CB33+CB39+CB63+CB64+CB65+CB66+CB91+CB92+CB93+CB116+CB118+CB61+CB62+CB67+CB86+CB87+CB88+CB89+CB90+CB94</f>
        <v>-64655</v>
      </c>
      <c r="CC32" s="758">
        <f>+CC33+CC39+CC63+CC64+CC65+CC66+CC91+CC92+CC93+CC116+CC61+CC62+CC67+CC86+CC87+CC88+CC89+CC90+CC94</f>
        <v>-34851</v>
      </c>
      <c r="CD32" s="758">
        <f>+CD33+CD39+CD63+CD64+CD65+CD66+CD91+CD92+CD93+CD116+CD118+CD61+CD62+CD67+CD86+CD87+CD88+CD89+CD90+CD94</f>
        <v>-29351</v>
      </c>
      <c r="CE32" s="758">
        <f>+CE33+CE39+CE63+CE64+CE65+CE66+CE91+CE92+CE93+CE116+CE118+CE61+CE62+CE67+CE86+CE87+CE88+CE89+CE90+CE94</f>
        <v>-5912</v>
      </c>
      <c r="CF32" s="937">
        <f>+CF33+CF39+CF63+CF64+CF65+CF66+CF91+CF92+CF93+CF116+CF118+CF61+CF62+CF67+CF86+CF87+CF88+CF89+CF90+CF94</f>
        <v>-27010</v>
      </c>
      <c r="CG32" s="772">
        <f>+CG33+CG39+CG63+CG64+CG65+CG66+CG91+CG92+CG93+CG116+CG118+CG61+CG62+CG67+CG86+CG87+CG88+CG89+CG90+CG94</f>
        <v>-279835</v>
      </c>
      <c r="CH32" s="887">
        <f t="shared" si="58"/>
        <v>-0.58300415843729425</v>
      </c>
      <c r="CI32" s="947"/>
      <c r="CJ32" s="966">
        <f t="shared" si="44"/>
        <v>38047</v>
      </c>
      <c r="CK32" s="964">
        <f t="shared" si="45"/>
        <v>-0.11968906701228758</v>
      </c>
      <c r="CL32" s="766"/>
      <c r="CM32" s="773">
        <f>+Y32+AK32+CG32+AW32+BI32+BU32</f>
        <v>-1689382</v>
      </c>
      <c r="CN32" s="767">
        <f t="shared" ref="CN32:CN38" si="75">+CM32/CM$13</f>
        <v>-0.55534044220941325</v>
      </c>
      <c r="CO32" s="766"/>
      <c r="CP32" s="758">
        <f>+CP33+CP39+CP63+CP64+CP65+CP66+CP91+CP92+CP93+CP116+CP118+CP61+CP62+CP67+CP86+CP87+CP88+CP89+CP90+CP94</f>
        <v>-287674.5</v>
      </c>
      <c r="CQ32" s="765">
        <f t="shared" si="0"/>
        <v>-0.55837821103210139</v>
      </c>
      <c r="CR32" s="947">
        <f>+CP32+DATOS!F114</f>
        <v>0</v>
      </c>
      <c r="CS32" s="760">
        <f>+CS33+CS39+CS63+CS64+CS65+CS66+CS91+CS92+CS93+CS116+CS118+CS61+CS62+CS67+CS86+CS87+CS88+CS89+CS90+CS94</f>
        <v>-1570193</v>
      </c>
      <c r="CT32" s="767">
        <f t="shared" si="73"/>
        <v>-0.53427324377133534</v>
      </c>
      <c r="CU32" s="879"/>
      <c r="CV32" s="908">
        <f t="shared" si="61"/>
        <v>-119189</v>
      </c>
      <c r="CW32" s="906">
        <f t="shared" si="1"/>
        <v>7.5907229238698679E-2</v>
      </c>
      <c r="CY32" s="750"/>
    </row>
    <row r="33" spans="1:103" hidden="1" outlineLevel="1">
      <c r="A33" s="739">
        <v>5204</v>
      </c>
      <c r="B33" s="836" t="s">
        <v>63</v>
      </c>
      <c r="C33" s="874"/>
      <c r="D33" s="758">
        <f>+SUM(D34:D38)</f>
        <v>-1410</v>
      </c>
      <c r="E33" s="758">
        <f t="shared" ref="E33:L33" si="76">+SUM(E34:E38)</f>
        <v>-1396</v>
      </c>
      <c r="F33" s="758">
        <f t="shared" si="76"/>
        <v>-1142</v>
      </c>
      <c r="G33" s="758">
        <f t="shared" si="76"/>
        <v>-1542</v>
      </c>
      <c r="H33" s="758">
        <f t="shared" si="76"/>
        <v>-2379</v>
      </c>
      <c r="I33" s="758">
        <f t="shared" si="76"/>
        <v>-1319</v>
      </c>
      <c r="J33" s="758">
        <f t="shared" si="76"/>
        <v>-1151</v>
      </c>
      <c r="K33" s="758">
        <f t="shared" si="76"/>
        <v>0</v>
      </c>
      <c r="L33" s="937">
        <f t="shared" si="76"/>
        <v>-1083</v>
      </c>
      <c r="M33" s="758">
        <f>+SUM(M34:M38)</f>
        <v>-11422</v>
      </c>
      <c r="N33" s="887">
        <f t="shared" si="74"/>
        <v>-2.2628172490782913E-2</v>
      </c>
      <c r="O33" s="874"/>
      <c r="P33" s="758">
        <f>+SUM(P34:P38)</f>
        <v>-1312</v>
      </c>
      <c r="Q33" s="758">
        <f t="shared" ref="Q33:X33" si="77">+SUM(Q34:Q38)</f>
        <v>-1855</v>
      </c>
      <c r="R33" s="758">
        <f t="shared" si="77"/>
        <v>-896</v>
      </c>
      <c r="S33" s="758">
        <f t="shared" si="77"/>
        <v>-1721</v>
      </c>
      <c r="T33" s="758">
        <f t="shared" si="77"/>
        <v>-2743</v>
      </c>
      <c r="U33" s="758">
        <f t="shared" si="77"/>
        <v>-1486</v>
      </c>
      <c r="V33" s="758">
        <f t="shared" si="77"/>
        <v>-1122</v>
      </c>
      <c r="W33" s="758">
        <f t="shared" si="77"/>
        <v>0</v>
      </c>
      <c r="X33" s="937">
        <f t="shared" si="77"/>
        <v>-810</v>
      </c>
      <c r="Y33" s="758">
        <f>+SUM(Y34:Y38)</f>
        <v>-11945</v>
      </c>
      <c r="Z33" s="887">
        <f t="shared" si="64"/>
        <v>-2.2696957144648686E-2</v>
      </c>
      <c r="AA33" s="874"/>
      <c r="AB33" s="758">
        <f>+SUM(AB34:AB38)</f>
        <v>-1369</v>
      </c>
      <c r="AC33" s="758">
        <f t="shared" ref="AC33:AJ33" si="78">+SUM(AC34:AC38)</f>
        <v>-1517</v>
      </c>
      <c r="AD33" s="758">
        <f t="shared" si="78"/>
        <v>-814</v>
      </c>
      <c r="AE33" s="758">
        <f t="shared" si="78"/>
        <v>-1514</v>
      </c>
      <c r="AF33" s="758">
        <f t="shared" si="78"/>
        <v>-3554</v>
      </c>
      <c r="AG33" s="758">
        <f t="shared" si="78"/>
        <v>-1822</v>
      </c>
      <c r="AH33" s="758">
        <f t="shared" si="78"/>
        <v>-1126</v>
      </c>
      <c r="AI33" s="758">
        <f t="shared" si="78"/>
        <v>0</v>
      </c>
      <c r="AJ33" s="937">
        <f t="shared" si="78"/>
        <v>-1322</v>
      </c>
      <c r="AK33" s="758">
        <f>+SUM(AK34:AK38)</f>
        <v>-13038</v>
      </c>
      <c r="AL33" s="887">
        <f t="shared" si="50"/>
        <v>-2.5477532755571623E-2</v>
      </c>
      <c r="AM33" s="874"/>
      <c r="AN33" s="758">
        <f>+SUM(AN34:AN38)</f>
        <v>-1384</v>
      </c>
      <c r="AO33" s="758">
        <f t="shared" ref="AO33:AV33" si="79">+SUM(AO34:AO38)</f>
        <v>-1134</v>
      </c>
      <c r="AP33" s="758">
        <f t="shared" si="79"/>
        <v>-801</v>
      </c>
      <c r="AQ33" s="758">
        <f t="shared" si="79"/>
        <v>-1264</v>
      </c>
      <c r="AR33" s="758">
        <f t="shared" si="79"/>
        <v>-3150</v>
      </c>
      <c r="AS33" s="758">
        <f t="shared" si="79"/>
        <v>-1460</v>
      </c>
      <c r="AT33" s="758">
        <f t="shared" si="79"/>
        <v>-1151</v>
      </c>
      <c r="AU33" s="758">
        <f t="shared" si="79"/>
        <v>0</v>
      </c>
      <c r="AV33" s="937">
        <f t="shared" si="79"/>
        <v>-1083</v>
      </c>
      <c r="AW33" s="758">
        <f>+SUM(AW34:AW38)</f>
        <v>-11427</v>
      </c>
      <c r="AX33" s="887">
        <f t="shared" si="52"/>
        <v>-2.1518801410105759E-2</v>
      </c>
      <c r="AY33" s="874"/>
      <c r="AZ33" s="758">
        <f>+SUM(AZ34:AZ38)</f>
        <v>-1362</v>
      </c>
      <c r="BA33" s="758">
        <f t="shared" ref="BA33:BH33" si="80">+SUM(BA34:BA38)</f>
        <v>-1144</v>
      </c>
      <c r="BB33" s="758">
        <f t="shared" si="80"/>
        <v>-859</v>
      </c>
      <c r="BC33" s="758">
        <f t="shared" si="80"/>
        <v>-1296</v>
      </c>
      <c r="BD33" s="758">
        <f t="shared" si="80"/>
        <v>-3425</v>
      </c>
      <c r="BE33" s="758">
        <f t="shared" si="80"/>
        <v>-1909</v>
      </c>
      <c r="BF33" s="758">
        <f t="shared" si="80"/>
        <v>-1217</v>
      </c>
      <c r="BG33" s="758">
        <f t="shared" si="80"/>
        <v>0</v>
      </c>
      <c r="BH33" s="937">
        <f t="shared" si="80"/>
        <v>-1214</v>
      </c>
      <c r="BI33" s="758">
        <f>+SUM(BI34:BI38)</f>
        <v>-12426</v>
      </c>
      <c r="BJ33" s="887">
        <f t="shared" si="54"/>
        <v>-2.5055248173180843E-2</v>
      </c>
      <c r="BK33" s="874"/>
      <c r="BL33" s="758">
        <f>+SUM(BL34:BL38)</f>
        <v>-1017</v>
      </c>
      <c r="BM33" s="758">
        <f t="shared" ref="BM33:BT33" si="81">+SUM(BM34:BM38)</f>
        <v>-1200</v>
      </c>
      <c r="BN33" s="758">
        <f t="shared" si="81"/>
        <v>-1116</v>
      </c>
      <c r="BO33" s="758">
        <f t="shared" si="81"/>
        <v>-968</v>
      </c>
      <c r="BP33" s="758">
        <f t="shared" si="81"/>
        <v>-2765</v>
      </c>
      <c r="BQ33" s="758">
        <f t="shared" si="81"/>
        <v>-1529</v>
      </c>
      <c r="BR33" s="758">
        <f t="shared" si="81"/>
        <v>-1142</v>
      </c>
      <c r="BS33" s="758">
        <f t="shared" si="81"/>
        <v>0</v>
      </c>
      <c r="BT33" s="937">
        <f t="shared" si="81"/>
        <v>-1446</v>
      </c>
      <c r="BU33" s="758">
        <f>+SUM(BU34:BU38)</f>
        <v>-11183</v>
      </c>
      <c r="BV33" s="887">
        <f t="shared" si="56"/>
        <v>-2.2497656284577346E-2</v>
      </c>
      <c r="BW33" s="874"/>
      <c r="BX33" s="758">
        <f>+SUM(BX34:BX38)</f>
        <v>-1474</v>
      </c>
      <c r="BY33" s="758">
        <f t="shared" ref="BY33:CF33" si="82">+SUM(BY34:BY38)</f>
        <v>-1164</v>
      </c>
      <c r="BZ33" s="758">
        <f t="shared" si="82"/>
        <v>-773</v>
      </c>
      <c r="CA33" s="758">
        <f t="shared" si="82"/>
        <v>-1658</v>
      </c>
      <c r="CB33" s="758">
        <f t="shared" si="82"/>
        <v>-3065</v>
      </c>
      <c r="CC33" s="758">
        <f t="shared" si="82"/>
        <v>-1519</v>
      </c>
      <c r="CD33" s="758">
        <f t="shared" si="82"/>
        <v>-1198</v>
      </c>
      <c r="CE33" s="758">
        <f t="shared" si="82"/>
        <v>0</v>
      </c>
      <c r="CF33" s="937">
        <f t="shared" si="82"/>
        <v>-1191</v>
      </c>
      <c r="CG33" s="758">
        <f>+SUM(CG34:CG38)</f>
        <v>-12042</v>
      </c>
      <c r="CH33" s="887">
        <f t="shared" si="58"/>
        <v>-2.5088127203180079E-2</v>
      </c>
      <c r="CI33" s="879"/>
      <c r="CJ33" s="966">
        <f t="shared" si="44"/>
        <v>-859</v>
      </c>
      <c r="CK33" s="964">
        <f t="shared" si="45"/>
        <v>7.6813019762138959E-2</v>
      </c>
      <c r="CL33" s="766"/>
      <c r="CM33" s="760">
        <f>+SUM(CM34:CM38)</f>
        <v>-72060</v>
      </c>
      <c r="CN33" s="767">
        <f t="shared" si="75"/>
        <v>-2.368785287496275E-2</v>
      </c>
      <c r="CO33" s="766"/>
      <c r="CP33" s="758">
        <f t="shared" ref="CP33" si="83">+SUM(CP34:CP38)</f>
        <v>-11908.5</v>
      </c>
      <c r="CQ33" s="765">
        <f t="shared" si="0"/>
        <v>-2.3114481561889492E-2</v>
      </c>
      <c r="CR33" s="879"/>
      <c r="CS33" s="760">
        <f t="shared" ref="CS33" si="84">+SUM(CS34:CS38)</f>
        <v>-66608.5</v>
      </c>
      <c r="CT33" s="767">
        <f t="shared" si="73"/>
        <v>-2.2664181637380241E-2</v>
      </c>
      <c r="CU33" s="879"/>
      <c r="CV33" s="905">
        <f t="shared" si="61"/>
        <v>-5451.5</v>
      </c>
      <c r="CW33" s="906">
        <f t="shared" si="1"/>
        <v>8.1843908810437113E-2</v>
      </c>
      <c r="CY33" s="750"/>
    </row>
    <row r="34" spans="1:103" s="774" customFormat="1" hidden="1" outlineLevel="2">
      <c r="A34" s="734">
        <v>520468</v>
      </c>
      <c r="B34" s="833" t="s">
        <v>495</v>
      </c>
      <c r="C34" s="874"/>
      <c r="D34" s="762">
        <v>-181</v>
      </c>
      <c r="E34" s="762">
        <v>-176</v>
      </c>
      <c r="F34" s="762">
        <v>-147</v>
      </c>
      <c r="G34" s="762">
        <v>-203</v>
      </c>
      <c r="H34" s="762">
        <v>-284</v>
      </c>
      <c r="I34" s="762">
        <v>-158</v>
      </c>
      <c r="J34" s="762">
        <v>-134</v>
      </c>
      <c r="K34" s="762">
        <v>0</v>
      </c>
      <c r="L34" s="935">
        <v>-132</v>
      </c>
      <c r="M34" s="744">
        <f>SUM(D34:L34)</f>
        <v>-1415</v>
      </c>
      <c r="N34" s="888">
        <f t="shared" si="74"/>
        <v>-2.803262482442464E-3</v>
      </c>
      <c r="O34" s="874"/>
      <c r="P34" s="762">
        <v>-167</v>
      </c>
      <c r="Q34" s="762">
        <v>-218</v>
      </c>
      <c r="R34" s="762">
        <v>-109</v>
      </c>
      <c r="S34" s="762">
        <v>-195</v>
      </c>
      <c r="T34" s="762">
        <v>-331</v>
      </c>
      <c r="U34" s="762">
        <v>-164</v>
      </c>
      <c r="V34" s="762">
        <v>-139</v>
      </c>
      <c r="W34" s="762">
        <v>0</v>
      </c>
      <c r="X34" s="935">
        <v>-107</v>
      </c>
      <c r="Y34" s="744">
        <f>SUM(P34:X34)</f>
        <v>-1430</v>
      </c>
      <c r="Z34" s="888">
        <f t="shared" si="64"/>
        <v>-2.7171744425992148E-3</v>
      </c>
      <c r="AA34" s="874"/>
      <c r="AB34" s="762">
        <v>-151</v>
      </c>
      <c r="AC34" s="762">
        <v>-201</v>
      </c>
      <c r="AD34" s="762">
        <v>-106</v>
      </c>
      <c r="AE34" s="762">
        <v>-188</v>
      </c>
      <c r="AF34" s="762">
        <v>-439</v>
      </c>
      <c r="AG34" s="762">
        <v>-241</v>
      </c>
      <c r="AH34" s="762">
        <v>-129</v>
      </c>
      <c r="AI34" s="762">
        <v>0</v>
      </c>
      <c r="AJ34" s="935">
        <v>-149</v>
      </c>
      <c r="AK34" s="744">
        <f>SUM(AB34:AJ34)</f>
        <v>-1604</v>
      </c>
      <c r="AL34" s="888">
        <f t="shared" si="50"/>
        <v>-3.1343735649591105E-3</v>
      </c>
      <c r="AM34" s="874"/>
      <c r="AN34" s="762">
        <v>-183</v>
      </c>
      <c r="AO34" s="762">
        <v>-139</v>
      </c>
      <c r="AP34" s="762">
        <v>-106</v>
      </c>
      <c r="AQ34" s="762">
        <v>-166</v>
      </c>
      <c r="AR34" s="762">
        <v>-410</v>
      </c>
      <c r="AS34" s="762">
        <v>-182</v>
      </c>
      <c r="AT34" s="762">
        <v>-145</v>
      </c>
      <c r="AU34" s="762">
        <v>0</v>
      </c>
      <c r="AV34" s="935">
        <v>-143</v>
      </c>
      <c r="AW34" s="744">
        <f>SUM(AN34:AV34)</f>
        <v>-1474</v>
      </c>
      <c r="AX34" s="888">
        <f t="shared" si="52"/>
        <v>-2.7757690801169061E-3</v>
      </c>
      <c r="AY34" s="874"/>
      <c r="AZ34" s="762">
        <v>-178</v>
      </c>
      <c r="BA34" s="762">
        <v>-151</v>
      </c>
      <c r="BB34" s="762">
        <v>-114</v>
      </c>
      <c r="BC34" s="762">
        <v>-140</v>
      </c>
      <c r="BD34" s="762">
        <v>-450</v>
      </c>
      <c r="BE34" s="762">
        <v>-242</v>
      </c>
      <c r="BF34" s="762">
        <v>-160</v>
      </c>
      <c r="BG34" s="762">
        <v>0</v>
      </c>
      <c r="BH34" s="935">
        <v>-160</v>
      </c>
      <c r="BI34" s="744">
        <f>SUM(AZ34:BH34)</f>
        <v>-1595</v>
      </c>
      <c r="BJ34" s="888">
        <f t="shared" si="54"/>
        <v>-3.2160889132644009E-3</v>
      </c>
      <c r="BK34" s="874"/>
      <c r="BL34" s="762">
        <v>-124</v>
      </c>
      <c r="BM34" s="762">
        <v>-151</v>
      </c>
      <c r="BN34" s="762">
        <v>-148</v>
      </c>
      <c r="BO34" s="762">
        <v>-119</v>
      </c>
      <c r="BP34" s="762">
        <v>-362</v>
      </c>
      <c r="BQ34" s="762">
        <v>-192</v>
      </c>
      <c r="BR34" s="762">
        <v>-151</v>
      </c>
      <c r="BS34" s="762">
        <v>0</v>
      </c>
      <c r="BT34" s="935">
        <v>-191</v>
      </c>
      <c r="BU34" s="744">
        <f>SUM(BL34:BT34)</f>
        <v>-1438</v>
      </c>
      <c r="BV34" s="888">
        <f t="shared" si="56"/>
        <v>-2.8929294229832984E-3</v>
      </c>
      <c r="BW34" s="874"/>
      <c r="BX34" s="762">
        <v>-195</v>
      </c>
      <c r="BY34" s="762">
        <v>-133</v>
      </c>
      <c r="BZ34" s="762">
        <v>-100</v>
      </c>
      <c r="CA34" s="762">
        <v>-178</v>
      </c>
      <c r="CB34" s="762">
        <v>-404</v>
      </c>
      <c r="CC34" s="762">
        <v>-199</v>
      </c>
      <c r="CD34" s="762">
        <v>-158</v>
      </c>
      <c r="CE34" s="762">
        <v>0</v>
      </c>
      <c r="CF34" s="935">
        <v>-156</v>
      </c>
      <c r="CG34" s="744">
        <f>SUM(BX34:CF34)</f>
        <v>-1523</v>
      </c>
      <c r="CH34" s="888">
        <f t="shared" si="58"/>
        <v>-3.1729959915664557E-3</v>
      </c>
      <c r="CI34" s="874"/>
      <c r="CJ34" s="957">
        <f t="shared" si="44"/>
        <v>-85</v>
      </c>
      <c r="CK34" s="965">
        <f t="shared" si="45"/>
        <v>5.9109874826147428E-2</v>
      </c>
      <c r="CL34" s="766"/>
      <c r="CM34" s="816">
        <f>-DATOS!D115</f>
        <v>-9067</v>
      </c>
      <c r="CN34" s="757">
        <f t="shared" si="75"/>
        <v>-2.980540688555194E-3</v>
      </c>
      <c r="CO34" s="766"/>
      <c r="CP34" s="744">
        <f>-DATOS!F115</f>
        <v>-1540</v>
      </c>
      <c r="CQ34" s="756">
        <f t="shared" si="0"/>
        <v>-2.9891507415131897E-3</v>
      </c>
      <c r="CR34" s="874"/>
      <c r="CS34" s="816">
        <f>-DATOS!G115</f>
        <v>-8379.5</v>
      </c>
      <c r="CT34" s="757">
        <f t="shared" si="73"/>
        <v>-2.8512053271043144E-3</v>
      </c>
      <c r="CU34" s="874"/>
      <c r="CV34" s="897">
        <f t="shared" si="61"/>
        <v>-687.5</v>
      </c>
      <c r="CW34" s="902">
        <f t="shared" si="1"/>
        <v>8.2045468106688946E-2</v>
      </c>
      <c r="CY34" s="775"/>
    </row>
    <row r="35" spans="1:103" hidden="1" outlineLevel="2">
      <c r="A35" s="734">
        <v>520469</v>
      </c>
      <c r="B35" s="833" t="s">
        <v>587</v>
      </c>
      <c r="C35" s="874"/>
      <c r="D35" s="762">
        <v>0</v>
      </c>
      <c r="E35" s="762">
        <v>0</v>
      </c>
      <c r="F35" s="762">
        <v>0</v>
      </c>
      <c r="G35" s="762">
        <v>0</v>
      </c>
      <c r="H35" s="762">
        <v>0</v>
      </c>
      <c r="I35" s="762">
        <v>0</v>
      </c>
      <c r="J35" s="762">
        <v>0</v>
      </c>
      <c r="K35" s="762">
        <v>0</v>
      </c>
      <c r="L35" s="935">
        <v>0</v>
      </c>
      <c r="M35" s="744">
        <f>SUM(D35:L35)</f>
        <v>0</v>
      </c>
      <c r="N35" s="888">
        <f t="shared" si="74"/>
        <v>0</v>
      </c>
      <c r="O35" s="874"/>
      <c r="P35" s="762">
        <v>0</v>
      </c>
      <c r="Q35" s="762">
        <v>-5</v>
      </c>
      <c r="R35" s="762">
        <v>0</v>
      </c>
      <c r="S35" s="762">
        <v>0</v>
      </c>
      <c r="T35" s="762">
        <v>0</v>
      </c>
      <c r="U35" s="762">
        <v>3</v>
      </c>
      <c r="V35" s="762">
        <v>0</v>
      </c>
      <c r="W35" s="762">
        <v>0</v>
      </c>
      <c r="X35" s="935">
        <v>0</v>
      </c>
      <c r="Y35" s="744">
        <f>SUM(P35:X35)</f>
        <v>-2</v>
      </c>
      <c r="Z35" s="888">
        <f t="shared" si="64"/>
        <v>-3.8002439756632374E-6</v>
      </c>
      <c r="AA35" s="874"/>
      <c r="AB35" s="762">
        <v>0</v>
      </c>
      <c r="AC35" s="762">
        <v>0</v>
      </c>
      <c r="AD35" s="762">
        <v>0</v>
      </c>
      <c r="AE35" s="762">
        <v>0</v>
      </c>
      <c r="AF35" s="762">
        <v>-1</v>
      </c>
      <c r="AG35" s="762">
        <v>0</v>
      </c>
      <c r="AH35" s="762">
        <v>0</v>
      </c>
      <c r="AI35" s="762">
        <v>0</v>
      </c>
      <c r="AJ35" s="935">
        <v>0</v>
      </c>
      <c r="AK35" s="744">
        <f>SUM(AB35:AJ35)</f>
        <v>-1</v>
      </c>
      <c r="AL35" s="888">
        <f t="shared" si="50"/>
        <v>-1.9540982325181487E-6</v>
      </c>
      <c r="AM35" s="874"/>
      <c r="AN35" s="762">
        <v>0</v>
      </c>
      <c r="AO35" s="762">
        <v>-4</v>
      </c>
      <c r="AP35" s="762">
        <v>0</v>
      </c>
      <c r="AQ35" s="762">
        <v>0</v>
      </c>
      <c r="AR35" s="762">
        <v>0</v>
      </c>
      <c r="AS35" s="762">
        <v>0</v>
      </c>
      <c r="AT35" s="762">
        <v>-3</v>
      </c>
      <c r="AU35" s="762">
        <v>0</v>
      </c>
      <c r="AV35" s="935">
        <v>0</v>
      </c>
      <c r="AW35" s="744">
        <f>SUM(AN35:AV35)</f>
        <v>-7</v>
      </c>
      <c r="AX35" s="888">
        <f t="shared" si="52"/>
        <v>-1.3182078399469703E-5</v>
      </c>
      <c r="AY35" s="874"/>
      <c r="AZ35" s="762">
        <v>0</v>
      </c>
      <c r="BA35" s="762">
        <v>0</v>
      </c>
      <c r="BB35" s="762">
        <v>0</v>
      </c>
      <c r="BC35" s="762">
        <v>0</v>
      </c>
      <c r="BD35" s="762">
        <v>0</v>
      </c>
      <c r="BE35" s="762">
        <v>0</v>
      </c>
      <c r="BF35" s="762">
        <v>0</v>
      </c>
      <c r="BG35" s="762">
        <v>0</v>
      </c>
      <c r="BH35" s="935">
        <v>0</v>
      </c>
      <c r="BI35" s="744">
        <f>SUM(AZ35:BH35)</f>
        <v>0</v>
      </c>
      <c r="BJ35" s="888">
        <f t="shared" si="54"/>
        <v>0</v>
      </c>
      <c r="BK35" s="874"/>
      <c r="BL35" s="762">
        <v>0</v>
      </c>
      <c r="BM35" s="762">
        <v>0</v>
      </c>
      <c r="BN35" s="762">
        <v>0</v>
      </c>
      <c r="BO35" s="762">
        <v>0</v>
      </c>
      <c r="BP35" s="762">
        <v>0</v>
      </c>
      <c r="BQ35" s="762">
        <v>0</v>
      </c>
      <c r="BR35" s="762">
        <v>0</v>
      </c>
      <c r="BS35" s="762">
        <v>0</v>
      </c>
      <c r="BT35" s="935">
        <v>0</v>
      </c>
      <c r="BU35" s="744">
        <f>SUM(BL35:BT35)</f>
        <v>0</v>
      </c>
      <c r="BV35" s="888">
        <f t="shared" si="56"/>
        <v>0</v>
      </c>
      <c r="BW35" s="874"/>
      <c r="BX35" s="762">
        <v>0</v>
      </c>
      <c r="BY35" s="762">
        <v>0</v>
      </c>
      <c r="BZ35" s="762">
        <v>0</v>
      </c>
      <c r="CA35" s="762">
        <v>0</v>
      </c>
      <c r="CB35" s="762">
        <v>-5</v>
      </c>
      <c r="CC35" s="762">
        <v>0</v>
      </c>
      <c r="CD35" s="762">
        <v>0</v>
      </c>
      <c r="CE35" s="762">
        <v>0</v>
      </c>
      <c r="CF35" s="935">
        <v>0</v>
      </c>
      <c r="CG35" s="744">
        <f>SUM(BX35:CF35)</f>
        <v>-5</v>
      </c>
      <c r="CH35" s="888">
        <f t="shared" si="58"/>
        <v>-1.0416927089843913E-5</v>
      </c>
      <c r="CI35" s="874"/>
      <c r="CJ35" s="957">
        <f t="shared" si="44"/>
        <v>-5</v>
      </c>
      <c r="CK35" s="965">
        <f t="shared" si="45"/>
        <v>0</v>
      </c>
      <c r="CL35" s="766"/>
      <c r="CM35" s="816">
        <f>-DATOS!D116</f>
        <v>-14.5</v>
      </c>
      <c r="CN35" s="757">
        <f t="shared" si="75"/>
        <v>-4.766498288744933E-6</v>
      </c>
      <c r="CO35" s="766"/>
      <c r="CP35" s="744">
        <f>-DATOS!F116</f>
        <v>0</v>
      </c>
      <c r="CQ35" s="756">
        <f t="shared" si="0"/>
        <v>0</v>
      </c>
      <c r="CR35" s="874"/>
      <c r="CS35" s="816">
        <f>-DATOS!G116</f>
        <v>-5</v>
      </c>
      <c r="CT35" s="757">
        <f t="shared" si="73"/>
        <v>-1.7012980053131536E-6</v>
      </c>
      <c r="CU35" s="874"/>
      <c r="CV35" s="897">
        <f t="shared" si="61"/>
        <v>-9.5</v>
      </c>
      <c r="CW35" s="902">
        <f t="shared" si="1"/>
        <v>1.9</v>
      </c>
      <c r="CY35" s="750"/>
    </row>
    <row r="36" spans="1:103" hidden="1" outlineLevel="2">
      <c r="A36" s="734">
        <v>520470</v>
      </c>
      <c r="B36" s="833" t="s">
        <v>496</v>
      </c>
      <c r="C36" s="874"/>
      <c r="D36" s="762">
        <v>-901</v>
      </c>
      <c r="E36" s="762">
        <v>-886</v>
      </c>
      <c r="F36" s="762">
        <v>-753</v>
      </c>
      <c r="G36" s="762">
        <v>-1006</v>
      </c>
      <c r="H36" s="762">
        <v>-1568</v>
      </c>
      <c r="I36" s="762">
        <v>-876</v>
      </c>
      <c r="J36" s="762">
        <v>-723</v>
      </c>
      <c r="K36" s="762">
        <v>0</v>
      </c>
      <c r="L36" s="935">
        <v>-725</v>
      </c>
      <c r="M36" s="744">
        <f>SUM(D36:L36)</f>
        <v>-7438</v>
      </c>
      <c r="N36" s="888">
        <f t="shared" si="74"/>
        <v>-1.4735453246930773E-2</v>
      </c>
      <c r="O36" s="874"/>
      <c r="P36" s="762">
        <v>-870</v>
      </c>
      <c r="Q36" s="762">
        <v>-1225</v>
      </c>
      <c r="R36" s="762">
        <v>-595</v>
      </c>
      <c r="S36" s="762">
        <v>-1135</v>
      </c>
      <c r="T36" s="762">
        <v>-1812</v>
      </c>
      <c r="U36" s="762">
        <v>-1008</v>
      </c>
      <c r="V36" s="762">
        <v>-736</v>
      </c>
      <c r="W36" s="762">
        <v>0</v>
      </c>
      <c r="X36" s="935">
        <v>-527</v>
      </c>
      <c r="Y36" s="744">
        <f>SUM(P36:X36)</f>
        <v>-7908</v>
      </c>
      <c r="Z36" s="888">
        <f t="shared" si="64"/>
        <v>-1.5026164679772441E-2</v>
      </c>
      <c r="AA36" s="874"/>
      <c r="AB36" s="762">
        <v>-968</v>
      </c>
      <c r="AC36" s="762">
        <v>-987</v>
      </c>
      <c r="AD36" s="762">
        <v>-532</v>
      </c>
      <c r="AE36" s="762">
        <v>-997</v>
      </c>
      <c r="AF36" s="762">
        <v>-2353</v>
      </c>
      <c r="AG36" s="762">
        <v>-1186</v>
      </c>
      <c r="AH36" s="762">
        <v>-749</v>
      </c>
      <c r="AI36" s="762">
        <v>0</v>
      </c>
      <c r="AJ36" s="935">
        <v>-886</v>
      </c>
      <c r="AK36" s="744">
        <f>SUM(AB36:AJ36)</f>
        <v>-8658</v>
      </c>
      <c r="AL36" s="888">
        <f t="shared" si="50"/>
        <v>-1.6918582497142131E-2</v>
      </c>
      <c r="AM36" s="874"/>
      <c r="AN36" s="762">
        <v>-901</v>
      </c>
      <c r="AO36" s="762">
        <v>-724</v>
      </c>
      <c r="AP36" s="762">
        <v>-521</v>
      </c>
      <c r="AQ36" s="762">
        <v>-819</v>
      </c>
      <c r="AR36" s="762">
        <v>-2055</v>
      </c>
      <c r="AS36" s="762">
        <v>-960</v>
      </c>
      <c r="AT36" s="762">
        <v>-740</v>
      </c>
      <c r="AU36" s="762">
        <v>0</v>
      </c>
      <c r="AV36" s="935">
        <v>-705</v>
      </c>
      <c r="AW36" s="744">
        <f>SUM(AN36:AV36)</f>
        <v>-7425</v>
      </c>
      <c r="AX36" s="888">
        <f t="shared" si="52"/>
        <v>-1.3982418873723222E-2</v>
      </c>
      <c r="AY36" s="874"/>
      <c r="AZ36" s="762">
        <v>-877</v>
      </c>
      <c r="BA36" s="762">
        <v>-745</v>
      </c>
      <c r="BB36" s="762">
        <v>-559</v>
      </c>
      <c r="BC36" s="762">
        <v>-846</v>
      </c>
      <c r="BD36" s="762">
        <v>-2228</v>
      </c>
      <c r="BE36" s="762">
        <v>-1251</v>
      </c>
      <c r="BF36" s="762">
        <v>-793</v>
      </c>
      <c r="BG36" s="762">
        <v>0</v>
      </c>
      <c r="BH36" s="935">
        <v>-792</v>
      </c>
      <c r="BI36" s="744">
        <f>SUM(AZ36:BH36)</f>
        <v>-8091</v>
      </c>
      <c r="BJ36" s="888">
        <f t="shared" si="54"/>
        <v>-1.6314341941832143E-2</v>
      </c>
      <c r="BK36" s="874"/>
      <c r="BL36" s="762">
        <v>-641</v>
      </c>
      <c r="BM36" s="762">
        <v>-796</v>
      </c>
      <c r="BN36" s="762">
        <v>-726</v>
      </c>
      <c r="BO36" s="762">
        <v>-637</v>
      </c>
      <c r="BP36" s="762">
        <v>-1784</v>
      </c>
      <c r="BQ36" s="762">
        <v>-946</v>
      </c>
      <c r="BR36" s="762">
        <v>-743</v>
      </c>
      <c r="BS36" s="762">
        <v>0</v>
      </c>
      <c r="BT36" s="935">
        <v>-941</v>
      </c>
      <c r="BU36" s="744">
        <f>SUM(BL36:BT36)</f>
        <v>-7214</v>
      </c>
      <c r="BV36" s="888">
        <f t="shared" si="56"/>
        <v>-1.4512929664396046E-2</v>
      </c>
      <c r="BW36" s="874"/>
      <c r="BX36" s="762">
        <v>-959</v>
      </c>
      <c r="BY36" s="762">
        <v>-813</v>
      </c>
      <c r="BZ36" s="762">
        <v>-505</v>
      </c>
      <c r="CA36" s="762">
        <v>-1148</v>
      </c>
      <c r="CB36" s="762">
        <v>-1993</v>
      </c>
      <c r="CC36" s="762">
        <v>-993</v>
      </c>
      <c r="CD36" s="762">
        <v>-780</v>
      </c>
      <c r="CE36" s="762">
        <v>0</v>
      </c>
      <c r="CF36" s="935">
        <v>-780</v>
      </c>
      <c r="CG36" s="744">
        <f>SUM(BX36:CF36)</f>
        <v>-7971</v>
      </c>
      <c r="CH36" s="888">
        <f t="shared" si="58"/>
        <v>-1.6606665166629165E-2</v>
      </c>
      <c r="CI36" s="874"/>
      <c r="CJ36" s="957">
        <f t="shared" si="44"/>
        <v>-757</v>
      </c>
      <c r="CK36" s="965">
        <f t="shared" si="45"/>
        <v>0.10493484890490712</v>
      </c>
      <c r="CL36" s="766"/>
      <c r="CM36" s="816">
        <f>-DATOS!D117</f>
        <v>-47263</v>
      </c>
      <c r="CN36" s="757">
        <f t="shared" si="75"/>
        <v>-1.5536483353169088E-2</v>
      </c>
      <c r="CO36" s="766"/>
      <c r="CP36" s="744">
        <f>-DATOS!F117</f>
        <v>-7772</v>
      </c>
      <c r="CQ36" s="756">
        <f t="shared" si="0"/>
        <v>-1.5085506209766565E-2</v>
      </c>
      <c r="CR36" s="874"/>
      <c r="CS36" s="816">
        <f>-DATOS!G117</f>
        <v>-43610.5</v>
      </c>
      <c r="CT36" s="757">
        <f t="shared" si="73"/>
        <v>-1.4838891332141857E-2</v>
      </c>
      <c r="CU36" s="874"/>
      <c r="CV36" s="897">
        <f t="shared" si="61"/>
        <v>-3652.5</v>
      </c>
      <c r="CW36" s="902">
        <f t="shared" si="1"/>
        <v>8.3752765962325587E-2</v>
      </c>
      <c r="CY36" s="750"/>
    </row>
    <row r="37" spans="1:103" hidden="1" outlineLevel="2">
      <c r="A37" s="734">
        <v>520472</v>
      </c>
      <c r="B37" s="833" t="s">
        <v>497</v>
      </c>
      <c r="C37" s="874"/>
      <c r="D37" s="762">
        <v>-328</v>
      </c>
      <c r="E37" s="762">
        <v>-334</v>
      </c>
      <c r="F37" s="762">
        <v>-242</v>
      </c>
      <c r="G37" s="762">
        <v>-333</v>
      </c>
      <c r="H37" s="762">
        <v>-527</v>
      </c>
      <c r="I37" s="762">
        <v>-285</v>
      </c>
      <c r="J37" s="762">
        <v>-294</v>
      </c>
      <c r="K37" s="762">
        <v>0</v>
      </c>
      <c r="L37" s="935">
        <v>-226</v>
      </c>
      <c r="M37" s="744">
        <f>SUM(D37:L37)</f>
        <v>-2569</v>
      </c>
      <c r="N37" s="888">
        <f t="shared" si="74"/>
        <v>-5.0894567614096749E-3</v>
      </c>
      <c r="O37" s="874"/>
      <c r="P37" s="762">
        <v>-275</v>
      </c>
      <c r="Q37" s="762">
        <v>-407</v>
      </c>
      <c r="R37" s="762">
        <v>-192</v>
      </c>
      <c r="S37" s="762">
        <v>-391</v>
      </c>
      <c r="T37" s="762">
        <v>-600</v>
      </c>
      <c r="U37" s="762">
        <v>-317</v>
      </c>
      <c r="V37" s="762">
        <v>-247</v>
      </c>
      <c r="W37" s="762">
        <v>0</v>
      </c>
      <c r="X37" s="935">
        <v>-176</v>
      </c>
      <c r="Y37" s="744">
        <f>SUM(P37:X37)</f>
        <v>-2605</v>
      </c>
      <c r="Z37" s="888">
        <f t="shared" si="64"/>
        <v>-4.9498177783013665E-3</v>
      </c>
      <c r="AA37" s="874"/>
      <c r="AB37" s="762">
        <v>-250</v>
      </c>
      <c r="AC37" s="762">
        <v>-329</v>
      </c>
      <c r="AD37" s="762">
        <v>-176</v>
      </c>
      <c r="AE37" s="762">
        <v>-329</v>
      </c>
      <c r="AF37" s="762">
        <v>-761</v>
      </c>
      <c r="AG37" s="762">
        <v>-395</v>
      </c>
      <c r="AH37" s="762">
        <v>-248</v>
      </c>
      <c r="AI37" s="762">
        <v>0</v>
      </c>
      <c r="AJ37" s="935">
        <v>-287</v>
      </c>
      <c r="AK37" s="744">
        <f>SUM(AB37:AJ37)</f>
        <v>-2775</v>
      </c>
      <c r="AL37" s="888">
        <f t="shared" si="50"/>
        <v>-5.4226225952378627E-3</v>
      </c>
      <c r="AM37" s="874"/>
      <c r="AN37" s="762">
        <v>-300</v>
      </c>
      <c r="AO37" s="762">
        <v>-267</v>
      </c>
      <c r="AP37" s="762">
        <v>-174</v>
      </c>
      <c r="AQ37" s="762">
        <v>-279</v>
      </c>
      <c r="AR37" s="762">
        <v>-685</v>
      </c>
      <c r="AS37" s="762">
        <v>-318</v>
      </c>
      <c r="AT37" s="762">
        <v>-263</v>
      </c>
      <c r="AU37" s="762">
        <v>0</v>
      </c>
      <c r="AV37" s="935">
        <v>-235</v>
      </c>
      <c r="AW37" s="744">
        <f>SUM(AN37:AV37)</f>
        <v>-2521</v>
      </c>
      <c r="AX37" s="888">
        <f t="shared" si="52"/>
        <v>-4.7474313778661601E-3</v>
      </c>
      <c r="AY37" s="874"/>
      <c r="AZ37" s="762">
        <v>-307</v>
      </c>
      <c r="BA37" s="762">
        <v>-248</v>
      </c>
      <c r="BB37" s="762">
        <v>-186</v>
      </c>
      <c r="BC37" s="762">
        <v>-310</v>
      </c>
      <c r="BD37" s="762">
        <v>-747</v>
      </c>
      <c r="BE37" s="762">
        <v>-416</v>
      </c>
      <c r="BF37" s="762">
        <v>-264</v>
      </c>
      <c r="BG37" s="762">
        <v>0</v>
      </c>
      <c r="BH37" s="935">
        <v>-262</v>
      </c>
      <c r="BI37" s="744">
        <f>SUM(AZ37:BH37)</f>
        <v>-2740</v>
      </c>
      <c r="BJ37" s="888">
        <f t="shared" si="54"/>
        <v>-5.5248173180842998E-3</v>
      </c>
      <c r="BK37" s="874"/>
      <c r="BL37" s="762">
        <v>-252</v>
      </c>
      <c r="BM37" s="762">
        <v>-253</v>
      </c>
      <c r="BN37" s="762">
        <v>-242</v>
      </c>
      <c r="BO37" s="762">
        <v>-212</v>
      </c>
      <c r="BP37" s="762">
        <v>-619</v>
      </c>
      <c r="BQ37" s="762">
        <v>-391</v>
      </c>
      <c r="BR37" s="762">
        <v>-248</v>
      </c>
      <c r="BS37" s="762">
        <v>0</v>
      </c>
      <c r="BT37" s="935">
        <v>-314</v>
      </c>
      <c r="BU37" s="744">
        <f>SUM(BL37:BT37)</f>
        <v>-2531</v>
      </c>
      <c r="BV37" s="888">
        <f t="shared" si="56"/>
        <v>-5.0917971971980031E-3</v>
      </c>
      <c r="BW37" s="874"/>
      <c r="BX37" s="762">
        <v>-320</v>
      </c>
      <c r="BY37" s="762">
        <v>-218</v>
      </c>
      <c r="BZ37" s="762">
        <v>-168</v>
      </c>
      <c r="CA37" s="762">
        <v>-332</v>
      </c>
      <c r="CB37" s="762">
        <v>-663</v>
      </c>
      <c r="CC37" s="762">
        <v>-327</v>
      </c>
      <c r="CD37" s="762">
        <v>-260</v>
      </c>
      <c r="CE37" s="762">
        <v>0</v>
      </c>
      <c r="CF37" s="935">
        <v>-255</v>
      </c>
      <c r="CG37" s="744">
        <f>SUM(BX37:CF37)</f>
        <v>-2543</v>
      </c>
      <c r="CH37" s="888">
        <f t="shared" si="58"/>
        <v>-5.2980491178946142E-3</v>
      </c>
      <c r="CI37" s="874"/>
      <c r="CJ37" s="957">
        <f t="shared" si="44"/>
        <v>-12</v>
      </c>
      <c r="CK37" s="965">
        <f t="shared" si="45"/>
        <v>4.7412090082971162E-3</v>
      </c>
      <c r="CL37" s="766"/>
      <c r="CM37" s="816">
        <f>-DATOS!D118</f>
        <v>-15715.5</v>
      </c>
      <c r="CN37" s="757">
        <f t="shared" si="75"/>
        <v>-5.1660623349497241E-3</v>
      </c>
      <c r="CO37" s="766"/>
      <c r="CP37" s="744">
        <f>-DATOS!F118</f>
        <v>-2596.5</v>
      </c>
      <c r="CQ37" s="756">
        <f t="shared" si="0"/>
        <v>-5.0398246106097382E-3</v>
      </c>
      <c r="CR37" s="874"/>
      <c r="CS37" s="816">
        <f>-DATOS!G118</f>
        <v>-14613.5</v>
      </c>
      <c r="CT37" s="757">
        <f t="shared" si="73"/>
        <v>-4.972383680128754E-3</v>
      </c>
      <c r="CU37" s="874"/>
      <c r="CV37" s="897">
        <f t="shared" si="61"/>
        <v>-1102</v>
      </c>
      <c r="CW37" s="902">
        <f t="shared" si="1"/>
        <v>7.5409723885448393E-2</v>
      </c>
      <c r="CY37" s="750"/>
    </row>
    <row r="38" spans="1:103" hidden="1" outlineLevel="2">
      <c r="A38" s="734">
        <v>520478</v>
      </c>
      <c r="B38" s="833" t="s">
        <v>881</v>
      </c>
      <c r="C38" s="874"/>
      <c r="D38" s="762">
        <v>0</v>
      </c>
      <c r="E38" s="762">
        <v>0</v>
      </c>
      <c r="F38" s="762">
        <v>0</v>
      </c>
      <c r="G38" s="762">
        <v>0</v>
      </c>
      <c r="H38" s="762">
        <v>0</v>
      </c>
      <c r="I38" s="762">
        <v>0</v>
      </c>
      <c r="J38" s="762">
        <v>0</v>
      </c>
      <c r="K38" s="762">
        <v>0</v>
      </c>
      <c r="L38" s="935">
        <v>0</v>
      </c>
      <c r="M38" s="744">
        <f>SUM(D38:L38)</f>
        <v>0</v>
      </c>
      <c r="N38" s="888">
        <f t="shared" si="74"/>
        <v>0</v>
      </c>
      <c r="O38" s="874"/>
      <c r="P38" s="762">
        <v>0</v>
      </c>
      <c r="Q38" s="762">
        <v>0</v>
      </c>
      <c r="R38" s="762">
        <v>0</v>
      </c>
      <c r="S38" s="762">
        <v>0</v>
      </c>
      <c r="T38" s="762">
        <v>0</v>
      </c>
      <c r="U38" s="762">
        <v>0</v>
      </c>
      <c r="V38" s="762">
        <v>0</v>
      </c>
      <c r="W38" s="762">
        <v>0</v>
      </c>
      <c r="X38" s="935">
        <v>0</v>
      </c>
      <c r="Y38" s="744">
        <f>SUM(P38:X38)</f>
        <v>0</v>
      </c>
      <c r="Z38" s="888">
        <f t="shared" si="64"/>
        <v>0</v>
      </c>
      <c r="AA38" s="874"/>
      <c r="AB38" s="762">
        <v>0</v>
      </c>
      <c r="AC38" s="762">
        <v>0</v>
      </c>
      <c r="AD38" s="762">
        <v>0</v>
      </c>
      <c r="AE38" s="762">
        <v>0</v>
      </c>
      <c r="AF38" s="762">
        <v>0</v>
      </c>
      <c r="AG38" s="762">
        <v>0</v>
      </c>
      <c r="AH38" s="762">
        <v>0</v>
      </c>
      <c r="AI38" s="762">
        <v>0</v>
      </c>
      <c r="AJ38" s="935">
        <v>0</v>
      </c>
      <c r="AK38" s="744">
        <f>SUM(AB38:AJ38)</f>
        <v>0</v>
      </c>
      <c r="AL38" s="888">
        <f t="shared" si="50"/>
        <v>0</v>
      </c>
      <c r="AM38" s="874"/>
      <c r="AN38" s="762">
        <v>0</v>
      </c>
      <c r="AO38" s="762">
        <v>0</v>
      </c>
      <c r="AP38" s="762">
        <v>0</v>
      </c>
      <c r="AQ38" s="762">
        <v>0</v>
      </c>
      <c r="AR38" s="762">
        <v>0</v>
      </c>
      <c r="AS38" s="762">
        <v>0</v>
      </c>
      <c r="AT38" s="762">
        <v>0</v>
      </c>
      <c r="AU38" s="762">
        <v>0</v>
      </c>
      <c r="AV38" s="935">
        <v>0</v>
      </c>
      <c r="AW38" s="744">
        <f>SUM(AN38:AV38)</f>
        <v>0</v>
      </c>
      <c r="AX38" s="888">
        <f t="shared" si="52"/>
        <v>0</v>
      </c>
      <c r="AY38" s="874"/>
      <c r="AZ38" s="762">
        <v>0</v>
      </c>
      <c r="BA38" s="762">
        <v>0</v>
      </c>
      <c r="BB38" s="762">
        <v>0</v>
      </c>
      <c r="BC38" s="762">
        <v>0</v>
      </c>
      <c r="BD38" s="762">
        <v>0</v>
      </c>
      <c r="BE38" s="762">
        <v>0</v>
      </c>
      <c r="BF38" s="762">
        <v>0</v>
      </c>
      <c r="BG38" s="762">
        <v>0</v>
      </c>
      <c r="BH38" s="935">
        <v>0</v>
      </c>
      <c r="BI38" s="744">
        <f>SUM(AZ38:BH38)</f>
        <v>0</v>
      </c>
      <c r="BJ38" s="888">
        <f t="shared" si="54"/>
        <v>0</v>
      </c>
      <c r="BK38" s="874"/>
      <c r="BL38" s="762">
        <v>0</v>
      </c>
      <c r="BM38" s="762">
        <v>0</v>
      </c>
      <c r="BN38" s="762">
        <v>0</v>
      </c>
      <c r="BO38" s="762">
        <v>0</v>
      </c>
      <c r="BP38" s="762">
        <v>0</v>
      </c>
      <c r="BQ38" s="762">
        <v>0</v>
      </c>
      <c r="BR38" s="762">
        <v>0</v>
      </c>
      <c r="BS38" s="762">
        <v>0</v>
      </c>
      <c r="BT38" s="935">
        <v>0</v>
      </c>
      <c r="BU38" s="744">
        <f>SUM(BL38:BT38)</f>
        <v>0</v>
      </c>
      <c r="BV38" s="888">
        <f t="shared" si="56"/>
        <v>0</v>
      </c>
      <c r="BW38" s="874"/>
      <c r="BX38" s="762">
        <v>0</v>
      </c>
      <c r="BY38" s="762">
        <v>0</v>
      </c>
      <c r="BZ38" s="762">
        <v>0</v>
      </c>
      <c r="CA38" s="762">
        <v>0</v>
      </c>
      <c r="CB38" s="762">
        <v>0</v>
      </c>
      <c r="CC38" s="762">
        <v>0</v>
      </c>
      <c r="CD38" s="762">
        <v>0</v>
      </c>
      <c r="CE38" s="762">
        <v>0</v>
      </c>
      <c r="CF38" s="935">
        <v>0</v>
      </c>
      <c r="CG38" s="744">
        <f>SUM(BX38:CF38)</f>
        <v>0</v>
      </c>
      <c r="CH38" s="888">
        <f t="shared" si="58"/>
        <v>0</v>
      </c>
      <c r="CI38" s="874"/>
      <c r="CJ38" s="957">
        <f t="shared" si="44"/>
        <v>0</v>
      </c>
      <c r="CK38" s="965">
        <f t="shared" si="45"/>
        <v>0</v>
      </c>
      <c r="CL38" s="766"/>
      <c r="CM38" s="816">
        <v>0</v>
      </c>
      <c r="CN38" s="757">
        <f t="shared" si="75"/>
        <v>0</v>
      </c>
      <c r="CO38" s="766"/>
      <c r="CP38" s="744">
        <v>0</v>
      </c>
      <c r="CQ38" s="756">
        <f t="shared" si="0"/>
        <v>0</v>
      </c>
      <c r="CR38" s="874"/>
      <c r="CS38" s="816">
        <v>0</v>
      </c>
      <c r="CT38" s="757">
        <f t="shared" si="73"/>
        <v>0</v>
      </c>
      <c r="CU38" s="874"/>
      <c r="CV38" s="897">
        <f t="shared" si="61"/>
        <v>0</v>
      </c>
      <c r="CW38" s="902">
        <f t="shared" si="1"/>
        <v>0</v>
      </c>
      <c r="CY38" s="750"/>
    </row>
    <row r="39" spans="1:103" hidden="1" outlineLevel="1">
      <c r="A39" s="739">
        <v>5205</v>
      </c>
      <c r="B39" s="836" t="s">
        <v>244</v>
      </c>
      <c r="C39" s="874"/>
      <c r="D39" s="758">
        <f>+SUM(D40:D59)</f>
        <v>-9786</v>
      </c>
      <c r="E39" s="758">
        <f>+SUM(E40:E59)</f>
        <v>-11672</v>
      </c>
      <c r="F39" s="758">
        <f>+SUM(F40:F59)</f>
        <v>-8759</v>
      </c>
      <c r="G39" s="758">
        <f>+SUM(G40:G59)</f>
        <v>-14111</v>
      </c>
      <c r="H39" s="758">
        <f>+SUM(H40:H60)</f>
        <v>-23937</v>
      </c>
      <c r="I39" s="758">
        <f>+SUM(I40:I59)</f>
        <v>-11251</v>
      </c>
      <c r="J39" s="758">
        <f>+SUM(J40:J59)</f>
        <v>-10592</v>
      </c>
      <c r="K39" s="758">
        <f>+SUM(K40:K59)</f>
        <v>-298</v>
      </c>
      <c r="L39" s="937">
        <f>+SUM(L40:L59)</f>
        <v>-8976</v>
      </c>
      <c r="M39" s="758">
        <f>+SUM(M40:M60)</f>
        <v>-99382</v>
      </c>
      <c r="N39" s="887">
        <f t="shared" si="74"/>
        <v>-0.19688610037462681</v>
      </c>
      <c r="O39" s="874"/>
      <c r="P39" s="758">
        <f>+SUM(P40:P59)</f>
        <v>-10673</v>
      </c>
      <c r="Q39" s="758">
        <f>+SUM(Q40:Q59)</f>
        <v>-10972</v>
      </c>
      <c r="R39" s="758">
        <f>+SUM(R40:R59)</f>
        <v>-5583</v>
      </c>
      <c r="S39" s="758">
        <f>+SUM(S40:S59)</f>
        <v>-15579</v>
      </c>
      <c r="T39" s="758">
        <f>+SUM(T40:T60)</f>
        <v>-20226</v>
      </c>
      <c r="U39" s="758">
        <f>+SUM(U40:U59)</f>
        <v>-10040</v>
      </c>
      <c r="V39" s="758">
        <f>+SUM(V40:V59)</f>
        <v>-8649</v>
      </c>
      <c r="W39" s="758">
        <f>+SUM(W40:W59)</f>
        <v>0</v>
      </c>
      <c r="X39" s="937">
        <f>+SUM(X40:X59)</f>
        <v>-8249</v>
      </c>
      <c r="Y39" s="758">
        <f>+SUM(Y40:Y60)</f>
        <v>-92106</v>
      </c>
      <c r="Z39" s="887">
        <f t="shared" si="64"/>
        <v>-0.17501263581121909</v>
      </c>
      <c r="AA39" s="874"/>
      <c r="AB39" s="758">
        <f>+SUM(AB40:AB59)</f>
        <v>-9155</v>
      </c>
      <c r="AC39" s="758">
        <f>+SUM(AC40:AC59)</f>
        <v>-10959</v>
      </c>
      <c r="AD39" s="758">
        <f>+SUM(AD40:AD59)</f>
        <v>-5400</v>
      </c>
      <c r="AE39" s="758">
        <f>+SUM(AE40:AE59)</f>
        <v>-12833</v>
      </c>
      <c r="AF39" s="758">
        <f>+SUM(AF40:AF60)</f>
        <v>-23153</v>
      </c>
      <c r="AG39" s="758">
        <f>+SUM(AG40:AG59)</f>
        <v>-12439</v>
      </c>
      <c r="AH39" s="758">
        <f>+SUM(AH40:AH59)</f>
        <v>-7148</v>
      </c>
      <c r="AI39" s="758">
        <f>+SUM(AI40:AI59)</f>
        <v>0</v>
      </c>
      <c r="AJ39" s="937">
        <f>+SUM(AJ40:AJ59)</f>
        <v>-9141</v>
      </c>
      <c r="AK39" s="758">
        <f>+SUM(AK40:AK60)</f>
        <v>-92854</v>
      </c>
      <c r="AL39" s="887">
        <f t="shared" si="50"/>
        <v>-0.18144583728224017</v>
      </c>
      <c r="AM39" s="874"/>
      <c r="AN39" s="758">
        <f>+SUM(AN40:AN59)</f>
        <v>-10338</v>
      </c>
      <c r="AO39" s="758">
        <f>+SUM(AO40:AO59)</f>
        <v>-8394</v>
      </c>
      <c r="AP39" s="758">
        <f>+SUM(AP40:AP59)</f>
        <v>-6023</v>
      </c>
      <c r="AQ39" s="758">
        <f>+SUM(AQ40:AQ59)</f>
        <v>-9556</v>
      </c>
      <c r="AR39" s="758">
        <f>+SUM(AR40:AR60)</f>
        <v>-23010</v>
      </c>
      <c r="AS39" s="758">
        <f>+SUM(AS40:AS59)</f>
        <v>-10200</v>
      </c>
      <c r="AT39" s="758">
        <f>+SUM(AT40:AT59)</f>
        <v>-8027</v>
      </c>
      <c r="AU39" s="758">
        <f>+SUM(AU40:AU59)</f>
        <v>0</v>
      </c>
      <c r="AV39" s="937">
        <f>+SUM(AV40:AV59)</f>
        <v>-8434</v>
      </c>
      <c r="AW39" s="758">
        <f>+SUM(AW40:AW60)</f>
        <v>-85295</v>
      </c>
      <c r="AX39" s="887">
        <f t="shared" si="52"/>
        <v>-0.16062362529753835</v>
      </c>
      <c r="AY39" s="874"/>
      <c r="AZ39" s="758">
        <f>+SUM(AZ40:AZ59)</f>
        <v>-8394</v>
      </c>
      <c r="BA39" s="758">
        <f>+SUM(BA40:BA59)</f>
        <v>-8815</v>
      </c>
      <c r="BB39" s="758">
        <f>+SUM(BB40:BB59)</f>
        <v>-5674</v>
      </c>
      <c r="BC39" s="758">
        <f>+SUM(BC40:BC59)</f>
        <v>-10500</v>
      </c>
      <c r="BD39" s="758">
        <f>+SUM(BD40:BD60)</f>
        <v>-24938</v>
      </c>
      <c r="BE39" s="758">
        <f>+SUM(BE40:BE59)</f>
        <v>-12980</v>
      </c>
      <c r="BF39" s="758">
        <f>+SUM(BF40:BF59)</f>
        <v>-8744</v>
      </c>
      <c r="BG39" s="758">
        <f>+SUM(BG40:BG59)</f>
        <v>0</v>
      </c>
      <c r="BH39" s="937">
        <f>+SUM(BH40:BH59)</f>
        <v>-9870</v>
      </c>
      <c r="BI39" s="758">
        <f>+SUM(BI40:BI60)</f>
        <v>-89915</v>
      </c>
      <c r="BJ39" s="887">
        <f t="shared" si="54"/>
        <v>-0.18130071137063863</v>
      </c>
      <c r="BK39" s="874"/>
      <c r="BL39" s="758">
        <f>+SUM(BL40:BL59)</f>
        <v>-6951</v>
      </c>
      <c r="BM39" s="758">
        <f>+SUM(BM40:BM59)</f>
        <v>-9279</v>
      </c>
      <c r="BN39" s="758">
        <f>+SUM(BN40:BN59)</f>
        <v>-7010</v>
      </c>
      <c r="BO39" s="758">
        <f>+SUM(BO40:BO59)</f>
        <v>-8341</v>
      </c>
      <c r="BP39" s="758">
        <f>+SUM(BP40:BP60)</f>
        <v>-20300</v>
      </c>
      <c r="BQ39" s="758">
        <f>+SUM(BQ40:BQ59)</f>
        <v>-11674</v>
      </c>
      <c r="BR39" s="758">
        <f>+SUM(BR40:BR59)</f>
        <v>-8857</v>
      </c>
      <c r="BS39" s="758">
        <f>+SUM(BS40:BS59)</f>
        <v>0</v>
      </c>
      <c r="BT39" s="937">
        <f>+SUM(BT40:BT59)</f>
        <v>-11700</v>
      </c>
      <c r="BU39" s="758">
        <f>+SUM(BU40:BU60)</f>
        <v>-84112</v>
      </c>
      <c r="BV39" s="887">
        <f t="shared" si="56"/>
        <v>-0.16921424174267816</v>
      </c>
      <c r="BW39" s="874"/>
      <c r="BX39" s="758">
        <f>+SUM(BX40:BX59)</f>
        <v>-9641</v>
      </c>
      <c r="BY39" s="758">
        <f>+SUM(BY40:BY59)</f>
        <v>-6872</v>
      </c>
      <c r="BZ39" s="758">
        <f>+SUM(BZ40:BZ59)</f>
        <v>-5468</v>
      </c>
      <c r="CA39" s="758">
        <f>+SUM(CA40:CA59)</f>
        <v>-15488</v>
      </c>
      <c r="CB39" s="758">
        <f>+SUM(CB40:CB60)</f>
        <v>-22655</v>
      </c>
      <c r="CC39" s="758">
        <f>+SUM(CC40:CC59)</f>
        <v>-12007</v>
      </c>
      <c r="CD39" s="758">
        <f>+SUM(CD40:CD59)</f>
        <v>-8157</v>
      </c>
      <c r="CE39" s="758">
        <f>+SUM(CE40:CE59)</f>
        <v>0</v>
      </c>
      <c r="CF39" s="937">
        <f>+SUM(CF40:CF59)</f>
        <v>-9281</v>
      </c>
      <c r="CG39" s="758">
        <f>+SUM(CG40:CG60)</f>
        <v>-89569</v>
      </c>
      <c r="CH39" s="887">
        <f t="shared" si="58"/>
        <v>-0.18660674850204589</v>
      </c>
      <c r="CI39" s="874"/>
      <c r="CJ39" s="963">
        <f t="shared" si="44"/>
        <v>-5457</v>
      </c>
      <c r="CK39" s="964">
        <f t="shared" si="45"/>
        <v>6.4877782004945789E-2</v>
      </c>
      <c r="CL39" s="766"/>
      <c r="CM39" s="760">
        <f>+SUM(CM40:CM60)</f>
        <v>-533858.5</v>
      </c>
      <c r="CN39" s="757">
        <f t="shared" ref="CN39:CN93" si="85">+CM39/CM$13</f>
        <v>-0.17549211218496116</v>
      </c>
      <c r="CO39" s="766"/>
      <c r="CP39" s="758">
        <f>+SUM(CP40:CP60)</f>
        <v>-90567</v>
      </c>
      <c r="CQ39" s="756">
        <f t="shared" si="0"/>
        <v>-0.17579117870560068</v>
      </c>
      <c r="CR39" s="874"/>
      <c r="CS39" s="760">
        <f>+SUM(CS40:CS60)</f>
        <v>-493063</v>
      </c>
      <c r="CT39" s="757">
        <f t="shared" si="73"/>
        <v>-0.1677694196787439</v>
      </c>
      <c r="CU39" s="874"/>
      <c r="CV39" s="905">
        <f t="shared" si="61"/>
        <v>-40795.5</v>
      </c>
      <c r="CW39" s="902">
        <f t="shared" si="1"/>
        <v>8.2738919772929631E-2</v>
      </c>
      <c r="CY39" s="750"/>
    </row>
    <row r="40" spans="1:103" hidden="1" outlineLevel="2">
      <c r="A40" s="918">
        <v>52050601</v>
      </c>
      <c r="B40" s="833" t="s">
        <v>486</v>
      </c>
      <c r="C40" s="874"/>
      <c r="D40" s="762">
        <v>-5113</v>
      </c>
      <c r="E40" s="762">
        <v>-6363</v>
      </c>
      <c r="F40" s="762">
        <v>-4502</v>
      </c>
      <c r="G40" s="762">
        <v>-6508</v>
      </c>
      <c r="H40" s="762">
        <v>-9817</v>
      </c>
      <c r="I40" s="762">
        <v>-6072</v>
      </c>
      <c r="J40" s="762">
        <v>-4969</v>
      </c>
      <c r="K40" s="762">
        <v>0</v>
      </c>
      <c r="L40" s="935">
        <v>-5066</v>
      </c>
      <c r="M40" s="744">
        <f t="shared" ref="M40:M51" si="86">SUM(D40:L40)</f>
        <v>-48410</v>
      </c>
      <c r="N40" s="888">
        <f t="shared" si="74"/>
        <v>-9.5905255671406134E-2</v>
      </c>
      <c r="O40" s="874"/>
      <c r="P40" s="762">
        <v>-5836</v>
      </c>
      <c r="Q40" s="762">
        <v>-6682</v>
      </c>
      <c r="R40" s="762">
        <v>-3043</v>
      </c>
      <c r="S40" s="762">
        <v>-6925</v>
      </c>
      <c r="T40" s="762">
        <v>-9542</v>
      </c>
      <c r="U40" s="762">
        <v>-5631</v>
      </c>
      <c r="V40" s="762">
        <v>-5356</v>
      </c>
      <c r="W40" s="762">
        <v>0</v>
      </c>
      <c r="X40" s="935">
        <v>-4261</v>
      </c>
      <c r="Y40" s="744">
        <f t="shared" ref="Y40:Y51" si="87">SUM(P40:X40)</f>
        <v>-47276</v>
      </c>
      <c r="Z40" s="888">
        <f t="shared" si="64"/>
        <v>-8.9830167096727614E-2</v>
      </c>
      <c r="AA40" s="874"/>
      <c r="AB40" s="762">
        <v>-5603</v>
      </c>
      <c r="AC40" s="762">
        <v>-7440</v>
      </c>
      <c r="AD40" s="762">
        <v>-3210</v>
      </c>
      <c r="AE40" s="762">
        <v>-6468</v>
      </c>
      <c r="AF40" s="762">
        <v>-11910</v>
      </c>
      <c r="AG40" s="762">
        <v>-8694</v>
      </c>
      <c r="AH40" s="762">
        <v>-4959</v>
      </c>
      <c r="AI40" s="762">
        <v>0</v>
      </c>
      <c r="AJ40" s="935">
        <v>-5836</v>
      </c>
      <c r="AK40" s="744">
        <f t="shared" ref="AK40:AK51" si="88">SUM(AB40:AJ40)</f>
        <v>-54120</v>
      </c>
      <c r="AL40" s="888">
        <f t="shared" si="50"/>
        <v>-0.10575579634388221</v>
      </c>
      <c r="AM40" s="874"/>
      <c r="AN40" s="762">
        <v>-7004</v>
      </c>
      <c r="AO40" s="762">
        <v>-5398</v>
      </c>
      <c r="AP40" s="762">
        <v>-3385</v>
      </c>
      <c r="AQ40" s="762">
        <v>-5603</v>
      </c>
      <c r="AR40" s="762">
        <v>-14001</v>
      </c>
      <c r="AS40" s="762">
        <v>-6826</v>
      </c>
      <c r="AT40" s="762">
        <v>-5368</v>
      </c>
      <c r="AU40" s="762">
        <v>0</v>
      </c>
      <c r="AV40" s="935">
        <v>-5545</v>
      </c>
      <c r="AW40" s="744">
        <f t="shared" ref="AW40:AW51" si="89">SUM(AN40:AV40)</f>
        <v>-53130</v>
      </c>
      <c r="AX40" s="888">
        <f t="shared" si="52"/>
        <v>-0.10005197505197505</v>
      </c>
      <c r="AY40" s="874"/>
      <c r="AZ40" s="762">
        <v>-5078</v>
      </c>
      <c r="BA40" s="762">
        <v>-5690</v>
      </c>
      <c r="BB40" s="762">
        <v>-3093</v>
      </c>
      <c r="BC40" s="762">
        <v>-5274</v>
      </c>
      <c r="BD40" s="762">
        <v>-12871</v>
      </c>
      <c r="BE40" s="762">
        <v>-8461</v>
      </c>
      <c r="BF40" s="762">
        <v>-5776</v>
      </c>
      <c r="BG40" s="762">
        <v>0</v>
      </c>
      <c r="BH40" s="935">
        <v>-5720</v>
      </c>
      <c r="BI40" s="744">
        <f t="shared" ref="BI40:BI51" si="90">SUM(AZ40:BH40)</f>
        <v>-51963</v>
      </c>
      <c r="BJ40" s="888">
        <f t="shared" si="54"/>
        <v>-0.10477594244511478</v>
      </c>
      <c r="BK40" s="874"/>
      <c r="BL40" s="762">
        <v>-3428</v>
      </c>
      <c r="BM40" s="762">
        <v>-5281</v>
      </c>
      <c r="BN40" s="762">
        <v>-3969</v>
      </c>
      <c r="BO40" s="762">
        <v>-3932</v>
      </c>
      <c r="BP40" s="762">
        <v>-10202</v>
      </c>
      <c r="BQ40" s="762">
        <v>-6768</v>
      </c>
      <c r="BR40" s="762">
        <v>-5834</v>
      </c>
      <c r="BS40" s="762">
        <v>0</v>
      </c>
      <c r="BT40" s="935">
        <v>-7253</v>
      </c>
      <c r="BU40" s="744">
        <f t="shared" ref="BU40:BU51" si="91">SUM(BL40:BT40)</f>
        <v>-46667</v>
      </c>
      <c r="BV40" s="888">
        <f t="shared" si="56"/>
        <v>-9.3883405690098454E-2</v>
      </c>
      <c r="BW40" s="874"/>
      <c r="BX40" s="762">
        <v>-5255</v>
      </c>
      <c r="BY40" s="762">
        <v>-4814</v>
      </c>
      <c r="BZ40" s="762">
        <v>-3560</v>
      </c>
      <c r="CA40" s="762">
        <v>-6965</v>
      </c>
      <c r="CB40" s="762">
        <v>-11217</v>
      </c>
      <c r="CC40" s="762">
        <v>-7527</v>
      </c>
      <c r="CD40" s="762">
        <v>-5484</v>
      </c>
      <c r="CE40" s="762">
        <v>0</v>
      </c>
      <c r="CF40" s="935">
        <v>-5216</v>
      </c>
      <c r="CG40" s="744">
        <f t="shared" ref="CG40:CG51" si="92">SUM(BX40:CF40)</f>
        <v>-50038</v>
      </c>
      <c r="CH40" s="888">
        <f t="shared" si="58"/>
        <v>-0.10424843954432195</v>
      </c>
      <c r="CI40" s="874"/>
      <c r="CJ40" s="957">
        <f t="shared" si="44"/>
        <v>-3371</v>
      </c>
      <c r="CK40" s="965">
        <f t="shared" si="45"/>
        <v>7.2235198320012003E-2</v>
      </c>
      <c r="CL40" s="766"/>
      <c r="CM40" s="816">
        <f>-DATOS!D119</f>
        <v>-303194</v>
      </c>
      <c r="CN40" s="757">
        <f t="shared" si="85"/>
        <v>-9.9667150493636641E-2</v>
      </c>
      <c r="CO40" s="766"/>
      <c r="CP40" s="744">
        <f>-DATOS!F119</f>
        <v>-51262</v>
      </c>
      <c r="CQ40" s="756">
        <f t="shared" si="0"/>
        <v>-9.9499899552889043E-2</v>
      </c>
      <c r="CR40" s="874"/>
      <c r="CS40" s="816">
        <f>-DATOS!G119</f>
        <v>-281725</v>
      </c>
      <c r="CT40" s="757">
        <f t="shared" si="73"/>
        <v>-9.585963610936965E-2</v>
      </c>
      <c r="CU40" s="874"/>
      <c r="CV40" s="897">
        <f t="shared" si="61"/>
        <v>-21469</v>
      </c>
      <c r="CW40" s="902">
        <f t="shared" si="1"/>
        <v>7.6205519566953595E-2</v>
      </c>
      <c r="CY40" s="750"/>
    </row>
    <row r="41" spans="1:103" hidden="1" outlineLevel="2">
      <c r="A41" s="918">
        <v>52051501</v>
      </c>
      <c r="B41" s="833" t="s">
        <v>487</v>
      </c>
      <c r="C41" s="874"/>
      <c r="D41" s="762">
        <v>-658</v>
      </c>
      <c r="E41" s="762">
        <v>-788</v>
      </c>
      <c r="F41" s="762">
        <v>-1141</v>
      </c>
      <c r="G41" s="762">
        <v>-2456</v>
      </c>
      <c r="H41" s="762">
        <v>-3171</v>
      </c>
      <c r="I41" s="762">
        <v>-729</v>
      </c>
      <c r="J41" s="762">
        <v>-499</v>
      </c>
      <c r="K41" s="762">
        <v>0</v>
      </c>
      <c r="L41" s="935">
        <v>-1412</v>
      </c>
      <c r="M41" s="744">
        <f t="shared" si="86"/>
        <v>-10854</v>
      </c>
      <c r="N41" s="888">
        <f t="shared" si="74"/>
        <v>-2.1502905289350178E-2</v>
      </c>
      <c r="O41" s="874"/>
      <c r="P41" s="762">
        <v>-1323</v>
      </c>
      <c r="Q41" s="762">
        <v>-772</v>
      </c>
      <c r="R41" s="762">
        <v>-580</v>
      </c>
      <c r="S41" s="762">
        <v>-3955</v>
      </c>
      <c r="T41" s="762">
        <v>-4720</v>
      </c>
      <c r="U41" s="762">
        <v>-507</v>
      </c>
      <c r="V41" s="762">
        <v>-242</v>
      </c>
      <c r="W41" s="762">
        <v>0</v>
      </c>
      <c r="X41" s="935">
        <v>-1232</v>
      </c>
      <c r="Y41" s="744">
        <f t="shared" si="87"/>
        <v>-13331</v>
      </c>
      <c r="Z41" s="888">
        <f t="shared" si="64"/>
        <v>-2.5330526219783309E-2</v>
      </c>
      <c r="AA41" s="874"/>
      <c r="AB41" s="762">
        <v>-594</v>
      </c>
      <c r="AC41" s="762">
        <v>-787</v>
      </c>
      <c r="AD41" s="762">
        <v>-726</v>
      </c>
      <c r="AE41" s="762">
        <v>-3051</v>
      </c>
      <c r="AF41" s="762">
        <v>-4349</v>
      </c>
      <c r="AG41" s="762">
        <v>-252</v>
      </c>
      <c r="AH41" s="762">
        <v>-238</v>
      </c>
      <c r="AI41" s="762">
        <v>0</v>
      </c>
      <c r="AJ41" s="935">
        <v>-852</v>
      </c>
      <c r="AK41" s="744">
        <f t="shared" si="88"/>
        <v>-10849</v>
      </c>
      <c r="AL41" s="888">
        <f t="shared" si="50"/>
        <v>-2.1200011724589397E-2</v>
      </c>
      <c r="AM41" s="874"/>
      <c r="AN41" s="762">
        <v>-501</v>
      </c>
      <c r="AO41" s="762">
        <v>-225</v>
      </c>
      <c r="AP41" s="762">
        <v>-755</v>
      </c>
      <c r="AQ41" s="762">
        <v>-1543</v>
      </c>
      <c r="AR41" s="762">
        <v>-1664</v>
      </c>
      <c r="AS41" s="762">
        <v>-40</v>
      </c>
      <c r="AT41" s="762">
        <v>-196</v>
      </c>
      <c r="AU41" s="762">
        <v>0</v>
      </c>
      <c r="AV41" s="935">
        <v>-724</v>
      </c>
      <c r="AW41" s="744">
        <f t="shared" si="89"/>
        <v>-5648</v>
      </c>
      <c r="AX41" s="888">
        <f t="shared" si="52"/>
        <v>-1.0636054114314984E-2</v>
      </c>
      <c r="AY41" s="874"/>
      <c r="AZ41" s="762">
        <v>-877</v>
      </c>
      <c r="BA41" s="762">
        <v>-516</v>
      </c>
      <c r="BB41" s="762">
        <v>-777</v>
      </c>
      <c r="BC41" s="762">
        <v>-2659</v>
      </c>
      <c r="BD41" s="762">
        <v>-4403</v>
      </c>
      <c r="BE41" s="762">
        <v>-88</v>
      </c>
      <c r="BF41" s="762">
        <v>-682</v>
      </c>
      <c r="BG41" s="762">
        <v>0</v>
      </c>
      <c r="BH41" s="935">
        <v>-1746</v>
      </c>
      <c r="BI41" s="744">
        <f t="shared" si="90"/>
        <v>-11748</v>
      </c>
      <c r="BJ41" s="888">
        <f t="shared" si="54"/>
        <v>-2.3688158340457795E-2</v>
      </c>
      <c r="BK41" s="874"/>
      <c r="BL41" s="762">
        <v>-861</v>
      </c>
      <c r="BM41" s="762">
        <v>-740</v>
      </c>
      <c r="BN41" s="762">
        <v>-865</v>
      </c>
      <c r="BO41" s="762">
        <v>-2045</v>
      </c>
      <c r="BP41" s="762">
        <v>-3807</v>
      </c>
      <c r="BQ41" s="762">
        <v>-691</v>
      </c>
      <c r="BR41" s="762">
        <v>-298</v>
      </c>
      <c r="BS41" s="762">
        <v>0</v>
      </c>
      <c r="BT41" s="935">
        <v>-1412</v>
      </c>
      <c r="BU41" s="744">
        <f t="shared" si="91"/>
        <v>-10719</v>
      </c>
      <c r="BV41" s="888">
        <f t="shared" si="56"/>
        <v>-2.1564193661305964E-2</v>
      </c>
      <c r="BW41" s="874"/>
      <c r="BX41" s="762">
        <v>-1305</v>
      </c>
      <c r="BY41" s="762">
        <v>-580</v>
      </c>
      <c r="BZ41" s="762">
        <v>-577</v>
      </c>
      <c r="CA41" s="762">
        <v>-2617</v>
      </c>
      <c r="CB41" s="762">
        <v>-3195</v>
      </c>
      <c r="CC41" s="762">
        <v>-730</v>
      </c>
      <c r="CD41" s="762">
        <v>-296</v>
      </c>
      <c r="CE41" s="762">
        <v>0</v>
      </c>
      <c r="CF41" s="935">
        <v>-1449</v>
      </c>
      <c r="CG41" s="744">
        <f t="shared" si="92"/>
        <v>-10749</v>
      </c>
      <c r="CH41" s="888">
        <f t="shared" si="58"/>
        <v>-2.2394309857746444E-2</v>
      </c>
      <c r="CI41" s="874"/>
      <c r="CJ41" s="957">
        <f t="shared" si="44"/>
        <v>-30</v>
      </c>
      <c r="CK41" s="965">
        <f t="shared" si="45"/>
        <v>2.7987685418415899E-3</v>
      </c>
      <c r="CL41" s="766"/>
      <c r="CM41" s="816">
        <f>-DATOS!D120</f>
        <v>-63045</v>
      </c>
      <c r="CN41" s="757">
        <f t="shared" si="85"/>
        <v>-2.0724405835443056E-2</v>
      </c>
      <c r="CO41" s="766"/>
      <c r="CP41" s="744">
        <f>-DATOS!F120</f>
        <v>-10669</v>
      </c>
      <c r="CQ41" s="756">
        <f t="shared" si="0"/>
        <v>-2.0708603416366378E-2</v>
      </c>
      <c r="CR41" s="874"/>
      <c r="CS41" s="816">
        <f>-DATOS!G120</f>
        <v>-53832</v>
      </c>
      <c r="CT41" s="757">
        <f t="shared" si="73"/>
        <v>-1.8316854844403537E-2</v>
      </c>
      <c r="CU41" s="874"/>
      <c r="CV41" s="897">
        <f t="shared" si="61"/>
        <v>-9213</v>
      </c>
      <c r="CW41" s="902">
        <f t="shared" si="1"/>
        <v>0.17114355773517612</v>
      </c>
      <c r="CY41" s="750"/>
    </row>
    <row r="42" spans="1:103" hidden="1" outlineLevel="2">
      <c r="A42" s="918">
        <v>52052401</v>
      </c>
      <c r="B42" s="833" t="s">
        <v>488</v>
      </c>
      <c r="C42" s="874"/>
      <c r="D42" s="762">
        <v>-95</v>
      </c>
      <c r="E42" s="762">
        <v>0</v>
      </c>
      <c r="F42" s="762">
        <v>-47</v>
      </c>
      <c r="G42" s="762">
        <v>-47</v>
      </c>
      <c r="H42" s="762">
        <v>0</v>
      </c>
      <c r="I42" s="762">
        <v>-142</v>
      </c>
      <c r="J42" s="762">
        <v>-190</v>
      </c>
      <c r="K42" s="762">
        <v>0</v>
      </c>
      <c r="L42" s="935">
        <v>0</v>
      </c>
      <c r="M42" s="744">
        <f t="shared" si="86"/>
        <v>-521</v>
      </c>
      <c r="N42" s="888">
        <f t="shared" si="74"/>
        <v>-1.0321553027226316E-3</v>
      </c>
      <c r="O42" s="874"/>
      <c r="P42" s="762">
        <v>0</v>
      </c>
      <c r="Q42" s="762">
        <v>-292</v>
      </c>
      <c r="R42" s="762">
        <v>-117</v>
      </c>
      <c r="S42" s="762">
        <v>-467</v>
      </c>
      <c r="T42" s="762">
        <v>-168</v>
      </c>
      <c r="U42" s="762">
        <v>-117</v>
      </c>
      <c r="V42" s="762">
        <v>0</v>
      </c>
      <c r="W42" s="762">
        <v>0</v>
      </c>
      <c r="X42" s="935">
        <v>0</v>
      </c>
      <c r="Y42" s="744">
        <f t="shared" si="87"/>
        <v>-1161</v>
      </c>
      <c r="Z42" s="888">
        <f t="shared" si="64"/>
        <v>-2.2060416278725094E-3</v>
      </c>
      <c r="AA42" s="874"/>
      <c r="AB42" s="762">
        <v>0</v>
      </c>
      <c r="AC42" s="762">
        <v>0</v>
      </c>
      <c r="AD42" s="762">
        <v>0</v>
      </c>
      <c r="AE42" s="762">
        <v>-175</v>
      </c>
      <c r="AF42" s="762">
        <v>0</v>
      </c>
      <c r="AG42" s="762">
        <v>0</v>
      </c>
      <c r="AH42" s="762">
        <v>0</v>
      </c>
      <c r="AI42" s="762">
        <v>0</v>
      </c>
      <c r="AJ42" s="935">
        <v>0</v>
      </c>
      <c r="AK42" s="744">
        <f t="shared" si="88"/>
        <v>-175</v>
      </c>
      <c r="AL42" s="888">
        <f t="shared" si="50"/>
        <v>-3.4196719069067602E-4</v>
      </c>
      <c r="AM42" s="874"/>
      <c r="AN42" s="762">
        <v>0</v>
      </c>
      <c r="AO42" s="762">
        <v>-295</v>
      </c>
      <c r="AP42" s="762">
        <v>0</v>
      </c>
      <c r="AQ42" s="762">
        <v>0</v>
      </c>
      <c r="AR42" s="762">
        <v>0</v>
      </c>
      <c r="AS42" s="762">
        <v>0</v>
      </c>
      <c r="AT42" s="762">
        <v>0</v>
      </c>
      <c r="AU42" s="762">
        <v>0</v>
      </c>
      <c r="AV42" s="935">
        <v>0</v>
      </c>
      <c r="AW42" s="744">
        <f t="shared" si="89"/>
        <v>-295</v>
      </c>
      <c r="AX42" s="888">
        <f t="shared" si="52"/>
        <v>-5.5553044683479469E-4</v>
      </c>
      <c r="AY42" s="874"/>
      <c r="AZ42" s="762">
        <v>0</v>
      </c>
      <c r="BA42" s="762">
        <v>0</v>
      </c>
      <c r="BB42" s="762">
        <v>0</v>
      </c>
      <c r="BC42" s="762">
        <v>0</v>
      </c>
      <c r="BD42" s="762">
        <v>-117</v>
      </c>
      <c r="BE42" s="762">
        <v>0</v>
      </c>
      <c r="BF42" s="762">
        <v>0</v>
      </c>
      <c r="BG42" s="762">
        <v>0</v>
      </c>
      <c r="BH42" s="935">
        <v>-58</v>
      </c>
      <c r="BI42" s="744">
        <f t="shared" si="90"/>
        <v>-175</v>
      </c>
      <c r="BJ42" s="888">
        <f t="shared" si="54"/>
        <v>-3.5286241995063959E-4</v>
      </c>
      <c r="BK42" s="874"/>
      <c r="BL42" s="762">
        <v>-233</v>
      </c>
      <c r="BM42" s="762">
        <v>-292</v>
      </c>
      <c r="BN42" s="762">
        <v>0</v>
      </c>
      <c r="BO42" s="762">
        <v>-409</v>
      </c>
      <c r="BP42" s="762">
        <v>0</v>
      </c>
      <c r="BQ42" s="762">
        <v>0</v>
      </c>
      <c r="BR42" s="762">
        <v>0</v>
      </c>
      <c r="BS42" s="762">
        <v>0</v>
      </c>
      <c r="BT42" s="935">
        <v>0</v>
      </c>
      <c r="BU42" s="744">
        <f t="shared" si="91"/>
        <v>-934</v>
      </c>
      <c r="BV42" s="888">
        <f t="shared" si="56"/>
        <v>-1.8789958839126569E-3</v>
      </c>
      <c r="BW42" s="874"/>
      <c r="BX42" s="762">
        <v>0</v>
      </c>
      <c r="BY42" s="762">
        <v>0</v>
      </c>
      <c r="BZ42" s="762">
        <v>0</v>
      </c>
      <c r="CA42" s="762">
        <v>-1046</v>
      </c>
      <c r="CB42" s="762">
        <v>0</v>
      </c>
      <c r="CC42" s="762">
        <v>-117</v>
      </c>
      <c r="CD42" s="762">
        <v>0</v>
      </c>
      <c r="CE42" s="762">
        <v>0</v>
      </c>
      <c r="CF42" s="935">
        <v>-117</v>
      </c>
      <c r="CG42" s="744">
        <f t="shared" si="92"/>
        <v>-1280</v>
      </c>
      <c r="CH42" s="888">
        <f t="shared" si="58"/>
        <v>-2.6667333350000417E-3</v>
      </c>
      <c r="CI42" s="874"/>
      <c r="CJ42" s="957">
        <f t="shared" si="44"/>
        <v>-346</v>
      </c>
      <c r="CK42" s="965">
        <f t="shared" si="45"/>
        <v>0.37044967880085655</v>
      </c>
      <c r="CL42" s="766"/>
      <c r="CM42" s="816">
        <f>-DATOS!D121</f>
        <v>-4018</v>
      </c>
      <c r="CN42" s="757">
        <f t="shared" si="85"/>
        <v>-1.3208131120122167E-3</v>
      </c>
      <c r="CO42" s="766"/>
      <c r="CP42" s="744">
        <f>-DATOS!F121</f>
        <v>-348</v>
      </c>
      <c r="CQ42" s="756">
        <f t="shared" si="0"/>
        <v>-6.754704273029805E-4</v>
      </c>
      <c r="CR42" s="874"/>
      <c r="CS42" s="816">
        <f>-DATOS!G121</f>
        <v>-2969</v>
      </c>
      <c r="CT42" s="757">
        <f t="shared" si="73"/>
        <v>-1.0102307555549506E-3</v>
      </c>
      <c r="CU42" s="874"/>
      <c r="CV42" s="897">
        <f t="shared" si="61"/>
        <v>-1049</v>
      </c>
      <c r="CW42" s="902">
        <f t="shared" si="1"/>
        <v>0.35331761535870665</v>
      </c>
      <c r="CY42" s="750"/>
    </row>
    <row r="43" spans="1:103" hidden="1" outlineLevel="2">
      <c r="A43" s="918">
        <v>52052701</v>
      </c>
      <c r="B43" s="833" t="s">
        <v>489</v>
      </c>
      <c r="C43" s="874"/>
      <c r="D43" s="762">
        <v>-680</v>
      </c>
      <c r="E43" s="762">
        <v>-787</v>
      </c>
      <c r="F43" s="762">
        <v>-500</v>
      </c>
      <c r="G43" s="762">
        <v>-900</v>
      </c>
      <c r="H43" s="762">
        <v>-1153</v>
      </c>
      <c r="I43" s="762">
        <v>-760</v>
      </c>
      <c r="J43" s="762">
        <v>-560</v>
      </c>
      <c r="K43" s="762">
        <v>0</v>
      </c>
      <c r="L43" s="935">
        <v>-640</v>
      </c>
      <c r="M43" s="744">
        <f t="shared" si="86"/>
        <v>-5980</v>
      </c>
      <c r="N43" s="888">
        <f t="shared" si="74"/>
        <v>-1.1847003282689705E-2</v>
      </c>
      <c r="O43" s="874"/>
      <c r="P43" s="762">
        <v>-830</v>
      </c>
      <c r="Q43" s="762">
        <v>-888</v>
      </c>
      <c r="R43" s="762">
        <v>-349</v>
      </c>
      <c r="S43" s="762">
        <v>-955</v>
      </c>
      <c r="T43" s="762">
        <v>-1196</v>
      </c>
      <c r="U43" s="762">
        <v>-756</v>
      </c>
      <c r="V43" s="762">
        <v>-689</v>
      </c>
      <c r="W43" s="762">
        <v>0</v>
      </c>
      <c r="X43" s="935">
        <v>-606</v>
      </c>
      <c r="Y43" s="744">
        <f t="shared" si="87"/>
        <v>-6269</v>
      </c>
      <c r="Z43" s="888">
        <f t="shared" si="64"/>
        <v>-1.1911864741716419E-2</v>
      </c>
      <c r="AA43" s="874"/>
      <c r="AB43" s="762">
        <v>-797</v>
      </c>
      <c r="AC43" s="762">
        <v>-996</v>
      </c>
      <c r="AD43" s="762">
        <v>-448</v>
      </c>
      <c r="AE43" s="762">
        <v>-905</v>
      </c>
      <c r="AF43" s="762">
        <v>-1129</v>
      </c>
      <c r="AG43" s="762">
        <v>-1146</v>
      </c>
      <c r="AH43" s="762">
        <v>-614</v>
      </c>
      <c r="AI43" s="762">
        <v>0</v>
      </c>
      <c r="AJ43" s="935">
        <v>-830</v>
      </c>
      <c r="AK43" s="744">
        <f t="shared" si="88"/>
        <v>-6865</v>
      </c>
      <c r="AL43" s="888">
        <f t="shared" si="50"/>
        <v>-1.3414884366237091E-2</v>
      </c>
      <c r="AM43" s="874"/>
      <c r="AN43" s="762">
        <v>-996</v>
      </c>
      <c r="AO43" s="762">
        <v>-706</v>
      </c>
      <c r="AP43" s="762">
        <v>-482</v>
      </c>
      <c r="AQ43" s="762">
        <v>-797</v>
      </c>
      <c r="AR43" s="762">
        <v>-1453</v>
      </c>
      <c r="AS43" s="762">
        <v>-880</v>
      </c>
      <c r="AT43" s="762">
        <v>-672</v>
      </c>
      <c r="AU43" s="762">
        <v>0</v>
      </c>
      <c r="AV43" s="935">
        <v>-789</v>
      </c>
      <c r="AW43" s="744">
        <f t="shared" si="89"/>
        <v>-6775</v>
      </c>
      <c r="AX43" s="888">
        <f t="shared" si="52"/>
        <v>-1.2758368736629605E-2</v>
      </c>
      <c r="AY43" s="874"/>
      <c r="AZ43" s="762">
        <v>-722</v>
      </c>
      <c r="BA43" s="762">
        <v>-747</v>
      </c>
      <c r="BB43" s="762">
        <v>-440</v>
      </c>
      <c r="BC43" s="762">
        <v>-747</v>
      </c>
      <c r="BD43" s="762">
        <v>-1378</v>
      </c>
      <c r="BE43" s="762">
        <v>-1104</v>
      </c>
      <c r="BF43" s="762">
        <v>-722</v>
      </c>
      <c r="BG43" s="762">
        <v>0</v>
      </c>
      <c r="BH43" s="935">
        <v>-814</v>
      </c>
      <c r="BI43" s="744">
        <f t="shared" si="90"/>
        <v>-6674</v>
      </c>
      <c r="BJ43" s="888">
        <f t="shared" si="54"/>
        <v>-1.3457164518574679E-2</v>
      </c>
      <c r="BK43" s="874"/>
      <c r="BL43" s="762">
        <v>-482</v>
      </c>
      <c r="BM43" s="762">
        <v>-673</v>
      </c>
      <c r="BN43" s="762">
        <v>-565</v>
      </c>
      <c r="BO43" s="762">
        <v>-556</v>
      </c>
      <c r="BP43" s="762">
        <v>-1005</v>
      </c>
      <c r="BQ43" s="762">
        <v>-872</v>
      </c>
      <c r="BR43" s="762">
        <v>-739</v>
      </c>
      <c r="BS43" s="762">
        <v>0</v>
      </c>
      <c r="BT43" s="935">
        <v>-980</v>
      </c>
      <c r="BU43" s="744">
        <f t="shared" si="91"/>
        <v>-5872</v>
      </c>
      <c r="BV43" s="888">
        <f t="shared" si="56"/>
        <v>-1.1813130439330966E-2</v>
      </c>
      <c r="BW43" s="874"/>
      <c r="BX43" s="762">
        <v>-681</v>
      </c>
      <c r="BY43" s="762">
        <v>-623</v>
      </c>
      <c r="BZ43" s="762">
        <v>-498</v>
      </c>
      <c r="CA43" s="762">
        <v>-913</v>
      </c>
      <c r="CB43" s="762">
        <v>-1138</v>
      </c>
      <c r="CC43" s="762">
        <v>-980</v>
      </c>
      <c r="CD43" s="762">
        <v>-689</v>
      </c>
      <c r="CE43" s="762">
        <v>0</v>
      </c>
      <c r="CF43" s="935">
        <v>-747</v>
      </c>
      <c r="CG43" s="744">
        <f t="shared" si="92"/>
        <v>-6269</v>
      </c>
      <c r="CH43" s="888">
        <f t="shared" si="58"/>
        <v>-1.3060743185246297E-2</v>
      </c>
      <c r="CI43" s="874"/>
      <c r="CJ43" s="957">
        <f t="shared" si="44"/>
        <v>-397</v>
      </c>
      <c r="CK43" s="965">
        <f t="shared" si="45"/>
        <v>6.7608991825613085E-2</v>
      </c>
      <c r="CL43" s="766"/>
      <c r="CM43" s="816">
        <f>-DATOS!D122</f>
        <v>-38726</v>
      </c>
      <c r="CN43" s="757">
        <f t="shared" si="85"/>
        <v>-1.2730166395168019E-2</v>
      </c>
      <c r="CO43" s="766"/>
      <c r="CP43" s="744">
        <f>-DATOS!F122</f>
        <v>-5980</v>
      </c>
      <c r="CQ43" s="756">
        <f t="shared" si="0"/>
        <v>-1.1607221710551218E-2</v>
      </c>
      <c r="CR43" s="874"/>
      <c r="CS43" s="816">
        <f>-DATOS!G122</f>
        <v>-33073</v>
      </c>
      <c r="CT43" s="757">
        <f t="shared" si="73"/>
        <v>-1.1253405785944387E-2</v>
      </c>
      <c r="CU43" s="874"/>
      <c r="CV43" s="897">
        <f t="shared" si="61"/>
        <v>-5653</v>
      </c>
      <c r="CW43" s="902">
        <f t="shared" si="1"/>
        <v>0.17092492365373568</v>
      </c>
      <c r="CY43" s="750"/>
    </row>
    <row r="44" spans="1:103" hidden="1" outlineLevel="2">
      <c r="A44" s="918">
        <v>52053001</v>
      </c>
      <c r="B44" s="833" t="s">
        <v>490</v>
      </c>
      <c r="C44" s="874"/>
      <c r="D44" s="762">
        <v>-1180</v>
      </c>
      <c r="E44" s="762">
        <v>-1169</v>
      </c>
      <c r="F44" s="762">
        <v>-977</v>
      </c>
      <c r="G44" s="762">
        <v>-1264</v>
      </c>
      <c r="H44" s="762">
        <v>-1130</v>
      </c>
      <c r="I44" s="762">
        <v>-1143</v>
      </c>
      <c r="J44" s="762">
        <v>-1021</v>
      </c>
      <c r="K44" s="762">
        <v>0</v>
      </c>
      <c r="L44" s="935">
        <v>-991</v>
      </c>
      <c r="M44" s="744">
        <f t="shared" si="86"/>
        <v>-8875</v>
      </c>
      <c r="N44" s="888">
        <f t="shared" si="74"/>
        <v>-1.7582300022386477E-2</v>
      </c>
      <c r="O44" s="874"/>
      <c r="P44" s="762">
        <v>-760</v>
      </c>
      <c r="Q44" s="762">
        <v>-754</v>
      </c>
      <c r="R44" s="762">
        <v>-222</v>
      </c>
      <c r="S44" s="762">
        <v>-978</v>
      </c>
      <c r="T44" s="762">
        <v>-1364</v>
      </c>
      <c r="U44" s="762">
        <v>-793</v>
      </c>
      <c r="V44" s="762">
        <v>-573</v>
      </c>
      <c r="W44" s="762">
        <v>0</v>
      </c>
      <c r="X44" s="935">
        <v>-632</v>
      </c>
      <c r="Y44" s="744">
        <f t="shared" si="87"/>
        <v>-6076</v>
      </c>
      <c r="Z44" s="888">
        <f t="shared" si="64"/>
        <v>-1.1545141198064915E-2</v>
      </c>
      <c r="AA44" s="874"/>
      <c r="AB44" s="762">
        <v>-623</v>
      </c>
      <c r="AC44" s="762">
        <v>-769</v>
      </c>
      <c r="AD44" s="762">
        <v>-408</v>
      </c>
      <c r="AE44" s="762">
        <v>-719</v>
      </c>
      <c r="AF44" s="762">
        <v>-1669</v>
      </c>
      <c r="AG44" s="762">
        <v>-924</v>
      </c>
      <c r="AH44" s="762">
        <v>-568</v>
      </c>
      <c r="AI44" s="762">
        <v>0</v>
      </c>
      <c r="AJ44" s="935">
        <v>-662</v>
      </c>
      <c r="AK44" s="744">
        <f t="shared" si="88"/>
        <v>-6342</v>
      </c>
      <c r="AL44" s="888">
        <f t="shared" si="50"/>
        <v>-1.2392890990630099E-2</v>
      </c>
      <c r="AM44" s="874"/>
      <c r="AN44" s="762">
        <v>-708</v>
      </c>
      <c r="AO44" s="762">
        <v>-552</v>
      </c>
      <c r="AP44" s="762">
        <v>-403</v>
      </c>
      <c r="AQ44" s="762">
        <v>-633</v>
      </c>
      <c r="AR44" s="762">
        <v>-1548</v>
      </c>
      <c r="AS44" s="762">
        <v>-714</v>
      </c>
      <c r="AT44" s="762">
        <v>-550</v>
      </c>
      <c r="AU44" s="762">
        <v>0</v>
      </c>
      <c r="AV44" s="935">
        <v>-552</v>
      </c>
      <c r="AW44" s="744">
        <f t="shared" si="89"/>
        <v>-5660</v>
      </c>
      <c r="AX44" s="888">
        <f t="shared" si="52"/>
        <v>-1.0658651962999789E-2</v>
      </c>
      <c r="AY44" s="874"/>
      <c r="AZ44" s="762">
        <v>-684</v>
      </c>
      <c r="BA44" s="762">
        <v>-579</v>
      </c>
      <c r="BB44" s="762">
        <v>-429</v>
      </c>
      <c r="BC44" s="762">
        <v>-627</v>
      </c>
      <c r="BD44" s="762">
        <v>-1656</v>
      </c>
      <c r="BE44" s="762">
        <v>-960</v>
      </c>
      <c r="BF44" s="762">
        <v>-612</v>
      </c>
      <c r="BG44" s="762">
        <v>0</v>
      </c>
      <c r="BH44" s="935">
        <v>-611</v>
      </c>
      <c r="BI44" s="744">
        <f t="shared" si="90"/>
        <v>-6158</v>
      </c>
      <c r="BJ44" s="888">
        <f t="shared" si="54"/>
        <v>-1.2416724468891648E-2</v>
      </c>
      <c r="BK44" s="874"/>
      <c r="BL44" s="762">
        <v>-492</v>
      </c>
      <c r="BM44" s="762">
        <v>-609</v>
      </c>
      <c r="BN44" s="762">
        <v>-353</v>
      </c>
      <c r="BO44" s="762">
        <v>-290</v>
      </c>
      <c r="BP44" s="762">
        <v>-1315</v>
      </c>
      <c r="BQ44" s="762">
        <v>-801</v>
      </c>
      <c r="BR44" s="762">
        <v>-540</v>
      </c>
      <c r="BS44" s="762">
        <v>0</v>
      </c>
      <c r="BT44" s="935">
        <v>-523</v>
      </c>
      <c r="BU44" s="744">
        <f t="shared" si="91"/>
        <v>-4923</v>
      </c>
      <c r="BV44" s="888">
        <f t="shared" si="56"/>
        <v>-9.9039579619935869E-3</v>
      </c>
      <c r="BW44" s="874"/>
      <c r="BX44" s="762">
        <v>-728</v>
      </c>
      <c r="BY44" s="762">
        <v>-505</v>
      </c>
      <c r="BZ44" s="762">
        <v>-389</v>
      </c>
      <c r="CA44" s="762">
        <v>-570</v>
      </c>
      <c r="CB44" s="762">
        <v>-1439</v>
      </c>
      <c r="CC44" s="762">
        <v>-771</v>
      </c>
      <c r="CD44" s="762">
        <v>-604</v>
      </c>
      <c r="CE44" s="762">
        <v>0</v>
      </c>
      <c r="CF44" s="935">
        <v>-588</v>
      </c>
      <c r="CG44" s="744">
        <f t="shared" si="92"/>
        <v>-5594</v>
      </c>
      <c r="CH44" s="888">
        <f t="shared" si="58"/>
        <v>-1.1654458028117369E-2</v>
      </c>
      <c r="CI44" s="874"/>
      <c r="CJ44" s="957">
        <f t="shared" si="44"/>
        <v>-671</v>
      </c>
      <c r="CK44" s="965">
        <f t="shared" si="45"/>
        <v>0.136299004671948</v>
      </c>
      <c r="CL44" s="766"/>
      <c r="CM44" s="816">
        <f>-DATOS!D123</f>
        <v>-34754</v>
      </c>
      <c r="CN44" s="757">
        <f t="shared" si="85"/>
        <v>-1.1424474588071821E-2</v>
      </c>
      <c r="CO44" s="766"/>
      <c r="CP44" s="744">
        <f>-DATOS!F123</f>
        <v>-6351</v>
      </c>
      <c r="CQ44" s="756">
        <f t="shared" si="0"/>
        <v>-1.2327335298279394E-2</v>
      </c>
      <c r="CR44" s="874"/>
      <c r="CS44" s="816">
        <f>-DATOS!G123</f>
        <v>-32795</v>
      </c>
      <c r="CT44" s="757">
        <f t="shared" si="73"/>
        <v>-1.1158813616848975E-2</v>
      </c>
      <c r="CU44" s="874"/>
      <c r="CV44" s="897">
        <f t="shared" si="61"/>
        <v>-1959</v>
      </c>
      <c r="CW44" s="902">
        <f t="shared" si="1"/>
        <v>5.9734715657874679E-2</v>
      </c>
      <c r="CY44" s="750"/>
    </row>
    <row r="45" spans="1:103" hidden="1" outlineLevel="2">
      <c r="A45" s="918">
        <v>52053301</v>
      </c>
      <c r="B45" s="833" t="s">
        <v>491</v>
      </c>
      <c r="C45" s="874"/>
      <c r="D45" s="762">
        <v>-120</v>
      </c>
      <c r="E45" s="762">
        <v>-138</v>
      </c>
      <c r="F45" s="762">
        <v>-137</v>
      </c>
      <c r="G45" s="762">
        <v>-112</v>
      </c>
      <c r="H45" s="762">
        <v>-106</v>
      </c>
      <c r="I45" s="762">
        <v>-150</v>
      </c>
      <c r="J45" s="762">
        <v>-125</v>
      </c>
      <c r="K45" s="762">
        <v>0</v>
      </c>
      <c r="L45" s="935">
        <v>-111</v>
      </c>
      <c r="M45" s="744">
        <f t="shared" si="86"/>
        <v>-999</v>
      </c>
      <c r="N45" s="888">
        <f t="shared" si="74"/>
        <v>-1.9791231236466582E-3</v>
      </c>
      <c r="O45" s="874"/>
      <c r="P45" s="762">
        <v>-7</v>
      </c>
      <c r="Q45" s="762">
        <v>-8</v>
      </c>
      <c r="R45" s="762">
        <v>-2</v>
      </c>
      <c r="S45" s="762">
        <v>-9</v>
      </c>
      <c r="T45" s="762">
        <v>-12</v>
      </c>
      <c r="U45" s="762">
        <v>-8</v>
      </c>
      <c r="V45" s="762">
        <v>-6</v>
      </c>
      <c r="W45" s="762">
        <v>0</v>
      </c>
      <c r="X45" s="935">
        <v>-6</v>
      </c>
      <c r="Y45" s="744">
        <f t="shared" si="87"/>
        <v>-58</v>
      </c>
      <c r="Z45" s="888">
        <f t="shared" si="64"/>
        <v>-1.1020707529423388E-4</v>
      </c>
      <c r="AA45" s="874"/>
      <c r="AB45" s="762">
        <v>-16</v>
      </c>
      <c r="AC45" s="762">
        <v>-23</v>
      </c>
      <c r="AD45" s="762">
        <v>-12</v>
      </c>
      <c r="AE45" s="762">
        <v>-19</v>
      </c>
      <c r="AF45" s="762">
        <v>-42</v>
      </c>
      <c r="AG45" s="762">
        <v>-25</v>
      </c>
      <c r="AH45" s="762">
        <v>-17</v>
      </c>
      <c r="AI45" s="762">
        <v>0</v>
      </c>
      <c r="AJ45" s="935">
        <v>-18</v>
      </c>
      <c r="AK45" s="744">
        <f t="shared" si="88"/>
        <v>-172</v>
      </c>
      <c r="AL45" s="888">
        <f t="shared" si="50"/>
        <v>-3.3610489599312159E-4</v>
      </c>
      <c r="AM45" s="874"/>
      <c r="AN45" s="762">
        <v>-33</v>
      </c>
      <c r="AO45" s="762">
        <v>-28</v>
      </c>
      <c r="AP45" s="762">
        <v>-20</v>
      </c>
      <c r="AQ45" s="762">
        <v>-32</v>
      </c>
      <c r="AR45" s="762">
        <v>-71</v>
      </c>
      <c r="AS45" s="762">
        <v>-38</v>
      </c>
      <c r="AT45" s="762">
        <v>-26</v>
      </c>
      <c r="AU45" s="762">
        <v>0</v>
      </c>
      <c r="AV45" s="935">
        <v>-23</v>
      </c>
      <c r="AW45" s="744">
        <f t="shared" si="89"/>
        <v>-271</v>
      </c>
      <c r="AX45" s="888">
        <f t="shared" si="52"/>
        <v>-5.1033474946518423E-4</v>
      </c>
      <c r="AY45" s="874"/>
      <c r="AZ45" s="762">
        <v>-43</v>
      </c>
      <c r="BA45" s="762">
        <v>-40</v>
      </c>
      <c r="BB45" s="762">
        <v>-30</v>
      </c>
      <c r="BC45" s="762">
        <v>-35</v>
      </c>
      <c r="BD45" s="762">
        <v>-104</v>
      </c>
      <c r="BE45" s="762">
        <v>-66</v>
      </c>
      <c r="BF45" s="762">
        <v>-40</v>
      </c>
      <c r="BG45" s="762">
        <v>0</v>
      </c>
      <c r="BH45" s="935">
        <v>-36</v>
      </c>
      <c r="BI45" s="744">
        <f t="shared" si="90"/>
        <v>-394</v>
      </c>
      <c r="BJ45" s="888">
        <f t="shared" si="54"/>
        <v>-7.9444453406029712E-4</v>
      </c>
      <c r="BK45" s="874"/>
      <c r="BL45" s="762">
        <v>-32</v>
      </c>
      <c r="BM45" s="762">
        <v>-53</v>
      </c>
      <c r="BN45" s="762">
        <v>-29</v>
      </c>
      <c r="BO45" s="762">
        <v>-29</v>
      </c>
      <c r="BP45" s="762">
        <v>-109</v>
      </c>
      <c r="BQ45" s="762">
        <v>-57</v>
      </c>
      <c r="BR45" s="762">
        <v>-49</v>
      </c>
      <c r="BS45" s="762">
        <v>0</v>
      </c>
      <c r="BT45" s="935">
        <v>-38</v>
      </c>
      <c r="BU45" s="744">
        <f t="shared" si="91"/>
        <v>-396</v>
      </c>
      <c r="BV45" s="888">
        <f t="shared" si="56"/>
        <v>-7.9666206641264682E-4</v>
      </c>
      <c r="BW45" s="874"/>
      <c r="BX45" s="762">
        <v>-60</v>
      </c>
      <c r="BY45" s="762">
        <v>-59</v>
      </c>
      <c r="BZ45" s="762">
        <v>-27</v>
      </c>
      <c r="CA45" s="762">
        <v>-50</v>
      </c>
      <c r="CB45" s="762">
        <v>-130</v>
      </c>
      <c r="CC45" s="762">
        <v>-67</v>
      </c>
      <c r="CD45" s="762">
        <v>-64</v>
      </c>
      <c r="CE45" s="762">
        <v>0</v>
      </c>
      <c r="CF45" s="935">
        <v>-58</v>
      </c>
      <c r="CG45" s="744">
        <f t="shared" si="92"/>
        <v>-515</v>
      </c>
      <c r="CH45" s="888">
        <f t="shared" si="58"/>
        <v>-1.072943490253923E-3</v>
      </c>
      <c r="CI45" s="874"/>
      <c r="CJ45" s="957">
        <f t="shared" si="44"/>
        <v>-119</v>
      </c>
      <c r="CK45" s="965">
        <f t="shared" si="45"/>
        <v>0.3005050505050505</v>
      </c>
      <c r="CL45" s="766"/>
      <c r="CM45" s="816">
        <f>-DATOS!D124</f>
        <v>-1809</v>
      </c>
      <c r="CN45" s="757">
        <f t="shared" si="85"/>
        <v>-5.9466175202341957E-4</v>
      </c>
      <c r="CO45" s="766"/>
      <c r="CP45" s="744">
        <f>-DATOS!F124</f>
        <v>-599</v>
      </c>
      <c r="CQ45" s="756">
        <f t="shared" si="0"/>
        <v>-1.1626631780301303E-3</v>
      </c>
      <c r="CR45" s="874"/>
      <c r="CS45" s="816">
        <f>-DATOS!G124</f>
        <v>-1893</v>
      </c>
      <c r="CT45" s="757">
        <f t="shared" si="73"/>
        <v>-6.4411142481156001E-4</v>
      </c>
      <c r="CU45" s="874"/>
      <c r="CV45" s="897">
        <f t="shared" si="61"/>
        <v>84</v>
      </c>
      <c r="CW45" s="902">
        <f t="shared" si="1"/>
        <v>-4.4374009508716325E-2</v>
      </c>
      <c r="CY45" s="750"/>
    </row>
    <row r="46" spans="1:103" hidden="1" outlineLevel="2">
      <c r="A46" s="918">
        <v>52053601</v>
      </c>
      <c r="B46" s="833" t="s">
        <v>492</v>
      </c>
      <c r="C46" s="874"/>
      <c r="D46" s="762">
        <v>-749</v>
      </c>
      <c r="E46" s="762">
        <v>-743</v>
      </c>
      <c r="F46" s="762">
        <v>-638</v>
      </c>
      <c r="G46" s="762">
        <v>-758</v>
      </c>
      <c r="H46" s="762">
        <v>-1194</v>
      </c>
      <c r="I46" s="762">
        <v>-737</v>
      </c>
      <c r="J46" s="762">
        <v>-628</v>
      </c>
      <c r="K46" s="762">
        <v>0</v>
      </c>
      <c r="L46" s="935">
        <v>-593</v>
      </c>
      <c r="M46" s="744">
        <f t="shared" si="86"/>
        <v>-6040</v>
      </c>
      <c r="N46" s="888">
        <f t="shared" si="74"/>
        <v>-1.1965869536362177E-2</v>
      </c>
      <c r="O46" s="874"/>
      <c r="P46" s="762">
        <v>-605</v>
      </c>
      <c r="Q46" s="762">
        <v>-714</v>
      </c>
      <c r="R46" s="762">
        <v>-196</v>
      </c>
      <c r="S46" s="762">
        <v>-899</v>
      </c>
      <c r="T46" s="762">
        <v>-1241</v>
      </c>
      <c r="U46" s="762">
        <v>-729</v>
      </c>
      <c r="V46" s="762">
        <v>-555</v>
      </c>
      <c r="W46" s="762">
        <v>0</v>
      </c>
      <c r="X46" s="935">
        <v>-574</v>
      </c>
      <c r="Y46" s="744">
        <f t="shared" si="87"/>
        <v>-5513</v>
      </c>
      <c r="Z46" s="888">
        <f t="shared" si="64"/>
        <v>-1.0475372518915714E-2</v>
      </c>
      <c r="AA46" s="874"/>
      <c r="AB46" s="762">
        <v>-617</v>
      </c>
      <c r="AC46" s="762">
        <v>-746</v>
      </c>
      <c r="AD46" s="762">
        <v>-362</v>
      </c>
      <c r="AE46" s="762">
        <v>-708</v>
      </c>
      <c r="AF46" s="762">
        <v>-1677</v>
      </c>
      <c r="AG46" s="762">
        <v>-913</v>
      </c>
      <c r="AH46" s="762">
        <v>-564</v>
      </c>
      <c r="AI46" s="762">
        <v>0</v>
      </c>
      <c r="AJ46" s="935">
        <v>-649</v>
      </c>
      <c r="AK46" s="744">
        <f t="shared" si="88"/>
        <v>-6236</v>
      </c>
      <c r="AL46" s="888">
        <f t="shared" si="50"/>
        <v>-1.2185756577983176E-2</v>
      </c>
      <c r="AM46" s="874"/>
      <c r="AN46" s="762">
        <v>-712</v>
      </c>
      <c r="AO46" s="762">
        <v>-553</v>
      </c>
      <c r="AP46" s="762">
        <v>-398</v>
      </c>
      <c r="AQ46" s="762">
        <v>-637</v>
      </c>
      <c r="AR46" s="762">
        <v>-1585</v>
      </c>
      <c r="AS46" s="762">
        <v>-715</v>
      </c>
      <c r="AT46" s="762">
        <v>-537</v>
      </c>
      <c r="AU46" s="762">
        <v>0</v>
      </c>
      <c r="AV46" s="935">
        <v>-551</v>
      </c>
      <c r="AW46" s="744">
        <f t="shared" si="89"/>
        <v>-5688</v>
      </c>
      <c r="AX46" s="888">
        <f t="shared" si="52"/>
        <v>-1.0711380276597668E-2</v>
      </c>
      <c r="AY46" s="874"/>
      <c r="AZ46" s="762">
        <v>-675</v>
      </c>
      <c r="BA46" s="762">
        <v>-575</v>
      </c>
      <c r="BB46" s="762">
        <v>-421</v>
      </c>
      <c r="BC46" s="762">
        <v>-627</v>
      </c>
      <c r="BD46" s="762">
        <v>-1644</v>
      </c>
      <c r="BE46" s="762">
        <v>-951</v>
      </c>
      <c r="BF46" s="762">
        <v>-594</v>
      </c>
      <c r="BG46" s="762">
        <v>0</v>
      </c>
      <c r="BH46" s="935">
        <v>-602</v>
      </c>
      <c r="BI46" s="744">
        <f t="shared" si="90"/>
        <v>-6089</v>
      </c>
      <c r="BJ46" s="888">
        <f t="shared" si="54"/>
        <v>-1.2277595857596826E-2</v>
      </c>
      <c r="BK46" s="874"/>
      <c r="BL46" s="762">
        <v>-490</v>
      </c>
      <c r="BM46" s="762">
        <v>-601</v>
      </c>
      <c r="BN46" s="762">
        <v>-553</v>
      </c>
      <c r="BO46" s="762">
        <v>-477</v>
      </c>
      <c r="BP46" s="762">
        <v>-1297</v>
      </c>
      <c r="BQ46" s="762">
        <v>-765</v>
      </c>
      <c r="BR46" s="762">
        <v>-572</v>
      </c>
      <c r="BS46" s="762">
        <v>0</v>
      </c>
      <c r="BT46" s="935">
        <v>-726</v>
      </c>
      <c r="BU46" s="744">
        <f t="shared" si="91"/>
        <v>-5481</v>
      </c>
      <c r="BV46" s="888">
        <f t="shared" si="56"/>
        <v>-1.1026527237393224E-2</v>
      </c>
      <c r="BW46" s="874"/>
      <c r="BX46" s="762">
        <v>-1084</v>
      </c>
      <c r="BY46" s="762">
        <v>-58</v>
      </c>
      <c r="BZ46" s="762">
        <v>-161</v>
      </c>
      <c r="CA46" s="762">
        <v>-2402</v>
      </c>
      <c r="CB46" s="762">
        <v>-2853</v>
      </c>
      <c r="CC46" s="762">
        <v>-1176</v>
      </c>
      <c r="CD46" s="762">
        <v>-664</v>
      </c>
      <c r="CE46" s="762">
        <v>0</v>
      </c>
      <c r="CF46" s="935">
        <v>-760</v>
      </c>
      <c r="CG46" s="744">
        <f t="shared" si="92"/>
        <v>-9158</v>
      </c>
      <c r="CH46" s="888">
        <f t="shared" si="58"/>
        <v>-1.9079643657758112E-2</v>
      </c>
      <c r="CI46" s="874"/>
      <c r="CJ46" s="957">
        <f t="shared" si="44"/>
        <v>-3677</v>
      </c>
      <c r="CK46" s="965">
        <f t="shared" si="45"/>
        <v>0.67086298120780874</v>
      </c>
      <c r="CL46" s="766"/>
      <c r="CM46" s="816">
        <f>-DATOS!D125</f>
        <v>-38162</v>
      </c>
      <c r="CN46" s="757">
        <f t="shared" si="85"/>
        <v>-1.2544766047936837E-2</v>
      </c>
      <c r="CO46" s="766"/>
      <c r="CP46" s="744">
        <f>-DATOS!F125</f>
        <v>-5639</v>
      </c>
      <c r="CQ46" s="756">
        <f t="shared" si="0"/>
        <v>-1.0945338332073297E-2</v>
      </c>
      <c r="CR46" s="874"/>
      <c r="CS46" s="816">
        <f>-DATOS!G125</f>
        <v>-32101</v>
      </c>
      <c r="CT46" s="757">
        <f t="shared" si="73"/>
        <v>-1.0922673453711508E-2</v>
      </c>
      <c r="CU46" s="874"/>
      <c r="CV46" s="897">
        <f t="shared" si="61"/>
        <v>-6061</v>
      </c>
      <c r="CW46" s="902">
        <f t="shared" si="1"/>
        <v>0.1888103174355939</v>
      </c>
      <c r="CY46" s="750"/>
    </row>
    <row r="47" spans="1:103" hidden="1" outlineLevel="2">
      <c r="A47" s="918">
        <v>52053901</v>
      </c>
      <c r="B47" s="833" t="s">
        <v>493</v>
      </c>
      <c r="C47" s="874"/>
      <c r="D47" s="762">
        <v>-447</v>
      </c>
      <c r="E47" s="762">
        <v>-1223</v>
      </c>
      <c r="F47" s="762">
        <v>-204</v>
      </c>
      <c r="G47" s="762">
        <v>-558</v>
      </c>
      <c r="H47" s="762">
        <v>-3664</v>
      </c>
      <c r="I47" s="762">
        <v>-762</v>
      </c>
      <c r="J47" s="762">
        <v>-712</v>
      </c>
      <c r="K47" s="762">
        <v>0</v>
      </c>
      <c r="L47" s="935">
        <v>-152</v>
      </c>
      <c r="M47" s="744">
        <f t="shared" si="86"/>
        <v>-7722</v>
      </c>
      <c r="N47" s="888">
        <f t="shared" si="74"/>
        <v>-1.5298086847647142E-2</v>
      </c>
      <c r="O47" s="874"/>
      <c r="P47" s="762">
        <v>-716</v>
      </c>
      <c r="Q47" s="762">
        <v>-668</v>
      </c>
      <c r="R47" s="762">
        <v>-777</v>
      </c>
      <c r="S47" s="762">
        <v>-952</v>
      </c>
      <c r="T47" s="762">
        <v>-1250</v>
      </c>
      <c r="U47" s="762">
        <v>-945</v>
      </c>
      <c r="V47" s="762">
        <v>-803</v>
      </c>
      <c r="W47" s="762">
        <v>0</v>
      </c>
      <c r="X47" s="935">
        <v>-911</v>
      </c>
      <c r="Y47" s="744">
        <f t="shared" si="87"/>
        <v>-7022</v>
      </c>
      <c r="Z47" s="888">
        <f t="shared" si="64"/>
        <v>-1.3342656598553626E-2</v>
      </c>
      <c r="AA47" s="874"/>
      <c r="AB47" s="762">
        <v>-293</v>
      </c>
      <c r="AC47" s="762">
        <v>-184</v>
      </c>
      <c r="AD47" s="762">
        <v>-229</v>
      </c>
      <c r="AE47" s="762">
        <v>-336</v>
      </c>
      <c r="AF47" s="762">
        <v>-844</v>
      </c>
      <c r="AG47" s="762">
        <v>-322</v>
      </c>
      <c r="AH47" s="762">
        <v>-79</v>
      </c>
      <c r="AI47" s="762">
        <v>0</v>
      </c>
      <c r="AJ47" s="935">
        <v>-286</v>
      </c>
      <c r="AK47" s="744">
        <f t="shared" si="88"/>
        <v>-2573</v>
      </c>
      <c r="AL47" s="888">
        <f t="shared" si="50"/>
        <v>-5.0278947522691964E-3</v>
      </c>
      <c r="AM47" s="874"/>
      <c r="AN47" s="762">
        <v>-307</v>
      </c>
      <c r="AO47" s="762">
        <v>-245</v>
      </c>
      <c r="AP47" s="762">
        <v>-237</v>
      </c>
      <c r="AQ47" s="762">
        <v>-303</v>
      </c>
      <c r="AR47" s="762">
        <v>-790</v>
      </c>
      <c r="AS47" s="762">
        <v>-403</v>
      </c>
      <c r="AT47" s="762">
        <v>-337</v>
      </c>
      <c r="AU47" s="762">
        <v>0</v>
      </c>
      <c r="AV47" s="935">
        <v>-245</v>
      </c>
      <c r="AW47" s="744">
        <f t="shared" si="89"/>
        <v>-2867</v>
      </c>
      <c r="AX47" s="888">
        <f t="shared" si="52"/>
        <v>-5.3990026816113776E-3</v>
      </c>
      <c r="AY47" s="874"/>
      <c r="AZ47" s="762">
        <v>-305</v>
      </c>
      <c r="BA47" s="762">
        <v>-250</v>
      </c>
      <c r="BB47" s="762">
        <v>-239</v>
      </c>
      <c r="BC47" s="762">
        <v>-425</v>
      </c>
      <c r="BD47" s="762">
        <v>-812</v>
      </c>
      <c r="BE47" s="762">
        <v>-633</v>
      </c>
      <c r="BF47" s="762">
        <v>-307</v>
      </c>
      <c r="BG47" s="762">
        <v>0</v>
      </c>
      <c r="BH47" s="935">
        <v>-275</v>
      </c>
      <c r="BI47" s="744">
        <f t="shared" si="90"/>
        <v>-3246</v>
      </c>
      <c r="BJ47" s="888">
        <f t="shared" si="54"/>
        <v>-6.5450938009130061E-3</v>
      </c>
      <c r="BK47" s="874"/>
      <c r="BL47" s="762">
        <v>-45</v>
      </c>
      <c r="BM47" s="762">
        <v>-24</v>
      </c>
      <c r="BN47" s="762">
        <v>8</v>
      </c>
      <c r="BO47" s="762">
        <v>253</v>
      </c>
      <c r="BP47" s="762">
        <v>736</v>
      </c>
      <c r="BQ47" s="762">
        <v>-65</v>
      </c>
      <c r="BR47" s="762">
        <v>-299</v>
      </c>
      <c r="BS47" s="762">
        <v>0</v>
      </c>
      <c r="BT47" s="935">
        <v>-166</v>
      </c>
      <c r="BU47" s="744">
        <f t="shared" si="91"/>
        <v>398</v>
      </c>
      <c r="BV47" s="888">
        <f t="shared" si="56"/>
        <v>8.0068561220260966E-4</v>
      </c>
      <c r="BW47" s="874"/>
      <c r="BX47" s="762">
        <v>-246</v>
      </c>
      <c r="BY47" s="762">
        <v>-238</v>
      </c>
      <c r="BZ47" s="762">
        <v>-146</v>
      </c>
      <c r="CA47" s="762">
        <v>-566</v>
      </c>
      <c r="CB47" s="762">
        <v>-576</v>
      </c>
      <c r="CC47" s="762">
        <v>-316</v>
      </c>
      <c r="CD47" s="762">
        <v>-246</v>
      </c>
      <c r="CE47" s="762">
        <v>0</v>
      </c>
      <c r="CF47" s="935">
        <v>-213</v>
      </c>
      <c r="CG47" s="744">
        <f t="shared" si="92"/>
        <v>-2547</v>
      </c>
      <c r="CH47" s="888">
        <f t="shared" si="58"/>
        <v>-5.3063826595664892E-3</v>
      </c>
      <c r="CI47" s="874"/>
      <c r="CJ47" s="957">
        <f t="shared" si="44"/>
        <v>-2945</v>
      </c>
      <c r="CK47" s="965">
        <f t="shared" si="45"/>
        <v>-7.3994974874371859</v>
      </c>
      <c r="CL47" s="766"/>
      <c r="CM47" s="816">
        <f>-DATOS!D126</f>
        <v>-17854</v>
      </c>
      <c r="CN47" s="757">
        <f t="shared" si="85"/>
        <v>-5.8690386515346232E-3</v>
      </c>
      <c r="CO47" s="766"/>
      <c r="CP47" s="744">
        <f>-DATOS!F126</f>
        <v>-3884</v>
      </c>
      <c r="CQ47" s="756">
        <f t="shared" si="0"/>
        <v>-7.5388710909332652E-3</v>
      </c>
      <c r="CR47" s="874"/>
      <c r="CS47" s="816">
        <f>-DATOS!G126</f>
        <v>-18951</v>
      </c>
      <c r="CT47" s="757">
        <f t="shared" si="73"/>
        <v>-6.4482596997379148E-3</v>
      </c>
      <c r="CU47" s="874"/>
      <c r="CV47" s="897">
        <f t="shared" si="61"/>
        <v>1097</v>
      </c>
      <c r="CW47" s="902">
        <f t="shared" si="1"/>
        <v>-5.7886127381140837E-2</v>
      </c>
      <c r="CY47" s="750"/>
    </row>
    <row r="48" spans="1:103" hidden="1" outlineLevel="2">
      <c r="A48" s="918">
        <v>52054502</v>
      </c>
      <c r="B48" s="833" t="s">
        <v>780</v>
      </c>
      <c r="C48" s="874"/>
      <c r="D48" s="762">
        <v>0</v>
      </c>
      <c r="E48" s="762">
        <v>0</v>
      </c>
      <c r="F48" s="762">
        <v>0</v>
      </c>
      <c r="G48" s="762">
        <v>0</v>
      </c>
      <c r="H48" s="762">
        <v>0</v>
      </c>
      <c r="I48" s="762">
        <v>0</v>
      </c>
      <c r="J48" s="762">
        <v>0</v>
      </c>
      <c r="K48" s="762">
        <v>0</v>
      </c>
      <c r="L48" s="762">
        <v>0</v>
      </c>
      <c r="M48" s="744">
        <f t="shared" si="86"/>
        <v>0</v>
      </c>
      <c r="N48" s="888">
        <f t="shared" si="74"/>
        <v>0</v>
      </c>
      <c r="O48" s="874"/>
      <c r="P48" s="762">
        <v>0</v>
      </c>
      <c r="Q48" s="762">
        <v>0</v>
      </c>
      <c r="R48" s="762">
        <v>0</v>
      </c>
      <c r="S48" s="762">
        <v>0</v>
      </c>
      <c r="T48" s="762">
        <v>0</v>
      </c>
      <c r="U48" s="762">
        <v>0</v>
      </c>
      <c r="V48" s="762">
        <v>0</v>
      </c>
      <c r="W48" s="762">
        <v>0</v>
      </c>
      <c r="X48" s="762">
        <v>0</v>
      </c>
      <c r="Y48" s="744">
        <f t="shared" si="87"/>
        <v>0</v>
      </c>
      <c r="Z48" s="888">
        <f t="shared" si="64"/>
        <v>0</v>
      </c>
      <c r="AA48" s="874"/>
      <c r="AB48" s="762">
        <v>0</v>
      </c>
      <c r="AC48" s="762">
        <v>0</v>
      </c>
      <c r="AD48" s="762">
        <v>0</v>
      </c>
      <c r="AE48" s="762">
        <v>0</v>
      </c>
      <c r="AF48" s="762">
        <v>0</v>
      </c>
      <c r="AG48" s="762">
        <v>0</v>
      </c>
      <c r="AH48" s="762">
        <v>0</v>
      </c>
      <c r="AI48" s="762">
        <v>0</v>
      </c>
      <c r="AJ48" s="762">
        <v>0</v>
      </c>
      <c r="AK48" s="744">
        <f t="shared" si="88"/>
        <v>0</v>
      </c>
      <c r="AL48" s="888">
        <f t="shared" si="50"/>
        <v>0</v>
      </c>
      <c r="AM48" s="874"/>
      <c r="AN48" s="762">
        <v>0</v>
      </c>
      <c r="AO48" s="762">
        <v>0</v>
      </c>
      <c r="AP48" s="762">
        <v>0</v>
      </c>
      <c r="AQ48" s="762">
        <v>0</v>
      </c>
      <c r="AR48" s="762">
        <v>0</v>
      </c>
      <c r="AS48" s="762">
        <v>0</v>
      </c>
      <c r="AT48" s="762">
        <v>0</v>
      </c>
      <c r="AU48" s="762">
        <v>0</v>
      </c>
      <c r="AV48" s="762">
        <v>0</v>
      </c>
      <c r="AW48" s="744">
        <f t="shared" si="89"/>
        <v>0</v>
      </c>
      <c r="AX48" s="888">
        <f t="shared" si="52"/>
        <v>0</v>
      </c>
      <c r="AY48" s="874"/>
      <c r="AZ48" s="762">
        <v>0</v>
      </c>
      <c r="BA48" s="762">
        <v>0</v>
      </c>
      <c r="BB48" s="762">
        <v>0</v>
      </c>
      <c r="BC48" s="762">
        <v>0</v>
      </c>
      <c r="BD48" s="762">
        <v>0</v>
      </c>
      <c r="BE48" s="762">
        <v>0</v>
      </c>
      <c r="BF48" s="762">
        <v>0</v>
      </c>
      <c r="BG48" s="762">
        <v>0</v>
      </c>
      <c r="BH48" s="762">
        <v>0</v>
      </c>
      <c r="BI48" s="744">
        <f t="shared" si="90"/>
        <v>0</v>
      </c>
      <c r="BJ48" s="888">
        <f t="shared" si="54"/>
        <v>0</v>
      </c>
      <c r="BK48" s="874"/>
      <c r="BL48" s="762">
        <v>0</v>
      </c>
      <c r="BM48" s="762">
        <v>0</v>
      </c>
      <c r="BN48" s="762">
        <v>0</v>
      </c>
      <c r="BO48" s="762">
        <v>0</v>
      </c>
      <c r="BP48" s="762">
        <v>0</v>
      </c>
      <c r="BQ48" s="762">
        <v>0</v>
      </c>
      <c r="BR48" s="762">
        <v>0</v>
      </c>
      <c r="BS48" s="762">
        <v>0</v>
      </c>
      <c r="BT48" s="762">
        <v>0</v>
      </c>
      <c r="BU48" s="744">
        <f t="shared" si="91"/>
        <v>0</v>
      </c>
      <c r="BV48" s="888">
        <f t="shared" si="56"/>
        <v>0</v>
      </c>
      <c r="BW48" s="874"/>
      <c r="BX48" s="762">
        <v>0</v>
      </c>
      <c r="BY48" s="762">
        <v>0</v>
      </c>
      <c r="BZ48" s="762">
        <v>0</v>
      </c>
      <c r="CA48" s="762">
        <v>0</v>
      </c>
      <c r="CB48" s="762">
        <v>0</v>
      </c>
      <c r="CC48" s="762">
        <v>0</v>
      </c>
      <c r="CD48" s="762">
        <v>0</v>
      </c>
      <c r="CE48" s="762">
        <v>0</v>
      </c>
      <c r="CF48" s="762">
        <v>0</v>
      </c>
      <c r="CG48" s="744">
        <f t="shared" si="92"/>
        <v>0</v>
      </c>
      <c r="CH48" s="888">
        <f t="shared" si="58"/>
        <v>0</v>
      </c>
      <c r="CI48" s="874"/>
      <c r="CJ48" s="957">
        <f t="shared" si="44"/>
        <v>0</v>
      </c>
      <c r="CK48" s="965">
        <f t="shared" si="45"/>
        <v>0</v>
      </c>
      <c r="CL48" s="766"/>
      <c r="CM48" s="816">
        <f>-DATOS!D127</f>
        <v>0</v>
      </c>
      <c r="CN48" s="757">
        <f t="shared" si="85"/>
        <v>0</v>
      </c>
      <c r="CO48" s="766"/>
      <c r="CP48" s="744">
        <f>-DATOS!F127</f>
        <v>-400</v>
      </c>
      <c r="CQ48" s="756">
        <f t="shared" si="0"/>
        <v>-7.7640279000342589E-4</v>
      </c>
      <c r="CR48" s="874"/>
      <c r="CS48" s="816">
        <f>-DATOS!G127</f>
        <v>-3117</v>
      </c>
      <c r="CT48" s="757">
        <f>+CS48/CS$13</f>
        <v>-1.06058917651222E-3</v>
      </c>
      <c r="CU48" s="874"/>
      <c r="CV48" s="897">
        <f t="shared" si="61"/>
        <v>3117</v>
      </c>
      <c r="CW48" s="902">
        <f t="shared" si="1"/>
        <v>-1</v>
      </c>
      <c r="CY48" s="750"/>
    </row>
    <row r="49" spans="1:103" hidden="1" outlineLevel="2">
      <c r="A49" s="918">
        <v>52054801</v>
      </c>
      <c r="B49" s="833" t="s">
        <v>891</v>
      </c>
      <c r="C49" s="874"/>
      <c r="D49" s="762">
        <v>0</v>
      </c>
      <c r="E49" s="762">
        <v>0</v>
      </c>
      <c r="F49" s="762">
        <v>-300</v>
      </c>
      <c r="G49" s="762">
        <v>0</v>
      </c>
      <c r="H49" s="762">
        <v>0</v>
      </c>
      <c r="I49" s="762">
        <v>0</v>
      </c>
      <c r="J49" s="762">
        <v>0</v>
      </c>
      <c r="K49" s="762">
        <v>0</v>
      </c>
      <c r="L49" s="762">
        <v>0</v>
      </c>
      <c r="M49" s="744">
        <f t="shared" si="86"/>
        <v>-300</v>
      </c>
      <c r="N49" s="888">
        <f t="shared" si="74"/>
        <v>-5.9433126836235981E-4</v>
      </c>
      <c r="O49" s="874"/>
      <c r="P49" s="762">
        <v>0</v>
      </c>
      <c r="Q49" s="762">
        <v>0</v>
      </c>
      <c r="R49" s="762">
        <v>0</v>
      </c>
      <c r="S49" s="762">
        <v>0</v>
      </c>
      <c r="T49" s="762">
        <v>0</v>
      </c>
      <c r="U49" s="762">
        <v>0</v>
      </c>
      <c r="V49" s="762">
        <v>0</v>
      </c>
      <c r="W49" s="762">
        <v>0</v>
      </c>
      <c r="X49" s="762">
        <v>0</v>
      </c>
      <c r="Y49" s="744">
        <f t="shared" si="87"/>
        <v>0</v>
      </c>
      <c r="Z49" s="888">
        <f t="shared" si="64"/>
        <v>0</v>
      </c>
      <c r="AA49" s="874"/>
      <c r="AB49" s="762">
        <v>0</v>
      </c>
      <c r="AC49" s="762">
        <v>0</v>
      </c>
      <c r="AD49" s="762">
        <v>0</v>
      </c>
      <c r="AE49" s="762">
        <v>0</v>
      </c>
      <c r="AF49" s="762">
        <v>0</v>
      </c>
      <c r="AG49" s="762">
        <v>0</v>
      </c>
      <c r="AH49" s="762">
        <v>0</v>
      </c>
      <c r="AI49" s="762">
        <v>0</v>
      </c>
      <c r="AJ49" s="762">
        <v>0</v>
      </c>
      <c r="AK49" s="744">
        <f t="shared" si="88"/>
        <v>0</v>
      </c>
      <c r="AL49" s="888">
        <f t="shared" si="50"/>
        <v>0</v>
      </c>
      <c r="AM49" s="874"/>
      <c r="AN49" s="762">
        <v>0</v>
      </c>
      <c r="AO49" s="762">
        <v>0</v>
      </c>
      <c r="AP49" s="762">
        <v>0</v>
      </c>
      <c r="AQ49" s="762">
        <v>0</v>
      </c>
      <c r="AR49" s="762">
        <v>0</v>
      </c>
      <c r="AS49" s="762">
        <v>0</v>
      </c>
      <c r="AT49" s="762">
        <v>0</v>
      </c>
      <c r="AU49" s="762">
        <v>0</v>
      </c>
      <c r="AV49" s="762">
        <v>0</v>
      </c>
      <c r="AW49" s="744">
        <f t="shared" si="89"/>
        <v>0</v>
      </c>
      <c r="AX49" s="888">
        <f t="shared" si="52"/>
        <v>0</v>
      </c>
      <c r="AY49" s="874"/>
      <c r="AZ49" s="762">
        <v>0</v>
      </c>
      <c r="BA49" s="762">
        <v>-390</v>
      </c>
      <c r="BB49" s="762">
        <v>-240</v>
      </c>
      <c r="BC49" s="762">
        <v>0</v>
      </c>
      <c r="BD49" s="762">
        <v>0</v>
      </c>
      <c r="BE49" s="762">
        <v>-504</v>
      </c>
      <c r="BF49" s="762">
        <v>0</v>
      </c>
      <c r="BG49" s="762">
        <v>0</v>
      </c>
      <c r="BH49" s="762">
        <v>0</v>
      </c>
      <c r="BI49" s="744">
        <f t="shared" si="90"/>
        <v>-1134</v>
      </c>
      <c r="BJ49" s="888">
        <f t="shared" si="54"/>
        <v>-2.2865484812801444E-3</v>
      </c>
      <c r="BK49" s="874"/>
      <c r="BL49" s="762">
        <v>0</v>
      </c>
      <c r="BM49" s="762">
        <v>-382</v>
      </c>
      <c r="BN49" s="762">
        <v>-240</v>
      </c>
      <c r="BO49" s="762">
        <v>-174</v>
      </c>
      <c r="BP49" s="762">
        <v>-510</v>
      </c>
      <c r="BQ49" s="762">
        <v>-510</v>
      </c>
      <c r="BR49" s="762">
        <v>0</v>
      </c>
      <c r="BS49" s="762">
        <v>0</v>
      </c>
      <c r="BT49" s="762">
        <v>0</v>
      </c>
      <c r="BU49" s="744">
        <f t="shared" si="91"/>
        <v>-1816</v>
      </c>
      <c r="BV49" s="888">
        <f t="shared" si="56"/>
        <v>-3.6533795772862791E-3</v>
      </c>
      <c r="BW49" s="874"/>
      <c r="BX49" s="762">
        <v>0</v>
      </c>
      <c r="BY49" s="762">
        <v>0</v>
      </c>
      <c r="BZ49" s="762">
        <v>0</v>
      </c>
      <c r="CA49" s="762">
        <v>0</v>
      </c>
      <c r="CB49" s="762">
        <v>0</v>
      </c>
      <c r="CC49" s="762">
        <v>0</v>
      </c>
      <c r="CD49" s="762">
        <v>0</v>
      </c>
      <c r="CE49" s="762">
        <v>0</v>
      </c>
      <c r="CF49" s="762">
        <v>0</v>
      </c>
      <c r="CG49" s="744">
        <f t="shared" si="92"/>
        <v>0</v>
      </c>
      <c r="CH49" s="888">
        <f t="shared" si="58"/>
        <v>0</v>
      </c>
      <c r="CI49" s="874"/>
      <c r="CJ49" s="957">
        <f t="shared" si="44"/>
        <v>1816</v>
      </c>
      <c r="CK49" s="965">
        <f t="shared" si="45"/>
        <v>-1</v>
      </c>
      <c r="CL49" s="766"/>
      <c r="CM49" s="816">
        <f>-DATOS!D128</f>
        <v>-2950</v>
      </c>
      <c r="CN49" s="757">
        <f t="shared" si="85"/>
        <v>-9.6973585874465882E-4</v>
      </c>
      <c r="CO49" s="766"/>
      <c r="CP49" s="744">
        <f>-DATOS!F128</f>
        <v>-1250</v>
      </c>
      <c r="CQ49" s="756">
        <f t="shared" si="0"/>
        <v>-2.426258718760706E-3</v>
      </c>
      <c r="CR49" s="874"/>
      <c r="CS49" s="816">
        <f>-DATOS!G128</f>
        <v>-5750</v>
      </c>
      <c r="CT49" s="757">
        <f t="shared" si="73"/>
        <v>-1.9564927061101267E-3</v>
      </c>
      <c r="CU49" s="874"/>
      <c r="CV49" s="897">
        <f t="shared" si="61"/>
        <v>2800</v>
      </c>
      <c r="CW49" s="902">
        <f>+IFERROR(CV49/CS49,0)</f>
        <v>-0.48695652173913045</v>
      </c>
      <c r="CY49" s="750"/>
    </row>
    <row r="50" spans="1:103" hidden="1" outlineLevel="2">
      <c r="A50" s="918">
        <v>52054802</v>
      </c>
      <c r="B50" s="833" t="s">
        <v>954</v>
      </c>
      <c r="C50" s="874"/>
      <c r="D50" s="762">
        <v>-10</v>
      </c>
      <c r="E50" s="762">
        <v>0</v>
      </c>
      <c r="F50" s="762">
        <v>0</v>
      </c>
      <c r="G50" s="762">
        <v>-216</v>
      </c>
      <c r="H50" s="762">
        <v>-200</v>
      </c>
      <c r="I50" s="762">
        <v>0</v>
      </c>
      <c r="J50" s="762">
        <v>0</v>
      </c>
      <c r="K50" s="762">
        <v>0</v>
      </c>
      <c r="L50" s="935">
        <v>0</v>
      </c>
      <c r="M50" s="744">
        <f t="shared" si="86"/>
        <v>-426</v>
      </c>
      <c r="N50" s="888">
        <f t="shared" si="74"/>
        <v>-8.4395040107455095E-4</v>
      </c>
      <c r="O50" s="874"/>
      <c r="P50" s="762">
        <v>-390</v>
      </c>
      <c r="Q50" s="762">
        <v>-180</v>
      </c>
      <c r="R50" s="762">
        <v>-270</v>
      </c>
      <c r="S50" s="762">
        <v>-330</v>
      </c>
      <c r="T50" s="762">
        <v>-510</v>
      </c>
      <c r="U50" s="762">
        <v>-510</v>
      </c>
      <c r="V50" s="762">
        <v>-390</v>
      </c>
      <c r="W50" s="762">
        <v>0</v>
      </c>
      <c r="X50" s="935">
        <v>0</v>
      </c>
      <c r="Y50" s="744">
        <f t="shared" si="87"/>
        <v>-2580</v>
      </c>
      <c r="Z50" s="888">
        <f t="shared" si="64"/>
        <v>-4.9023147286055765E-3</v>
      </c>
      <c r="AA50" s="874"/>
      <c r="AB50" s="762">
        <v>-407</v>
      </c>
      <c r="AC50" s="762">
        <v>0</v>
      </c>
      <c r="AD50" s="762">
        <v>0</v>
      </c>
      <c r="AE50" s="762">
        <v>-240</v>
      </c>
      <c r="AF50" s="762">
        <v>-390</v>
      </c>
      <c r="AG50" s="762">
        <v>0</v>
      </c>
      <c r="AH50" s="762">
        <v>0</v>
      </c>
      <c r="AI50" s="762">
        <v>0</v>
      </c>
      <c r="AJ50" s="935">
        <v>0</v>
      </c>
      <c r="AK50" s="744">
        <f t="shared" si="88"/>
        <v>-1037</v>
      </c>
      <c r="AL50" s="888">
        <f t="shared" si="50"/>
        <v>-2.0263998671213204E-3</v>
      </c>
      <c r="AM50" s="874"/>
      <c r="AN50" s="762">
        <v>-69</v>
      </c>
      <c r="AO50" s="762">
        <v>-381</v>
      </c>
      <c r="AP50" s="762">
        <v>-240</v>
      </c>
      <c r="AQ50" s="762">
        <v>0</v>
      </c>
      <c r="AR50" s="762">
        <v>-342</v>
      </c>
      <c r="AS50" s="762">
        <v>-570</v>
      </c>
      <c r="AT50" s="762">
        <v>-330</v>
      </c>
      <c r="AU50" s="762">
        <v>0</v>
      </c>
      <c r="AV50" s="935">
        <v>0</v>
      </c>
      <c r="AW50" s="744">
        <f t="shared" si="89"/>
        <v>-1932</v>
      </c>
      <c r="AX50" s="888">
        <f t="shared" si="52"/>
        <v>-3.6382536382536385E-3</v>
      </c>
      <c r="AY50" s="874"/>
      <c r="AZ50" s="762">
        <v>0</v>
      </c>
      <c r="BA50" s="762">
        <v>0</v>
      </c>
      <c r="BB50" s="762">
        <v>0</v>
      </c>
      <c r="BC50" s="762">
        <v>0</v>
      </c>
      <c r="BD50" s="762">
        <v>0</v>
      </c>
      <c r="BE50" s="762">
        <v>0</v>
      </c>
      <c r="BF50" s="762">
        <v>0</v>
      </c>
      <c r="BG50" s="762">
        <v>0</v>
      </c>
      <c r="BH50" s="935">
        <v>0</v>
      </c>
      <c r="BI50" s="744">
        <f t="shared" si="90"/>
        <v>0</v>
      </c>
      <c r="BJ50" s="888">
        <f t="shared" si="54"/>
        <v>0</v>
      </c>
      <c r="BK50" s="874"/>
      <c r="BL50" s="762">
        <v>-108</v>
      </c>
      <c r="BM50" s="762">
        <v>0</v>
      </c>
      <c r="BN50" s="762">
        <v>0</v>
      </c>
      <c r="BO50" s="762">
        <v>0</v>
      </c>
      <c r="BP50" s="762">
        <v>0</v>
      </c>
      <c r="BQ50" s="762">
        <v>0</v>
      </c>
      <c r="BR50" s="762">
        <v>0</v>
      </c>
      <c r="BS50" s="762">
        <v>0</v>
      </c>
      <c r="BT50" s="935">
        <v>0</v>
      </c>
      <c r="BU50" s="744">
        <f t="shared" si="91"/>
        <v>-108</v>
      </c>
      <c r="BV50" s="888">
        <f t="shared" si="56"/>
        <v>-2.1727147265799459E-4</v>
      </c>
      <c r="BW50" s="874"/>
      <c r="BX50" s="762">
        <v>-52</v>
      </c>
      <c r="BY50" s="762">
        <v>0</v>
      </c>
      <c r="BZ50" s="762">
        <v>0</v>
      </c>
      <c r="CA50" s="762">
        <v>0</v>
      </c>
      <c r="CB50" s="762">
        <v>0</v>
      </c>
      <c r="CC50" s="762">
        <v>0</v>
      </c>
      <c r="CD50" s="762">
        <v>0</v>
      </c>
      <c r="CE50" s="762">
        <v>0</v>
      </c>
      <c r="CF50" s="935">
        <v>0</v>
      </c>
      <c r="CG50" s="744">
        <f t="shared" si="92"/>
        <v>-52</v>
      </c>
      <c r="CH50" s="888">
        <f t="shared" si="58"/>
        <v>-1.083360417343767E-4</v>
      </c>
      <c r="CI50" s="874"/>
      <c r="CJ50" s="957">
        <f t="shared" si="44"/>
        <v>56</v>
      </c>
      <c r="CK50" s="965">
        <f t="shared" si="45"/>
        <v>-0.51851851851851849</v>
      </c>
      <c r="CL50" s="766"/>
      <c r="CM50" s="816">
        <f>-DATOS!D129</f>
        <v>-5709.5</v>
      </c>
      <c r="CN50" s="757">
        <f t="shared" si="85"/>
        <v>-1.8768497916958067E-3</v>
      </c>
      <c r="CO50" s="766"/>
      <c r="CP50" s="744">
        <f>-DATOS!F129</f>
        <v>-1825.5</v>
      </c>
      <c r="CQ50" s="756">
        <f t="shared" si="0"/>
        <v>-3.543308232878135E-3</v>
      </c>
      <c r="CR50" s="874"/>
      <c r="CS50" s="816">
        <f>-DATOS!G129</f>
        <v>-11857</v>
      </c>
      <c r="CT50" s="757">
        <f t="shared" si="73"/>
        <v>-4.0344580897996125E-3</v>
      </c>
      <c r="CU50" s="874"/>
      <c r="CV50" s="897">
        <f t="shared" si="61"/>
        <v>6147.5</v>
      </c>
      <c r="CW50" s="902">
        <f>+IFERROR(CV50/CS50,0)</f>
        <v>-0.51847010204942223</v>
      </c>
      <c r="CY50" s="750"/>
    </row>
    <row r="51" spans="1:103" hidden="1" outlineLevel="2">
      <c r="A51" s="918">
        <v>52055101</v>
      </c>
      <c r="B51" s="833" t="s">
        <v>494</v>
      </c>
      <c r="C51" s="874"/>
      <c r="D51" s="762">
        <v>-631</v>
      </c>
      <c r="E51" s="762">
        <v>-447</v>
      </c>
      <c r="F51" s="762">
        <v>-298</v>
      </c>
      <c r="G51" s="762">
        <v>-1192</v>
      </c>
      <c r="H51" s="762">
        <v>-1152</v>
      </c>
      <c r="I51" s="762">
        <v>-745</v>
      </c>
      <c r="J51" s="762">
        <v>-447</v>
      </c>
      <c r="K51" s="762">
        <v>-298</v>
      </c>
      <c r="L51" s="935">
        <v>0</v>
      </c>
      <c r="M51" s="744">
        <f t="shared" si="86"/>
        <v>-5210</v>
      </c>
      <c r="N51" s="888">
        <f t="shared" si="74"/>
        <v>-1.0321553027226316E-2</v>
      </c>
      <c r="O51" s="874"/>
      <c r="P51" s="762">
        <v>0</v>
      </c>
      <c r="Q51" s="762">
        <v>0</v>
      </c>
      <c r="R51" s="762">
        <v>0</v>
      </c>
      <c r="S51" s="762">
        <v>-6</v>
      </c>
      <c r="T51" s="762">
        <v>-6</v>
      </c>
      <c r="U51" s="762">
        <v>-33</v>
      </c>
      <c r="V51" s="762">
        <v>0</v>
      </c>
      <c r="W51" s="762">
        <v>0</v>
      </c>
      <c r="X51" s="935">
        <v>-6</v>
      </c>
      <c r="Y51" s="744">
        <f t="shared" si="87"/>
        <v>-51</v>
      </c>
      <c r="Z51" s="888">
        <f t="shared" si="64"/>
        <v>-9.690622137941256E-5</v>
      </c>
      <c r="AA51" s="874"/>
      <c r="AB51" s="762">
        <v>-102</v>
      </c>
      <c r="AC51" s="762">
        <v>0</v>
      </c>
      <c r="AD51" s="762">
        <v>0</v>
      </c>
      <c r="AE51" s="762">
        <v>-109</v>
      </c>
      <c r="AF51" s="762">
        <v>-102</v>
      </c>
      <c r="AG51" s="762">
        <v>-51</v>
      </c>
      <c r="AH51" s="762">
        <v>0</v>
      </c>
      <c r="AI51" s="762">
        <v>0</v>
      </c>
      <c r="AJ51" s="935">
        <v>0</v>
      </c>
      <c r="AK51" s="744">
        <f t="shared" si="88"/>
        <v>-364</v>
      </c>
      <c r="AL51" s="888">
        <f t="shared" si="50"/>
        <v>-7.1129175663660609E-4</v>
      </c>
      <c r="AM51" s="874"/>
      <c r="AN51" s="762">
        <v>0</v>
      </c>
      <c r="AO51" s="762">
        <v>0</v>
      </c>
      <c r="AP51" s="762">
        <v>0</v>
      </c>
      <c r="AQ51" s="762">
        <v>0</v>
      </c>
      <c r="AR51" s="762">
        <v>-80</v>
      </c>
      <c r="AS51" s="762">
        <v>0</v>
      </c>
      <c r="AT51" s="762">
        <v>0</v>
      </c>
      <c r="AU51" s="762">
        <v>0</v>
      </c>
      <c r="AV51" s="935">
        <v>0</v>
      </c>
      <c r="AW51" s="744">
        <f t="shared" si="89"/>
        <v>-80</v>
      </c>
      <c r="AX51" s="888">
        <f t="shared" si="52"/>
        <v>-1.5065232456536805E-4</v>
      </c>
      <c r="AY51" s="874"/>
      <c r="AZ51" s="762">
        <v>0</v>
      </c>
      <c r="BA51" s="762">
        <v>0</v>
      </c>
      <c r="BB51" s="762">
        <v>0</v>
      </c>
      <c r="BC51" s="762">
        <v>0</v>
      </c>
      <c r="BD51" s="762">
        <v>-177</v>
      </c>
      <c r="BE51" s="762">
        <v>0</v>
      </c>
      <c r="BF51" s="762">
        <v>0</v>
      </c>
      <c r="BG51" s="762">
        <v>0</v>
      </c>
      <c r="BH51" s="935">
        <v>0</v>
      </c>
      <c r="BI51" s="744">
        <f t="shared" si="90"/>
        <v>-177</v>
      </c>
      <c r="BJ51" s="888">
        <f t="shared" si="54"/>
        <v>-3.5689513332150404E-4</v>
      </c>
      <c r="BK51" s="874"/>
      <c r="BL51" s="762">
        <v>-682</v>
      </c>
      <c r="BM51" s="762">
        <v>-514</v>
      </c>
      <c r="BN51" s="762">
        <v>-346</v>
      </c>
      <c r="BO51" s="762">
        <v>-682</v>
      </c>
      <c r="BP51" s="762">
        <v>-941</v>
      </c>
      <c r="BQ51" s="762">
        <v>-850</v>
      </c>
      <c r="BR51" s="762">
        <v>-514</v>
      </c>
      <c r="BS51" s="762">
        <v>0</v>
      </c>
      <c r="BT51" s="935">
        <v>-504</v>
      </c>
      <c r="BU51" s="744">
        <f t="shared" si="91"/>
        <v>-5033</v>
      </c>
      <c r="BV51" s="888">
        <f t="shared" si="56"/>
        <v>-1.0125252980441543E-2</v>
      </c>
      <c r="BW51" s="874"/>
      <c r="BX51" s="762">
        <v>-225</v>
      </c>
      <c r="BY51" s="762">
        <v>5</v>
      </c>
      <c r="BZ51" s="762">
        <v>-110</v>
      </c>
      <c r="CA51" s="762">
        <v>-243</v>
      </c>
      <c r="CB51" s="762">
        <v>-236</v>
      </c>
      <c r="CC51" s="762">
        <v>-225</v>
      </c>
      <c r="CD51" s="762">
        <v>-110</v>
      </c>
      <c r="CE51" s="762">
        <v>0</v>
      </c>
      <c r="CF51" s="935">
        <v>-133</v>
      </c>
      <c r="CG51" s="744">
        <f t="shared" si="92"/>
        <v>-1277</v>
      </c>
      <c r="CH51" s="888">
        <f t="shared" si="58"/>
        <v>-2.6604831787461355E-3</v>
      </c>
      <c r="CI51" s="874"/>
      <c r="CJ51" s="957">
        <f t="shared" si="44"/>
        <v>3756</v>
      </c>
      <c r="CK51" s="965">
        <f t="shared" si="45"/>
        <v>-0.74627458772104116</v>
      </c>
      <c r="CL51" s="766"/>
      <c r="CM51" s="816">
        <f>-DATOS!D130</f>
        <v>-6981</v>
      </c>
      <c r="CN51" s="757">
        <f t="shared" si="85"/>
        <v>-2.2948223830157504E-3</v>
      </c>
      <c r="CO51" s="766"/>
      <c r="CP51" s="744">
        <f>-DATOS!F130</f>
        <v>0</v>
      </c>
      <c r="CQ51" s="756">
        <f t="shared" si="0"/>
        <v>0</v>
      </c>
      <c r="CR51" s="874"/>
      <c r="CS51" s="816">
        <f>-DATOS!G130</f>
        <v>-10100</v>
      </c>
      <c r="CT51" s="757">
        <f t="shared" si="73"/>
        <v>-3.4366219707325702E-3</v>
      </c>
      <c r="CU51" s="874"/>
      <c r="CV51" s="897">
        <f t="shared" si="61"/>
        <v>3119</v>
      </c>
      <c r="CW51" s="902">
        <f>+IFERROR(CV51/CS51,0)</f>
        <v>-0.30881188118811881</v>
      </c>
      <c r="CY51" s="750"/>
    </row>
    <row r="52" spans="1:103" hidden="1" outlineLevel="2">
      <c r="A52" s="918">
        <v>520560</v>
      </c>
      <c r="B52" s="833" t="s">
        <v>977</v>
      </c>
      <c r="C52" s="874"/>
      <c r="D52" s="762">
        <v>0</v>
      </c>
      <c r="E52" s="762">
        <v>0</v>
      </c>
      <c r="F52" s="762">
        <v>0</v>
      </c>
      <c r="G52" s="762">
        <v>0</v>
      </c>
      <c r="H52" s="762">
        <v>0</v>
      </c>
      <c r="I52" s="762">
        <v>0</v>
      </c>
      <c r="J52" s="762">
        <v>-1424</v>
      </c>
      <c r="K52" s="762">
        <v>0</v>
      </c>
      <c r="L52" s="935">
        <v>0</v>
      </c>
      <c r="M52" s="744">
        <f>SUM(D52:L52)</f>
        <v>-1424</v>
      </c>
      <c r="N52" s="888">
        <f t="shared" si="74"/>
        <v>-2.8210924204933345E-3</v>
      </c>
      <c r="O52" s="874"/>
      <c r="P52" s="762">
        <v>0</v>
      </c>
      <c r="Q52" s="762">
        <v>0</v>
      </c>
      <c r="R52" s="762">
        <v>0</v>
      </c>
      <c r="S52" s="762">
        <v>0</v>
      </c>
      <c r="T52" s="762">
        <v>0</v>
      </c>
      <c r="U52" s="762">
        <v>0</v>
      </c>
      <c r="V52" s="762">
        <v>0</v>
      </c>
      <c r="W52" s="762">
        <v>0</v>
      </c>
      <c r="X52" s="935">
        <v>0</v>
      </c>
      <c r="Y52" s="744">
        <f>SUM(P52:X52)</f>
        <v>0</v>
      </c>
      <c r="Z52" s="888">
        <f t="shared" si="64"/>
        <v>0</v>
      </c>
      <c r="AA52" s="874"/>
      <c r="AB52" s="762">
        <v>0</v>
      </c>
      <c r="AC52" s="762">
        <v>0</v>
      </c>
      <c r="AD52" s="762">
        <v>0</v>
      </c>
      <c r="AE52" s="762">
        <v>0</v>
      </c>
      <c r="AF52" s="762">
        <v>0</v>
      </c>
      <c r="AG52" s="762">
        <v>0</v>
      </c>
      <c r="AH52" s="762">
        <v>0</v>
      </c>
      <c r="AI52" s="762">
        <v>0</v>
      </c>
      <c r="AJ52" s="935">
        <v>0</v>
      </c>
      <c r="AK52" s="744">
        <f>SUM(AB52:AJ52)</f>
        <v>0</v>
      </c>
      <c r="AL52" s="888">
        <f t="shared" si="50"/>
        <v>0</v>
      </c>
      <c r="AM52" s="874"/>
      <c r="AN52" s="762">
        <v>0</v>
      </c>
      <c r="AO52" s="762">
        <v>0</v>
      </c>
      <c r="AP52" s="762">
        <v>0</v>
      </c>
      <c r="AQ52" s="762">
        <v>0</v>
      </c>
      <c r="AR52" s="762">
        <v>0</v>
      </c>
      <c r="AS52" s="762">
        <v>0</v>
      </c>
      <c r="AT52" s="762">
        <v>0</v>
      </c>
      <c r="AU52" s="762">
        <v>0</v>
      </c>
      <c r="AV52" s="935">
        <v>0</v>
      </c>
      <c r="AW52" s="744">
        <f>SUM(AN52:AV52)</f>
        <v>0</v>
      </c>
      <c r="AX52" s="888">
        <f t="shared" si="52"/>
        <v>0</v>
      </c>
      <c r="AY52" s="874"/>
      <c r="AZ52" s="762">
        <v>0</v>
      </c>
      <c r="BA52" s="762">
        <v>0</v>
      </c>
      <c r="BB52" s="762">
        <v>0</v>
      </c>
      <c r="BC52" s="762">
        <v>0</v>
      </c>
      <c r="BD52" s="762">
        <v>0</v>
      </c>
      <c r="BE52" s="762">
        <v>0</v>
      </c>
      <c r="BF52" s="762">
        <v>0</v>
      </c>
      <c r="BG52" s="762">
        <v>0</v>
      </c>
      <c r="BH52" s="935">
        <v>0</v>
      </c>
      <c r="BI52" s="744">
        <f>SUM(AZ52:BH52)</f>
        <v>0</v>
      </c>
      <c r="BJ52" s="888">
        <f t="shared" si="54"/>
        <v>0</v>
      </c>
      <c r="BK52" s="874"/>
      <c r="BL52" s="762">
        <v>0</v>
      </c>
      <c r="BM52" s="762">
        <v>0</v>
      </c>
      <c r="BN52" s="762">
        <v>0</v>
      </c>
      <c r="BO52" s="762">
        <v>0</v>
      </c>
      <c r="BP52" s="762">
        <v>0</v>
      </c>
      <c r="BQ52" s="762">
        <v>0</v>
      </c>
      <c r="BR52" s="762">
        <v>0</v>
      </c>
      <c r="BS52" s="762">
        <v>0</v>
      </c>
      <c r="BT52" s="935">
        <v>0</v>
      </c>
      <c r="BU52" s="744">
        <f>SUM(BL52:BT52)</f>
        <v>0</v>
      </c>
      <c r="BV52" s="888">
        <f t="shared" si="56"/>
        <v>0</v>
      </c>
      <c r="BW52" s="874"/>
      <c r="BX52" s="762">
        <v>0</v>
      </c>
      <c r="BY52" s="762">
        <v>0</v>
      </c>
      <c r="BZ52" s="762">
        <v>0</v>
      </c>
      <c r="CA52" s="762">
        <v>0</v>
      </c>
      <c r="CB52" s="762">
        <v>0</v>
      </c>
      <c r="CC52" s="762">
        <v>0</v>
      </c>
      <c r="CD52" s="762">
        <v>0</v>
      </c>
      <c r="CE52" s="762">
        <v>0</v>
      </c>
      <c r="CF52" s="935">
        <v>0</v>
      </c>
      <c r="CG52" s="744">
        <f>SUM(BX52:CF52)</f>
        <v>0</v>
      </c>
      <c r="CH52" s="888">
        <f t="shared" si="58"/>
        <v>0</v>
      </c>
      <c r="CI52" s="874"/>
      <c r="CJ52" s="957">
        <f t="shared" si="44"/>
        <v>0</v>
      </c>
      <c r="CK52" s="965">
        <f t="shared" si="45"/>
        <v>0</v>
      </c>
      <c r="CL52" s="766"/>
      <c r="CM52" s="816">
        <f>-DATOS!D131</f>
        <v>0</v>
      </c>
      <c r="CN52" s="757"/>
      <c r="CO52" s="766"/>
      <c r="CP52" s="744">
        <f>-+DATOS!F131</f>
        <v>0</v>
      </c>
      <c r="CQ52" s="756"/>
      <c r="CR52" s="874"/>
      <c r="CS52" s="816">
        <f>+-DATOS!G131</f>
        <v>0</v>
      </c>
      <c r="CT52" s="757"/>
      <c r="CU52" s="874"/>
      <c r="CV52" s="897"/>
      <c r="CW52" s="902"/>
      <c r="CY52" s="750"/>
    </row>
    <row r="53" spans="1:103" hidden="1" outlineLevel="2">
      <c r="A53" s="918">
        <v>52056301</v>
      </c>
      <c r="B53" s="833" t="s">
        <v>586</v>
      </c>
      <c r="C53" s="874"/>
      <c r="D53" s="762">
        <v>0</v>
      </c>
      <c r="E53" s="762">
        <v>0</v>
      </c>
      <c r="F53" s="762">
        <v>0</v>
      </c>
      <c r="G53" s="762">
        <v>0</v>
      </c>
      <c r="H53" s="762">
        <v>-11</v>
      </c>
      <c r="I53" s="762">
        <v>0</v>
      </c>
      <c r="J53" s="762">
        <v>0</v>
      </c>
      <c r="K53" s="762">
        <v>0</v>
      </c>
      <c r="L53" s="935">
        <v>0</v>
      </c>
      <c r="M53" s="744">
        <f t="shared" ref="M53" si="93">SUM(D53:L53)</f>
        <v>-11</v>
      </c>
      <c r="N53" s="888">
        <f t="shared" si="74"/>
        <v>-2.1792146506619859E-5</v>
      </c>
      <c r="O53" s="874"/>
      <c r="P53" s="762">
        <v>0</v>
      </c>
      <c r="Q53" s="762">
        <v>0</v>
      </c>
      <c r="R53" s="762">
        <v>-12</v>
      </c>
      <c r="S53" s="762">
        <v>0</v>
      </c>
      <c r="T53" s="762">
        <v>0</v>
      </c>
      <c r="U53" s="762">
        <v>0</v>
      </c>
      <c r="V53" s="762">
        <v>-12</v>
      </c>
      <c r="W53" s="762">
        <v>0</v>
      </c>
      <c r="X53" s="935">
        <v>-12</v>
      </c>
      <c r="Y53" s="744">
        <f t="shared" ref="Y53" si="94">SUM(P53:X53)</f>
        <v>-36</v>
      </c>
      <c r="Z53" s="888">
        <f t="shared" si="64"/>
        <v>-6.8404391561938273E-5</v>
      </c>
      <c r="AA53" s="874"/>
      <c r="AB53" s="762">
        <v>0</v>
      </c>
      <c r="AC53" s="762">
        <v>0</v>
      </c>
      <c r="AD53" s="762">
        <v>0</v>
      </c>
      <c r="AE53" s="762">
        <v>0</v>
      </c>
      <c r="AF53" s="762">
        <v>0</v>
      </c>
      <c r="AG53" s="762">
        <v>0</v>
      </c>
      <c r="AH53" s="762">
        <v>0</v>
      </c>
      <c r="AI53" s="762">
        <v>0</v>
      </c>
      <c r="AJ53" s="935">
        <v>0</v>
      </c>
      <c r="AK53" s="744">
        <f t="shared" ref="AK53" si="95">SUM(AB53:AJ53)</f>
        <v>0</v>
      </c>
      <c r="AL53" s="888">
        <f t="shared" si="50"/>
        <v>0</v>
      </c>
      <c r="AM53" s="874"/>
      <c r="AN53" s="762">
        <v>0</v>
      </c>
      <c r="AO53" s="762">
        <v>0</v>
      </c>
      <c r="AP53" s="762">
        <v>0</v>
      </c>
      <c r="AQ53" s="762">
        <v>0</v>
      </c>
      <c r="AR53" s="762">
        <v>0</v>
      </c>
      <c r="AS53" s="762">
        <v>0</v>
      </c>
      <c r="AT53" s="762">
        <v>0</v>
      </c>
      <c r="AU53" s="762">
        <v>0</v>
      </c>
      <c r="AV53" s="935">
        <v>0</v>
      </c>
      <c r="AW53" s="744">
        <f t="shared" ref="AW53" si="96">SUM(AN53:AV53)</f>
        <v>0</v>
      </c>
      <c r="AX53" s="888">
        <f t="shared" si="52"/>
        <v>0</v>
      </c>
      <c r="AY53" s="874"/>
      <c r="AZ53" s="762">
        <v>0</v>
      </c>
      <c r="BA53" s="762">
        <v>0</v>
      </c>
      <c r="BB53" s="762">
        <v>0</v>
      </c>
      <c r="BC53" s="762">
        <v>0</v>
      </c>
      <c r="BD53" s="762">
        <v>0</v>
      </c>
      <c r="BE53" s="762">
        <v>0</v>
      </c>
      <c r="BF53" s="762">
        <v>0</v>
      </c>
      <c r="BG53" s="762">
        <v>0</v>
      </c>
      <c r="BH53" s="935">
        <v>0</v>
      </c>
      <c r="BI53" s="744">
        <f t="shared" ref="BI53" si="97">SUM(AZ53:BH53)</f>
        <v>0</v>
      </c>
      <c r="BJ53" s="888">
        <f t="shared" si="54"/>
        <v>0</v>
      </c>
      <c r="BK53" s="874"/>
      <c r="BL53" s="762">
        <v>0</v>
      </c>
      <c r="BM53" s="762">
        <v>-12</v>
      </c>
      <c r="BN53" s="762">
        <v>0</v>
      </c>
      <c r="BO53" s="762">
        <v>0</v>
      </c>
      <c r="BP53" s="762">
        <v>0</v>
      </c>
      <c r="BQ53" s="762">
        <v>0</v>
      </c>
      <c r="BR53" s="762">
        <v>-12</v>
      </c>
      <c r="BS53" s="762">
        <v>0</v>
      </c>
      <c r="BT53" s="935">
        <v>0</v>
      </c>
      <c r="BU53" s="744">
        <f t="shared" ref="BU53" si="98">SUM(BL53:BT53)</f>
        <v>-24</v>
      </c>
      <c r="BV53" s="888">
        <f t="shared" si="56"/>
        <v>-4.8282549479554355E-5</v>
      </c>
      <c r="BW53" s="874"/>
      <c r="BX53" s="762">
        <v>0</v>
      </c>
      <c r="BY53" s="762">
        <v>0</v>
      </c>
      <c r="BZ53" s="762">
        <v>0</v>
      </c>
      <c r="CA53" s="762">
        <v>0</v>
      </c>
      <c r="CB53" s="762">
        <v>0</v>
      </c>
      <c r="CC53" s="762">
        <v>0</v>
      </c>
      <c r="CD53" s="762">
        <v>0</v>
      </c>
      <c r="CE53" s="762">
        <v>0</v>
      </c>
      <c r="CF53" s="935">
        <v>0</v>
      </c>
      <c r="CG53" s="744">
        <f t="shared" ref="CG53" si="99">SUM(BX53:CF53)</f>
        <v>0</v>
      </c>
      <c r="CH53" s="888">
        <f t="shared" si="58"/>
        <v>0</v>
      </c>
      <c r="CI53" s="874"/>
      <c r="CJ53" s="957">
        <f t="shared" si="44"/>
        <v>24</v>
      </c>
      <c r="CK53" s="965">
        <f t="shared" si="45"/>
        <v>-1</v>
      </c>
      <c r="CL53" s="766"/>
      <c r="CM53" s="816">
        <f>-DATOS!D132</f>
        <v>-60</v>
      </c>
      <c r="CN53" s="757">
        <f t="shared" si="85"/>
        <v>-1.9723441194806621E-5</v>
      </c>
      <c r="CO53" s="766"/>
      <c r="CP53" s="744">
        <f>-DATOS!F132</f>
        <v>0</v>
      </c>
      <c r="CQ53" s="756">
        <f t="shared" si="0"/>
        <v>0</v>
      </c>
      <c r="CR53" s="874"/>
      <c r="CS53" s="816">
        <f>-DATOS!G132</f>
        <v>-55</v>
      </c>
      <c r="CT53" s="757">
        <f t="shared" si="73"/>
        <v>-1.8714278058444692E-5</v>
      </c>
      <c r="CU53" s="874"/>
      <c r="CV53" s="897">
        <f t="shared" ref="CV53:CV59" si="100">+CM53-CS53</f>
        <v>-5</v>
      </c>
      <c r="CW53" s="902">
        <f>+IFERROR(CV53/CS53,0)</f>
        <v>9.0909090909090912E-2</v>
      </c>
      <c r="CY53" s="750"/>
    </row>
    <row r="54" spans="1:103" hidden="1" outlineLevel="2">
      <c r="A54" s="734">
        <v>52056601</v>
      </c>
      <c r="B54" s="833" t="s">
        <v>874</v>
      </c>
      <c r="C54" s="874"/>
      <c r="D54" s="762">
        <v>0</v>
      </c>
      <c r="E54" s="762">
        <v>0</v>
      </c>
      <c r="F54" s="762">
        <v>0</v>
      </c>
      <c r="G54" s="762">
        <v>0</v>
      </c>
      <c r="H54" s="762">
        <v>0</v>
      </c>
      <c r="I54" s="762">
        <v>0</v>
      </c>
      <c r="J54" s="762">
        <v>0</v>
      </c>
      <c r="K54" s="762">
        <v>0</v>
      </c>
      <c r="L54" s="935">
        <v>0</v>
      </c>
      <c r="M54" s="744">
        <f>SUM(D54:L54)</f>
        <v>0</v>
      </c>
      <c r="N54" s="888">
        <f t="shared" si="74"/>
        <v>0</v>
      </c>
      <c r="O54" s="874"/>
      <c r="P54" s="762">
        <v>0</v>
      </c>
      <c r="Q54" s="762">
        <v>0</v>
      </c>
      <c r="R54" s="762">
        <v>0</v>
      </c>
      <c r="S54" s="762">
        <v>0</v>
      </c>
      <c r="T54" s="762">
        <v>0</v>
      </c>
      <c r="U54" s="762">
        <v>0</v>
      </c>
      <c r="V54" s="762">
        <v>0</v>
      </c>
      <c r="W54" s="762">
        <v>0</v>
      </c>
      <c r="X54" s="935">
        <v>0</v>
      </c>
      <c r="Y54" s="744">
        <f>SUM(P54:X54)</f>
        <v>0</v>
      </c>
      <c r="Z54" s="888">
        <f t="shared" si="64"/>
        <v>0</v>
      </c>
      <c r="AA54" s="874"/>
      <c r="AB54" s="762">
        <v>0</v>
      </c>
      <c r="AC54" s="762">
        <v>0</v>
      </c>
      <c r="AD54" s="762">
        <v>0</v>
      </c>
      <c r="AE54" s="762">
        <v>0</v>
      </c>
      <c r="AF54" s="762">
        <v>0</v>
      </c>
      <c r="AG54" s="762">
        <v>0</v>
      </c>
      <c r="AH54" s="762">
        <v>0</v>
      </c>
      <c r="AI54" s="762">
        <v>0</v>
      </c>
      <c r="AJ54" s="935">
        <v>0</v>
      </c>
      <c r="AK54" s="744">
        <f>SUM(AB54:AJ54)</f>
        <v>0</v>
      </c>
      <c r="AL54" s="888">
        <f t="shared" si="50"/>
        <v>0</v>
      </c>
      <c r="AM54" s="874"/>
      <c r="AN54" s="762">
        <v>0</v>
      </c>
      <c r="AO54" s="762">
        <v>0</v>
      </c>
      <c r="AP54" s="762">
        <v>0</v>
      </c>
      <c r="AQ54" s="762">
        <v>0</v>
      </c>
      <c r="AR54" s="762">
        <v>0</v>
      </c>
      <c r="AS54" s="762">
        <v>0</v>
      </c>
      <c r="AT54" s="762">
        <v>0</v>
      </c>
      <c r="AU54" s="762">
        <v>0</v>
      </c>
      <c r="AV54" s="935">
        <v>0</v>
      </c>
      <c r="AW54" s="744">
        <f>SUM(AN54:AV54)</f>
        <v>0</v>
      </c>
      <c r="AX54" s="888">
        <f t="shared" si="52"/>
        <v>0</v>
      </c>
      <c r="AY54" s="874"/>
      <c r="AZ54" s="762">
        <v>0</v>
      </c>
      <c r="BA54" s="762">
        <v>0</v>
      </c>
      <c r="BB54" s="762">
        <v>0</v>
      </c>
      <c r="BC54" s="762">
        <v>0</v>
      </c>
      <c r="BD54" s="762">
        <v>0</v>
      </c>
      <c r="BE54" s="762">
        <v>0</v>
      </c>
      <c r="BF54" s="762">
        <v>0</v>
      </c>
      <c r="BG54" s="762">
        <v>0</v>
      </c>
      <c r="BH54" s="935">
        <v>0</v>
      </c>
      <c r="BI54" s="744">
        <f>SUM(AZ54:BH54)</f>
        <v>0</v>
      </c>
      <c r="BJ54" s="888">
        <f t="shared" si="54"/>
        <v>0</v>
      </c>
      <c r="BK54" s="874"/>
      <c r="BL54" s="762">
        <v>0</v>
      </c>
      <c r="BM54" s="762">
        <v>0</v>
      </c>
      <c r="BN54" s="762">
        <v>0</v>
      </c>
      <c r="BO54" s="762">
        <v>0</v>
      </c>
      <c r="BP54" s="762">
        <v>0</v>
      </c>
      <c r="BQ54" s="762">
        <v>0</v>
      </c>
      <c r="BR54" s="762">
        <v>0</v>
      </c>
      <c r="BS54" s="762">
        <v>0</v>
      </c>
      <c r="BT54" s="935">
        <v>0</v>
      </c>
      <c r="BU54" s="744">
        <f>SUM(BL54:BT54)</f>
        <v>0</v>
      </c>
      <c r="BV54" s="888">
        <f t="shared" si="56"/>
        <v>0</v>
      </c>
      <c r="BW54" s="874"/>
      <c r="BX54" s="762">
        <v>0</v>
      </c>
      <c r="BY54" s="762">
        <v>0</v>
      </c>
      <c r="BZ54" s="762">
        <v>0</v>
      </c>
      <c r="CA54" s="762">
        <v>0</v>
      </c>
      <c r="CB54" s="762">
        <v>0</v>
      </c>
      <c r="CC54" s="762">
        <v>0</v>
      </c>
      <c r="CD54" s="762">
        <v>0</v>
      </c>
      <c r="CE54" s="762">
        <v>0</v>
      </c>
      <c r="CF54" s="935">
        <v>0</v>
      </c>
      <c r="CG54" s="744">
        <f>SUM(BX54:CF54)</f>
        <v>0</v>
      </c>
      <c r="CH54" s="888">
        <f t="shared" si="58"/>
        <v>0</v>
      </c>
      <c r="CI54" s="874"/>
      <c r="CJ54" s="957">
        <f t="shared" ref="CJ54:CJ85" si="101">+CG54-BU54</f>
        <v>0</v>
      </c>
      <c r="CK54" s="965">
        <f t="shared" ref="CK54:CK85" si="102">IFERROR(+CJ54/BU54,0%)</f>
        <v>0</v>
      </c>
      <c r="CL54" s="766"/>
      <c r="CM54" s="816">
        <f>-DATOS!D133</f>
        <v>0</v>
      </c>
      <c r="CN54" s="757">
        <f>+CM54/CM$13</f>
        <v>0</v>
      </c>
      <c r="CO54" s="766"/>
      <c r="CP54" s="744">
        <v>0</v>
      </c>
      <c r="CQ54" s="756">
        <f>+CP54/CP$13</f>
        <v>0</v>
      </c>
      <c r="CR54" s="874"/>
      <c r="CS54" s="816">
        <v>0</v>
      </c>
      <c r="CT54" s="757">
        <f>+CS54/CS$13</f>
        <v>0</v>
      </c>
      <c r="CU54" s="874"/>
      <c r="CV54" s="897">
        <f t="shared" si="100"/>
        <v>0</v>
      </c>
      <c r="CW54" s="902">
        <f>+IFERROR(CV54/CS54,0)</f>
        <v>0</v>
      </c>
      <c r="CY54" s="750"/>
    </row>
    <row r="55" spans="1:103" hidden="1" outlineLevel="2">
      <c r="A55" s="734">
        <v>520584</v>
      </c>
      <c r="B55" s="833" t="s">
        <v>498</v>
      </c>
      <c r="C55" s="874"/>
      <c r="D55" s="762">
        <v>0</v>
      </c>
      <c r="E55" s="762">
        <v>0</v>
      </c>
      <c r="F55" s="762">
        <v>0</v>
      </c>
      <c r="G55" s="762">
        <v>0</v>
      </c>
      <c r="H55" s="762">
        <v>0</v>
      </c>
      <c r="I55" s="762">
        <v>0</v>
      </c>
      <c r="J55" s="762">
        <v>0</v>
      </c>
      <c r="K55" s="762">
        <v>0</v>
      </c>
      <c r="L55" s="935">
        <v>0</v>
      </c>
      <c r="M55" s="744">
        <f>SUM(D55:L55)</f>
        <v>0</v>
      </c>
      <c r="N55" s="888">
        <f t="shared" si="74"/>
        <v>0</v>
      </c>
      <c r="O55" s="874"/>
      <c r="P55" s="762">
        <v>0</v>
      </c>
      <c r="Q55" s="762">
        <v>0</v>
      </c>
      <c r="R55" s="762">
        <v>0</v>
      </c>
      <c r="S55" s="762">
        <v>0</v>
      </c>
      <c r="T55" s="762">
        <v>0</v>
      </c>
      <c r="U55" s="762">
        <v>0</v>
      </c>
      <c r="V55" s="762">
        <v>0</v>
      </c>
      <c r="W55" s="762">
        <v>0</v>
      </c>
      <c r="X55" s="935">
        <v>0</v>
      </c>
      <c r="Y55" s="744">
        <f>SUM(P55:X55)</f>
        <v>0</v>
      </c>
      <c r="Z55" s="888">
        <f t="shared" si="64"/>
        <v>0</v>
      </c>
      <c r="AA55" s="874"/>
      <c r="AB55" s="762">
        <v>0</v>
      </c>
      <c r="AC55" s="762">
        <v>0</v>
      </c>
      <c r="AD55" s="762">
        <v>0</v>
      </c>
      <c r="AE55" s="762">
        <v>0</v>
      </c>
      <c r="AF55" s="762">
        <v>0</v>
      </c>
      <c r="AG55" s="762">
        <v>0</v>
      </c>
      <c r="AH55" s="762">
        <v>0</v>
      </c>
      <c r="AI55" s="762">
        <v>0</v>
      </c>
      <c r="AJ55" s="935">
        <v>0</v>
      </c>
      <c r="AK55" s="744">
        <f>SUM(AB55:AJ55)</f>
        <v>0</v>
      </c>
      <c r="AL55" s="888">
        <f t="shared" si="50"/>
        <v>0</v>
      </c>
      <c r="AM55" s="874"/>
      <c r="AN55" s="762">
        <v>0</v>
      </c>
      <c r="AO55" s="762">
        <v>0</v>
      </c>
      <c r="AP55" s="762">
        <v>0</v>
      </c>
      <c r="AQ55" s="762">
        <v>0</v>
      </c>
      <c r="AR55" s="762">
        <v>0</v>
      </c>
      <c r="AS55" s="762">
        <v>0</v>
      </c>
      <c r="AT55" s="762">
        <v>0</v>
      </c>
      <c r="AU55" s="762">
        <v>0</v>
      </c>
      <c r="AV55" s="935">
        <v>0</v>
      </c>
      <c r="AW55" s="744">
        <f>SUM(AN55:AV55)</f>
        <v>0</v>
      </c>
      <c r="AX55" s="888">
        <f t="shared" si="52"/>
        <v>0</v>
      </c>
      <c r="AY55" s="874"/>
      <c r="AZ55" s="762">
        <v>0</v>
      </c>
      <c r="BA55" s="762">
        <v>0</v>
      </c>
      <c r="BB55" s="762">
        <v>0</v>
      </c>
      <c r="BC55" s="762">
        <v>0</v>
      </c>
      <c r="BD55" s="762">
        <v>0</v>
      </c>
      <c r="BE55" s="762">
        <v>0</v>
      </c>
      <c r="BF55" s="762">
        <v>0</v>
      </c>
      <c r="BG55" s="762">
        <v>0</v>
      </c>
      <c r="BH55" s="935">
        <v>0</v>
      </c>
      <c r="BI55" s="744">
        <f>SUM(AZ55:BH55)</f>
        <v>0</v>
      </c>
      <c r="BJ55" s="888">
        <f t="shared" si="54"/>
        <v>0</v>
      </c>
      <c r="BK55" s="874"/>
      <c r="BL55" s="762">
        <v>0</v>
      </c>
      <c r="BM55" s="762">
        <v>0</v>
      </c>
      <c r="BN55" s="762">
        <v>0</v>
      </c>
      <c r="BO55" s="762">
        <v>0</v>
      </c>
      <c r="BP55" s="762">
        <v>0</v>
      </c>
      <c r="BQ55" s="762">
        <v>0</v>
      </c>
      <c r="BR55" s="762">
        <v>0</v>
      </c>
      <c r="BS55" s="762">
        <v>0</v>
      </c>
      <c r="BT55" s="935">
        <v>0</v>
      </c>
      <c r="BU55" s="744">
        <f>SUM(BL55:BT55)</f>
        <v>0</v>
      </c>
      <c r="BV55" s="888">
        <f t="shared" si="56"/>
        <v>0</v>
      </c>
      <c r="BW55" s="874"/>
      <c r="BX55" s="762">
        <v>0</v>
      </c>
      <c r="BY55" s="762">
        <v>0</v>
      </c>
      <c r="BZ55" s="762">
        <v>0</v>
      </c>
      <c r="CA55" s="762">
        <v>0</v>
      </c>
      <c r="CB55" s="762">
        <v>0</v>
      </c>
      <c r="CC55" s="762">
        <v>0</v>
      </c>
      <c r="CD55" s="762">
        <v>0</v>
      </c>
      <c r="CE55" s="762">
        <v>0</v>
      </c>
      <c r="CF55" s="935">
        <v>0</v>
      </c>
      <c r="CG55" s="744">
        <f>SUM(BX55:CF55)</f>
        <v>0</v>
      </c>
      <c r="CH55" s="888">
        <f t="shared" si="58"/>
        <v>0</v>
      </c>
      <c r="CI55" s="874"/>
      <c r="CJ55" s="957">
        <f t="shared" si="101"/>
        <v>0</v>
      </c>
      <c r="CK55" s="965">
        <f t="shared" si="102"/>
        <v>0</v>
      </c>
      <c r="CL55" s="766"/>
      <c r="CM55" s="816">
        <v>0</v>
      </c>
      <c r="CN55" s="757">
        <f>+CM55/CM$13</f>
        <v>0</v>
      </c>
      <c r="CO55" s="766"/>
      <c r="CP55" s="744">
        <f>-DATOS!F134</f>
        <v>-338</v>
      </c>
      <c r="CQ55" s="756">
        <f>+CP55/CP$13</f>
        <v>-6.5606035755289482E-4</v>
      </c>
      <c r="CR55" s="874"/>
      <c r="CS55" s="816">
        <f>-DATOS!G134</f>
        <v>-2371</v>
      </c>
      <c r="CT55" s="757">
        <f>+CS55/CS$13</f>
        <v>-8.0675551411949745E-4</v>
      </c>
      <c r="CU55" s="874"/>
      <c r="CV55" s="897">
        <f t="shared" si="100"/>
        <v>2371</v>
      </c>
      <c r="CW55" s="902">
        <f>+IFERROR(CV55/CS55,0)</f>
        <v>-1</v>
      </c>
      <c r="CY55" s="750"/>
    </row>
    <row r="56" spans="1:103" hidden="1" outlineLevel="2">
      <c r="A56" s="918">
        <v>52058401</v>
      </c>
      <c r="B56" s="833" t="s">
        <v>498</v>
      </c>
      <c r="C56" s="874"/>
      <c r="D56" s="762">
        <v>-92</v>
      </c>
      <c r="E56" s="762">
        <v>0</v>
      </c>
      <c r="F56" s="762">
        <v>0</v>
      </c>
      <c r="G56" s="762">
        <v>-92</v>
      </c>
      <c r="H56" s="762">
        <v>-184</v>
      </c>
      <c r="I56" s="762">
        <v>0</v>
      </c>
      <c r="J56" s="762">
        <v>0</v>
      </c>
      <c r="K56" s="762">
        <v>0</v>
      </c>
      <c r="L56" s="935">
        <v>0</v>
      </c>
      <c r="M56" s="744">
        <f t="shared" ref="M56:M66" si="103">SUM(D56:L56)</f>
        <v>-368</v>
      </c>
      <c r="N56" s="888">
        <f t="shared" si="74"/>
        <v>-7.2904635585782803E-4</v>
      </c>
      <c r="O56" s="874"/>
      <c r="P56" s="762">
        <v>-197</v>
      </c>
      <c r="Q56" s="762">
        <v>0</v>
      </c>
      <c r="R56" s="762">
        <v>0</v>
      </c>
      <c r="S56" s="762">
        <v>-98</v>
      </c>
      <c r="T56" s="762">
        <v>-197</v>
      </c>
      <c r="U56" s="762">
        <v>0</v>
      </c>
      <c r="V56" s="762">
        <v>-6</v>
      </c>
      <c r="W56" s="762">
        <v>0</v>
      </c>
      <c r="X56" s="935">
        <v>0</v>
      </c>
      <c r="Y56" s="744">
        <f t="shared" ref="Y56:Y66" si="104">SUM(P56:X56)</f>
        <v>-498</v>
      </c>
      <c r="Z56" s="888">
        <f t="shared" si="64"/>
        <v>-9.4626074994014621E-4</v>
      </c>
      <c r="AA56" s="874"/>
      <c r="AB56" s="762">
        <v>-98</v>
      </c>
      <c r="AC56" s="762">
        <v>0</v>
      </c>
      <c r="AD56" s="762">
        <v>0</v>
      </c>
      <c r="AE56" s="762">
        <v>-98</v>
      </c>
      <c r="AF56" s="762">
        <v>-149</v>
      </c>
      <c r="AG56" s="762">
        <v>-98</v>
      </c>
      <c r="AH56" s="762">
        <v>-98</v>
      </c>
      <c r="AI56" s="762">
        <v>0</v>
      </c>
      <c r="AJ56" s="935">
        <v>0</v>
      </c>
      <c r="AK56" s="744">
        <f t="shared" ref="AK56:AK66" si="105">SUM(AB56:AJ56)</f>
        <v>-541</v>
      </c>
      <c r="AL56" s="888">
        <f t="shared" si="50"/>
        <v>-1.0571671437923185E-3</v>
      </c>
      <c r="AM56" s="874"/>
      <c r="AN56" s="762">
        <v>0</v>
      </c>
      <c r="AO56" s="762">
        <v>0</v>
      </c>
      <c r="AP56" s="762">
        <v>-98</v>
      </c>
      <c r="AQ56" s="762">
        <v>0</v>
      </c>
      <c r="AR56" s="762">
        <v>0</v>
      </c>
      <c r="AS56" s="762">
        <v>0</v>
      </c>
      <c r="AT56" s="762">
        <v>0</v>
      </c>
      <c r="AU56" s="762">
        <v>0</v>
      </c>
      <c r="AV56" s="935">
        <v>0</v>
      </c>
      <c r="AW56" s="744">
        <f t="shared" ref="AW56:AW66" si="106">SUM(AN56:AV56)</f>
        <v>-98</v>
      </c>
      <c r="AX56" s="888">
        <f t="shared" si="52"/>
        <v>-1.8454909759257586E-4</v>
      </c>
      <c r="AY56" s="874"/>
      <c r="AZ56" s="762">
        <v>0</v>
      </c>
      <c r="BA56" s="762">
        <v>-17</v>
      </c>
      <c r="BB56" s="762">
        <v>0</v>
      </c>
      <c r="BC56" s="762">
        <v>-98</v>
      </c>
      <c r="BD56" s="762">
        <v>0</v>
      </c>
      <c r="BE56" s="762">
        <v>-197</v>
      </c>
      <c r="BF56" s="762">
        <v>0</v>
      </c>
      <c r="BG56" s="762">
        <v>0</v>
      </c>
      <c r="BH56" s="935">
        <v>0</v>
      </c>
      <c r="BI56" s="744">
        <f t="shared" ref="BI56:BI66" si="107">SUM(AZ56:BH56)</f>
        <v>-312</v>
      </c>
      <c r="BJ56" s="888">
        <f t="shared" si="54"/>
        <v>-6.2910328585485454E-4</v>
      </c>
      <c r="BK56" s="874"/>
      <c r="BL56" s="762">
        <v>-98</v>
      </c>
      <c r="BM56" s="762">
        <v>-98</v>
      </c>
      <c r="BN56" s="762">
        <v>-98</v>
      </c>
      <c r="BO56" s="762">
        <v>0</v>
      </c>
      <c r="BP56" s="762">
        <v>-99</v>
      </c>
      <c r="BQ56" s="762">
        <v>-295</v>
      </c>
      <c r="BR56" s="762">
        <v>0</v>
      </c>
      <c r="BS56" s="762">
        <v>0</v>
      </c>
      <c r="BT56" s="935">
        <v>-98</v>
      </c>
      <c r="BU56" s="744">
        <f t="shared" ref="BU56:BU66" si="108">SUM(BL56:BT56)</f>
        <v>-786</v>
      </c>
      <c r="BV56" s="888">
        <f t="shared" si="56"/>
        <v>-1.5812534954554051E-3</v>
      </c>
      <c r="BW56" s="874"/>
      <c r="BX56" s="762">
        <v>-5</v>
      </c>
      <c r="BY56" s="762">
        <v>0</v>
      </c>
      <c r="BZ56" s="762">
        <v>0</v>
      </c>
      <c r="CA56" s="762">
        <v>-116</v>
      </c>
      <c r="CB56" s="762">
        <v>-237</v>
      </c>
      <c r="CC56" s="762">
        <v>-98</v>
      </c>
      <c r="CD56" s="762">
        <v>0</v>
      </c>
      <c r="CE56" s="762">
        <v>0</v>
      </c>
      <c r="CF56" s="935">
        <v>0</v>
      </c>
      <c r="CG56" s="744">
        <f t="shared" ref="CG56:CG66" si="109">SUM(BX56:CF56)</f>
        <v>-456</v>
      </c>
      <c r="CH56" s="888">
        <f t="shared" si="58"/>
        <v>-9.500237505937648E-4</v>
      </c>
      <c r="CI56" s="874"/>
      <c r="CJ56" s="957">
        <f t="shared" si="101"/>
        <v>330</v>
      </c>
      <c r="CK56" s="965">
        <f t="shared" si="102"/>
        <v>-0.41984732824427479</v>
      </c>
      <c r="CL56" s="766"/>
      <c r="CM56" s="816">
        <f>-DATOS!D134</f>
        <v>-2696</v>
      </c>
      <c r="CN56" s="757">
        <f t="shared" si="85"/>
        <v>-8.8623995768664411E-4</v>
      </c>
      <c r="CO56" s="766"/>
      <c r="CP56" s="744">
        <v>0</v>
      </c>
      <c r="CQ56" s="756">
        <f t="shared" si="0"/>
        <v>0</v>
      </c>
      <c r="CR56" s="874"/>
      <c r="CS56" s="816">
        <v>0</v>
      </c>
      <c r="CT56" s="757">
        <f t="shared" si="73"/>
        <v>0</v>
      </c>
      <c r="CU56" s="874"/>
      <c r="CV56" s="897">
        <f t="shared" si="100"/>
        <v>-2696</v>
      </c>
      <c r="CW56" s="902">
        <f t="shared" si="1"/>
        <v>0</v>
      </c>
      <c r="CY56" s="750"/>
    </row>
    <row r="57" spans="1:103" hidden="1" outlineLevel="2">
      <c r="A57" s="918">
        <v>52059501</v>
      </c>
      <c r="B57" s="833" t="s">
        <v>499</v>
      </c>
      <c r="C57" s="874"/>
      <c r="D57" s="762">
        <v>-11</v>
      </c>
      <c r="E57" s="762">
        <v>-14</v>
      </c>
      <c r="F57" s="762">
        <v>-15</v>
      </c>
      <c r="G57" s="762">
        <v>-8</v>
      </c>
      <c r="H57" s="762">
        <v>-20</v>
      </c>
      <c r="I57" s="762">
        <v>-11</v>
      </c>
      <c r="J57" s="762">
        <v>-17</v>
      </c>
      <c r="K57" s="762">
        <v>0</v>
      </c>
      <c r="L57" s="935">
        <v>-11</v>
      </c>
      <c r="M57" s="744">
        <f t="shared" si="103"/>
        <v>-107</v>
      </c>
      <c r="N57" s="888">
        <f t="shared" si="74"/>
        <v>-2.1197815238257499E-4</v>
      </c>
      <c r="O57" s="874"/>
      <c r="P57" s="762">
        <v>-9</v>
      </c>
      <c r="Q57" s="762">
        <v>-14</v>
      </c>
      <c r="R57" s="762">
        <v>-15</v>
      </c>
      <c r="S57" s="762">
        <v>-5</v>
      </c>
      <c r="T57" s="762">
        <v>-20</v>
      </c>
      <c r="U57" s="762">
        <v>-11</v>
      </c>
      <c r="V57" s="762">
        <v>-17</v>
      </c>
      <c r="W57" s="762">
        <v>0</v>
      </c>
      <c r="X57" s="935">
        <v>-9</v>
      </c>
      <c r="Y57" s="744">
        <f t="shared" si="104"/>
        <v>-100</v>
      </c>
      <c r="Z57" s="888">
        <f t="shared" si="64"/>
        <v>-1.9001219878316187E-4</v>
      </c>
      <c r="AA57" s="874"/>
      <c r="AB57" s="762">
        <v>-5</v>
      </c>
      <c r="AC57" s="762">
        <v>-14</v>
      </c>
      <c r="AD57" s="762">
        <v>-5</v>
      </c>
      <c r="AE57" s="762">
        <v>-5</v>
      </c>
      <c r="AF57" s="762">
        <v>-17</v>
      </c>
      <c r="AG57" s="762">
        <v>-14</v>
      </c>
      <c r="AH57" s="762">
        <v>-11</v>
      </c>
      <c r="AI57" s="762">
        <v>0</v>
      </c>
      <c r="AJ57" s="935">
        <v>-8</v>
      </c>
      <c r="AK57" s="744">
        <f t="shared" si="105"/>
        <v>-79</v>
      </c>
      <c r="AL57" s="888">
        <f t="shared" si="50"/>
        <v>-1.5437376036893374E-4</v>
      </c>
      <c r="AM57" s="874"/>
      <c r="AN57" s="762">
        <v>-8</v>
      </c>
      <c r="AO57" s="762">
        <v>-11</v>
      </c>
      <c r="AP57" s="762">
        <v>-5</v>
      </c>
      <c r="AQ57" s="762">
        <v>-8</v>
      </c>
      <c r="AR57" s="762">
        <v>-17</v>
      </c>
      <c r="AS57" s="762">
        <v>-14</v>
      </c>
      <c r="AT57" s="762">
        <v>-11</v>
      </c>
      <c r="AU57" s="762">
        <v>0</v>
      </c>
      <c r="AV57" s="935">
        <v>-5</v>
      </c>
      <c r="AW57" s="744">
        <f t="shared" si="106"/>
        <v>-79</v>
      </c>
      <c r="AX57" s="888">
        <f t="shared" si="52"/>
        <v>-1.4876917050830093E-4</v>
      </c>
      <c r="AY57" s="874"/>
      <c r="AZ57" s="762">
        <v>-10</v>
      </c>
      <c r="BA57" s="762">
        <v>-11</v>
      </c>
      <c r="BB57" s="762">
        <v>-5</v>
      </c>
      <c r="BC57" s="762">
        <v>-8</v>
      </c>
      <c r="BD57" s="762">
        <v>-25</v>
      </c>
      <c r="BE57" s="762">
        <v>-16</v>
      </c>
      <c r="BF57" s="762">
        <v>-11</v>
      </c>
      <c r="BG57" s="762">
        <v>0</v>
      </c>
      <c r="BH57" s="935">
        <v>-8</v>
      </c>
      <c r="BI57" s="744">
        <f t="shared" si="107"/>
        <v>-94</v>
      </c>
      <c r="BJ57" s="888">
        <f t="shared" si="54"/>
        <v>-1.8953752843062926E-4</v>
      </c>
      <c r="BK57" s="874"/>
      <c r="BL57" s="762">
        <v>0</v>
      </c>
      <c r="BM57" s="762">
        <v>0</v>
      </c>
      <c r="BN57" s="762">
        <v>0</v>
      </c>
      <c r="BO57" s="762">
        <v>0</v>
      </c>
      <c r="BP57" s="762">
        <v>0</v>
      </c>
      <c r="BQ57" s="762">
        <v>0</v>
      </c>
      <c r="BR57" s="762">
        <v>0</v>
      </c>
      <c r="BS57" s="762">
        <v>0</v>
      </c>
      <c r="BT57" s="935">
        <v>0</v>
      </c>
      <c r="BU57" s="744">
        <f t="shared" si="108"/>
        <v>0</v>
      </c>
      <c r="BV57" s="888">
        <f t="shared" si="56"/>
        <v>0</v>
      </c>
      <c r="BW57" s="874"/>
      <c r="BX57" s="762">
        <v>0</v>
      </c>
      <c r="BY57" s="762">
        <v>0</v>
      </c>
      <c r="BZ57" s="762">
        <v>0</v>
      </c>
      <c r="CA57" s="762">
        <v>0</v>
      </c>
      <c r="CB57" s="762">
        <v>0</v>
      </c>
      <c r="CC57" s="762">
        <v>0</v>
      </c>
      <c r="CD57" s="762">
        <v>0</v>
      </c>
      <c r="CE57" s="762">
        <v>0</v>
      </c>
      <c r="CF57" s="935">
        <v>0</v>
      </c>
      <c r="CG57" s="744">
        <f t="shared" si="109"/>
        <v>0</v>
      </c>
      <c r="CH57" s="888">
        <f t="shared" si="58"/>
        <v>0</v>
      </c>
      <c r="CI57" s="874"/>
      <c r="CJ57" s="957">
        <f t="shared" si="101"/>
        <v>0</v>
      </c>
      <c r="CK57" s="965">
        <f t="shared" si="102"/>
        <v>0</v>
      </c>
      <c r="CL57" s="766"/>
      <c r="CM57" s="816">
        <f>-DATOS!D135</f>
        <v>-354</v>
      </c>
      <c r="CN57" s="757">
        <f t="shared" si="85"/>
        <v>-1.1636830304935907E-4</v>
      </c>
      <c r="CO57" s="766"/>
      <c r="CP57" s="744">
        <f>-DATOS!F135</f>
        <v>-99.5</v>
      </c>
      <c r="CQ57" s="756">
        <f>+CP57/CP$13</f>
        <v>-1.9313019401335219E-4</v>
      </c>
      <c r="CR57" s="874"/>
      <c r="CS57" s="816">
        <f>-DATOS!G135</f>
        <v>-552</v>
      </c>
      <c r="CT57" s="757">
        <f t="shared" si="73"/>
        <v>-1.8782329978657216E-4</v>
      </c>
      <c r="CU57" s="874"/>
      <c r="CV57" s="897">
        <f t="shared" si="100"/>
        <v>198</v>
      </c>
      <c r="CW57" s="902">
        <f t="shared" si="1"/>
        <v>-0.35869565217391303</v>
      </c>
      <c r="CY57" s="750"/>
    </row>
    <row r="58" spans="1:103" hidden="1" outlineLevel="2">
      <c r="A58" s="734">
        <v>52059501</v>
      </c>
      <c r="B58" s="833" t="s">
        <v>499</v>
      </c>
      <c r="C58" s="874"/>
      <c r="D58" s="762">
        <v>0</v>
      </c>
      <c r="E58" s="762">
        <v>0</v>
      </c>
      <c r="F58" s="762">
        <v>0</v>
      </c>
      <c r="G58" s="762">
        <v>0</v>
      </c>
      <c r="H58" s="762">
        <v>0</v>
      </c>
      <c r="I58" s="762">
        <v>0</v>
      </c>
      <c r="J58" s="762">
        <v>0</v>
      </c>
      <c r="K58" s="762">
        <v>0</v>
      </c>
      <c r="L58" s="935">
        <v>0</v>
      </c>
      <c r="M58" s="744">
        <f t="shared" si="103"/>
        <v>0</v>
      </c>
      <c r="N58" s="888">
        <f t="shared" si="74"/>
        <v>0</v>
      </c>
      <c r="O58" s="874"/>
      <c r="P58" s="762">
        <v>0</v>
      </c>
      <c r="Q58" s="762">
        <v>0</v>
      </c>
      <c r="R58" s="762">
        <v>0</v>
      </c>
      <c r="S58" s="762">
        <v>0</v>
      </c>
      <c r="T58" s="762">
        <v>0</v>
      </c>
      <c r="U58" s="762">
        <v>0</v>
      </c>
      <c r="V58" s="762">
        <v>0</v>
      </c>
      <c r="W58" s="762">
        <v>0</v>
      </c>
      <c r="X58" s="935">
        <v>0</v>
      </c>
      <c r="Y58" s="744">
        <f t="shared" si="104"/>
        <v>0</v>
      </c>
      <c r="Z58" s="888">
        <f t="shared" si="64"/>
        <v>0</v>
      </c>
      <c r="AA58" s="874"/>
      <c r="AB58" s="762">
        <v>0</v>
      </c>
      <c r="AC58" s="762">
        <v>0</v>
      </c>
      <c r="AD58" s="762">
        <v>0</v>
      </c>
      <c r="AE58" s="762">
        <v>0</v>
      </c>
      <c r="AF58" s="762">
        <v>0</v>
      </c>
      <c r="AG58" s="762">
        <v>0</v>
      </c>
      <c r="AH58" s="762">
        <v>0</v>
      </c>
      <c r="AI58" s="762">
        <v>0</v>
      </c>
      <c r="AJ58" s="935">
        <v>0</v>
      </c>
      <c r="AK58" s="744">
        <f t="shared" si="105"/>
        <v>0</v>
      </c>
      <c r="AL58" s="888">
        <f t="shared" si="50"/>
        <v>0</v>
      </c>
      <c r="AM58" s="874"/>
      <c r="AN58" s="762">
        <v>0</v>
      </c>
      <c r="AO58" s="762">
        <v>0</v>
      </c>
      <c r="AP58" s="762">
        <v>0</v>
      </c>
      <c r="AQ58" s="762">
        <v>0</v>
      </c>
      <c r="AR58" s="762">
        <v>0</v>
      </c>
      <c r="AS58" s="762">
        <v>0</v>
      </c>
      <c r="AT58" s="762">
        <v>0</v>
      </c>
      <c r="AU58" s="762">
        <v>0</v>
      </c>
      <c r="AV58" s="935">
        <v>0</v>
      </c>
      <c r="AW58" s="744">
        <f t="shared" si="106"/>
        <v>0</v>
      </c>
      <c r="AX58" s="888">
        <f t="shared" si="52"/>
        <v>0</v>
      </c>
      <c r="AY58" s="874"/>
      <c r="AZ58" s="762">
        <v>0</v>
      </c>
      <c r="BA58" s="762">
        <v>0</v>
      </c>
      <c r="BB58" s="762">
        <v>0</v>
      </c>
      <c r="BC58" s="762">
        <v>0</v>
      </c>
      <c r="BD58" s="762">
        <v>0</v>
      </c>
      <c r="BE58" s="762">
        <v>0</v>
      </c>
      <c r="BF58" s="762">
        <v>0</v>
      </c>
      <c r="BG58" s="762">
        <v>0</v>
      </c>
      <c r="BH58" s="935">
        <v>0</v>
      </c>
      <c r="BI58" s="744">
        <f t="shared" si="107"/>
        <v>0</v>
      </c>
      <c r="BJ58" s="888">
        <f t="shared" si="54"/>
        <v>0</v>
      </c>
      <c r="BK58" s="874"/>
      <c r="BL58" s="762">
        <v>0</v>
      </c>
      <c r="BM58" s="762">
        <v>0</v>
      </c>
      <c r="BN58" s="762">
        <v>0</v>
      </c>
      <c r="BO58" s="762">
        <v>0</v>
      </c>
      <c r="BP58" s="762">
        <v>0</v>
      </c>
      <c r="BQ58" s="762">
        <v>0</v>
      </c>
      <c r="BR58" s="762">
        <v>0</v>
      </c>
      <c r="BS58" s="762">
        <v>0</v>
      </c>
      <c r="BT58" s="935">
        <v>0</v>
      </c>
      <c r="BU58" s="744">
        <f t="shared" si="108"/>
        <v>0</v>
      </c>
      <c r="BV58" s="888">
        <f t="shared" si="56"/>
        <v>0</v>
      </c>
      <c r="BW58" s="874"/>
      <c r="BX58" s="762">
        <v>0</v>
      </c>
      <c r="BY58" s="762">
        <v>0</v>
      </c>
      <c r="BZ58" s="762">
        <v>0</v>
      </c>
      <c r="CA58" s="762">
        <v>0</v>
      </c>
      <c r="CB58" s="762">
        <v>0</v>
      </c>
      <c r="CC58" s="762">
        <v>0</v>
      </c>
      <c r="CD58" s="762">
        <v>0</v>
      </c>
      <c r="CE58" s="762">
        <v>0</v>
      </c>
      <c r="CF58" s="935">
        <v>0</v>
      </c>
      <c r="CG58" s="744">
        <f t="shared" si="109"/>
        <v>0</v>
      </c>
      <c r="CH58" s="888">
        <f t="shared" si="58"/>
        <v>0</v>
      </c>
      <c r="CI58" s="874"/>
      <c r="CJ58" s="957">
        <f t="shared" si="101"/>
        <v>0</v>
      </c>
      <c r="CK58" s="965">
        <f t="shared" si="102"/>
        <v>0</v>
      </c>
      <c r="CL58" s="766"/>
      <c r="CM58" s="816">
        <v>0</v>
      </c>
      <c r="CN58" s="757">
        <f t="shared" si="85"/>
        <v>0</v>
      </c>
      <c r="CO58" s="766"/>
      <c r="CP58" s="744">
        <v>0</v>
      </c>
      <c r="CQ58" s="756">
        <f>+CP58/CP$13</f>
        <v>0</v>
      </c>
      <c r="CR58" s="874"/>
      <c r="CS58" s="816">
        <v>0</v>
      </c>
      <c r="CT58" s="757">
        <f t="shared" ref="CT58:CT63" si="110">+CS58/CS$13</f>
        <v>0</v>
      </c>
      <c r="CU58" s="874"/>
      <c r="CV58" s="897">
        <f t="shared" si="100"/>
        <v>0</v>
      </c>
      <c r="CW58" s="902">
        <f t="shared" si="1"/>
        <v>0</v>
      </c>
      <c r="CY58" s="750"/>
    </row>
    <row r="59" spans="1:103" hidden="1" outlineLevel="2">
      <c r="A59" s="734">
        <v>52059505</v>
      </c>
      <c r="B59" s="833" t="s">
        <v>882</v>
      </c>
      <c r="C59" s="874"/>
      <c r="D59" s="762">
        <v>0</v>
      </c>
      <c r="E59" s="762">
        <v>0</v>
      </c>
      <c r="F59" s="762">
        <v>0</v>
      </c>
      <c r="G59" s="762">
        <v>0</v>
      </c>
      <c r="H59" s="762">
        <v>0</v>
      </c>
      <c r="I59" s="762">
        <v>0</v>
      </c>
      <c r="J59" s="762">
        <v>0</v>
      </c>
      <c r="K59" s="762">
        <v>0</v>
      </c>
      <c r="L59" s="935">
        <v>0</v>
      </c>
      <c r="M59" s="744">
        <f t="shared" si="103"/>
        <v>0</v>
      </c>
      <c r="N59" s="888">
        <f t="shared" si="74"/>
        <v>0</v>
      </c>
      <c r="O59" s="874"/>
      <c r="P59" s="762">
        <v>0</v>
      </c>
      <c r="Q59" s="762">
        <v>0</v>
      </c>
      <c r="R59" s="762">
        <v>0</v>
      </c>
      <c r="S59" s="762">
        <v>0</v>
      </c>
      <c r="T59" s="762">
        <v>0</v>
      </c>
      <c r="U59" s="762">
        <v>0</v>
      </c>
      <c r="V59" s="762">
        <v>0</v>
      </c>
      <c r="W59" s="762">
        <v>0</v>
      </c>
      <c r="X59" s="935">
        <v>0</v>
      </c>
      <c r="Y59" s="744">
        <f t="shared" si="104"/>
        <v>0</v>
      </c>
      <c r="Z59" s="888">
        <f t="shared" ref="Z59:Z90" si="111">+Y59/Y$13</f>
        <v>0</v>
      </c>
      <c r="AA59" s="874"/>
      <c r="AB59" s="762">
        <v>0</v>
      </c>
      <c r="AC59" s="762">
        <v>0</v>
      </c>
      <c r="AD59" s="762">
        <v>0</v>
      </c>
      <c r="AE59" s="762">
        <v>0</v>
      </c>
      <c r="AF59" s="762">
        <v>-875</v>
      </c>
      <c r="AG59" s="762">
        <v>0</v>
      </c>
      <c r="AH59" s="762">
        <v>0</v>
      </c>
      <c r="AI59" s="762">
        <v>0</v>
      </c>
      <c r="AJ59" s="935">
        <v>0</v>
      </c>
      <c r="AK59" s="744">
        <f t="shared" si="105"/>
        <v>-875</v>
      </c>
      <c r="AL59" s="888">
        <f t="shared" si="50"/>
        <v>-1.7098359534533801E-3</v>
      </c>
      <c r="AM59" s="874"/>
      <c r="AN59" s="762">
        <v>0</v>
      </c>
      <c r="AO59" s="762">
        <v>0</v>
      </c>
      <c r="AP59" s="762">
        <v>0</v>
      </c>
      <c r="AQ59" s="762">
        <v>0</v>
      </c>
      <c r="AR59" s="762">
        <v>-1459</v>
      </c>
      <c r="AS59" s="762">
        <v>0</v>
      </c>
      <c r="AT59" s="762">
        <v>0</v>
      </c>
      <c r="AU59" s="762">
        <v>0</v>
      </c>
      <c r="AV59" s="935">
        <v>0</v>
      </c>
      <c r="AW59" s="744">
        <f t="shared" si="106"/>
        <v>-1459</v>
      </c>
      <c r="AX59" s="888">
        <f t="shared" si="52"/>
        <v>-2.7475217692608995E-3</v>
      </c>
      <c r="AY59" s="874"/>
      <c r="AZ59" s="762">
        <v>0</v>
      </c>
      <c r="BA59" s="762">
        <v>0</v>
      </c>
      <c r="BB59" s="762">
        <v>0</v>
      </c>
      <c r="BC59" s="762">
        <v>0</v>
      </c>
      <c r="BD59" s="762">
        <v>-1751</v>
      </c>
      <c r="BE59" s="762">
        <v>0</v>
      </c>
      <c r="BF59" s="762">
        <v>0</v>
      </c>
      <c r="BG59" s="762">
        <v>0</v>
      </c>
      <c r="BH59" s="935">
        <v>0</v>
      </c>
      <c r="BI59" s="744">
        <f t="shared" si="107"/>
        <v>-1751</v>
      </c>
      <c r="BJ59" s="888">
        <f t="shared" si="54"/>
        <v>-3.5306405561918281E-3</v>
      </c>
      <c r="BK59" s="874"/>
      <c r="BL59" s="762">
        <v>0</v>
      </c>
      <c r="BM59" s="762">
        <v>0</v>
      </c>
      <c r="BN59" s="762">
        <v>0</v>
      </c>
      <c r="BO59" s="762">
        <v>0</v>
      </c>
      <c r="BP59" s="762">
        <v>-1751</v>
      </c>
      <c r="BQ59" s="762">
        <v>0</v>
      </c>
      <c r="BR59" s="762">
        <v>0</v>
      </c>
      <c r="BS59" s="762">
        <v>0</v>
      </c>
      <c r="BT59" s="935">
        <v>0</v>
      </c>
      <c r="BU59" s="744">
        <f t="shared" si="108"/>
        <v>-1751</v>
      </c>
      <c r="BV59" s="888">
        <f t="shared" si="56"/>
        <v>-3.5226143391124862E-3</v>
      </c>
      <c r="BW59" s="874"/>
      <c r="BX59" s="762">
        <v>0</v>
      </c>
      <c r="BY59" s="762">
        <v>0</v>
      </c>
      <c r="BZ59" s="762">
        <v>0</v>
      </c>
      <c r="CA59" s="762">
        <v>0</v>
      </c>
      <c r="CB59" s="762">
        <v>-1634</v>
      </c>
      <c r="CC59" s="762">
        <v>0</v>
      </c>
      <c r="CD59" s="762">
        <v>0</v>
      </c>
      <c r="CE59" s="762">
        <v>0</v>
      </c>
      <c r="CF59" s="935">
        <v>0</v>
      </c>
      <c r="CG59" s="744">
        <f t="shared" si="109"/>
        <v>-1634</v>
      </c>
      <c r="CH59" s="888">
        <f t="shared" si="58"/>
        <v>-3.4042517729609909E-3</v>
      </c>
      <c r="CI59" s="874"/>
      <c r="CJ59" s="957">
        <f t="shared" si="101"/>
        <v>117</v>
      </c>
      <c r="CK59" s="965">
        <f t="shared" si="102"/>
        <v>-6.6818960593946319E-2</v>
      </c>
      <c r="CL59" s="766"/>
      <c r="CM59" s="816">
        <v>0</v>
      </c>
      <c r="CN59" s="757">
        <f t="shared" si="85"/>
        <v>0</v>
      </c>
      <c r="CO59" s="766"/>
      <c r="CP59" s="744">
        <v>0</v>
      </c>
      <c r="CQ59" s="756">
        <f t="shared" ref="CQ59:CQ60" si="112">+CP59/CP$13</f>
        <v>0</v>
      </c>
      <c r="CR59" s="874"/>
      <c r="CS59" s="816">
        <v>0</v>
      </c>
      <c r="CT59" s="757">
        <f t="shared" si="110"/>
        <v>0</v>
      </c>
      <c r="CU59" s="874"/>
      <c r="CV59" s="897">
        <f t="shared" si="100"/>
        <v>0</v>
      </c>
      <c r="CW59" s="902">
        <f t="shared" si="1"/>
        <v>0</v>
      </c>
      <c r="CY59" s="750"/>
    </row>
    <row r="60" spans="1:103" hidden="1" outlineLevel="2">
      <c r="A60" s="734">
        <v>52059506</v>
      </c>
      <c r="B60" s="833" t="s">
        <v>1434</v>
      </c>
      <c r="C60" s="874"/>
      <c r="D60" s="762">
        <v>0</v>
      </c>
      <c r="E60" s="762">
        <v>0</v>
      </c>
      <c r="F60" s="762">
        <v>0</v>
      </c>
      <c r="G60" s="762">
        <v>0</v>
      </c>
      <c r="H60" s="762">
        <v>-2135</v>
      </c>
      <c r="I60" s="762">
        <v>0</v>
      </c>
      <c r="J60" s="762">
        <v>0</v>
      </c>
      <c r="K60" s="762">
        <v>0</v>
      </c>
      <c r="L60" s="762">
        <v>0</v>
      </c>
      <c r="M60" s="744">
        <f t="shared" si="103"/>
        <v>-2135</v>
      </c>
      <c r="N60" s="888">
        <f t="shared" si="74"/>
        <v>-4.2296575265121277E-3</v>
      </c>
      <c r="O60" s="874"/>
      <c r="P60" s="762">
        <v>0</v>
      </c>
      <c r="Q60" s="762">
        <v>-2135</v>
      </c>
      <c r="R60" s="762">
        <v>0</v>
      </c>
      <c r="S60" s="762">
        <v>0</v>
      </c>
      <c r="T60" s="762">
        <v>0</v>
      </c>
      <c r="U60" s="762">
        <v>0</v>
      </c>
      <c r="V60" s="762">
        <v>0</v>
      </c>
      <c r="W60" s="762">
        <v>0</v>
      </c>
      <c r="X60" s="762">
        <v>0</v>
      </c>
      <c r="Y60" s="744">
        <f t="shared" si="104"/>
        <v>-2135</v>
      </c>
      <c r="Z60" s="888">
        <f t="shared" si="111"/>
        <v>-4.0567604440205065E-3</v>
      </c>
      <c r="AA60" s="874"/>
      <c r="AB60" s="762">
        <v>-2626</v>
      </c>
      <c r="AC60" s="762">
        <v>0</v>
      </c>
      <c r="AD60" s="762">
        <v>0</v>
      </c>
      <c r="AE60" s="762">
        <v>0</v>
      </c>
      <c r="AF60" s="762">
        <v>0</v>
      </c>
      <c r="AG60" s="762">
        <v>0</v>
      </c>
      <c r="AH60" s="762">
        <v>0</v>
      </c>
      <c r="AI60" s="762">
        <v>0</v>
      </c>
      <c r="AJ60" s="762">
        <v>0</v>
      </c>
      <c r="AK60" s="744">
        <f t="shared" si="105"/>
        <v>-2626</v>
      </c>
      <c r="AL60" s="888">
        <f t="shared" si="50"/>
        <v>-5.1314619585926587E-3</v>
      </c>
      <c r="AM60" s="874"/>
      <c r="AN60" s="762">
        <v>-1313</v>
      </c>
      <c r="AO60" s="762">
        <v>0</v>
      </c>
      <c r="AP60" s="762">
        <v>0</v>
      </c>
      <c r="AQ60" s="762">
        <v>0</v>
      </c>
      <c r="AR60" s="762">
        <v>0</v>
      </c>
      <c r="AS60" s="762">
        <v>0</v>
      </c>
      <c r="AT60" s="762">
        <v>0</v>
      </c>
      <c r="AU60" s="762">
        <v>0</v>
      </c>
      <c r="AV60" s="762">
        <v>0</v>
      </c>
      <c r="AW60" s="744">
        <f t="shared" si="106"/>
        <v>-1313</v>
      </c>
      <c r="AX60" s="888">
        <f t="shared" si="52"/>
        <v>-2.4725812769291031E-3</v>
      </c>
      <c r="AY60" s="874"/>
      <c r="AZ60" s="762">
        <v>0</v>
      </c>
      <c r="BA60" s="762">
        <v>0</v>
      </c>
      <c r="BB60" s="762">
        <v>0</v>
      </c>
      <c r="BC60" s="762">
        <v>0</v>
      </c>
      <c r="BD60" s="762">
        <v>0</v>
      </c>
      <c r="BE60" s="762">
        <v>0</v>
      </c>
      <c r="BF60" s="762">
        <v>0</v>
      </c>
      <c r="BG60" s="762">
        <v>0</v>
      </c>
      <c r="BH60" s="762">
        <v>0</v>
      </c>
      <c r="BI60" s="744">
        <f t="shared" si="107"/>
        <v>0</v>
      </c>
      <c r="BJ60" s="888">
        <f t="shared" si="54"/>
        <v>0</v>
      </c>
      <c r="BK60" s="874"/>
      <c r="BL60" s="762">
        <v>0</v>
      </c>
      <c r="BM60" s="762">
        <v>0</v>
      </c>
      <c r="BN60" s="762">
        <v>0</v>
      </c>
      <c r="BO60" s="762">
        <v>0</v>
      </c>
      <c r="BP60" s="762">
        <v>0</v>
      </c>
      <c r="BQ60" s="762">
        <v>0</v>
      </c>
      <c r="BR60" s="762">
        <v>0</v>
      </c>
      <c r="BS60" s="762">
        <v>0</v>
      </c>
      <c r="BT60" s="762">
        <v>0</v>
      </c>
      <c r="BU60" s="744">
        <f t="shared" si="108"/>
        <v>0</v>
      </c>
      <c r="BV60" s="888">
        <f t="shared" si="56"/>
        <v>0</v>
      </c>
      <c r="BW60" s="874"/>
      <c r="BX60" s="762">
        <v>0</v>
      </c>
      <c r="BY60" s="762">
        <v>0</v>
      </c>
      <c r="BZ60" s="762">
        <v>0</v>
      </c>
      <c r="CA60" s="762">
        <v>0</v>
      </c>
      <c r="CB60" s="762">
        <v>0</v>
      </c>
      <c r="CC60" s="762">
        <v>0</v>
      </c>
      <c r="CD60" s="762">
        <v>0</v>
      </c>
      <c r="CE60" s="762">
        <v>0</v>
      </c>
      <c r="CF60" s="762">
        <v>0</v>
      </c>
      <c r="CG60" s="744">
        <f t="shared" si="109"/>
        <v>0</v>
      </c>
      <c r="CH60" s="888">
        <f t="shared" si="58"/>
        <v>0</v>
      </c>
      <c r="CI60" s="874"/>
      <c r="CJ60" s="957">
        <f t="shared" si="101"/>
        <v>0</v>
      </c>
      <c r="CK60" s="965">
        <f t="shared" si="102"/>
        <v>0</v>
      </c>
      <c r="CL60" s="766"/>
      <c r="CM60" s="816">
        <f>-DATOS!D136</f>
        <v>-13546</v>
      </c>
      <c r="CN60" s="757">
        <f t="shared" si="85"/>
        <v>-4.452895573747508E-3</v>
      </c>
      <c r="CO60" s="766"/>
      <c r="CP60" s="744">
        <f>-DATOS!F136</f>
        <v>-1922</v>
      </c>
      <c r="CQ60" s="756">
        <f t="shared" si="112"/>
        <v>-3.7306154059664615E-3</v>
      </c>
      <c r="CR60" s="874"/>
      <c r="CS60" s="816">
        <f>-DATOS!G136</f>
        <v>-1922</v>
      </c>
      <c r="CT60" s="757">
        <f t="shared" si="110"/>
        <v>-6.5397895324237625E-4</v>
      </c>
      <c r="CU60" s="874"/>
      <c r="CV60" s="897"/>
      <c r="CW60" s="902"/>
      <c r="CY60" s="750"/>
    </row>
    <row r="61" spans="1:103" hidden="1" outlineLevel="2">
      <c r="A61" s="734">
        <v>5210</v>
      </c>
      <c r="B61" s="833" t="s">
        <v>64</v>
      </c>
      <c r="C61" s="874"/>
      <c r="D61" s="762">
        <v>-800</v>
      </c>
      <c r="E61" s="762">
        <v>-800</v>
      </c>
      <c r="F61" s="762">
        <v>-800</v>
      </c>
      <c r="G61" s="762">
        <v>-800</v>
      </c>
      <c r="H61" s="762">
        <v>-10080</v>
      </c>
      <c r="I61" s="762">
        <v>-960</v>
      </c>
      <c r="J61" s="762">
        <v>-800</v>
      </c>
      <c r="K61" s="762">
        <v>-800</v>
      </c>
      <c r="L61" s="935">
        <v>-885</v>
      </c>
      <c r="M61" s="744">
        <f t="shared" si="103"/>
        <v>-16725</v>
      </c>
      <c r="N61" s="888">
        <f t="shared" si="74"/>
        <v>-3.3133968211201563E-2</v>
      </c>
      <c r="O61" s="874"/>
      <c r="P61" s="762">
        <v>-800</v>
      </c>
      <c r="Q61" s="762">
        <v>-800</v>
      </c>
      <c r="R61" s="762">
        <v>-800</v>
      </c>
      <c r="S61" s="762">
        <v>-800</v>
      </c>
      <c r="T61" s="762">
        <v>-9280</v>
      </c>
      <c r="U61" s="762">
        <v>-800</v>
      </c>
      <c r="V61" s="762">
        <v>-800</v>
      </c>
      <c r="W61" s="762">
        <v>0</v>
      </c>
      <c r="X61" s="935">
        <v>-800</v>
      </c>
      <c r="Y61" s="744">
        <f t="shared" si="104"/>
        <v>-14880</v>
      </c>
      <c r="Z61" s="888">
        <f t="shared" si="111"/>
        <v>-2.8273815178934486E-2</v>
      </c>
      <c r="AA61" s="874"/>
      <c r="AB61" s="762">
        <v>-982</v>
      </c>
      <c r="AC61" s="762">
        <v>-982</v>
      </c>
      <c r="AD61" s="762">
        <v>-982</v>
      </c>
      <c r="AE61" s="762">
        <v>-982</v>
      </c>
      <c r="AF61" s="762">
        <v>-10262</v>
      </c>
      <c r="AG61" s="762">
        <v>-982</v>
      </c>
      <c r="AH61" s="762">
        <v>-982</v>
      </c>
      <c r="AI61" s="762">
        <v>0</v>
      </c>
      <c r="AJ61" s="935">
        <v>-982</v>
      </c>
      <c r="AK61" s="744">
        <f t="shared" si="105"/>
        <v>-17136</v>
      </c>
      <c r="AL61" s="888">
        <f t="shared" si="50"/>
        <v>-3.3485427312430996E-2</v>
      </c>
      <c r="AM61" s="874"/>
      <c r="AN61" s="762">
        <v>-982</v>
      </c>
      <c r="AO61" s="762">
        <v>-982</v>
      </c>
      <c r="AP61" s="762">
        <v>-982</v>
      </c>
      <c r="AQ61" s="762">
        <v>-982</v>
      </c>
      <c r="AR61" s="762">
        <v>-10262</v>
      </c>
      <c r="AS61" s="762">
        <v>-982</v>
      </c>
      <c r="AT61" s="762">
        <v>-982</v>
      </c>
      <c r="AU61" s="762">
        <v>0</v>
      </c>
      <c r="AV61" s="935">
        <v>-982</v>
      </c>
      <c r="AW61" s="744">
        <f t="shared" si="106"/>
        <v>-17136</v>
      </c>
      <c r="AX61" s="888">
        <f t="shared" si="52"/>
        <v>-3.2269727921901838E-2</v>
      </c>
      <c r="AY61" s="874"/>
      <c r="AZ61" s="762">
        <v>-982</v>
      </c>
      <c r="BA61" s="762">
        <v>-982</v>
      </c>
      <c r="BB61" s="762">
        <v>-982</v>
      </c>
      <c r="BC61" s="762">
        <v>-982</v>
      </c>
      <c r="BD61" s="762">
        <v>-13862</v>
      </c>
      <c r="BE61" s="762">
        <v>-982</v>
      </c>
      <c r="BF61" s="762">
        <v>-982</v>
      </c>
      <c r="BG61" s="762">
        <v>0</v>
      </c>
      <c r="BH61" s="935">
        <v>-982</v>
      </c>
      <c r="BI61" s="744">
        <f t="shared" si="107"/>
        <v>-20736</v>
      </c>
      <c r="BJ61" s="888">
        <f t="shared" si="54"/>
        <v>-4.1811172229122645E-2</v>
      </c>
      <c r="BK61" s="874"/>
      <c r="BL61" s="762">
        <v>-1300</v>
      </c>
      <c r="BM61" s="762">
        <v>-1261</v>
      </c>
      <c r="BN61" s="762">
        <v>-1222</v>
      </c>
      <c r="BO61" s="762">
        <v>-1300</v>
      </c>
      <c r="BP61" s="762">
        <v>-10697</v>
      </c>
      <c r="BQ61" s="762">
        <v>-1339</v>
      </c>
      <c r="BR61" s="762">
        <v>-1261</v>
      </c>
      <c r="BS61" s="762">
        <v>0</v>
      </c>
      <c r="BT61" s="935">
        <v>-1261</v>
      </c>
      <c r="BU61" s="744">
        <f t="shared" si="108"/>
        <v>-19641</v>
      </c>
      <c r="BV61" s="888">
        <f t="shared" si="56"/>
        <v>-3.9513231430330295E-2</v>
      </c>
      <c r="BW61" s="874"/>
      <c r="BX61" s="762">
        <v>-2152</v>
      </c>
      <c r="BY61" s="762">
        <v>-2074</v>
      </c>
      <c r="BZ61" s="762">
        <v>-2074</v>
      </c>
      <c r="CA61" s="762">
        <v>-2113</v>
      </c>
      <c r="CB61" s="762">
        <v>-11431</v>
      </c>
      <c r="CC61" s="762">
        <v>-2191</v>
      </c>
      <c r="CD61" s="762">
        <v>-2074</v>
      </c>
      <c r="CE61" s="762">
        <v>-800</v>
      </c>
      <c r="CF61" s="935">
        <v>-2113</v>
      </c>
      <c r="CG61" s="744">
        <f t="shared" si="109"/>
        <v>-27022</v>
      </c>
      <c r="CH61" s="888">
        <f t="shared" si="58"/>
        <v>-5.6297240764352441E-2</v>
      </c>
      <c r="CI61" s="874"/>
      <c r="CJ61" s="957">
        <f t="shared" si="101"/>
        <v>-7381</v>
      </c>
      <c r="CK61" s="965">
        <f t="shared" si="102"/>
        <v>0.37579552975917724</v>
      </c>
      <c r="CL61" s="746"/>
      <c r="CM61" s="816">
        <f>-DATOS!D138-DATOS!D140-DATOS!D141</f>
        <v>-119492</v>
      </c>
      <c r="CN61" s="757">
        <f t="shared" si="85"/>
        <v>-3.9279890587497215E-2</v>
      </c>
      <c r="CO61" s="746"/>
      <c r="CP61" s="744">
        <f>-DATOS!F141-DATOS!F139-DATOS!F138-DATOS!F137</f>
        <v>-25797</v>
      </c>
      <c r="CQ61" s="756">
        <f t="shared" si="0"/>
        <v>-5.0072156934295946E-2</v>
      </c>
      <c r="CR61" s="874"/>
      <c r="CS61" s="954">
        <f>-DATOS!G139-DATOS!G140-DATOS!G141</f>
        <v>-14080.5</v>
      </c>
      <c r="CT61" s="757">
        <f t="shared" si="110"/>
        <v>-4.7910253127623724E-3</v>
      </c>
      <c r="CU61" s="874"/>
      <c r="CV61" s="897">
        <f t="shared" ref="CV61:CV70" si="113">+CM61-CS61</f>
        <v>-105411.5</v>
      </c>
      <c r="CW61" s="902">
        <f t="shared" si="1"/>
        <v>7.4863463655409968</v>
      </c>
      <c r="CY61" s="750"/>
    </row>
    <row r="62" spans="1:103" hidden="1" outlineLevel="2">
      <c r="A62" s="734">
        <v>52109502</v>
      </c>
      <c r="B62" s="833" t="s">
        <v>875</v>
      </c>
      <c r="C62" s="874"/>
      <c r="D62" s="762">
        <v>-339</v>
      </c>
      <c r="E62" s="762">
        <v>-376</v>
      </c>
      <c r="F62" s="762">
        <v>-302</v>
      </c>
      <c r="G62" s="762">
        <v>-413</v>
      </c>
      <c r="H62" s="762">
        <v>-598</v>
      </c>
      <c r="I62" s="762">
        <v>-450</v>
      </c>
      <c r="J62" s="762">
        <v>-376</v>
      </c>
      <c r="K62" s="762">
        <v>-79</v>
      </c>
      <c r="L62" s="935">
        <v>-260</v>
      </c>
      <c r="M62" s="744">
        <f t="shared" si="103"/>
        <v>-3193</v>
      </c>
      <c r="N62" s="888">
        <f t="shared" si="74"/>
        <v>-6.3256657996033829E-3</v>
      </c>
      <c r="O62" s="874"/>
      <c r="P62" s="762">
        <v>-81</v>
      </c>
      <c r="Q62" s="762">
        <v>-81</v>
      </c>
      <c r="R62" s="762">
        <v>-81</v>
      </c>
      <c r="S62" s="762">
        <v>-81</v>
      </c>
      <c r="T62" s="762">
        <v>-81</v>
      </c>
      <c r="U62" s="762">
        <v>-81</v>
      </c>
      <c r="V62" s="762">
        <v>-81</v>
      </c>
      <c r="W62" s="762">
        <v>0</v>
      </c>
      <c r="X62" s="935">
        <v>-81</v>
      </c>
      <c r="Y62" s="744">
        <f t="shared" si="104"/>
        <v>-648</v>
      </c>
      <c r="Z62" s="888">
        <f t="shared" si="111"/>
        <v>-1.2312790481148891E-3</v>
      </c>
      <c r="AA62" s="874"/>
      <c r="AB62" s="762">
        <v>-348</v>
      </c>
      <c r="AC62" s="762">
        <v>-309</v>
      </c>
      <c r="AD62" s="762">
        <v>-270</v>
      </c>
      <c r="AE62" s="762">
        <v>-348</v>
      </c>
      <c r="AF62" s="762">
        <v>-465</v>
      </c>
      <c r="AG62" s="762">
        <v>-309</v>
      </c>
      <c r="AH62" s="762">
        <v>-270</v>
      </c>
      <c r="AI62" s="762">
        <v>0</v>
      </c>
      <c r="AJ62" s="935">
        <v>-270</v>
      </c>
      <c r="AK62" s="744">
        <f t="shared" si="105"/>
        <v>-2589</v>
      </c>
      <c r="AL62" s="888">
        <f t="shared" si="50"/>
        <v>-5.0591603239894872E-3</v>
      </c>
      <c r="AM62" s="874"/>
      <c r="AN62" s="762">
        <v>-299</v>
      </c>
      <c r="AO62" s="762">
        <v>-260</v>
      </c>
      <c r="AP62" s="762">
        <v>-182</v>
      </c>
      <c r="AQ62" s="762">
        <v>-260</v>
      </c>
      <c r="AR62" s="762">
        <v>-377</v>
      </c>
      <c r="AS62" s="762">
        <v>-299</v>
      </c>
      <c r="AT62" s="762">
        <v>-221</v>
      </c>
      <c r="AU62" s="762">
        <v>0</v>
      </c>
      <c r="AV62" s="935">
        <v>-260</v>
      </c>
      <c r="AW62" s="744">
        <f t="shared" si="106"/>
        <v>-2158</v>
      </c>
      <c r="AX62" s="888">
        <f t="shared" si="52"/>
        <v>-4.0638464551508028E-3</v>
      </c>
      <c r="AY62" s="874"/>
      <c r="AZ62" s="762">
        <v>-260</v>
      </c>
      <c r="BA62" s="762">
        <v>-221</v>
      </c>
      <c r="BB62" s="762">
        <v>-182</v>
      </c>
      <c r="BC62" s="762">
        <v>-260</v>
      </c>
      <c r="BD62" s="762">
        <v>-377</v>
      </c>
      <c r="BE62" s="762">
        <v>-299</v>
      </c>
      <c r="BF62" s="762">
        <v>-260</v>
      </c>
      <c r="BG62" s="762">
        <v>0</v>
      </c>
      <c r="BH62" s="935">
        <v>-221</v>
      </c>
      <c r="BI62" s="744">
        <f t="shared" si="107"/>
        <v>-2080</v>
      </c>
      <c r="BJ62" s="888">
        <f t="shared" si="54"/>
        <v>-4.1940219056990306E-3</v>
      </c>
      <c r="BK62" s="874"/>
      <c r="BL62" s="762">
        <v>-92</v>
      </c>
      <c r="BM62" s="762">
        <v>-92</v>
      </c>
      <c r="BN62" s="762">
        <v>-92</v>
      </c>
      <c r="BO62" s="762">
        <v>-92</v>
      </c>
      <c r="BP62" s="762">
        <v>-92</v>
      </c>
      <c r="BQ62" s="762">
        <v>-92</v>
      </c>
      <c r="BR62" s="762">
        <v>-92</v>
      </c>
      <c r="BS62" s="762">
        <v>0</v>
      </c>
      <c r="BT62" s="935">
        <v>-92</v>
      </c>
      <c r="BU62" s="744">
        <f t="shared" si="108"/>
        <v>-736</v>
      </c>
      <c r="BV62" s="888">
        <f t="shared" si="56"/>
        <v>-1.4806648507063335E-3</v>
      </c>
      <c r="BW62" s="874"/>
      <c r="BX62" s="762">
        <v>-92</v>
      </c>
      <c r="BY62" s="762">
        <v>-92</v>
      </c>
      <c r="BZ62" s="762">
        <v>-92</v>
      </c>
      <c r="CA62" s="762">
        <v>-92</v>
      </c>
      <c r="CB62" s="762">
        <v>-92</v>
      </c>
      <c r="CC62" s="762">
        <v>-92</v>
      </c>
      <c r="CD62" s="762">
        <v>-92</v>
      </c>
      <c r="CE62" s="762">
        <v>0</v>
      </c>
      <c r="CF62" s="935">
        <v>-92</v>
      </c>
      <c r="CG62" s="744">
        <f t="shared" si="109"/>
        <v>-736</v>
      </c>
      <c r="CH62" s="888">
        <f t="shared" si="58"/>
        <v>-1.533371667625024E-3</v>
      </c>
      <c r="CI62" s="874"/>
      <c r="CJ62" s="957">
        <f t="shared" si="101"/>
        <v>0</v>
      </c>
      <c r="CK62" s="965">
        <f t="shared" si="102"/>
        <v>0</v>
      </c>
      <c r="CL62" s="746"/>
      <c r="CM62" s="816">
        <f>-DATOS!D139</f>
        <v>0</v>
      </c>
      <c r="CN62" s="757">
        <f t="shared" si="85"/>
        <v>0</v>
      </c>
      <c r="CO62" s="746"/>
      <c r="CP62" s="744">
        <f>-DATOS!F140</f>
        <v>-2227.5</v>
      </c>
      <c r="CQ62" s="756">
        <f t="shared" si="0"/>
        <v>-4.3235930368315774E-3</v>
      </c>
      <c r="CR62" s="874"/>
      <c r="CS62" s="816">
        <f>-DATOS!G138</f>
        <v>-106949</v>
      </c>
      <c r="CT62" s="757">
        <f t="shared" si="110"/>
        <v>-3.6390424074047294E-2</v>
      </c>
      <c r="CU62" s="874"/>
      <c r="CV62" s="897">
        <f t="shared" si="113"/>
        <v>106949</v>
      </c>
      <c r="CW62" s="902">
        <f t="shared" si="1"/>
        <v>-1</v>
      </c>
      <c r="CY62" s="750"/>
    </row>
    <row r="63" spans="1:103" hidden="1" outlineLevel="2">
      <c r="A63" s="734">
        <v>5215</v>
      </c>
      <c r="B63" s="833" t="s">
        <v>65</v>
      </c>
      <c r="C63" s="874"/>
      <c r="D63" s="762">
        <v>-872</v>
      </c>
      <c r="E63" s="762">
        <v>-707</v>
      </c>
      <c r="F63" s="762">
        <v>-505</v>
      </c>
      <c r="G63" s="762">
        <v>-1389</v>
      </c>
      <c r="H63" s="762">
        <v>-1408</v>
      </c>
      <c r="I63" s="762">
        <v>-959</v>
      </c>
      <c r="J63" s="762">
        <v>-791</v>
      </c>
      <c r="K63" s="762">
        <v>-196</v>
      </c>
      <c r="L63" s="935">
        <v>-541</v>
      </c>
      <c r="M63" s="744">
        <f t="shared" si="103"/>
        <v>-7368</v>
      </c>
      <c r="N63" s="888">
        <f t="shared" si="74"/>
        <v>-1.4596775950979557E-2</v>
      </c>
      <c r="O63" s="874"/>
      <c r="P63" s="762">
        <v>-828</v>
      </c>
      <c r="Q63" s="762">
        <v>-665</v>
      </c>
      <c r="R63" s="762">
        <v>-441</v>
      </c>
      <c r="S63" s="762">
        <v>-1225</v>
      </c>
      <c r="T63" s="762">
        <v>-1384</v>
      </c>
      <c r="U63" s="762">
        <v>-887</v>
      </c>
      <c r="V63" s="762">
        <v>-718</v>
      </c>
      <c r="W63" s="762">
        <v>0</v>
      </c>
      <c r="X63" s="935">
        <v>-499</v>
      </c>
      <c r="Y63" s="744">
        <f t="shared" si="104"/>
        <v>-6647</v>
      </c>
      <c r="Z63" s="888">
        <f t="shared" si="111"/>
        <v>-1.263011085311677E-2</v>
      </c>
      <c r="AA63" s="874"/>
      <c r="AB63" s="762">
        <v>-742</v>
      </c>
      <c r="AC63" s="762">
        <v>-692</v>
      </c>
      <c r="AD63" s="762">
        <v>-472</v>
      </c>
      <c r="AE63" s="762">
        <v>-1215</v>
      </c>
      <c r="AF63" s="762">
        <v>-1234</v>
      </c>
      <c r="AG63" s="762">
        <v>-997</v>
      </c>
      <c r="AH63" s="762">
        <v>-801</v>
      </c>
      <c r="AI63" s="762">
        <v>-86</v>
      </c>
      <c r="AJ63" s="935">
        <v>-429</v>
      </c>
      <c r="AK63" s="744">
        <f t="shared" si="105"/>
        <v>-6668</v>
      </c>
      <c r="AL63" s="888">
        <f t="shared" si="50"/>
        <v>-1.3029927014431016E-2</v>
      </c>
      <c r="AM63" s="874"/>
      <c r="AN63" s="762">
        <v>-802</v>
      </c>
      <c r="AO63" s="762">
        <v>-737</v>
      </c>
      <c r="AP63" s="762">
        <v>-483</v>
      </c>
      <c r="AQ63" s="762">
        <v>-1214</v>
      </c>
      <c r="AR63" s="762">
        <v>-1698</v>
      </c>
      <c r="AS63" s="762">
        <v>-989</v>
      </c>
      <c r="AT63" s="762">
        <v>-783</v>
      </c>
      <c r="AU63" s="762">
        <v>-112</v>
      </c>
      <c r="AV63" s="935">
        <v>-851</v>
      </c>
      <c r="AW63" s="744">
        <f t="shared" si="106"/>
        <v>-7669</v>
      </c>
      <c r="AX63" s="888">
        <f t="shared" si="52"/>
        <v>-1.4441908463647594E-2</v>
      </c>
      <c r="AY63" s="874"/>
      <c r="AZ63" s="762">
        <v>-680</v>
      </c>
      <c r="BA63" s="762">
        <v>-712</v>
      </c>
      <c r="BB63" s="762">
        <v>-455</v>
      </c>
      <c r="BC63" s="762">
        <v>-1228</v>
      </c>
      <c r="BD63" s="762">
        <v>-1250</v>
      </c>
      <c r="BE63" s="762">
        <v>-934</v>
      </c>
      <c r="BF63" s="762">
        <v>-725</v>
      </c>
      <c r="BG63" s="762">
        <v>-1933</v>
      </c>
      <c r="BH63" s="935">
        <v>-423</v>
      </c>
      <c r="BI63" s="744">
        <f t="shared" si="107"/>
        <v>-8340</v>
      </c>
      <c r="BJ63" s="888">
        <f t="shared" si="54"/>
        <v>-1.6816414756504767E-2</v>
      </c>
      <c r="BK63" s="874"/>
      <c r="BL63" s="762">
        <v>-653</v>
      </c>
      <c r="BM63" s="762">
        <v>-689</v>
      </c>
      <c r="BN63" s="762">
        <v>-426</v>
      </c>
      <c r="BO63" s="762">
        <v>-1213</v>
      </c>
      <c r="BP63" s="762">
        <v>-1232</v>
      </c>
      <c r="BQ63" s="762">
        <v>-936</v>
      </c>
      <c r="BR63" s="762">
        <v>-745</v>
      </c>
      <c r="BS63" s="762">
        <v>0</v>
      </c>
      <c r="BT63" s="935">
        <v>-456</v>
      </c>
      <c r="BU63" s="744">
        <f t="shared" si="108"/>
        <v>-6350</v>
      </c>
      <c r="BV63" s="888">
        <f t="shared" si="56"/>
        <v>-1.2774757883132089E-2</v>
      </c>
      <c r="BW63" s="874"/>
      <c r="BX63" s="762">
        <v>-625</v>
      </c>
      <c r="BY63" s="762">
        <v>-801</v>
      </c>
      <c r="BZ63" s="762">
        <v>-515</v>
      </c>
      <c r="CA63" s="762">
        <v>-1543</v>
      </c>
      <c r="CB63" s="762">
        <v>3750</v>
      </c>
      <c r="CC63" s="762">
        <v>-1078</v>
      </c>
      <c r="CD63" s="762">
        <v>-804</v>
      </c>
      <c r="CE63" s="762">
        <v>-1933</v>
      </c>
      <c r="CF63" s="935">
        <v>-3194</v>
      </c>
      <c r="CG63" s="744">
        <f t="shared" si="109"/>
        <v>-6743</v>
      </c>
      <c r="CH63" s="888">
        <f t="shared" si="58"/>
        <v>-1.4048267873363501E-2</v>
      </c>
      <c r="CI63" s="874"/>
      <c r="CJ63" s="957">
        <f t="shared" si="101"/>
        <v>-393</v>
      </c>
      <c r="CK63" s="965">
        <f t="shared" si="102"/>
        <v>6.1889763779527561E-2</v>
      </c>
      <c r="CL63" s="746"/>
      <c r="CM63" s="816">
        <f>-DATOS!D142-DATOS!D143-DATOS!D144-DATOS!D145</f>
        <v>-42415</v>
      </c>
      <c r="CN63" s="757">
        <f t="shared" si="85"/>
        <v>-1.3942829304628713E-2</v>
      </c>
      <c r="CO63" s="746"/>
      <c r="CP63" s="744">
        <f>-DATOS!F142-DATOS!F143-DATOS!F144</f>
        <v>-7525</v>
      </c>
      <c r="CQ63" s="756">
        <f t="shared" si="0"/>
        <v>-1.4606077486939449E-2</v>
      </c>
      <c r="CR63" s="874"/>
      <c r="CS63" s="816">
        <f>-DATOS!G142-DATOS!G143-DATOS!G144-DATOS!G145</f>
        <v>-51563</v>
      </c>
      <c r="CT63" s="757">
        <f t="shared" si="110"/>
        <v>-1.7544805809592428E-2</v>
      </c>
      <c r="CU63" s="874"/>
      <c r="CV63" s="897">
        <f t="shared" si="113"/>
        <v>9148</v>
      </c>
      <c r="CW63" s="902">
        <f t="shared" si="1"/>
        <v>-0.17741403719721505</v>
      </c>
      <c r="CY63" s="750"/>
    </row>
    <row r="64" spans="1:103" hidden="1" outlineLevel="2">
      <c r="A64" s="734">
        <v>5220</v>
      </c>
      <c r="B64" s="833" t="s">
        <v>66</v>
      </c>
      <c r="C64" s="874"/>
      <c r="D64" s="762">
        <v>-18883</v>
      </c>
      <c r="E64" s="762">
        <v>-5</v>
      </c>
      <c r="F64" s="762">
        <v>-3587</v>
      </c>
      <c r="G64" s="762">
        <v>-13177</v>
      </c>
      <c r="H64" s="762">
        <v>-5791</v>
      </c>
      <c r="I64" s="762">
        <v>-10987</v>
      </c>
      <c r="J64" s="762">
        <v>-8601</v>
      </c>
      <c r="K64" s="762">
        <v>-5589</v>
      </c>
      <c r="L64" s="935">
        <v>-7502</v>
      </c>
      <c r="M64" s="744">
        <f t="shared" si="103"/>
        <v>-74122</v>
      </c>
      <c r="N64" s="888">
        <f t="shared" ref="N64:N95" si="114">+M64/M$13</f>
        <v>-0.14684340757851611</v>
      </c>
      <c r="O64" s="874"/>
      <c r="P64" s="762">
        <v>-10447</v>
      </c>
      <c r="Q64" s="762">
        <v>-9040</v>
      </c>
      <c r="R64" s="762">
        <v>-3842</v>
      </c>
      <c r="S64" s="762">
        <v>-13177</v>
      </c>
      <c r="T64" s="762">
        <v>-21335</v>
      </c>
      <c r="U64" s="762">
        <v>-10987</v>
      </c>
      <c r="V64" s="762">
        <v>-8601</v>
      </c>
      <c r="W64" s="762">
        <v>0</v>
      </c>
      <c r="X64" s="935">
        <v>-7502</v>
      </c>
      <c r="Y64" s="744">
        <f t="shared" si="104"/>
        <v>-84931</v>
      </c>
      <c r="Z64" s="888">
        <f t="shared" si="111"/>
        <v>-0.16137926054852722</v>
      </c>
      <c r="AA64" s="874"/>
      <c r="AB64" s="762">
        <v>-10447</v>
      </c>
      <c r="AC64" s="762">
        <v>-9040</v>
      </c>
      <c r="AD64" s="762">
        <v>-3842</v>
      </c>
      <c r="AE64" s="762">
        <v>-13177</v>
      </c>
      <c r="AF64" s="762">
        <v>-22121</v>
      </c>
      <c r="AG64" s="762">
        <v>-10987</v>
      </c>
      <c r="AH64" s="762">
        <v>-8601</v>
      </c>
      <c r="AI64" s="762">
        <v>0</v>
      </c>
      <c r="AJ64" s="935">
        <v>-7502</v>
      </c>
      <c r="AK64" s="744">
        <f t="shared" si="105"/>
        <v>-85717</v>
      </c>
      <c r="AL64" s="888">
        <f t="shared" si="50"/>
        <v>-0.16749943819675814</v>
      </c>
      <c r="AM64" s="874"/>
      <c r="AN64" s="762">
        <v>-10447</v>
      </c>
      <c r="AO64" s="762">
        <v>-9040</v>
      </c>
      <c r="AP64" s="762">
        <v>-3842</v>
      </c>
      <c r="AQ64" s="762">
        <v>-13177</v>
      </c>
      <c r="AR64" s="762">
        <v>-14323</v>
      </c>
      <c r="AS64" s="762">
        <v>-10987</v>
      </c>
      <c r="AT64" s="762">
        <v>-8601</v>
      </c>
      <c r="AU64" s="762">
        <v>-1672</v>
      </c>
      <c r="AV64" s="935">
        <v>-7502</v>
      </c>
      <c r="AW64" s="744">
        <f t="shared" si="106"/>
        <v>-79591</v>
      </c>
      <c r="AX64" s="888">
        <f t="shared" si="52"/>
        <v>-0.1498821145560276</v>
      </c>
      <c r="AY64" s="874"/>
      <c r="AZ64" s="762">
        <v>-10522</v>
      </c>
      <c r="BA64" s="762">
        <v>-9040</v>
      </c>
      <c r="BB64" s="762">
        <v>-4286</v>
      </c>
      <c r="BC64" s="762">
        <v>-13177</v>
      </c>
      <c r="BD64" s="762">
        <v>-20268</v>
      </c>
      <c r="BE64" s="762">
        <v>-10987</v>
      </c>
      <c r="BF64" s="762">
        <v>-8601</v>
      </c>
      <c r="BG64" s="762">
        <v>-1636</v>
      </c>
      <c r="BH64" s="935">
        <v>-7502</v>
      </c>
      <c r="BI64" s="744">
        <f t="shared" si="107"/>
        <v>-86019</v>
      </c>
      <c r="BJ64" s="888">
        <f t="shared" si="54"/>
        <v>-0.17344498572419467</v>
      </c>
      <c r="BK64" s="874"/>
      <c r="BL64" s="762">
        <v>-10522</v>
      </c>
      <c r="BM64" s="762">
        <v>-9040</v>
      </c>
      <c r="BN64" s="762">
        <v>-3842</v>
      </c>
      <c r="BO64" s="762">
        <v>-13177</v>
      </c>
      <c r="BP64" s="762">
        <v>-21273</v>
      </c>
      <c r="BQ64" s="762">
        <v>-10987</v>
      </c>
      <c r="BR64" s="762">
        <v>-8601</v>
      </c>
      <c r="BS64" s="762">
        <v>-3316</v>
      </c>
      <c r="BT64" s="935">
        <v>-7502</v>
      </c>
      <c r="BU64" s="744">
        <f t="shared" si="108"/>
        <v>-88260</v>
      </c>
      <c r="BV64" s="888">
        <f t="shared" si="56"/>
        <v>-0.17755907571106114</v>
      </c>
      <c r="BW64" s="874"/>
      <c r="BX64" s="762">
        <v>-10881</v>
      </c>
      <c r="BY64" s="762">
        <v>-9040</v>
      </c>
      <c r="BZ64" s="762">
        <v>-3842</v>
      </c>
      <c r="CA64" s="762">
        <v>-15119</v>
      </c>
      <c r="CB64" s="762">
        <v>-18655</v>
      </c>
      <c r="CC64" s="762">
        <v>-10987</v>
      </c>
      <c r="CD64" s="762">
        <v>-9383</v>
      </c>
      <c r="CE64" s="762">
        <v>0</v>
      </c>
      <c r="CF64" s="935">
        <v>-7502</v>
      </c>
      <c r="CG64" s="744">
        <f t="shared" si="109"/>
        <v>-85409</v>
      </c>
      <c r="CH64" s="888">
        <f t="shared" si="58"/>
        <v>-0.17793986516329574</v>
      </c>
      <c r="CI64" s="874"/>
      <c r="CJ64" s="957">
        <f t="shared" si="101"/>
        <v>2851</v>
      </c>
      <c r="CK64" s="965">
        <f t="shared" si="102"/>
        <v>-3.2302288692499431E-2</v>
      </c>
      <c r="CL64" s="746"/>
      <c r="CM64" s="816">
        <f>-DATOS!D146</f>
        <v>-509925</v>
      </c>
      <c r="CN64" s="757">
        <f t="shared" si="85"/>
        <v>-0.16762459585436276</v>
      </c>
      <c r="CO64" s="746"/>
      <c r="CP64" s="744">
        <f>-DATOS!F146</f>
        <v>-65084</v>
      </c>
      <c r="CQ64" s="756">
        <f t="shared" si="0"/>
        <v>-0.12632849796145743</v>
      </c>
      <c r="CR64" s="874"/>
      <c r="CS64" s="816">
        <f>-DATOS!G146</f>
        <v>-394049</v>
      </c>
      <c r="CT64" s="757">
        <f t="shared" ref="CT64:CT88" si="115">+CS64/CS$13</f>
        <v>-0.13407895553912857</v>
      </c>
      <c r="CU64" s="874"/>
      <c r="CV64" s="897">
        <f t="shared" si="113"/>
        <v>-115876</v>
      </c>
      <c r="CW64" s="902">
        <f t="shared" si="1"/>
        <v>0.29406495131316157</v>
      </c>
      <c r="CY64" s="750"/>
    </row>
    <row r="65" spans="1:103" hidden="1" outlineLevel="2">
      <c r="A65" s="734">
        <v>5225</v>
      </c>
      <c r="B65" s="833" t="s">
        <v>435</v>
      </c>
      <c r="C65" s="874"/>
      <c r="D65" s="762">
        <v>-545</v>
      </c>
      <c r="E65" s="762">
        <v>0</v>
      </c>
      <c r="F65" s="762">
        <v>-422</v>
      </c>
      <c r="G65" s="762">
        <v>-1973</v>
      </c>
      <c r="H65" s="762">
        <v>-2012</v>
      </c>
      <c r="I65" s="762">
        <v>-507</v>
      </c>
      <c r="J65" s="762">
        <v>0</v>
      </c>
      <c r="K65" s="762">
        <v>0</v>
      </c>
      <c r="L65" s="935">
        <v>0</v>
      </c>
      <c r="M65" s="744">
        <f t="shared" si="103"/>
        <v>-5459</v>
      </c>
      <c r="N65" s="888">
        <f t="shared" si="114"/>
        <v>-1.0814847979967073E-2</v>
      </c>
      <c r="O65" s="874"/>
      <c r="P65" s="762">
        <v>0</v>
      </c>
      <c r="Q65" s="762">
        <v>-573</v>
      </c>
      <c r="R65" s="762">
        <v>-444</v>
      </c>
      <c r="S65" s="762">
        <v>-2073</v>
      </c>
      <c r="T65" s="762">
        <v>-4136</v>
      </c>
      <c r="U65" s="762">
        <v>-533</v>
      </c>
      <c r="V65" s="762">
        <v>0</v>
      </c>
      <c r="W65" s="762">
        <v>-276</v>
      </c>
      <c r="X65" s="935">
        <v>0</v>
      </c>
      <c r="Y65" s="744">
        <f t="shared" si="104"/>
        <v>-8035</v>
      </c>
      <c r="Z65" s="888">
        <f t="shared" si="111"/>
        <v>-1.5267480172227057E-2</v>
      </c>
      <c r="AA65" s="874"/>
      <c r="AB65" s="762">
        <v>0</v>
      </c>
      <c r="AC65" s="762">
        <v>-573</v>
      </c>
      <c r="AD65" s="762">
        <v>-444</v>
      </c>
      <c r="AE65" s="762">
        <v>-2073</v>
      </c>
      <c r="AF65" s="762">
        <v>-2114</v>
      </c>
      <c r="AG65" s="762">
        <v>-533</v>
      </c>
      <c r="AH65" s="762">
        <v>0</v>
      </c>
      <c r="AI65" s="762">
        <v>-2020</v>
      </c>
      <c r="AJ65" s="935">
        <v>0</v>
      </c>
      <c r="AK65" s="744">
        <f t="shared" si="105"/>
        <v>-7757</v>
      </c>
      <c r="AL65" s="888">
        <f t="shared" si="50"/>
        <v>-1.5157939989643279E-2</v>
      </c>
      <c r="AM65" s="874"/>
      <c r="AN65" s="762">
        <v>0</v>
      </c>
      <c r="AO65" s="762">
        <v>-684</v>
      </c>
      <c r="AP65" s="762">
        <v>-510</v>
      </c>
      <c r="AQ65" s="762">
        <v>-2073</v>
      </c>
      <c r="AR65" s="762">
        <v>-2112</v>
      </c>
      <c r="AS65" s="762">
        <v>-515</v>
      </c>
      <c r="AT65" s="762">
        <v>0</v>
      </c>
      <c r="AU65" s="762">
        <v>-2722</v>
      </c>
      <c r="AV65" s="935">
        <v>0</v>
      </c>
      <c r="AW65" s="744">
        <f t="shared" si="106"/>
        <v>-8616</v>
      </c>
      <c r="AX65" s="888">
        <f t="shared" si="52"/>
        <v>-1.6225255355690138E-2</v>
      </c>
      <c r="AY65" s="874"/>
      <c r="AZ65" s="762">
        <v>0</v>
      </c>
      <c r="BA65" s="762">
        <v>-684</v>
      </c>
      <c r="BB65" s="762">
        <v>-28</v>
      </c>
      <c r="BC65" s="762">
        <v>-2527</v>
      </c>
      <c r="BD65" s="762">
        <v>-4520</v>
      </c>
      <c r="BE65" s="762">
        <v>-527</v>
      </c>
      <c r="BF65" s="762">
        <v>0</v>
      </c>
      <c r="BG65" s="762">
        <v>-868</v>
      </c>
      <c r="BH65" s="935">
        <v>0</v>
      </c>
      <c r="BI65" s="744">
        <f t="shared" si="107"/>
        <v>-9154</v>
      </c>
      <c r="BJ65" s="888">
        <f t="shared" si="54"/>
        <v>-1.8457729098446597E-2</v>
      </c>
      <c r="BK65" s="874"/>
      <c r="BL65" s="762">
        <v>0</v>
      </c>
      <c r="BM65" s="762">
        <v>-684</v>
      </c>
      <c r="BN65" s="762">
        <v>-460</v>
      </c>
      <c r="BO65" s="762">
        <v>-2187</v>
      </c>
      <c r="BP65" s="762">
        <v>-2188</v>
      </c>
      <c r="BQ65" s="762">
        <v>-527</v>
      </c>
      <c r="BR65" s="762">
        <v>0</v>
      </c>
      <c r="BS65" s="762">
        <v>-3179</v>
      </c>
      <c r="BT65" s="935">
        <v>0</v>
      </c>
      <c r="BU65" s="744">
        <f t="shared" si="108"/>
        <v>-9225</v>
      </c>
      <c r="BV65" s="888">
        <f t="shared" si="56"/>
        <v>-1.8558604956203702E-2</v>
      </c>
      <c r="BW65" s="874"/>
      <c r="BX65" s="762">
        <v>0</v>
      </c>
      <c r="BY65" s="762">
        <v>-640</v>
      </c>
      <c r="BZ65" s="762">
        <v>-466</v>
      </c>
      <c r="CA65" s="762">
        <v>-2187</v>
      </c>
      <c r="CB65" s="762">
        <v>-2182</v>
      </c>
      <c r="CC65" s="762">
        <v>-527</v>
      </c>
      <c r="CD65" s="762">
        <v>0</v>
      </c>
      <c r="CE65" s="762">
        <v>-3179</v>
      </c>
      <c r="CF65" s="935">
        <v>0</v>
      </c>
      <c r="CG65" s="744">
        <f t="shared" si="109"/>
        <v>-9181</v>
      </c>
      <c r="CH65" s="888">
        <f t="shared" si="58"/>
        <v>-1.9127561522371394E-2</v>
      </c>
      <c r="CI65" s="874"/>
      <c r="CJ65" s="957">
        <f t="shared" si="101"/>
        <v>44</v>
      </c>
      <c r="CK65" s="965">
        <f t="shared" si="102"/>
        <v>-4.7696476964769648E-3</v>
      </c>
      <c r="CL65" s="746"/>
      <c r="CM65" s="816">
        <f>-DATOS!D147</f>
        <v>-51970</v>
      </c>
      <c r="CN65" s="757">
        <f t="shared" si="85"/>
        <v>-1.7083787314901667E-2</v>
      </c>
      <c r="CO65" s="746"/>
      <c r="CP65" s="744">
        <f>-DATOS!F147</f>
        <v>-12012</v>
      </c>
      <c r="CQ65" s="756">
        <f t="shared" si="0"/>
        <v>-2.331537578380288E-2</v>
      </c>
      <c r="CR65" s="874"/>
      <c r="CS65" s="816">
        <f>-DATOS!G147</f>
        <v>-73967</v>
      </c>
      <c r="CT65" s="757">
        <f t="shared" si="115"/>
        <v>-2.5167981911799607E-2</v>
      </c>
      <c r="CU65" s="874"/>
      <c r="CV65" s="897">
        <f t="shared" si="113"/>
        <v>21997</v>
      </c>
      <c r="CW65" s="902">
        <f t="shared" si="1"/>
        <v>-0.29738937634350454</v>
      </c>
      <c r="CY65" s="750"/>
    </row>
    <row r="66" spans="1:103" hidden="1" outlineLevel="2">
      <c r="A66" s="734">
        <v>5230</v>
      </c>
      <c r="B66" s="833" t="s">
        <v>67</v>
      </c>
      <c r="C66" s="874"/>
      <c r="D66" s="762">
        <v>0</v>
      </c>
      <c r="E66" s="762">
        <v>0</v>
      </c>
      <c r="F66" s="762">
        <v>0</v>
      </c>
      <c r="G66" s="762">
        <v>0</v>
      </c>
      <c r="H66" s="762">
        <v>0</v>
      </c>
      <c r="I66" s="762">
        <v>0</v>
      </c>
      <c r="J66" s="762">
        <v>0</v>
      </c>
      <c r="K66" s="762">
        <v>0</v>
      </c>
      <c r="L66" s="935">
        <v>0</v>
      </c>
      <c r="M66" s="744">
        <f t="shared" si="103"/>
        <v>0</v>
      </c>
      <c r="N66" s="888">
        <f t="shared" si="114"/>
        <v>0</v>
      </c>
      <c r="O66" s="874"/>
      <c r="P66" s="762">
        <v>0</v>
      </c>
      <c r="Q66" s="762">
        <v>0</v>
      </c>
      <c r="R66" s="762">
        <v>0</v>
      </c>
      <c r="S66" s="762">
        <v>0</v>
      </c>
      <c r="T66" s="762">
        <v>0</v>
      </c>
      <c r="U66" s="762">
        <v>0</v>
      </c>
      <c r="V66" s="762">
        <v>0</v>
      </c>
      <c r="W66" s="762">
        <v>0</v>
      </c>
      <c r="X66" s="935">
        <v>0</v>
      </c>
      <c r="Y66" s="744">
        <f t="shared" si="104"/>
        <v>0</v>
      </c>
      <c r="Z66" s="888">
        <f t="shared" si="111"/>
        <v>0</v>
      </c>
      <c r="AA66" s="874"/>
      <c r="AB66" s="762">
        <v>-53</v>
      </c>
      <c r="AC66" s="762">
        <v>-56</v>
      </c>
      <c r="AD66" s="762">
        <v>-42</v>
      </c>
      <c r="AE66" s="762">
        <v>-65</v>
      </c>
      <c r="AF66" s="762">
        <v>-348</v>
      </c>
      <c r="AG66" s="762">
        <v>-58</v>
      </c>
      <c r="AH66" s="762">
        <v>-55</v>
      </c>
      <c r="AI66" s="762">
        <v>0</v>
      </c>
      <c r="AJ66" s="935">
        <v>-76</v>
      </c>
      <c r="AK66" s="744">
        <f t="shared" si="105"/>
        <v>-753</v>
      </c>
      <c r="AL66" s="888">
        <f t="shared" si="50"/>
        <v>-1.471435969086166E-3</v>
      </c>
      <c r="AM66" s="874"/>
      <c r="AN66" s="762">
        <v>0</v>
      </c>
      <c r="AO66" s="762">
        <v>0</v>
      </c>
      <c r="AP66" s="762">
        <v>0</v>
      </c>
      <c r="AQ66" s="762">
        <v>0</v>
      </c>
      <c r="AR66" s="762">
        <v>0</v>
      </c>
      <c r="AS66" s="762">
        <v>0</v>
      </c>
      <c r="AT66" s="762">
        <v>0</v>
      </c>
      <c r="AU66" s="762">
        <v>0</v>
      </c>
      <c r="AV66" s="935">
        <v>0</v>
      </c>
      <c r="AW66" s="744">
        <f t="shared" si="106"/>
        <v>0</v>
      </c>
      <c r="AX66" s="888">
        <f t="shared" si="52"/>
        <v>0</v>
      </c>
      <c r="AY66" s="874"/>
      <c r="AZ66" s="762">
        <v>-287</v>
      </c>
      <c r="BA66" s="762">
        <v>0</v>
      </c>
      <c r="BB66" s="762">
        <v>0</v>
      </c>
      <c r="BC66" s="762">
        <v>0</v>
      </c>
      <c r="BD66" s="762">
        <v>0</v>
      </c>
      <c r="BE66" s="762">
        <v>0</v>
      </c>
      <c r="BF66" s="762">
        <v>0</v>
      </c>
      <c r="BG66" s="762">
        <v>0</v>
      </c>
      <c r="BH66" s="935">
        <v>-1137</v>
      </c>
      <c r="BI66" s="744">
        <f t="shared" si="107"/>
        <v>-1424</v>
      </c>
      <c r="BJ66" s="888">
        <f t="shared" si="54"/>
        <v>-2.8712919200554903E-3</v>
      </c>
      <c r="BK66" s="874"/>
      <c r="BL66" s="762">
        <v>0</v>
      </c>
      <c r="BM66" s="762">
        <v>0</v>
      </c>
      <c r="BN66" s="762">
        <v>0</v>
      </c>
      <c r="BO66" s="762">
        <v>0</v>
      </c>
      <c r="BP66" s="762">
        <v>0</v>
      </c>
      <c r="BQ66" s="762">
        <v>0</v>
      </c>
      <c r="BR66" s="762">
        <v>0</v>
      </c>
      <c r="BS66" s="762">
        <v>0</v>
      </c>
      <c r="BT66" s="935">
        <v>0</v>
      </c>
      <c r="BU66" s="744">
        <f t="shared" si="108"/>
        <v>0</v>
      </c>
      <c r="BV66" s="888">
        <f t="shared" si="56"/>
        <v>0</v>
      </c>
      <c r="BW66" s="874"/>
      <c r="BX66" s="762">
        <v>0</v>
      </c>
      <c r="BY66" s="762">
        <v>0</v>
      </c>
      <c r="BZ66" s="762">
        <v>0</v>
      </c>
      <c r="CA66" s="762">
        <v>0</v>
      </c>
      <c r="CB66" s="762">
        <v>0</v>
      </c>
      <c r="CC66" s="762">
        <v>0</v>
      </c>
      <c r="CD66" s="762">
        <v>0</v>
      </c>
      <c r="CE66" s="762">
        <v>0</v>
      </c>
      <c r="CF66" s="935">
        <v>0</v>
      </c>
      <c r="CG66" s="744">
        <f t="shared" si="109"/>
        <v>0</v>
      </c>
      <c r="CH66" s="888">
        <f t="shared" si="58"/>
        <v>0</v>
      </c>
      <c r="CI66" s="874"/>
      <c r="CJ66" s="957">
        <f t="shared" si="101"/>
        <v>0</v>
      </c>
      <c r="CK66" s="965">
        <f t="shared" si="102"/>
        <v>0</v>
      </c>
      <c r="CL66" s="746"/>
      <c r="CM66" s="816">
        <f>-DATOS!D148</f>
        <v>-2176</v>
      </c>
      <c r="CN66" s="757">
        <f t="shared" si="85"/>
        <v>-7.1530346733165344E-4</v>
      </c>
      <c r="CO66" s="746"/>
      <c r="CP66" s="744">
        <f>-DATOS!F148</f>
        <v>0</v>
      </c>
      <c r="CQ66" s="756">
        <f t="shared" si="0"/>
        <v>0</v>
      </c>
      <c r="CR66" s="874"/>
      <c r="CS66" s="816">
        <f>-DATOS!G148</f>
        <v>-10730</v>
      </c>
      <c r="CT66" s="757">
        <f t="shared" si="115"/>
        <v>-3.6509855194020277E-3</v>
      </c>
      <c r="CU66" s="874"/>
      <c r="CV66" s="897">
        <f t="shared" si="113"/>
        <v>8554</v>
      </c>
      <c r="CW66" s="902">
        <f t="shared" si="1"/>
        <v>-0.79720410065237657</v>
      </c>
      <c r="CY66" s="750"/>
    </row>
    <row r="67" spans="1:103" hidden="1" outlineLevel="2">
      <c r="A67" s="739">
        <v>5235</v>
      </c>
      <c r="B67" s="836" t="s">
        <v>190</v>
      </c>
      <c r="C67" s="874"/>
      <c r="D67" s="772">
        <f>+SUM(D68:D85)</f>
        <v>-2110</v>
      </c>
      <c r="E67" s="772">
        <f t="shared" ref="E67:L67" si="116">+SUM(E68:E85)</f>
        <v>-4265</v>
      </c>
      <c r="F67" s="772">
        <f t="shared" si="116"/>
        <v>-3236</v>
      </c>
      <c r="G67" s="772">
        <f t="shared" si="116"/>
        <v>-5189</v>
      </c>
      <c r="H67" s="772">
        <f t="shared" si="116"/>
        <v>-9231</v>
      </c>
      <c r="I67" s="772">
        <f t="shared" si="116"/>
        <v>-3927</v>
      </c>
      <c r="J67" s="772">
        <f t="shared" si="116"/>
        <v>-4717</v>
      </c>
      <c r="K67" s="772">
        <f t="shared" si="116"/>
        <v>-3196</v>
      </c>
      <c r="L67" s="937">
        <f t="shared" si="116"/>
        <v>-4774</v>
      </c>
      <c r="M67" s="772">
        <f>+SUM(M68:M85)</f>
        <v>-40645</v>
      </c>
      <c r="N67" s="887">
        <f t="shared" si="114"/>
        <v>-8.0521981341960383E-2</v>
      </c>
      <c r="O67" s="874"/>
      <c r="P67" s="772">
        <f>+SUM(P68:P85)</f>
        <v>-2512</v>
      </c>
      <c r="Q67" s="772">
        <f t="shared" ref="Q67:X67" si="117">+SUM(Q68:Q85)</f>
        <v>-4420</v>
      </c>
      <c r="R67" s="772">
        <f t="shared" si="117"/>
        <v>-2758</v>
      </c>
      <c r="S67" s="772">
        <f t="shared" si="117"/>
        <v>-4561</v>
      </c>
      <c r="T67" s="772">
        <f t="shared" si="117"/>
        <v>-8657</v>
      </c>
      <c r="U67" s="772">
        <f t="shared" si="117"/>
        <v>-3643</v>
      </c>
      <c r="V67" s="772">
        <f t="shared" si="117"/>
        <v>-3897</v>
      </c>
      <c r="W67" s="772">
        <f t="shared" si="117"/>
        <v>0</v>
      </c>
      <c r="X67" s="937">
        <f t="shared" si="117"/>
        <v>-4036</v>
      </c>
      <c r="Y67" s="772">
        <f>+SUM(Y68:Y85)</f>
        <v>-34484</v>
      </c>
      <c r="Z67" s="887">
        <f t="shared" si="111"/>
        <v>-6.5523806628385542E-2</v>
      </c>
      <c r="AA67" s="874"/>
      <c r="AB67" s="772">
        <f>+SUM(AB68:AB85)</f>
        <v>-1909</v>
      </c>
      <c r="AC67" s="772">
        <f t="shared" ref="AC67:AJ67" si="118">+SUM(AC68:AC85)</f>
        <v>-3575</v>
      </c>
      <c r="AD67" s="772">
        <f t="shared" si="118"/>
        <v>-4531</v>
      </c>
      <c r="AE67" s="772">
        <f t="shared" si="118"/>
        <v>-4715</v>
      </c>
      <c r="AF67" s="772">
        <f t="shared" si="118"/>
        <v>-13212</v>
      </c>
      <c r="AG67" s="772">
        <f t="shared" si="118"/>
        <v>-3642</v>
      </c>
      <c r="AH67" s="772">
        <f t="shared" si="118"/>
        <v>-3951</v>
      </c>
      <c r="AI67" s="772">
        <f t="shared" si="118"/>
        <v>-2390</v>
      </c>
      <c r="AJ67" s="937">
        <f t="shared" si="118"/>
        <v>-3476</v>
      </c>
      <c r="AK67" s="772">
        <f>+SUM(AK68:AK85)</f>
        <v>-41401</v>
      </c>
      <c r="AL67" s="887">
        <f t="shared" si="50"/>
        <v>-8.0901620924483872E-2</v>
      </c>
      <c r="AM67" s="874"/>
      <c r="AN67" s="772">
        <f>+SUM(AN68:AN85)</f>
        <v>-2166</v>
      </c>
      <c r="AO67" s="772">
        <f t="shared" ref="AO67:AV67" si="119">+SUM(AO68:AO85)</f>
        <v>-3839</v>
      </c>
      <c r="AP67" s="772">
        <f t="shared" si="119"/>
        <v>-3266</v>
      </c>
      <c r="AQ67" s="772">
        <f t="shared" si="119"/>
        <v>-6073</v>
      </c>
      <c r="AR67" s="772">
        <f t="shared" si="119"/>
        <v>-12567</v>
      </c>
      <c r="AS67" s="772">
        <f t="shared" si="119"/>
        <v>-4098</v>
      </c>
      <c r="AT67" s="772">
        <f t="shared" si="119"/>
        <v>-4414</v>
      </c>
      <c r="AU67" s="772">
        <f t="shared" si="119"/>
        <v>0</v>
      </c>
      <c r="AV67" s="937">
        <f t="shared" si="119"/>
        <v>-4327</v>
      </c>
      <c r="AW67" s="772">
        <f>+SUM(AW68:AW85)</f>
        <v>-40750</v>
      </c>
      <c r="AX67" s="887">
        <f t="shared" si="52"/>
        <v>-7.6738527825484348E-2</v>
      </c>
      <c r="AY67" s="874"/>
      <c r="AZ67" s="772">
        <f>+SUM(AZ68:AZ85)</f>
        <v>-1919</v>
      </c>
      <c r="BA67" s="772">
        <f t="shared" ref="BA67:BH67" si="120">+SUM(BA68:BA85)</f>
        <v>-3650</v>
      </c>
      <c r="BB67" s="772">
        <f t="shared" si="120"/>
        <v>-2858</v>
      </c>
      <c r="BC67" s="772">
        <f t="shared" si="120"/>
        <v>-8500</v>
      </c>
      <c r="BD67" s="772">
        <f t="shared" si="120"/>
        <v>-14495</v>
      </c>
      <c r="BE67" s="772">
        <f t="shared" si="120"/>
        <v>-3776</v>
      </c>
      <c r="BF67" s="772">
        <f t="shared" si="120"/>
        <v>-4812</v>
      </c>
      <c r="BG67" s="772">
        <f t="shared" si="120"/>
        <v>0</v>
      </c>
      <c r="BH67" s="937">
        <f t="shared" si="120"/>
        <v>-3443</v>
      </c>
      <c r="BI67" s="772">
        <f>+SUM(BI68:BI85)</f>
        <v>-43453</v>
      </c>
      <c r="BJ67" s="887">
        <f t="shared" si="54"/>
        <v>-8.7616747052086524E-2</v>
      </c>
      <c r="BK67" s="874"/>
      <c r="BL67" s="772">
        <f>+SUM(BL68:BL85)</f>
        <v>-2755</v>
      </c>
      <c r="BM67" s="772">
        <f t="shared" ref="BM67:BT67" si="121">+SUM(BM68:BM85)</f>
        <v>-4444</v>
      </c>
      <c r="BN67" s="772">
        <f t="shared" si="121"/>
        <v>-3059</v>
      </c>
      <c r="BO67" s="772">
        <f t="shared" si="121"/>
        <v>-8960</v>
      </c>
      <c r="BP67" s="772">
        <f t="shared" si="121"/>
        <v>-34831</v>
      </c>
      <c r="BQ67" s="772">
        <f t="shared" si="121"/>
        <v>-3855</v>
      </c>
      <c r="BR67" s="772">
        <f t="shared" si="121"/>
        <v>-4099</v>
      </c>
      <c r="BS67" s="772">
        <f t="shared" si="121"/>
        <v>-20108</v>
      </c>
      <c r="BT67" s="937">
        <f t="shared" si="121"/>
        <v>-3476</v>
      </c>
      <c r="BU67" s="772">
        <f>+SUM(BU68:BU85)</f>
        <v>-85587</v>
      </c>
      <c r="BV67" s="887">
        <f t="shared" si="56"/>
        <v>-0.17218160676277577</v>
      </c>
      <c r="BW67" s="874"/>
      <c r="BX67" s="772">
        <f>+SUM(BX68:BX85)</f>
        <v>-2731</v>
      </c>
      <c r="BY67" s="772">
        <f t="shared" ref="BY67:CF67" si="122">+SUM(BY68:BY85)</f>
        <v>-3939</v>
      </c>
      <c r="BZ67" s="772">
        <f t="shared" si="122"/>
        <v>-2834</v>
      </c>
      <c r="CA67" s="772">
        <f t="shared" si="122"/>
        <v>-7144</v>
      </c>
      <c r="CB67" s="772">
        <f t="shared" si="122"/>
        <v>-8928</v>
      </c>
      <c r="CC67" s="772">
        <f t="shared" si="122"/>
        <v>-3787</v>
      </c>
      <c r="CD67" s="772">
        <f t="shared" si="122"/>
        <v>-4104</v>
      </c>
      <c r="CE67" s="772">
        <f t="shared" si="122"/>
        <v>0</v>
      </c>
      <c r="CF67" s="937">
        <f t="shared" si="122"/>
        <v>-3204</v>
      </c>
      <c r="CG67" s="772">
        <f>+SUM(CG68:CG85)</f>
        <v>-36671</v>
      </c>
      <c r="CH67" s="887">
        <f t="shared" si="58"/>
        <v>-7.639982666233322E-2</v>
      </c>
      <c r="CI67" s="874"/>
      <c r="CJ67" s="966">
        <f t="shared" si="101"/>
        <v>48916</v>
      </c>
      <c r="CK67" s="964">
        <f t="shared" si="102"/>
        <v>-0.57153539673081188</v>
      </c>
      <c r="CL67" s="746"/>
      <c r="CM67" s="773">
        <f>+SUM(CM68:CM85)</f>
        <v>-282241.5</v>
      </c>
      <c r="CN67" s="757">
        <f t="shared" si="85"/>
        <v>-9.2779560466400207E-2</v>
      </c>
      <c r="CO67" s="746"/>
      <c r="CP67" s="772">
        <f>+SUM(CP68:CP85)</f>
        <v>-63050.5</v>
      </c>
      <c r="CQ67" s="756">
        <f t="shared" si="0"/>
        <v>-0.12238146027777751</v>
      </c>
      <c r="CR67" s="874"/>
      <c r="CS67" s="773">
        <f>+SUM(CS68:CS85)</f>
        <v>-285521</v>
      </c>
      <c r="CT67" s="757">
        <f t="shared" si="115"/>
        <v>-9.7151261555003393E-2</v>
      </c>
      <c r="CU67" s="874"/>
      <c r="CV67" s="908">
        <f t="shared" si="113"/>
        <v>3279.5</v>
      </c>
      <c r="CW67" s="902">
        <f t="shared" si="1"/>
        <v>-1.1486020292728031E-2</v>
      </c>
      <c r="CY67" s="750"/>
    </row>
    <row r="68" spans="1:103" hidden="1" outlineLevel="2">
      <c r="A68" s="734">
        <v>52350501</v>
      </c>
      <c r="B68" s="833" t="s">
        <v>853</v>
      </c>
      <c r="C68" s="874"/>
      <c r="D68" s="762">
        <v>-54</v>
      </c>
      <c r="E68" s="762">
        <v>-81</v>
      </c>
      <c r="F68" s="762">
        <v>-62</v>
      </c>
      <c r="G68" s="762">
        <v>-72</v>
      </c>
      <c r="H68" s="762">
        <v>-418</v>
      </c>
      <c r="I68" s="762">
        <v>-51</v>
      </c>
      <c r="J68" s="762">
        <v>-81</v>
      </c>
      <c r="K68" s="762">
        <v>-86</v>
      </c>
      <c r="L68" s="935">
        <v>0</v>
      </c>
      <c r="M68" s="744">
        <f t="shared" ref="M68:M93" si="123">SUM(D68:L68)</f>
        <v>-905</v>
      </c>
      <c r="N68" s="888">
        <f t="shared" si="114"/>
        <v>-1.792899326226452E-3</v>
      </c>
      <c r="O68" s="874"/>
      <c r="P68" s="762">
        <v>-59</v>
      </c>
      <c r="Q68" s="762">
        <v>-81</v>
      </c>
      <c r="R68" s="762">
        <v>-66</v>
      </c>
      <c r="S68" s="762">
        <v>-72</v>
      </c>
      <c r="T68" s="762">
        <v>-400</v>
      </c>
      <c r="U68" s="762">
        <v>-50</v>
      </c>
      <c r="V68" s="762">
        <v>-81</v>
      </c>
      <c r="W68" s="762">
        <v>0</v>
      </c>
      <c r="X68" s="935">
        <v>0</v>
      </c>
      <c r="Y68" s="744">
        <f t="shared" ref="Y68:Y93" si="124">SUM(P68:X68)</f>
        <v>-809</v>
      </c>
      <c r="Z68" s="888">
        <f t="shared" si="111"/>
        <v>-1.5371986881557796E-3</v>
      </c>
      <c r="AA68" s="874"/>
      <c r="AB68" s="762">
        <v>-42</v>
      </c>
      <c r="AC68" s="762">
        <v>-81</v>
      </c>
      <c r="AD68" s="762">
        <v>-63</v>
      </c>
      <c r="AE68" s="762">
        <v>-72</v>
      </c>
      <c r="AF68" s="762">
        <v>-400</v>
      </c>
      <c r="AG68" s="762">
        <v>-51</v>
      </c>
      <c r="AH68" s="762">
        <v>-81</v>
      </c>
      <c r="AI68" s="762">
        <v>-173</v>
      </c>
      <c r="AJ68" s="935">
        <v>0</v>
      </c>
      <c r="AK68" s="744">
        <f t="shared" ref="AK68:AK93" si="125">SUM(AB68:AJ68)</f>
        <v>-963</v>
      </c>
      <c r="AL68" s="888">
        <f t="shared" si="50"/>
        <v>-1.8817965979149771E-3</v>
      </c>
      <c r="AM68" s="874"/>
      <c r="AN68" s="762">
        <v>-60</v>
      </c>
      <c r="AO68" s="762">
        <v>-89</v>
      </c>
      <c r="AP68" s="762">
        <v>-70</v>
      </c>
      <c r="AQ68" s="762">
        <v>-83</v>
      </c>
      <c r="AR68" s="762">
        <v>-434</v>
      </c>
      <c r="AS68" s="762">
        <v>-56</v>
      </c>
      <c r="AT68" s="762">
        <v>-89</v>
      </c>
      <c r="AU68" s="762">
        <v>0</v>
      </c>
      <c r="AV68" s="935">
        <v>0</v>
      </c>
      <c r="AW68" s="744">
        <f t="shared" ref="AW68:AW93" si="126">SUM(AN68:AV68)</f>
        <v>-881</v>
      </c>
      <c r="AX68" s="888">
        <f t="shared" si="52"/>
        <v>-1.6590587242761156E-3</v>
      </c>
      <c r="AY68" s="874"/>
      <c r="AZ68" s="762">
        <v>-71</v>
      </c>
      <c r="BA68" s="762">
        <v>-90</v>
      </c>
      <c r="BB68" s="762">
        <v>-74</v>
      </c>
      <c r="BC68" s="762">
        <v>-83</v>
      </c>
      <c r="BD68" s="762">
        <v>-434</v>
      </c>
      <c r="BE68" s="762">
        <v>-57</v>
      </c>
      <c r="BF68" s="762">
        <v>-90</v>
      </c>
      <c r="BG68" s="762">
        <v>0</v>
      </c>
      <c r="BH68" s="935">
        <v>0</v>
      </c>
      <c r="BI68" s="744">
        <f t="shared" ref="BI68:BI93" si="127">SUM(AZ68:BH68)</f>
        <v>-899</v>
      </c>
      <c r="BJ68" s="888">
        <f t="shared" si="54"/>
        <v>-1.8127046602035713E-3</v>
      </c>
      <c r="BK68" s="874"/>
      <c r="BL68" s="762">
        <v>-63</v>
      </c>
      <c r="BM68" s="762">
        <v>-90</v>
      </c>
      <c r="BN68" s="762">
        <v>-72</v>
      </c>
      <c r="BO68" s="762">
        <v>-84</v>
      </c>
      <c r="BP68" s="762">
        <v>-345</v>
      </c>
      <c r="BQ68" s="762">
        <v>-57</v>
      </c>
      <c r="BR68" s="762">
        <v>-91</v>
      </c>
      <c r="BS68" s="762">
        <v>0</v>
      </c>
      <c r="BT68" s="935">
        <v>0</v>
      </c>
      <c r="BU68" s="744">
        <f t="shared" ref="BU68:BU93" si="128">SUM(BL68:BT68)</f>
        <v>-802</v>
      </c>
      <c r="BV68" s="888">
        <f t="shared" si="56"/>
        <v>-1.6134418617751078E-3</v>
      </c>
      <c r="BW68" s="874"/>
      <c r="BX68" s="762">
        <v>-65</v>
      </c>
      <c r="BY68" s="762">
        <v>-92</v>
      </c>
      <c r="BZ68" s="762">
        <v>-71</v>
      </c>
      <c r="CA68" s="762">
        <v>-89</v>
      </c>
      <c r="CB68" s="762">
        <v>-439</v>
      </c>
      <c r="CC68" s="762">
        <v>-58</v>
      </c>
      <c r="CD68" s="762">
        <v>-92</v>
      </c>
      <c r="CE68" s="762">
        <v>0</v>
      </c>
      <c r="CF68" s="935">
        <v>0</v>
      </c>
      <c r="CG68" s="744">
        <f t="shared" ref="CG68:CG93" si="129">SUM(BX68:CF68)</f>
        <v>-906</v>
      </c>
      <c r="CH68" s="888">
        <f t="shared" si="58"/>
        <v>-1.8875471886797171E-3</v>
      </c>
      <c r="CI68" s="874"/>
      <c r="CJ68" s="957">
        <f t="shared" si="101"/>
        <v>-104</v>
      </c>
      <c r="CK68" s="965">
        <f t="shared" si="102"/>
        <v>0.12967581047381546</v>
      </c>
      <c r="CL68" s="746"/>
      <c r="CM68" s="816">
        <f>-DATOS!D150</f>
        <v>-5256.5</v>
      </c>
      <c r="CN68" s="757">
        <f t="shared" si="85"/>
        <v>-1.7279378106750166E-3</v>
      </c>
      <c r="CO68" s="746"/>
      <c r="CP68" s="744">
        <f>-DATOS!F150</f>
        <v>-571.5</v>
      </c>
      <c r="CQ68" s="756">
        <f t="shared" si="0"/>
        <v>-1.1092854862173947E-3</v>
      </c>
      <c r="CR68" s="874"/>
      <c r="CS68" s="816">
        <f>-DATOS!G150</f>
        <v>-4638</v>
      </c>
      <c r="CT68" s="757">
        <f t="shared" si="115"/>
        <v>-1.5781240297284814E-3</v>
      </c>
      <c r="CU68" s="874"/>
      <c r="CV68" s="897">
        <f t="shared" si="113"/>
        <v>-618.5</v>
      </c>
      <c r="CW68" s="902">
        <f t="shared" si="1"/>
        <v>0.13335489435101336</v>
      </c>
      <c r="CY68" s="750"/>
    </row>
    <row r="69" spans="1:103" hidden="1" outlineLevel="2">
      <c r="A69" s="734">
        <v>52351001</v>
      </c>
      <c r="B69" s="833" t="s">
        <v>854</v>
      </c>
      <c r="C69" s="874"/>
      <c r="D69" s="762">
        <v>0</v>
      </c>
      <c r="E69" s="762">
        <v>0</v>
      </c>
      <c r="F69" s="762">
        <v>0</v>
      </c>
      <c r="G69" s="762">
        <v>0</v>
      </c>
      <c r="H69" s="762">
        <v>30</v>
      </c>
      <c r="I69" s="762">
        <v>0</v>
      </c>
      <c r="J69" s="762">
        <v>0</v>
      </c>
      <c r="K69" s="762">
        <v>0</v>
      </c>
      <c r="L69" s="935">
        <v>0</v>
      </c>
      <c r="M69" s="744">
        <f t="shared" si="123"/>
        <v>30</v>
      </c>
      <c r="N69" s="888">
        <f t="shared" si="114"/>
        <v>5.9433126836235984E-5</v>
      </c>
      <c r="O69" s="874"/>
      <c r="P69" s="762">
        <v>0</v>
      </c>
      <c r="Q69" s="762">
        <v>0</v>
      </c>
      <c r="R69" s="762">
        <v>0</v>
      </c>
      <c r="S69" s="762">
        <v>0</v>
      </c>
      <c r="T69" s="762">
        <v>0</v>
      </c>
      <c r="U69" s="762">
        <v>0</v>
      </c>
      <c r="V69" s="762">
        <v>0</v>
      </c>
      <c r="W69" s="762">
        <v>0</v>
      </c>
      <c r="X69" s="935">
        <v>0</v>
      </c>
      <c r="Y69" s="744">
        <f t="shared" si="124"/>
        <v>0</v>
      </c>
      <c r="Z69" s="888">
        <f t="shared" si="111"/>
        <v>0</v>
      </c>
      <c r="AA69" s="874"/>
      <c r="AB69" s="762">
        <v>0</v>
      </c>
      <c r="AC69" s="762">
        <v>0</v>
      </c>
      <c r="AD69" s="762">
        <v>0</v>
      </c>
      <c r="AE69" s="762">
        <v>0</v>
      </c>
      <c r="AF69" s="762">
        <v>0</v>
      </c>
      <c r="AG69" s="762">
        <v>0</v>
      </c>
      <c r="AH69" s="762">
        <v>0</v>
      </c>
      <c r="AI69" s="762">
        <v>0</v>
      </c>
      <c r="AJ69" s="935">
        <v>0</v>
      </c>
      <c r="AK69" s="744">
        <f t="shared" si="125"/>
        <v>0</v>
      </c>
      <c r="AL69" s="888">
        <f t="shared" si="50"/>
        <v>0</v>
      </c>
      <c r="AM69" s="874"/>
      <c r="AN69" s="762">
        <v>0</v>
      </c>
      <c r="AO69" s="762">
        <v>0</v>
      </c>
      <c r="AP69" s="762">
        <v>0</v>
      </c>
      <c r="AQ69" s="762">
        <v>0</v>
      </c>
      <c r="AR69" s="762">
        <v>0</v>
      </c>
      <c r="AS69" s="762">
        <v>0</v>
      </c>
      <c r="AT69" s="762">
        <v>0</v>
      </c>
      <c r="AU69" s="762">
        <v>0</v>
      </c>
      <c r="AV69" s="935">
        <v>0</v>
      </c>
      <c r="AW69" s="744">
        <f t="shared" si="126"/>
        <v>0</v>
      </c>
      <c r="AX69" s="888">
        <f t="shared" si="52"/>
        <v>0</v>
      </c>
      <c r="AY69" s="874"/>
      <c r="AZ69" s="762">
        <v>0</v>
      </c>
      <c r="BA69" s="762">
        <v>0</v>
      </c>
      <c r="BB69" s="762">
        <v>0</v>
      </c>
      <c r="BC69" s="762">
        <v>0</v>
      </c>
      <c r="BD69" s="762">
        <v>0</v>
      </c>
      <c r="BE69" s="762">
        <v>0</v>
      </c>
      <c r="BF69" s="762">
        <v>0</v>
      </c>
      <c r="BG69" s="762">
        <v>0</v>
      </c>
      <c r="BH69" s="935">
        <v>0</v>
      </c>
      <c r="BI69" s="744">
        <f t="shared" si="127"/>
        <v>0</v>
      </c>
      <c r="BJ69" s="888">
        <f t="shared" si="54"/>
        <v>0</v>
      </c>
      <c r="BK69" s="874"/>
      <c r="BL69" s="762">
        <v>0</v>
      </c>
      <c r="BM69" s="762">
        <v>0</v>
      </c>
      <c r="BN69" s="762">
        <v>0</v>
      </c>
      <c r="BO69" s="762">
        <v>0</v>
      </c>
      <c r="BP69" s="762">
        <v>0</v>
      </c>
      <c r="BQ69" s="762">
        <v>0</v>
      </c>
      <c r="BR69" s="762">
        <v>0</v>
      </c>
      <c r="BS69" s="762">
        <v>0</v>
      </c>
      <c r="BT69" s="935">
        <v>0</v>
      </c>
      <c r="BU69" s="744">
        <f t="shared" si="128"/>
        <v>0</v>
      </c>
      <c r="BV69" s="888">
        <f t="shared" si="56"/>
        <v>0</v>
      </c>
      <c r="BW69" s="874"/>
      <c r="BX69" s="762">
        <v>0</v>
      </c>
      <c r="BY69" s="762">
        <v>0</v>
      </c>
      <c r="BZ69" s="762">
        <v>0</v>
      </c>
      <c r="CA69" s="762">
        <v>0</v>
      </c>
      <c r="CB69" s="762">
        <v>0</v>
      </c>
      <c r="CC69" s="762">
        <v>0</v>
      </c>
      <c r="CD69" s="762">
        <v>0</v>
      </c>
      <c r="CE69" s="762">
        <v>0</v>
      </c>
      <c r="CF69" s="935">
        <v>0</v>
      </c>
      <c r="CG69" s="744">
        <f t="shared" si="129"/>
        <v>0</v>
      </c>
      <c r="CH69" s="888">
        <f t="shared" si="58"/>
        <v>0</v>
      </c>
      <c r="CI69" s="874"/>
      <c r="CJ69" s="957">
        <f t="shared" si="101"/>
        <v>0</v>
      </c>
      <c r="CK69" s="965">
        <f t="shared" si="102"/>
        <v>0</v>
      </c>
      <c r="CL69" s="746"/>
      <c r="CM69" s="816">
        <f>-DATOS!D151</f>
        <v>0</v>
      </c>
      <c r="CN69" s="757">
        <f t="shared" si="85"/>
        <v>0</v>
      </c>
      <c r="CO69" s="746"/>
      <c r="CP69" s="744">
        <f>-DATOS!F151</f>
        <v>-10892</v>
      </c>
      <c r="CQ69" s="756">
        <f t="shared" si="0"/>
        <v>-2.1141447971793285E-2</v>
      </c>
      <c r="CR69" s="874"/>
      <c r="CS69" s="816">
        <f>-DATOS!G151</f>
        <v>-26366</v>
      </c>
      <c r="CT69" s="757">
        <f t="shared" si="115"/>
        <v>-8.9712846416173213E-3</v>
      </c>
      <c r="CU69" s="874"/>
      <c r="CV69" s="897">
        <f t="shared" si="113"/>
        <v>26366</v>
      </c>
      <c r="CW69" s="902">
        <f t="shared" si="1"/>
        <v>-1</v>
      </c>
      <c r="CY69" s="750"/>
    </row>
    <row r="70" spans="1:103" hidden="1" outlineLevel="2">
      <c r="A70" s="734">
        <v>52351002</v>
      </c>
      <c r="B70" s="833" t="s">
        <v>855</v>
      </c>
      <c r="C70" s="874"/>
      <c r="D70" s="762">
        <v>0</v>
      </c>
      <c r="E70" s="762">
        <v>0</v>
      </c>
      <c r="F70" s="762">
        <v>0</v>
      </c>
      <c r="G70" s="762">
        <v>0</v>
      </c>
      <c r="H70" s="762">
        <v>0</v>
      </c>
      <c r="I70" s="762">
        <v>0</v>
      </c>
      <c r="J70" s="762">
        <v>0</v>
      </c>
      <c r="K70" s="762">
        <v>0</v>
      </c>
      <c r="L70" s="935">
        <v>0</v>
      </c>
      <c r="M70" s="744">
        <f t="shared" si="123"/>
        <v>0</v>
      </c>
      <c r="N70" s="888">
        <f t="shared" si="114"/>
        <v>0</v>
      </c>
      <c r="O70" s="874"/>
      <c r="P70" s="762">
        <v>0</v>
      </c>
      <c r="Q70" s="762">
        <v>0</v>
      </c>
      <c r="R70" s="762">
        <v>0</v>
      </c>
      <c r="S70" s="762">
        <v>0</v>
      </c>
      <c r="T70" s="762">
        <v>0</v>
      </c>
      <c r="U70" s="762">
        <v>0</v>
      </c>
      <c r="V70" s="762">
        <v>0</v>
      </c>
      <c r="W70" s="762">
        <v>0</v>
      </c>
      <c r="X70" s="935">
        <v>0</v>
      </c>
      <c r="Y70" s="744">
        <f t="shared" si="124"/>
        <v>0</v>
      </c>
      <c r="Z70" s="888">
        <f t="shared" si="111"/>
        <v>0</v>
      </c>
      <c r="AA70" s="874"/>
      <c r="AB70" s="762">
        <v>0</v>
      </c>
      <c r="AC70" s="762">
        <v>0</v>
      </c>
      <c r="AD70" s="762">
        <v>0</v>
      </c>
      <c r="AE70" s="762">
        <v>0</v>
      </c>
      <c r="AF70" s="762">
        <v>0</v>
      </c>
      <c r="AG70" s="762">
        <v>0</v>
      </c>
      <c r="AH70" s="762">
        <v>0</v>
      </c>
      <c r="AI70" s="762">
        <v>0</v>
      </c>
      <c r="AJ70" s="935">
        <v>0</v>
      </c>
      <c r="AK70" s="744">
        <f t="shared" si="125"/>
        <v>0</v>
      </c>
      <c r="AL70" s="888">
        <f t="shared" si="50"/>
        <v>0</v>
      </c>
      <c r="AM70" s="874"/>
      <c r="AN70" s="762">
        <v>0</v>
      </c>
      <c r="AO70" s="762">
        <v>0</v>
      </c>
      <c r="AP70" s="762">
        <v>0</v>
      </c>
      <c r="AQ70" s="762">
        <v>0</v>
      </c>
      <c r="AR70" s="762">
        <v>0</v>
      </c>
      <c r="AS70" s="762">
        <v>0</v>
      </c>
      <c r="AT70" s="762">
        <v>0</v>
      </c>
      <c r="AU70" s="762">
        <v>0</v>
      </c>
      <c r="AV70" s="935">
        <v>0</v>
      </c>
      <c r="AW70" s="744">
        <f t="shared" si="126"/>
        <v>0</v>
      </c>
      <c r="AX70" s="888">
        <f t="shared" si="52"/>
        <v>0</v>
      </c>
      <c r="AY70" s="874"/>
      <c r="AZ70" s="762">
        <v>0</v>
      </c>
      <c r="BA70" s="762">
        <v>0</v>
      </c>
      <c r="BB70" s="762">
        <v>0</v>
      </c>
      <c r="BC70" s="762">
        <v>0</v>
      </c>
      <c r="BD70" s="762">
        <v>0</v>
      </c>
      <c r="BE70" s="762">
        <v>0</v>
      </c>
      <c r="BF70" s="762">
        <v>0</v>
      </c>
      <c r="BG70" s="762">
        <v>0</v>
      </c>
      <c r="BH70" s="935">
        <v>0</v>
      </c>
      <c r="BI70" s="744">
        <f t="shared" si="127"/>
        <v>0</v>
      </c>
      <c r="BJ70" s="888">
        <f t="shared" si="54"/>
        <v>0</v>
      </c>
      <c r="BK70" s="874"/>
      <c r="BL70" s="762">
        <v>0</v>
      </c>
      <c r="BM70" s="762">
        <v>0</v>
      </c>
      <c r="BN70" s="762">
        <v>0</v>
      </c>
      <c r="BO70" s="762">
        <v>0</v>
      </c>
      <c r="BP70" s="762">
        <v>0</v>
      </c>
      <c r="BQ70" s="762">
        <v>0</v>
      </c>
      <c r="BR70" s="762">
        <v>0</v>
      </c>
      <c r="BS70" s="762">
        <v>0</v>
      </c>
      <c r="BT70" s="935">
        <v>0</v>
      </c>
      <c r="BU70" s="744">
        <f t="shared" si="128"/>
        <v>0</v>
      </c>
      <c r="BV70" s="888">
        <f t="shared" si="56"/>
        <v>0</v>
      </c>
      <c r="BW70" s="874"/>
      <c r="BX70" s="762">
        <v>0</v>
      </c>
      <c r="BY70" s="762">
        <v>0</v>
      </c>
      <c r="BZ70" s="762">
        <v>0</v>
      </c>
      <c r="CA70" s="762">
        <v>0</v>
      </c>
      <c r="CB70" s="762">
        <v>0</v>
      </c>
      <c r="CC70" s="762">
        <v>0</v>
      </c>
      <c r="CD70" s="762">
        <v>0</v>
      </c>
      <c r="CE70" s="762">
        <v>0</v>
      </c>
      <c r="CF70" s="935">
        <v>0</v>
      </c>
      <c r="CG70" s="744">
        <f t="shared" si="129"/>
        <v>0</v>
      </c>
      <c r="CH70" s="888">
        <f t="shared" si="58"/>
        <v>0</v>
      </c>
      <c r="CI70" s="874"/>
      <c r="CJ70" s="957">
        <f t="shared" si="101"/>
        <v>0</v>
      </c>
      <c r="CK70" s="965">
        <f t="shared" si="102"/>
        <v>0</v>
      </c>
      <c r="CL70" s="746"/>
      <c r="CM70" s="816">
        <f>-DATOS!D152</f>
        <v>0</v>
      </c>
      <c r="CN70" s="757">
        <f t="shared" si="85"/>
        <v>0</v>
      </c>
      <c r="CO70" s="746"/>
      <c r="CP70" s="744">
        <f>-DATOS!F152</f>
        <v>-871</v>
      </c>
      <c r="CQ70" s="756">
        <f t="shared" si="0"/>
        <v>-1.6906170752324597E-3</v>
      </c>
      <c r="CR70" s="874"/>
      <c r="CS70" s="816">
        <f>-DATOS!G152</f>
        <v>-1903</v>
      </c>
      <c r="CT70" s="757">
        <f t="shared" si="115"/>
        <v>-6.4751402082218628E-4</v>
      </c>
      <c r="CU70" s="874"/>
      <c r="CV70" s="897">
        <f t="shared" si="113"/>
        <v>1903</v>
      </c>
      <c r="CW70" s="902">
        <f t="shared" si="1"/>
        <v>-1</v>
      </c>
      <c r="CY70" s="750"/>
    </row>
    <row r="71" spans="1:103" hidden="1" outlineLevel="2">
      <c r="A71" s="734">
        <v>52351502</v>
      </c>
      <c r="B71" s="833" t="s">
        <v>978</v>
      </c>
      <c r="C71" s="874"/>
      <c r="D71" s="762">
        <v>0</v>
      </c>
      <c r="E71" s="762">
        <v>0</v>
      </c>
      <c r="F71" s="762">
        <v>0</v>
      </c>
      <c r="G71" s="762">
        <v>0</v>
      </c>
      <c r="H71" s="762">
        <v>0</v>
      </c>
      <c r="I71" s="762">
        <v>0</v>
      </c>
      <c r="J71" s="762">
        <v>0</v>
      </c>
      <c r="K71" s="762">
        <v>0</v>
      </c>
      <c r="L71" s="935">
        <v>0</v>
      </c>
      <c r="M71" s="744">
        <f t="shared" si="123"/>
        <v>0</v>
      </c>
      <c r="N71" s="888">
        <f t="shared" si="114"/>
        <v>0</v>
      </c>
      <c r="O71" s="874"/>
      <c r="P71" s="762">
        <v>0</v>
      </c>
      <c r="Q71" s="762">
        <v>0</v>
      </c>
      <c r="R71" s="762">
        <v>0</v>
      </c>
      <c r="S71" s="762">
        <v>0</v>
      </c>
      <c r="T71" s="762">
        <v>0</v>
      </c>
      <c r="U71" s="762">
        <v>0</v>
      </c>
      <c r="V71" s="762">
        <v>0</v>
      </c>
      <c r="W71" s="762">
        <v>0</v>
      </c>
      <c r="X71" s="935">
        <v>0</v>
      </c>
      <c r="Y71" s="744">
        <f t="shared" si="124"/>
        <v>0</v>
      </c>
      <c r="Z71" s="888">
        <f t="shared" si="111"/>
        <v>0</v>
      </c>
      <c r="AA71" s="874"/>
      <c r="AB71" s="762">
        <v>0</v>
      </c>
      <c r="AC71" s="762">
        <v>0</v>
      </c>
      <c r="AD71" s="762">
        <v>0</v>
      </c>
      <c r="AE71" s="762">
        <v>0</v>
      </c>
      <c r="AF71" s="762">
        <v>0</v>
      </c>
      <c r="AG71" s="762">
        <v>-60</v>
      </c>
      <c r="AH71" s="762">
        <v>0</v>
      </c>
      <c r="AI71" s="762">
        <v>0</v>
      </c>
      <c r="AJ71" s="935">
        <v>0</v>
      </c>
      <c r="AK71" s="744">
        <f t="shared" si="125"/>
        <v>-60</v>
      </c>
      <c r="AL71" s="888">
        <f t="shared" si="50"/>
        <v>-1.1724589395108891E-4</v>
      </c>
      <c r="AM71" s="874"/>
      <c r="AN71" s="762">
        <v>0</v>
      </c>
      <c r="AO71" s="762">
        <v>0</v>
      </c>
      <c r="AP71" s="762">
        <v>0</v>
      </c>
      <c r="AQ71" s="762">
        <v>0</v>
      </c>
      <c r="AR71" s="762">
        <v>0</v>
      </c>
      <c r="AS71" s="762">
        <v>0</v>
      </c>
      <c r="AT71" s="762">
        <v>0</v>
      </c>
      <c r="AU71" s="762">
        <v>0</v>
      </c>
      <c r="AV71" s="935">
        <v>0</v>
      </c>
      <c r="AW71" s="744">
        <f t="shared" si="126"/>
        <v>0</v>
      </c>
      <c r="AX71" s="888">
        <f t="shared" si="52"/>
        <v>0</v>
      </c>
      <c r="AY71" s="874"/>
      <c r="AZ71" s="762">
        <v>0</v>
      </c>
      <c r="BA71" s="762">
        <v>0</v>
      </c>
      <c r="BB71" s="762">
        <v>0</v>
      </c>
      <c r="BC71" s="762">
        <v>0</v>
      </c>
      <c r="BD71" s="762">
        <v>0</v>
      </c>
      <c r="BE71" s="762">
        <v>0</v>
      </c>
      <c r="BF71" s="762">
        <v>0</v>
      </c>
      <c r="BG71" s="762">
        <v>0</v>
      </c>
      <c r="BH71" s="935">
        <v>0</v>
      </c>
      <c r="BI71" s="744">
        <f t="shared" si="127"/>
        <v>0</v>
      </c>
      <c r="BJ71" s="888">
        <f t="shared" si="54"/>
        <v>0</v>
      </c>
      <c r="BK71" s="874"/>
      <c r="BL71" s="762">
        <v>0</v>
      </c>
      <c r="BM71" s="762">
        <v>0</v>
      </c>
      <c r="BN71" s="762">
        <v>0</v>
      </c>
      <c r="BO71" s="762">
        <v>0</v>
      </c>
      <c r="BP71" s="762">
        <v>0</v>
      </c>
      <c r="BQ71" s="762">
        <v>0</v>
      </c>
      <c r="BR71" s="762">
        <v>0</v>
      </c>
      <c r="BS71" s="762">
        <v>0</v>
      </c>
      <c r="BT71" s="935">
        <v>0</v>
      </c>
      <c r="BU71" s="744">
        <f t="shared" si="128"/>
        <v>0</v>
      </c>
      <c r="BV71" s="888">
        <f t="shared" si="56"/>
        <v>0</v>
      </c>
      <c r="BW71" s="874"/>
      <c r="BX71" s="762">
        <v>0</v>
      </c>
      <c r="BY71" s="762">
        <v>0</v>
      </c>
      <c r="BZ71" s="762">
        <v>0</v>
      </c>
      <c r="CA71" s="762">
        <v>0</v>
      </c>
      <c r="CB71" s="762">
        <v>0</v>
      </c>
      <c r="CC71" s="762">
        <v>0</v>
      </c>
      <c r="CD71" s="762">
        <v>0</v>
      </c>
      <c r="CE71" s="762">
        <v>0</v>
      </c>
      <c r="CF71" s="935">
        <v>0</v>
      </c>
      <c r="CG71" s="744">
        <f t="shared" si="129"/>
        <v>0</v>
      </c>
      <c r="CH71" s="888">
        <f t="shared" si="58"/>
        <v>0</v>
      </c>
      <c r="CI71" s="874"/>
      <c r="CJ71" s="957">
        <f t="shared" si="101"/>
        <v>0</v>
      </c>
      <c r="CK71" s="965">
        <f t="shared" si="102"/>
        <v>0</v>
      </c>
      <c r="CL71" s="746"/>
      <c r="CM71" s="816">
        <f>-DATOS!D153</f>
        <v>-60</v>
      </c>
      <c r="CN71" s="757"/>
      <c r="CO71" s="746"/>
      <c r="CP71" s="744">
        <f>-+DATOS!F153</f>
        <v>0</v>
      </c>
      <c r="CQ71" s="756">
        <f t="shared" si="0"/>
        <v>0</v>
      </c>
      <c r="CR71" s="874"/>
      <c r="CS71" s="816">
        <f>+-DATOS!G153</f>
        <v>0</v>
      </c>
      <c r="CT71" s="757"/>
      <c r="CU71" s="874"/>
      <c r="CV71" s="897"/>
      <c r="CW71" s="902"/>
      <c r="CY71" s="750"/>
    </row>
    <row r="72" spans="1:103" hidden="1" outlineLevel="2">
      <c r="A72" s="734">
        <v>52352001</v>
      </c>
      <c r="B72" s="833" t="s">
        <v>852</v>
      </c>
      <c r="C72" s="874"/>
      <c r="D72" s="762">
        <v>-336</v>
      </c>
      <c r="E72" s="762">
        <v>-336</v>
      </c>
      <c r="F72" s="762">
        <v>-436</v>
      </c>
      <c r="G72" s="762">
        <v>-436</v>
      </c>
      <c r="H72" s="762">
        <v>-436</v>
      </c>
      <c r="I72" s="762">
        <v>-336</v>
      </c>
      <c r="J72" s="762">
        <v>-336</v>
      </c>
      <c r="K72" s="762">
        <v>-336</v>
      </c>
      <c r="L72" s="935">
        <v>-436</v>
      </c>
      <c r="M72" s="744">
        <f t="shared" si="123"/>
        <v>-3424</v>
      </c>
      <c r="N72" s="888">
        <f t="shared" si="114"/>
        <v>-6.7833008762423997E-3</v>
      </c>
      <c r="O72" s="874"/>
      <c r="P72" s="762">
        <v>-395</v>
      </c>
      <c r="Q72" s="762">
        <v>-395</v>
      </c>
      <c r="R72" s="762">
        <v>-495</v>
      </c>
      <c r="S72" s="762">
        <v>-495</v>
      </c>
      <c r="T72" s="762">
        <v>-495</v>
      </c>
      <c r="U72" s="762">
        <v>-395</v>
      </c>
      <c r="V72" s="762">
        <v>-395</v>
      </c>
      <c r="W72" s="762">
        <v>0</v>
      </c>
      <c r="X72" s="935">
        <v>-495</v>
      </c>
      <c r="Y72" s="744">
        <f t="shared" si="124"/>
        <v>-3560</v>
      </c>
      <c r="Z72" s="888">
        <f t="shared" si="111"/>
        <v>-6.7644342766805627E-3</v>
      </c>
      <c r="AA72" s="874"/>
      <c r="AB72" s="762">
        <v>-396</v>
      </c>
      <c r="AC72" s="762">
        <v>-396</v>
      </c>
      <c r="AD72" s="762">
        <v>-496</v>
      </c>
      <c r="AE72" s="762">
        <v>-496</v>
      </c>
      <c r="AF72" s="762">
        <v>-496</v>
      </c>
      <c r="AG72" s="762">
        <v>-396</v>
      </c>
      <c r="AH72" s="762">
        <v>-396</v>
      </c>
      <c r="AI72" s="762">
        <v>0</v>
      </c>
      <c r="AJ72" s="935">
        <v>-496</v>
      </c>
      <c r="AK72" s="744">
        <f t="shared" si="125"/>
        <v>-3568</v>
      </c>
      <c r="AL72" s="888">
        <f t="shared" si="50"/>
        <v>-6.9722224936247549E-3</v>
      </c>
      <c r="AM72" s="874"/>
      <c r="AN72" s="762">
        <v>-396</v>
      </c>
      <c r="AO72" s="762">
        <v>-396</v>
      </c>
      <c r="AP72" s="762">
        <v>-496</v>
      </c>
      <c r="AQ72" s="762">
        <v>-496</v>
      </c>
      <c r="AR72" s="762">
        <v>-496</v>
      </c>
      <c r="AS72" s="762">
        <v>-396</v>
      </c>
      <c r="AT72" s="762">
        <v>-396</v>
      </c>
      <c r="AU72" s="762">
        <v>0</v>
      </c>
      <c r="AV72" s="935">
        <v>-496</v>
      </c>
      <c r="AW72" s="744">
        <f t="shared" si="126"/>
        <v>-3568</v>
      </c>
      <c r="AX72" s="888">
        <f t="shared" si="52"/>
        <v>-6.7190936756154149E-3</v>
      </c>
      <c r="AY72" s="874"/>
      <c r="AZ72" s="762">
        <v>-396</v>
      </c>
      <c r="BA72" s="762">
        <v>-396</v>
      </c>
      <c r="BB72" s="762">
        <v>-396</v>
      </c>
      <c r="BC72" s="762">
        <v>-396</v>
      </c>
      <c r="BD72" s="762">
        <v>-921</v>
      </c>
      <c r="BE72" s="762">
        <v>-396</v>
      </c>
      <c r="BF72" s="762">
        <v>-396</v>
      </c>
      <c r="BG72" s="762">
        <v>0</v>
      </c>
      <c r="BH72" s="935">
        <v>-396</v>
      </c>
      <c r="BI72" s="744">
        <f t="shared" si="127"/>
        <v>-3693</v>
      </c>
      <c r="BJ72" s="888">
        <f t="shared" si="54"/>
        <v>-7.4464052393012113E-3</v>
      </c>
      <c r="BK72" s="874"/>
      <c r="BL72" s="762">
        <v>-395</v>
      </c>
      <c r="BM72" s="762">
        <v>-395</v>
      </c>
      <c r="BN72" s="762">
        <v>-395</v>
      </c>
      <c r="BO72" s="762">
        <v>-395</v>
      </c>
      <c r="BP72" s="762">
        <v>-395</v>
      </c>
      <c r="BQ72" s="762">
        <v>-395</v>
      </c>
      <c r="BR72" s="762">
        <v>-395</v>
      </c>
      <c r="BS72" s="762">
        <v>0</v>
      </c>
      <c r="BT72" s="935">
        <v>-395</v>
      </c>
      <c r="BU72" s="744">
        <f t="shared" si="128"/>
        <v>-3160</v>
      </c>
      <c r="BV72" s="888">
        <f t="shared" si="56"/>
        <v>-6.3572023481413232E-3</v>
      </c>
      <c r="BW72" s="874"/>
      <c r="BX72" s="762">
        <v>-396</v>
      </c>
      <c r="BY72" s="762">
        <v>-396</v>
      </c>
      <c r="BZ72" s="762">
        <v>-396</v>
      </c>
      <c r="CA72" s="762">
        <v>-396</v>
      </c>
      <c r="CB72" s="762">
        <v>-396</v>
      </c>
      <c r="CC72" s="762">
        <v>-396</v>
      </c>
      <c r="CD72" s="762">
        <v>-396</v>
      </c>
      <c r="CE72" s="762">
        <v>0</v>
      </c>
      <c r="CF72" s="935">
        <v>-396</v>
      </c>
      <c r="CG72" s="744">
        <f t="shared" si="129"/>
        <v>-3168</v>
      </c>
      <c r="CH72" s="888">
        <f t="shared" si="58"/>
        <v>-6.6001650041251029E-3</v>
      </c>
      <c r="CI72" s="874"/>
      <c r="CJ72" s="957">
        <f t="shared" si="101"/>
        <v>-8</v>
      </c>
      <c r="CK72" s="965">
        <f t="shared" si="102"/>
        <v>2.5316455696202532E-3</v>
      </c>
      <c r="CL72" s="746"/>
      <c r="CM72" s="816">
        <f>-DATOS!D154</f>
        <v>-20719.5</v>
      </c>
      <c r="CN72" s="757">
        <f t="shared" si="85"/>
        <v>-6.8109973305965962E-3</v>
      </c>
      <c r="CO72" s="746"/>
      <c r="CP72" s="744">
        <f>-DATOS!F154</f>
        <v>-4254.5</v>
      </c>
      <c r="CQ72" s="756">
        <f t="shared" si="0"/>
        <v>-8.2580141751739389E-3</v>
      </c>
      <c r="CR72" s="874"/>
      <c r="CS72" s="816">
        <f>-DATOS!G154</f>
        <v>-21514</v>
      </c>
      <c r="CT72" s="757">
        <f t="shared" si="115"/>
        <v>-7.3203450572614376E-3</v>
      </c>
      <c r="CU72" s="874"/>
      <c r="CV72" s="897">
        <f t="shared" ref="CV72:CV82" si="130">+CM72-CS72</f>
        <v>794.5</v>
      </c>
      <c r="CW72" s="902">
        <f t="shared" si="1"/>
        <v>-3.692944129404109E-2</v>
      </c>
      <c r="CY72" s="750"/>
    </row>
    <row r="73" spans="1:103" hidden="1" outlineLevel="2">
      <c r="A73" s="734">
        <v>52352501</v>
      </c>
      <c r="B73" s="833" t="s">
        <v>851</v>
      </c>
      <c r="C73" s="874"/>
      <c r="D73" s="762">
        <v>-168</v>
      </c>
      <c r="E73" s="762">
        <v>-155</v>
      </c>
      <c r="F73" s="762">
        <v>-115</v>
      </c>
      <c r="G73" s="762">
        <v>-268</v>
      </c>
      <c r="H73" s="762">
        <v>-418</v>
      </c>
      <c r="I73" s="762">
        <v>-194</v>
      </c>
      <c r="J73" s="762">
        <v>-194</v>
      </c>
      <c r="K73" s="762">
        <v>-92</v>
      </c>
      <c r="L73" s="935">
        <v>-118</v>
      </c>
      <c r="M73" s="744">
        <f t="shared" si="123"/>
        <v>-1722</v>
      </c>
      <c r="N73" s="888">
        <f t="shared" si="114"/>
        <v>-3.4114614803999453E-3</v>
      </c>
      <c r="O73" s="874"/>
      <c r="P73" s="762">
        <v>-168</v>
      </c>
      <c r="Q73" s="762">
        <v>-155</v>
      </c>
      <c r="R73" s="762">
        <v>-115</v>
      </c>
      <c r="S73" s="762">
        <v>-255</v>
      </c>
      <c r="T73" s="762">
        <v>-303</v>
      </c>
      <c r="U73" s="762">
        <v>-168</v>
      </c>
      <c r="V73" s="762">
        <v>-207</v>
      </c>
      <c r="W73" s="762">
        <v>0</v>
      </c>
      <c r="X73" s="935">
        <v>-79</v>
      </c>
      <c r="Y73" s="744">
        <f t="shared" si="124"/>
        <v>-1450</v>
      </c>
      <c r="Z73" s="888">
        <f t="shared" si="111"/>
        <v>-2.755176882355847E-3</v>
      </c>
      <c r="AA73" s="874"/>
      <c r="AB73" s="762">
        <v>-168</v>
      </c>
      <c r="AC73" s="762">
        <v>-155</v>
      </c>
      <c r="AD73" s="762">
        <v>-128</v>
      </c>
      <c r="AE73" s="762">
        <v>-322</v>
      </c>
      <c r="AF73" s="762">
        <v>-316</v>
      </c>
      <c r="AG73" s="762">
        <v>-115</v>
      </c>
      <c r="AH73" s="762">
        <v>-155</v>
      </c>
      <c r="AI73" s="762">
        <v>-76</v>
      </c>
      <c r="AJ73" s="935">
        <v>-105</v>
      </c>
      <c r="AK73" s="744">
        <f t="shared" si="125"/>
        <v>-1540</v>
      </c>
      <c r="AL73" s="888">
        <f t="shared" si="50"/>
        <v>-3.0093112780779489E-3</v>
      </c>
      <c r="AM73" s="874"/>
      <c r="AN73" s="762">
        <v>-155</v>
      </c>
      <c r="AO73" s="762">
        <v>-220</v>
      </c>
      <c r="AP73" s="762">
        <v>-155</v>
      </c>
      <c r="AQ73" s="762">
        <v>-255</v>
      </c>
      <c r="AR73" s="762">
        <v>-302</v>
      </c>
      <c r="AS73" s="762">
        <v>-168</v>
      </c>
      <c r="AT73" s="762">
        <v>-207</v>
      </c>
      <c r="AU73" s="762">
        <v>0</v>
      </c>
      <c r="AV73" s="935">
        <v>-79</v>
      </c>
      <c r="AW73" s="744">
        <f t="shared" si="126"/>
        <v>-1541</v>
      </c>
      <c r="AX73" s="888">
        <f t="shared" si="52"/>
        <v>-2.901940401940402E-3</v>
      </c>
      <c r="AY73" s="874"/>
      <c r="AZ73" s="762">
        <v>-168</v>
      </c>
      <c r="BA73" s="762">
        <v>-233</v>
      </c>
      <c r="BB73" s="762">
        <v>-155</v>
      </c>
      <c r="BC73" s="762">
        <v>-255</v>
      </c>
      <c r="BD73" s="762">
        <v>-289</v>
      </c>
      <c r="BE73" s="762">
        <v>-168</v>
      </c>
      <c r="BF73" s="762">
        <v>-181</v>
      </c>
      <c r="BG73" s="762">
        <v>0</v>
      </c>
      <c r="BH73" s="935">
        <v>-105</v>
      </c>
      <c r="BI73" s="744">
        <f t="shared" si="127"/>
        <v>-1554</v>
      </c>
      <c r="BJ73" s="888">
        <f t="shared" si="54"/>
        <v>-3.1334182891616796E-3</v>
      </c>
      <c r="BK73" s="874"/>
      <c r="BL73" s="762">
        <v>-160</v>
      </c>
      <c r="BM73" s="762">
        <v>-214</v>
      </c>
      <c r="BN73" s="762">
        <v>-146</v>
      </c>
      <c r="BO73" s="762">
        <v>-291</v>
      </c>
      <c r="BP73" s="762">
        <v>-193</v>
      </c>
      <c r="BQ73" s="762">
        <v>-146</v>
      </c>
      <c r="BR73" s="762">
        <v>-173</v>
      </c>
      <c r="BS73" s="762">
        <v>0</v>
      </c>
      <c r="BT73" s="935">
        <v>-79</v>
      </c>
      <c r="BU73" s="744">
        <f t="shared" si="128"/>
        <v>-1402</v>
      </c>
      <c r="BV73" s="888">
        <f t="shared" si="56"/>
        <v>-2.8205055987639669E-3</v>
      </c>
      <c r="BW73" s="874"/>
      <c r="BX73" s="762">
        <v>-173</v>
      </c>
      <c r="BY73" s="762">
        <v>-200</v>
      </c>
      <c r="BZ73" s="762">
        <v>-146</v>
      </c>
      <c r="CA73" s="762">
        <v>-305</v>
      </c>
      <c r="CB73" s="762">
        <v>-326</v>
      </c>
      <c r="CC73" s="762">
        <v>-173</v>
      </c>
      <c r="CD73" s="762">
        <v>-173</v>
      </c>
      <c r="CE73" s="762">
        <v>0</v>
      </c>
      <c r="CF73" s="935">
        <v>-105</v>
      </c>
      <c r="CG73" s="744">
        <f t="shared" si="129"/>
        <v>-1601</v>
      </c>
      <c r="CH73" s="888">
        <f t="shared" si="58"/>
        <v>-3.3355000541680207E-3</v>
      </c>
      <c r="CI73" s="874"/>
      <c r="CJ73" s="957">
        <f t="shared" si="101"/>
        <v>-199</v>
      </c>
      <c r="CK73" s="965">
        <f t="shared" si="102"/>
        <v>0.14194008559201141</v>
      </c>
      <c r="CL73" s="746"/>
      <c r="CM73" s="816">
        <f>-DATOS!D155</f>
        <v>-9085</v>
      </c>
      <c r="CN73" s="757">
        <f t="shared" si="85"/>
        <v>-2.9864577209136357E-3</v>
      </c>
      <c r="CO73" s="746"/>
      <c r="CP73" s="744">
        <f>-DATOS!F155</f>
        <v>-1329</v>
      </c>
      <c r="CQ73" s="756">
        <f t="shared" si="0"/>
        <v>-2.5795982697863827E-3</v>
      </c>
      <c r="CR73" s="874"/>
      <c r="CS73" s="816">
        <f>-DATOS!G155</f>
        <v>-7962</v>
      </c>
      <c r="CT73" s="757">
        <f t="shared" si="115"/>
        <v>-2.7091469436606661E-3</v>
      </c>
      <c r="CU73" s="874"/>
      <c r="CV73" s="897">
        <f t="shared" si="130"/>
        <v>-1123</v>
      </c>
      <c r="CW73" s="902">
        <f t="shared" si="1"/>
        <v>0.1410449635769907</v>
      </c>
      <c r="CY73" s="750"/>
    </row>
    <row r="74" spans="1:103" hidden="1" outlineLevel="2">
      <c r="A74" s="734">
        <v>52353001</v>
      </c>
      <c r="B74" s="833" t="s">
        <v>850</v>
      </c>
      <c r="C74" s="874"/>
      <c r="D74" s="762">
        <v>-28</v>
      </c>
      <c r="E74" s="762">
        <v>-2008</v>
      </c>
      <c r="F74" s="762">
        <v>-1131</v>
      </c>
      <c r="G74" s="762">
        <v>-2204</v>
      </c>
      <c r="H74" s="762">
        <v>-5639</v>
      </c>
      <c r="I74" s="762">
        <v>-1867</v>
      </c>
      <c r="J74" s="762">
        <v>-2090</v>
      </c>
      <c r="K74" s="762">
        <v>-1646</v>
      </c>
      <c r="L74" s="935">
        <v>-2228</v>
      </c>
      <c r="M74" s="744">
        <f t="shared" si="123"/>
        <v>-18841</v>
      </c>
      <c r="N74" s="888">
        <f t="shared" si="114"/>
        <v>-3.7325984757384072E-2</v>
      </c>
      <c r="O74" s="874"/>
      <c r="P74" s="762">
        <v>-28</v>
      </c>
      <c r="Q74" s="762">
        <v>-1657</v>
      </c>
      <c r="R74" s="762">
        <v>-1103</v>
      </c>
      <c r="S74" s="762">
        <v>-2117</v>
      </c>
      <c r="T74" s="762">
        <v>-4052</v>
      </c>
      <c r="U74" s="762">
        <v>-1795</v>
      </c>
      <c r="V74" s="762">
        <v>-2104</v>
      </c>
      <c r="W74" s="762">
        <v>0</v>
      </c>
      <c r="X74" s="935">
        <v>-1764</v>
      </c>
      <c r="Y74" s="744">
        <f t="shared" si="124"/>
        <v>-14620</v>
      </c>
      <c r="Z74" s="888">
        <f t="shared" si="111"/>
        <v>-2.7779783462098268E-2</v>
      </c>
      <c r="AA74" s="874"/>
      <c r="AB74" s="762">
        <v>-28</v>
      </c>
      <c r="AC74" s="762">
        <v>-1638</v>
      </c>
      <c r="AD74" s="762">
        <v>-977</v>
      </c>
      <c r="AE74" s="762">
        <v>-2275</v>
      </c>
      <c r="AF74" s="762">
        <v>-4338</v>
      </c>
      <c r="AG74" s="762">
        <v>-1725</v>
      </c>
      <c r="AH74" s="762">
        <v>-1866</v>
      </c>
      <c r="AI74" s="762">
        <v>-2141</v>
      </c>
      <c r="AJ74" s="935">
        <v>-1270</v>
      </c>
      <c r="AK74" s="744">
        <f t="shared" si="125"/>
        <v>-16258</v>
      </c>
      <c r="AL74" s="888">
        <f t="shared" si="50"/>
        <v>-3.1769729064280064E-2</v>
      </c>
      <c r="AM74" s="874"/>
      <c r="AN74" s="762">
        <v>-30</v>
      </c>
      <c r="AO74" s="762">
        <v>-1609</v>
      </c>
      <c r="AP74" s="762">
        <v>-1013</v>
      </c>
      <c r="AQ74" s="762">
        <v>-2006</v>
      </c>
      <c r="AR74" s="762">
        <v>-3783</v>
      </c>
      <c r="AS74" s="762">
        <v>-1933</v>
      </c>
      <c r="AT74" s="762">
        <v>-2030</v>
      </c>
      <c r="AU74" s="762">
        <v>0</v>
      </c>
      <c r="AV74" s="935">
        <v>-1506</v>
      </c>
      <c r="AW74" s="744">
        <f t="shared" si="126"/>
        <v>-13910</v>
      </c>
      <c r="AX74" s="888">
        <f t="shared" si="52"/>
        <v>-2.619467293380337E-2</v>
      </c>
      <c r="AY74" s="874"/>
      <c r="AZ74" s="762">
        <v>-30</v>
      </c>
      <c r="BA74" s="762">
        <v>-1608</v>
      </c>
      <c r="BB74" s="762">
        <v>-987</v>
      </c>
      <c r="BC74" s="762">
        <v>-1858</v>
      </c>
      <c r="BD74" s="762">
        <v>-3855</v>
      </c>
      <c r="BE74" s="762">
        <v>-1834</v>
      </c>
      <c r="BF74" s="762">
        <v>-1887</v>
      </c>
      <c r="BG74" s="762">
        <v>0</v>
      </c>
      <c r="BH74" s="935">
        <v>-1335</v>
      </c>
      <c r="BI74" s="744">
        <f t="shared" si="127"/>
        <v>-13394</v>
      </c>
      <c r="BJ74" s="888">
        <f t="shared" si="54"/>
        <v>-2.7007081444679237E-2</v>
      </c>
      <c r="BK74" s="874"/>
      <c r="BL74" s="762">
        <v>-30</v>
      </c>
      <c r="BM74" s="762">
        <v>-1897</v>
      </c>
      <c r="BN74" s="762">
        <v>-975</v>
      </c>
      <c r="BO74" s="762">
        <v>-2068</v>
      </c>
      <c r="BP74" s="762">
        <v>-2562</v>
      </c>
      <c r="BQ74" s="762">
        <v>-1756</v>
      </c>
      <c r="BR74" s="762">
        <v>-1934</v>
      </c>
      <c r="BS74" s="762">
        <v>0</v>
      </c>
      <c r="BT74" s="935">
        <v>-1200</v>
      </c>
      <c r="BU74" s="744">
        <f t="shared" si="128"/>
        <v>-12422</v>
      </c>
      <c r="BV74" s="888">
        <f t="shared" si="56"/>
        <v>-2.4990242901459341E-2</v>
      </c>
      <c r="BW74" s="874"/>
      <c r="BX74" s="762">
        <v>-30</v>
      </c>
      <c r="BY74" s="762">
        <v>-1741</v>
      </c>
      <c r="BZ74" s="762">
        <v>-975</v>
      </c>
      <c r="CA74" s="762">
        <v>-2219</v>
      </c>
      <c r="CB74" s="762">
        <v>-4103</v>
      </c>
      <c r="CC74" s="762">
        <v>-1884</v>
      </c>
      <c r="CD74" s="762">
        <v>-1997</v>
      </c>
      <c r="CE74" s="762">
        <v>0</v>
      </c>
      <c r="CF74" s="935">
        <v>-1146</v>
      </c>
      <c r="CG74" s="744">
        <f t="shared" si="129"/>
        <v>-14095</v>
      </c>
      <c r="CH74" s="888">
        <f t="shared" si="58"/>
        <v>-2.936531746626999E-2</v>
      </c>
      <c r="CI74" s="874"/>
      <c r="CJ74" s="957">
        <f t="shared" si="101"/>
        <v>-1673</v>
      </c>
      <c r="CK74" s="965">
        <f t="shared" si="102"/>
        <v>0.13468040573176623</v>
      </c>
      <c r="CL74" s="746"/>
      <c r="CM74" s="816">
        <f>-DATOS!D156</f>
        <v>-84697</v>
      </c>
      <c r="CN74" s="757">
        <f t="shared" si="85"/>
        <v>-2.784193831460894E-2</v>
      </c>
      <c r="CO74" s="746"/>
      <c r="CP74" s="744">
        <f>-DATOS!F156</f>
        <v>-14028</v>
      </c>
      <c r="CQ74" s="756">
        <f t="shared" si="0"/>
        <v>-2.7228445845420144E-2</v>
      </c>
      <c r="CR74" s="874"/>
      <c r="CS74" s="816">
        <f>-DATOS!G156</f>
        <v>-88695.5</v>
      </c>
      <c r="CT74" s="757">
        <f t="shared" si="115"/>
        <v>-3.0179495446050565E-2</v>
      </c>
      <c r="CU74" s="874"/>
      <c r="CV74" s="897">
        <f t="shared" si="130"/>
        <v>3998.5</v>
      </c>
      <c r="CW74" s="902">
        <f t="shared" si="1"/>
        <v>-4.5081204796184701E-2</v>
      </c>
      <c r="CY74" s="750"/>
    </row>
    <row r="75" spans="1:103" hidden="1" outlineLevel="2">
      <c r="A75" s="734">
        <v>52353501</v>
      </c>
      <c r="B75" s="833" t="s">
        <v>849</v>
      </c>
      <c r="C75" s="874"/>
      <c r="D75" s="762">
        <v>0</v>
      </c>
      <c r="E75" s="762">
        <v>0</v>
      </c>
      <c r="F75" s="762">
        <v>0</v>
      </c>
      <c r="G75" s="762">
        <v>0</v>
      </c>
      <c r="H75" s="762">
        <v>0</v>
      </c>
      <c r="I75" s="762">
        <v>0</v>
      </c>
      <c r="J75" s="762">
        <v>0</v>
      </c>
      <c r="K75" s="762">
        <v>0</v>
      </c>
      <c r="L75" s="935">
        <v>0</v>
      </c>
      <c r="M75" s="744">
        <f t="shared" si="123"/>
        <v>0</v>
      </c>
      <c r="N75" s="888">
        <f t="shared" si="114"/>
        <v>0</v>
      </c>
      <c r="O75" s="874"/>
      <c r="P75" s="762">
        <v>0</v>
      </c>
      <c r="Q75" s="762">
        <v>0</v>
      </c>
      <c r="R75" s="762">
        <v>0</v>
      </c>
      <c r="S75" s="762">
        <v>0</v>
      </c>
      <c r="T75" s="762">
        <v>0</v>
      </c>
      <c r="U75" s="762">
        <v>0</v>
      </c>
      <c r="V75" s="762">
        <v>0</v>
      </c>
      <c r="W75" s="762">
        <v>0</v>
      </c>
      <c r="X75" s="935">
        <v>0</v>
      </c>
      <c r="Y75" s="744">
        <f t="shared" si="124"/>
        <v>0</v>
      </c>
      <c r="Z75" s="888">
        <f t="shared" si="111"/>
        <v>0</v>
      </c>
      <c r="AA75" s="874"/>
      <c r="AB75" s="762">
        <v>0</v>
      </c>
      <c r="AC75" s="762">
        <v>0</v>
      </c>
      <c r="AD75" s="762">
        <v>0</v>
      </c>
      <c r="AE75" s="762">
        <v>0</v>
      </c>
      <c r="AF75" s="762">
        <v>0</v>
      </c>
      <c r="AG75" s="762">
        <v>0</v>
      </c>
      <c r="AH75" s="762">
        <v>0</v>
      </c>
      <c r="AI75" s="762">
        <v>0</v>
      </c>
      <c r="AJ75" s="935">
        <v>0</v>
      </c>
      <c r="AK75" s="744">
        <f t="shared" si="125"/>
        <v>0</v>
      </c>
      <c r="AL75" s="888">
        <f t="shared" si="50"/>
        <v>0</v>
      </c>
      <c r="AM75" s="874"/>
      <c r="AN75" s="762">
        <v>0</v>
      </c>
      <c r="AO75" s="762">
        <v>0</v>
      </c>
      <c r="AP75" s="762">
        <v>0</v>
      </c>
      <c r="AQ75" s="762">
        <v>0</v>
      </c>
      <c r="AR75" s="762">
        <v>0</v>
      </c>
      <c r="AS75" s="762">
        <v>0</v>
      </c>
      <c r="AT75" s="762">
        <v>0</v>
      </c>
      <c r="AU75" s="762">
        <v>0</v>
      </c>
      <c r="AV75" s="935">
        <v>0</v>
      </c>
      <c r="AW75" s="744">
        <f t="shared" si="126"/>
        <v>0</v>
      </c>
      <c r="AX75" s="888">
        <f t="shared" si="52"/>
        <v>0</v>
      </c>
      <c r="AY75" s="874"/>
      <c r="AZ75" s="762">
        <v>0</v>
      </c>
      <c r="BA75" s="762">
        <v>0</v>
      </c>
      <c r="BB75" s="762">
        <v>0</v>
      </c>
      <c r="BC75" s="762">
        <v>-148</v>
      </c>
      <c r="BD75" s="762">
        <v>-148</v>
      </c>
      <c r="BE75" s="762">
        <v>0</v>
      </c>
      <c r="BF75" s="762">
        <v>-820</v>
      </c>
      <c r="BG75" s="762">
        <v>0</v>
      </c>
      <c r="BH75" s="935">
        <v>0</v>
      </c>
      <c r="BI75" s="744">
        <f t="shared" si="127"/>
        <v>-1116</v>
      </c>
      <c r="BJ75" s="888">
        <f t="shared" si="54"/>
        <v>-2.2502540609423646E-3</v>
      </c>
      <c r="BK75" s="874"/>
      <c r="BL75" s="762">
        <v>0</v>
      </c>
      <c r="BM75" s="762">
        <v>0</v>
      </c>
      <c r="BN75" s="762">
        <v>0</v>
      </c>
      <c r="BO75" s="762">
        <v>0</v>
      </c>
      <c r="BP75" s="762">
        <v>0</v>
      </c>
      <c r="BQ75" s="762">
        <v>0</v>
      </c>
      <c r="BR75" s="762">
        <v>0</v>
      </c>
      <c r="BS75" s="762">
        <v>0</v>
      </c>
      <c r="BT75" s="935">
        <v>0</v>
      </c>
      <c r="BU75" s="744">
        <f t="shared" si="128"/>
        <v>0</v>
      </c>
      <c r="BV75" s="888">
        <f t="shared" si="56"/>
        <v>0</v>
      </c>
      <c r="BW75" s="874"/>
      <c r="BX75" s="762">
        <v>0</v>
      </c>
      <c r="BY75" s="762">
        <v>0</v>
      </c>
      <c r="BZ75" s="762">
        <v>0</v>
      </c>
      <c r="CA75" s="762">
        <v>0</v>
      </c>
      <c r="CB75" s="762">
        <v>0</v>
      </c>
      <c r="CC75" s="762">
        <v>0</v>
      </c>
      <c r="CD75" s="762">
        <v>0</v>
      </c>
      <c r="CE75" s="762">
        <v>0</v>
      </c>
      <c r="CF75" s="935">
        <v>0</v>
      </c>
      <c r="CG75" s="744">
        <f t="shared" si="129"/>
        <v>0</v>
      </c>
      <c r="CH75" s="888">
        <f t="shared" si="58"/>
        <v>0</v>
      </c>
      <c r="CI75" s="874"/>
      <c r="CJ75" s="957">
        <f t="shared" si="101"/>
        <v>0</v>
      </c>
      <c r="CK75" s="965">
        <f t="shared" si="102"/>
        <v>0</v>
      </c>
      <c r="CL75" s="746"/>
      <c r="CM75" s="816">
        <f>-DATOS!D157</f>
        <v>-1116</v>
      </c>
      <c r="CN75" s="757">
        <f t="shared" si="85"/>
        <v>-3.6685600622340313E-4</v>
      </c>
      <c r="CO75" s="746"/>
      <c r="CP75" s="744">
        <f>-DATOS!F157</f>
        <v>0</v>
      </c>
      <c r="CQ75" s="756">
        <f t="shared" si="0"/>
        <v>0</v>
      </c>
      <c r="CR75" s="874"/>
      <c r="CS75" s="816">
        <f>-DATOS!G157</f>
        <v>-1</v>
      </c>
      <c r="CT75" s="757">
        <f t="shared" si="115"/>
        <v>-3.4025960106263071E-7</v>
      </c>
      <c r="CU75" s="874"/>
      <c r="CV75" s="897">
        <f t="shared" si="130"/>
        <v>-1115</v>
      </c>
      <c r="CW75" s="902">
        <f t="shared" si="1"/>
        <v>1115</v>
      </c>
      <c r="CY75" s="750"/>
    </row>
    <row r="76" spans="1:103" hidden="1" outlineLevel="2">
      <c r="A76" s="734">
        <v>52355001</v>
      </c>
      <c r="B76" s="833" t="s">
        <v>848</v>
      </c>
      <c r="C76" s="874"/>
      <c r="D76" s="762">
        <v>-827</v>
      </c>
      <c r="E76" s="762">
        <v>-895</v>
      </c>
      <c r="F76" s="762">
        <v>-907</v>
      </c>
      <c r="G76" s="762">
        <v>-1066</v>
      </c>
      <c r="H76" s="762">
        <v>-1451</v>
      </c>
      <c r="I76" s="762">
        <v>-832</v>
      </c>
      <c r="J76" s="762">
        <v>-980</v>
      </c>
      <c r="K76" s="762">
        <v>0</v>
      </c>
      <c r="L76" s="935">
        <v>-973</v>
      </c>
      <c r="M76" s="744">
        <f t="shared" si="123"/>
        <v>-7931</v>
      </c>
      <c r="N76" s="888">
        <f t="shared" si="114"/>
        <v>-1.571213763127292E-2</v>
      </c>
      <c r="O76" s="874"/>
      <c r="P76" s="762">
        <v>-729</v>
      </c>
      <c r="Q76" s="762">
        <v>-810</v>
      </c>
      <c r="R76" s="762">
        <v>-729</v>
      </c>
      <c r="S76" s="762">
        <v>-786</v>
      </c>
      <c r="T76" s="762">
        <v>-825</v>
      </c>
      <c r="U76" s="762">
        <v>-985</v>
      </c>
      <c r="V76" s="762">
        <v>-753</v>
      </c>
      <c r="W76" s="762">
        <v>0</v>
      </c>
      <c r="X76" s="935">
        <v>-829</v>
      </c>
      <c r="Y76" s="744">
        <f t="shared" si="124"/>
        <v>-6446</v>
      </c>
      <c r="Z76" s="888">
        <f t="shared" si="111"/>
        <v>-1.2248186333562614E-2</v>
      </c>
      <c r="AA76" s="874"/>
      <c r="AB76" s="762">
        <v>-1129</v>
      </c>
      <c r="AC76" s="762">
        <v>-1137</v>
      </c>
      <c r="AD76" s="762">
        <v>-1113</v>
      </c>
      <c r="AE76" s="762">
        <v>-1184</v>
      </c>
      <c r="AF76" s="762">
        <v>-1482</v>
      </c>
      <c r="AG76" s="762">
        <v>-1149</v>
      </c>
      <c r="AH76" s="762">
        <v>-1164</v>
      </c>
      <c r="AI76" s="762">
        <v>0</v>
      </c>
      <c r="AJ76" s="935">
        <v>-1173</v>
      </c>
      <c r="AK76" s="744">
        <f t="shared" si="125"/>
        <v>-9531</v>
      </c>
      <c r="AL76" s="888">
        <f t="shared" si="50"/>
        <v>-1.8624510254130474E-2</v>
      </c>
      <c r="AM76" s="874"/>
      <c r="AN76" s="762">
        <v>-1402</v>
      </c>
      <c r="AO76" s="762">
        <v>-1402</v>
      </c>
      <c r="AP76" s="762">
        <v>-1409</v>
      </c>
      <c r="AQ76" s="762">
        <v>-1461</v>
      </c>
      <c r="AR76" s="762">
        <v>-1750</v>
      </c>
      <c r="AS76" s="762">
        <v>-1422</v>
      </c>
      <c r="AT76" s="762">
        <v>-1412</v>
      </c>
      <c r="AU76" s="762">
        <v>0</v>
      </c>
      <c r="AV76" s="935">
        <v>-1392</v>
      </c>
      <c r="AW76" s="744">
        <f t="shared" si="126"/>
        <v>-11650</v>
      </c>
      <c r="AX76" s="888">
        <f t="shared" si="52"/>
        <v>-2.1938744764831722E-2</v>
      </c>
      <c r="AY76" s="874"/>
      <c r="AZ76" s="762">
        <v>-667</v>
      </c>
      <c r="BA76" s="762">
        <v>-737</v>
      </c>
      <c r="BB76" s="762">
        <v>-667</v>
      </c>
      <c r="BC76" s="762">
        <v>-716</v>
      </c>
      <c r="BD76" s="762">
        <v>-1029</v>
      </c>
      <c r="BE76" s="762">
        <v>-697</v>
      </c>
      <c r="BF76" s="762">
        <v>-707</v>
      </c>
      <c r="BG76" s="762">
        <v>0</v>
      </c>
      <c r="BH76" s="935">
        <v>-667</v>
      </c>
      <c r="BI76" s="744">
        <f t="shared" si="127"/>
        <v>-5887</v>
      </c>
      <c r="BJ76" s="888">
        <f t="shared" si="54"/>
        <v>-1.1870291807139517E-2</v>
      </c>
      <c r="BK76" s="874"/>
      <c r="BL76" s="762">
        <v>-1303</v>
      </c>
      <c r="BM76" s="762">
        <v>-689</v>
      </c>
      <c r="BN76" s="762">
        <v>-667</v>
      </c>
      <c r="BO76" s="762">
        <v>-732</v>
      </c>
      <c r="BP76" s="762">
        <v>-1035</v>
      </c>
      <c r="BQ76" s="762">
        <v>-697</v>
      </c>
      <c r="BR76" s="762">
        <v>-702</v>
      </c>
      <c r="BS76" s="762">
        <v>0</v>
      </c>
      <c r="BT76" s="935">
        <v>-667</v>
      </c>
      <c r="BU76" s="744">
        <f t="shared" si="128"/>
        <v>-6492</v>
      </c>
      <c r="BV76" s="888">
        <f t="shared" si="56"/>
        <v>-1.3060429634219451E-2</v>
      </c>
      <c r="BW76" s="874"/>
      <c r="BX76" s="762">
        <v>-677</v>
      </c>
      <c r="BY76" s="762">
        <v>-931</v>
      </c>
      <c r="BZ76" s="762">
        <v>-667</v>
      </c>
      <c r="CA76" s="762">
        <v>-732</v>
      </c>
      <c r="CB76" s="762">
        <v>-1045</v>
      </c>
      <c r="CC76" s="762">
        <v>-697</v>
      </c>
      <c r="CD76" s="762">
        <v>-867</v>
      </c>
      <c r="CE76" s="762">
        <v>0</v>
      </c>
      <c r="CF76" s="935">
        <v>-667</v>
      </c>
      <c r="CG76" s="744">
        <f t="shared" si="129"/>
        <v>-6283</v>
      </c>
      <c r="CH76" s="888">
        <f t="shared" si="58"/>
        <v>-1.3089910581097861E-2</v>
      </c>
      <c r="CI76" s="874"/>
      <c r="CJ76" s="957">
        <f t="shared" si="101"/>
        <v>209</v>
      </c>
      <c r="CK76" s="965">
        <f t="shared" si="102"/>
        <v>-3.2193468884781272E-2</v>
      </c>
      <c r="CL76" s="746"/>
      <c r="CM76" s="816">
        <f>-DATOS!D158</f>
        <v>-46292.5</v>
      </c>
      <c r="CN76" s="757">
        <f t="shared" si="85"/>
        <v>-1.5217456691843092E-2</v>
      </c>
      <c r="CO76" s="746"/>
      <c r="CP76" s="744">
        <f>-DATOS!F158</f>
        <v>-3352.5</v>
      </c>
      <c r="CQ76" s="756">
        <f t="shared" si="0"/>
        <v>-6.5072258837162132E-3</v>
      </c>
      <c r="CR76" s="874"/>
      <c r="CS76" s="816">
        <f>-DATOS!G158</f>
        <v>-21748</v>
      </c>
      <c r="CT76" s="757">
        <f t="shared" si="115"/>
        <v>-7.3999658039100935E-3</v>
      </c>
      <c r="CU76" s="874"/>
      <c r="CV76" s="897">
        <f t="shared" si="130"/>
        <v>-24544.5</v>
      </c>
      <c r="CW76" s="902">
        <f t="shared" si="1"/>
        <v>1.1285865366930292</v>
      </c>
      <c r="CY76" s="750"/>
    </row>
    <row r="77" spans="1:103" hidden="1" outlineLevel="2">
      <c r="A77" s="734">
        <v>52356001</v>
      </c>
      <c r="B77" s="833" t="s">
        <v>959</v>
      </c>
      <c r="C77" s="874"/>
      <c r="D77" s="762">
        <v>-17</v>
      </c>
      <c r="E77" s="762">
        <v>0</v>
      </c>
      <c r="F77" s="762">
        <v>-17</v>
      </c>
      <c r="G77" s="762">
        <v>-35</v>
      </c>
      <c r="H77" s="762">
        <v>-35</v>
      </c>
      <c r="I77" s="762">
        <v>-79</v>
      </c>
      <c r="J77" s="762">
        <v>-17</v>
      </c>
      <c r="K77" s="762">
        <v>0</v>
      </c>
      <c r="L77" s="935">
        <v>-164</v>
      </c>
      <c r="M77" s="744">
        <f t="shared" si="123"/>
        <v>-364</v>
      </c>
      <c r="N77" s="888">
        <f t="shared" si="114"/>
        <v>-7.2112193894632989E-4</v>
      </c>
      <c r="O77" s="874"/>
      <c r="P77" s="762">
        <v>-950</v>
      </c>
      <c r="Q77" s="762">
        <v>-89</v>
      </c>
      <c r="R77" s="762">
        <v>-127</v>
      </c>
      <c r="S77" s="762">
        <v>-234</v>
      </c>
      <c r="T77" s="762">
        <v>-127</v>
      </c>
      <c r="U77" s="762">
        <v>-127</v>
      </c>
      <c r="V77" s="762">
        <v>-127</v>
      </c>
      <c r="W77" s="762">
        <v>0</v>
      </c>
      <c r="X77" s="935">
        <v>-440</v>
      </c>
      <c r="Y77" s="744">
        <f t="shared" si="124"/>
        <v>-2221</v>
      </c>
      <c r="Z77" s="888">
        <f t="shared" si="111"/>
        <v>-4.2201709349740249E-3</v>
      </c>
      <c r="AA77" s="874"/>
      <c r="AB77" s="762">
        <v>-23</v>
      </c>
      <c r="AC77" s="762">
        <v>-23</v>
      </c>
      <c r="AD77" s="762">
        <v>-44</v>
      </c>
      <c r="AE77" s="762">
        <v>-23</v>
      </c>
      <c r="AF77" s="762">
        <v>-95</v>
      </c>
      <c r="AG77" s="762">
        <v>-23</v>
      </c>
      <c r="AH77" s="762">
        <v>-23</v>
      </c>
      <c r="AI77" s="762">
        <v>0</v>
      </c>
      <c r="AJ77" s="935">
        <v>-124</v>
      </c>
      <c r="AK77" s="744">
        <f t="shared" si="125"/>
        <v>-378</v>
      </c>
      <c r="AL77" s="888">
        <f t="shared" si="50"/>
        <v>-7.3864913189186025E-4</v>
      </c>
      <c r="AM77" s="874"/>
      <c r="AN77" s="762">
        <v>0</v>
      </c>
      <c r="AO77" s="762">
        <v>0</v>
      </c>
      <c r="AP77" s="762">
        <v>0</v>
      </c>
      <c r="AQ77" s="762">
        <v>0</v>
      </c>
      <c r="AR77" s="762">
        <v>0</v>
      </c>
      <c r="AS77" s="762">
        <v>0</v>
      </c>
      <c r="AT77" s="762">
        <v>0</v>
      </c>
      <c r="AU77" s="762">
        <v>0</v>
      </c>
      <c r="AV77" s="935">
        <v>0</v>
      </c>
      <c r="AW77" s="744">
        <f t="shared" si="126"/>
        <v>0</v>
      </c>
      <c r="AX77" s="888">
        <f t="shared" si="52"/>
        <v>0</v>
      </c>
      <c r="AY77" s="874"/>
      <c r="AZ77" s="762">
        <v>0</v>
      </c>
      <c r="BA77" s="762">
        <v>0</v>
      </c>
      <c r="BB77" s="762">
        <v>0</v>
      </c>
      <c r="BC77" s="762">
        <v>0</v>
      </c>
      <c r="BD77" s="762">
        <v>0</v>
      </c>
      <c r="BE77" s="762">
        <v>-45</v>
      </c>
      <c r="BF77" s="762">
        <v>0</v>
      </c>
      <c r="BG77" s="762">
        <v>0</v>
      </c>
      <c r="BH77" s="935">
        <v>0</v>
      </c>
      <c r="BI77" s="744">
        <f t="shared" si="127"/>
        <v>-45</v>
      </c>
      <c r="BJ77" s="888">
        <f t="shared" si="54"/>
        <v>-9.0736050844450185E-5</v>
      </c>
      <c r="BK77" s="874"/>
      <c r="BL77" s="762">
        <v>-225</v>
      </c>
      <c r="BM77" s="762">
        <v>-225</v>
      </c>
      <c r="BN77" s="762">
        <v>-225</v>
      </c>
      <c r="BO77" s="762">
        <v>-225</v>
      </c>
      <c r="BP77" s="762">
        <v>-225</v>
      </c>
      <c r="BQ77" s="762">
        <v>-225</v>
      </c>
      <c r="BR77" s="762">
        <v>-225</v>
      </c>
      <c r="BS77" s="762">
        <v>0</v>
      </c>
      <c r="BT77" s="935">
        <v>-225</v>
      </c>
      <c r="BU77" s="744">
        <f t="shared" si="128"/>
        <v>-1800</v>
      </c>
      <c r="BV77" s="888">
        <f t="shared" si="56"/>
        <v>-3.6211912109665764E-3</v>
      </c>
      <c r="BW77" s="874"/>
      <c r="BX77" s="762">
        <v>0</v>
      </c>
      <c r="BY77" s="762">
        <v>0</v>
      </c>
      <c r="BZ77" s="762">
        <v>0</v>
      </c>
      <c r="CA77" s="762">
        <v>-763</v>
      </c>
      <c r="CB77" s="762">
        <v>0</v>
      </c>
      <c r="CC77" s="762">
        <v>0</v>
      </c>
      <c r="CD77" s="762">
        <v>0</v>
      </c>
      <c r="CE77" s="762">
        <v>0</v>
      </c>
      <c r="CF77" s="935">
        <v>0</v>
      </c>
      <c r="CG77" s="744">
        <f t="shared" si="129"/>
        <v>-763</v>
      </c>
      <c r="CH77" s="888">
        <f t="shared" si="58"/>
        <v>-1.589623073910181E-3</v>
      </c>
      <c r="CI77" s="874"/>
      <c r="CJ77" s="957">
        <f t="shared" si="101"/>
        <v>1037</v>
      </c>
      <c r="CK77" s="965">
        <f t="shared" si="102"/>
        <v>-0.57611111111111113</v>
      </c>
      <c r="CL77" s="746"/>
      <c r="CM77" s="816">
        <f>-DATOS!D159</f>
        <v>-5203</v>
      </c>
      <c r="CN77" s="757">
        <f t="shared" si="85"/>
        <v>-1.7103510756096474E-3</v>
      </c>
      <c r="CO77" s="746"/>
      <c r="CP77" s="744">
        <f>-DATOS!F159</f>
        <v>-7649</v>
      </c>
      <c r="CQ77" s="756">
        <f t="shared" si="0"/>
        <v>-1.4846762351840511E-2</v>
      </c>
      <c r="CR77" s="874"/>
      <c r="CS77" s="816">
        <f>-DATOS!G159</f>
        <v>-13036</v>
      </c>
      <c r="CT77" s="757">
        <f t="shared" si="115"/>
        <v>-4.4356241594524538E-3</v>
      </c>
      <c r="CU77" s="874"/>
      <c r="CV77" s="897">
        <f t="shared" si="130"/>
        <v>7833</v>
      </c>
      <c r="CW77" s="902">
        <f t="shared" si="1"/>
        <v>-0.60087450138079168</v>
      </c>
      <c r="CY77" s="750"/>
    </row>
    <row r="78" spans="1:103" hidden="1" outlineLevel="2">
      <c r="A78" s="734">
        <v>52356501</v>
      </c>
      <c r="B78" s="833" t="s">
        <v>847</v>
      </c>
      <c r="C78" s="874"/>
      <c r="D78" s="762">
        <v>0</v>
      </c>
      <c r="E78" s="762">
        <v>0</v>
      </c>
      <c r="F78" s="762">
        <v>0</v>
      </c>
      <c r="G78" s="762">
        <v>0</v>
      </c>
      <c r="H78" s="762">
        <v>-100</v>
      </c>
      <c r="I78" s="762">
        <v>0</v>
      </c>
      <c r="J78" s="762">
        <v>0</v>
      </c>
      <c r="K78" s="762">
        <v>0</v>
      </c>
      <c r="L78" s="935">
        <v>0</v>
      </c>
      <c r="M78" s="744">
        <f t="shared" si="123"/>
        <v>-100</v>
      </c>
      <c r="N78" s="888">
        <f t="shared" si="114"/>
        <v>-1.9811042278745328E-4</v>
      </c>
      <c r="O78" s="874"/>
      <c r="P78" s="762">
        <v>0</v>
      </c>
      <c r="Q78" s="762">
        <v>0</v>
      </c>
      <c r="R78" s="762">
        <v>0</v>
      </c>
      <c r="S78" s="762">
        <v>0</v>
      </c>
      <c r="T78" s="762">
        <v>-110</v>
      </c>
      <c r="U78" s="762">
        <v>0</v>
      </c>
      <c r="V78" s="762">
        <v>0</v>
      </c>
      <c r="W78" s="762">
        <v>0</v>
      </c>
      <c r="X78" s="935">
        <v>0</v>
      </c>
      <c r="Y78" s="744">
        <f t="shared" si="124"/>
        <v>-110</v>
      </c>
      <c r="Z78" s="888">
        <f t="shared" si="111"/>
        <v>-2.0901341866147807E-4</v>
      </c>
      <c r="AA78" s="874"/>
      <c r="AB78" s="762">
        <v>0</v>
      </c>
      <c r="AC78" s="762">
        <v>0</v>
      </c>
      <c r="AD78" s="762">
        <v>0</v>
      </c>
      <c r="AE78" s="762">
        <v>0</v>
      </c>
      <c r="AF78" s="762">
        <v>-110</v>
      </c>
      <c r="AG78" s="762">
        <v>0</v>
      </c>
      <c r="AH78" s="762">
        <v>0</v>
      </c>
      <c r="AI78" s="762">
        <v>0</v>
      </c>
      <c r="AJ78" s="935">
        <v>0</v>
      </c>
      <c r="AK78" s="744">
        <f t="shared" si="125"/>
        <v>-110</v>
      </c>
      <c r="AL78" s="888">
        <f t="shared" si="50"/>
        <v>-2.1495080557699635E-4</v>
      </c>
      <c r="AM78" s="874"/>
      <c r="AN78" s="762">
        <v>0</v>
      </c>
      <c r="AO78" s="762">
        <v>0</v>
      </c>
      <c r="AP78" s="762">
        <v>0</v>
      </c>
      <c r="AQ78" s="762">
        <v>0</v>
      </c>
      <c r="AR78" s="762">
        <v>-110</v>
      </c>
      <c r="AS78" s="762">
        <v>0</v>
      </c>
      <c r="AT78" s="762">
        <v>0</v>
      </c>
      <c r="AU78" s="762">
        <v>0</v>
      </c>
      <c r="AV78" s="935">
        <v>0</v>
      </c>
      <c r="AW78" s="744">
        <f t="shared" si="126"/>
        <v>-110</v>
      </c>
      <c r="AX78" s="888">
        <f t="shared" si="52"/>
        <v>-2.0714694627738106E-4</v>
      </c>
      <c r="AY78" s="874"/>
      <c r="AZ78" s="762">
        <v>0</v>
      </c>
      <c r="BA78" s="762">
        <v>0</v>
      </c>
      <c r="BB78" s="762">
        <v>0</v>
      </c>
      <c r="BC78" s="762">
        <v>0</v>
      </c>
      <c r="BD78" s="762">
        <v>-110</v>
      </c>
      <c r="BE78" s="762">
        <v>0</v>
      </c>
      <c r="BF78" s="762">
        <v>0</v>
      </c>
      <c r="BG78" s="762">
        <v>0</v>
      </c>
      <c r="BH78" s="935">
        <v>0</v>
      </c>
      <c r="BI78" s="744">
        <f t="shared" si="127"/>
        <v>-110</v>
      </c>
      <c r="BJ78" s="888">
        <f t="shared" si="54"/>
        <v>-2.2179923539754489E-4</v>
      </c>
      <c r="BK78" s="874"/>
      <c r="BL78" s="762">
        <v>0</v>
      </c>
      <c r="BM78" s="762">
        <v>0</v>
      </c>
      <c r="BN78" s="762">
        <v>0</v>
      </c>
      <c r="BO78" s="762">
        <v>0</v>
      </c>
      <c r="BP78" s="762">
        <v>-110</v>
      </c>
      <c r="BQ78" s="762">
        <v>0</v>
      </c>
      <c r="BR78" s="762">
        <v>0</v>
      </c>
      <c r="BS78" s="762">
        <v>0</v>
      </c>
      <c r="BT78" s="935">
        <v>0</v>
      </c>
      <c r="BU78" s="744">
        <f t="shared" si="128"/>
        <v>-110</v>
      </c>
      <c r="BV78" s="888">
        <f t="shared" si="56"/>
        <v>-2.2129501844795745E-4</v>
      </c>
      <c r="BW78" s="874"/>
      <c r="BX78" s="762">
        <v>0</v>
      </c>
      <c r="BY78" s="762">
        <v>0</v>
      </c>
      <c r="BZ78" s="762">
        <v>0</v>
      </c>
      <c r="CA78" s="762">
        <v>0</v>
      </c>
      <c r="CB78" s="762">
        <v>-110</v>
      </c>
      <c r="CC78" s="762">
        <v>0</v>
      </c>
      <c r="CD78" s="762">
        <v>0</v>
      </c>
      <c r="CE78" s="762">
        <v>0</v>
      </c>
      <c r="CF78" s="935">
        <v>0</v>
      </c>
      <c r="CG78" s="744">
        <f t="shared" si="129"/>
        <v>-110</v>
      </c>
      <c r="CH78" s="888">
        <f t="shared" si="58"/>
        <v>-2.2917239597656608E-4</v>
      </c>
      <c r="CI78" s="874"/>
      <c r="CJ78" s="957">
        <f t="shared" si="101"/>
        <v>0</v>
      </c>
      <c r="CK78" s="965">
        <f t="shared" si="102"/>
        <v>0</v>
      </c>
      <c r="CL78" s="746"/>
      <c r="CM78" s="816">
        <f>-DATOS!D160</f>
        <v>-659</v>
      </c>
      <c r="CN78" s="757">
        <f t="shared" si="85"/>
        <v>-2.166291291229594E-4</v>
      </c>
      <c r="CO78" s="746"/>
      <c r="CP78" s="744">
        <f>-DATOS!F160</f>
        <v>-387.5</v>
      </c>
      <c r="CQ78" s="756">
        <f t="shared" si="0"/>
        <v>-7.5214020281581882E-4</v>
      </c>
      <c r="CR78" s="874"/>
      <c r="CS78" s="816">
        <f>-DATOS!G160</f>
        <v>-1106</v>
      </c>
      <c r="CT78" s="757">
        <f t="shared" si="115"/>
        <v>-3.763271187752696E-4</v>
      </c>
      <c r="CU78" s="874"/>
      <c r="CV78" s="897">
        <f t="shared" si="130"/>
        <v>447</v>
      </c>
      <c r="CW78" s="902">
        <f t="shared" si="1"/>
        <v>-0.40415913200723325</v>
      </c>
      <c r="CY78" s="750"/>
    </row>
    <row r="79" spans="1:103" hidden="1" outlineLevel="2">
      <c r="A79" s="734">
        <v>52359503</v>
      </c>
      <c r="B79" s="833" t="s">
        <v>846</v>
      </c>
      <c r="C79" s="874"/>
      <c r="D79" s="762">
        <v>-456</v>
      </c>
      <c r="E79" s="762">
        <v>-566</v>
      </c>
      <c r="F79" s="762">
        <v>-456</v>
      </c>
      <c r="G79" s="762">
        <v>-566</v>
      </c>
      <c r="H79" s="762">
        <v>-456</v>
      </c>
      <c r="I79" s="762">
        <v>-456</v>
      </c>
      <c r="J79" s="762">
        <v>-566</v>
      </c>
      <c r="K79" s="762">
        <v>0</v>
      </c>
      <c r="L79" s="935">
        <v>-566</v>
      </c>
      <c r="M79" s="744">
        <f t="shared" si="123"/>
        <v>-4088</v>
      </c>
      <c r="N79" s="888">
        <f t="shared" si="114"/>
        <v>-8.0987540835510893E-3</v>
      </c>
      <c r="O79" s="874"/>
      <c r="P79" s="762">
        <v>0</v>
      </c>
      <c r="Q79" s="762">
        <v>0</v>
      </c>
      <c r="R79" s="762">
        <v>0</v>
      </c>
      <c r="S79" s="762">
        <v>0</v>
      </c>
      <c r="T79" s="762">
        <v>-2222</v>
      </c>
      <c r="U79" s="762">
        <v>0</v>
      </c>
      <c r="V79" s="762">
        <v>0</v>
      </c>
      <c r="W79" s="762">
        <v>0</v>
      </c>
      <c r="X79" s="935">
        <v>0</v>
      </c>
      <c r="Y79" s="744">
        <f t="shared" si="124"/>
        <v>-2222</v>
      </c>
      <c r="Z79" s="888">
        <f t="shared" si="111"/>
        <v>-4.2220710569618571E-3</v>
      </c>
      <c r="AA79" s="874"/>
      <c r="AB79" s="762">
        <v>0</v>
      </c>
      <c r="AC79" s="762">
        <v>0</v>
      </c>
      <c r="AD79" s="762">
        <v>0</v>
      </c>
      <c r="AE79" s="762">
        <v>0</v>
      </c>
      <c r="AF79" s="762">
        <v>-3633</v>
      </c>
      <c r="AG79" s="762">
        <v>0</v>
      </c>
      <c r="AH79" s="762">
        <v>0</v>
      </c>
      <c r="AI79" s="762">
        <v>0</v>
      </c>
      <c r="AJ79" s="935">
        <v>0</v>
      </c>
      <c r="AK79" s="744">
        <f t="shared" si="125"/>
        <v>-3633</v>
      </c>
      <c r="AL79" s="888">
        <f t="shared" si="50"/>
        <v>-7.0992388787384344E-3</v>
      </c>
      <c r="AM79" s="874"/>
      <c r="AN79" s="762">
        <v>0</v>
      </c>
      <c r="AO79" s="762">
        <v>0</v>
      </c>
      <c r="AP79" s="762">
        <v>0</v>
      </c>
      <c r="AQ79" s="762">
        <v>0</v>
      </c>
      <c r="AR79" s="762">
        <v>-5547</v>
      </c>
      <c r="AS79" s="762">
        <v>0</v>
      </c>
      <c r="AT79" s="762">
        <v>0</v>
      </c>
      <c r="AU79" s="762">
        <v>0</v>
      </c>
      <c r="AV79" s="935">
        <v>0</v>
      </c>
      <c r="AW79" s="744">
        <f t="shared" si="126"/>
        <v>-5547</v>
      </c>
      <c r="AX79" s="888">
        <f t="shared" si="52"/>
        <v>-1.0445855554551207E-2</v>
      </c>
      <c r="AY79" s="874"/>
      <c r="AZ79" s="762">
        <v>-456</v>
      </c>
      <c r="BA79" s="762">
        <v>-456</v>
      </c>
      <c r="BB79" s="762">
        <v>-456</v>
      </c>
      <c r="BC79" s="762">
        <v>-456</v>
      </c>
      <c r="BD79" s="762">
        <v>-7149</v>
      </c>
      <c r="BE79" s="762">
        <v>-456</v>
      </c>
      <c r="BF79" s="762">
        <v>-456</v>
      </c>
      <c r="BG79" s="762">
        <v>0</v>
      </c>
      <c r="BH79" s="935">
        <v>-456</v>
      </c>
      <c r="BI79" s="744">
        <f t="shared" si="127"/>
        <v>-10341</v>
      </c>
      <c r="BJ79" s="888">
        <f t="shared" si="54"/>
        <v>-2.0851144484054653E-2</v>
      </c>
      <c r="BK79" s="874"/>
      <c r="BL79" s="762">
        <v>-456</v>
      </c>
      <c r="BM79" s="762">
        <v>-456</v>
      </c>
      <c r="BN79" s="762">
        <v>-456</v>
      </c>
      <c r="BO79" s="762">
        <v>-456</v>
      </c>
      <c r="BP79" s="762">
        <v>-29843</v>
      </c>
      <c r="BQ79" s="762">
        <v>-456</v>
      </c>
      <c r="BR79" s="762">
        <v>-456</v>
      </c>
      <c r="BS79" s="762">
        <v>-20108</v>
      </c>
      <c r="BT79" s="935">
        <v>-456</v>
      </c>
      <c r="BU79" s="744">
        <f t="shared" si="128"/>
        <v>-53143</v>
      </c>
      <c r="BV79" s="888">
        <f t="shared" si="56"/>
        <v>-0.10691164695799821</v>
      </c>
      <c r="BW79" s="874"/>
      <c r="BX79" s="762">
        <v>-456</v>
      </c>
      <c r="BY79" s="762">
        <v>-456</v>
      </c>
      <c r="BZ79" s="762">
        <v>-456</v>
      </c>
      <c r="CA79" s="762">
        <v>-456</v>
      </c>
      <c r="CB79" s="762">
        <v>-2386</v>
      </c>
      <c r="CC79" s="762">
        <v>-456</v>
      </c>
      <c r="CD79" s="762">
        <v>-456</v>
      </c>
      <c r="CE79" s="762">
        <v>0</v>
      </c>
      <c r="CF79" s="935">
        <v>-456</v>
      </c>
      <c r="CG79" s="744">
        <f t="shared" si="129"/>
        <v>-5578</v>
      </c>
      <c r="CH79" s="888">
        <f t="shared" si="58"/>
        <v>-1.1621123861429869E-2</v>
      </c>
      <c r="CI79" s="874"/>
      <c r="CJ79" s="957">
        <f t="shared" si="101"/>
        <v>47565</v>
      </c>
      <c r="CK79" s="965">
        <f t="shared" si="102"/>
        <v>-0.89503791656474041</v>
      </c>
      <c r="CL79" s="746"/>
      <c r="CM79" s="816">
        <f>-DATOS!D161</f>
        <v>-80470</v>
      </c>
      <c r="CN79" s="757">
        <f t="shared" si="85"/>
        <v>-2.6452421882434813E-2</v>
      </c>
      <c r="CO79" s="746"/>
      <c r="CP79" s="744">
        <f>-DATOS!F161</f>
        <v>-16825.5</v>
      </c>
      <c r="CQ79" s="756">
        <f t="shared" si="0"/>
        <v>-3.2658412858006608E-2</v>
      </c>
      <c r="CR79" s="874"/>
      <c r="CS79" s="816">
        <f>-DATOS!G161</f>
        <v>-79623.5</v>
      </c>
      <c r="CT79" s="757">
        <f t="shared" si="115"/>
        <v>-2.7092660345210379E-2</v>
      </c>
      <c r="CU79" s="874"/>
      <c r="CV79" s="897">
        <f t="shared" si="130"/>
        <v>-846.5</v>
      </c>
      <c r="CW79" s="902">
        <f t="shared" si="1"/>
        <v>1.0631283477867714E-2</v>
      </c>
      <c r="CY79" s="750"/>
    </row>
    <row r="80" spans="1:103" hidden="1" outlineLevel="2">
      <c r="A80" s="734">
        <v>52359504</v>
      </c>
      <c r="B80" s="833" t="s">
        <v>322</v>
      </c>
      <c r="C80" s="874"/>
      <c r="D80" s="762">
        <v>0</v>
      </c>
      <c r="E80" s="762">
        <v>0</v>
      </c>
      <c r="F80" s="762">
        <v>0</v>
      </c>
      <c r="G80" s="762">
        <v>0</v>
      </c>
      <c r="H80" s="762">
        <v>0</v>
      </c>
      <c r="I80" s="762">
        <v>0</v>
      </c>
      <c r="J80" s="762">
        <v>0</v>
      </c>
      <c r="K80" s="762">
        <v>-1036</v>
      </c>
      <c r="L80" s="935">
        <v>0</v>
      </c>
      <c r="M80" s="744">
        <f t="shared" si="123"/>
        <v>-1036</v>
      </c>
      <c r="N80" s="888">
        <f t="shared" si="114"/>
        <v>-2.052423980078016E-3</v>
      </c>
      <c r="O80" s="874"/>
      <c r="P80" s="762">
        <v>0</v>
      </c>
      <c r="Q80" s="762">
        <v>-1110</v>
      </c>
      <c r="R80" s="762">
        <v>0</v>
      </c>
      <c r="S80" s="762">
        <v>0</v>
      </c>
      <c r="T80" s="762">
        <v>0</v>
      </c>
      <c r="U80" s="762">
        <v>0</v>
      </c>
      <c r="V80" s="762">
        <v>0</v>
      </c>
      <c r="W80" s="762">
        <v>0</v>
      </c>
      <c r="X80" s="935">
        <v>0</v>
      </c>
      <c r="Y80" s="744">
        <f t="shared" si="124"/>
        <v>-1110</v>
      </c>
      <c r="Z80" s="888">
        <f t="shared" si="111"/>
        <v>-2.1091354064930968E-3</v>
      </c>
      <c r="AA80" s="874"/>
      <c r="AB80" s="762">
        <v>0</v>
      </c>
      <c r="AC80" s="762">
        <v>0</v>
      </c>
      <c r="AD80" s="762">
        <v>-1368</v>
      </c>
      <c r="AE80" s="762">
        <v>0</v>
      </c>
      <c r="AF80" s="762">
        <v>-2197</v>
      </c>
      <c r="AG80" s="762">
        <v>0</v>
      </c>
      <c r="AH80" s="762">
        <v>0</v>
      </c>
      <c r="AI80" s="762">
        <v>0</v>
      </c>
      <c r="AJ80" s="935">
        <v>0</v>
      </c>
      <c r="AK80" s="744">
        <f t="shared" si="125"/>
        <v>-3565</v>
      </c>
      <c r="AL80" s="888">
        <f t="shared" si="50"/>
        <v>-6.9663601989271998E-3</v>
      </c>
      <c r="AM80" s="874"/>
      <c r="AN80" s="762">
        <v>0</v>
      </c>
      <c r="AO80" s="762">
        <v>0</v>
      </c>
      <c r="AP80" s="762">
        <v>0</v>
      </c>
      <c r="AQ80" s="762">
        <v>-514</v>
      </c>
      <c r="AR80" s="762">
        <v>0</v>
      </c>
      <c r="AS80" s="762">
        <v>0</v>
      </c>
      <c r="AT80" s="762">
        <v>0</v>
      </c>
      <c r="AU80" s="762">
        <v>0</v>
      </c>
      <c r="AV80" s="935">
        <v>-581</v>
      </c>
      <c r="AW80" s="744">
        <f t="shared" si="126"/>
        <v>-1095</v>
      </c>
      <c r="AX80" s="888">
        <f t="shared" si="52"/>
        <v>-2.0620536924884753E-3</v>
      </c>
      <c r="AY80" s="874"/>
      <c r="AZ80" s="762">
        <v>0</v>
      </c>
      <c r="BA80" s="762">
        <v>0</v>
      </c>
      <c r="BB80" s="762">
        <v>0</v>
      </c>
      <c r="BC80" s="762">
        <v>-2370</v>
      </c>
      <c r="BD80" s="762">
        <v>0</v>
      </c>
      <c r="BE80" s="762">
        <v>0</v>
      </c>
      <c r="BF80" s="762">
        <v>0</v>
      </c>
      <c r="BG80" s="762">
        <v>0</v>
      </c>
      <c r="BH80" s="935">
        <v>0</v>
      </c>
      <c r="BI80" s="744">
        <f t="shared" si="127"/>
        <v>-2370</v>
      </c>
      <c r="BJ80" s="888">
        <f t="shared" si="54"/>
        <v>-4.778765344474376E-3</v>
      </c>
      <c r="BK80" s="874"/>
      <c r="BL80" s="762">
        <v>0</v>
      </c>
      <c r="BM80" s="762">
        <v>0</v>
      </c>
      <c r="BN80" s="762">
        <v>0</v>
      </c>
      <c r="BO80" s="762">
        <v>-4448</v>
      </c>
      <c r="BP80" s="762">
        <v>0</v>
      </c>
      <c r="BQ80" s="762">
        <v>0</v>
      </c>
      <c r="BR80" s="762">
        <v>0</v>
      </c>
      <c r="BS80" s="762">
        <v>0</v>
      </c>
      <c r="BT80" s="935">
        <v>0</v>
      </c>
      <c r="BU80" s="744">
        <f t="shared" si="128"/>
        <v>-4448</v>
      </c>
      <c r="BV80" s="888">
        <f t="shared" si="56"/>
        <v>-8.9483658368774074E-3</v>
      </c>
      <c r="BW80" s="874"/>
      <c r="BX80" s="762">
        <v>-811</v>
      </c>
      <c r="BY80" s="762">
        <v>0</v>
      </c>
      <c r="BZ80" s="762">
        <v>0</v>
      </c>
      <c r="CA80" s="762">
        <v>-1737</v>
      </c>
      <c r="CB80" s="762">
        <v>0</v>
      </c>
      <c r="CC80" s="762">
        <v>0</v>
      </c>
      <c r="CD80" s="762">
        <v>0</v>
      </c>
      <c r="CE80" s="762">
        <v>0</v>
      </c>
      <c r="CF80" s="935">
        <v>0</v>
      </c>
      <c r="CG80" s="744">
        <f t="shared" si="129"/>
        <v>-2548</v>
      </c>
      <c r="CH80" s="888">
        <f t="shared" si="58"/>
        <v>-5.3084660449844575E-3</v>
      </c>
      <c r="CI80" s="874"/>
      <c r="CJ80" s="957">
        <f t="shared" si="101"/>
        <v>1900</v>
      </c>
      <c r="CK80" s="965">
        <f t="shared" si="102"/>
        <v>-0.42715827338129497</v>
      </c>
      <c r="CL80" s="746"/>
      <c r="CM80" s="816">
        <f>-DATOS!D162</f>
        <v>-15136</v>
      </c>
      <c r="CN80" s="757">
        <f t="shared" si="85"/>
        <v>-4.9755667654098838E-3</v>
      </c>
      <c r="CO80" s="746"/>
      <c r="CP80" s="744">
        <f>-DATOS!F162</f>
        <v>0</v>
      </c>
      <c r="CQ80" s="756">
        <f t="shared" ref="CQ80:CQ147" si="131">+CP80/CP$13</f>
        <v>0</v>
      </c>
      <c r="CR80" s="874"/>
      <c r="CS80" s="816">
        <f>-DATOS!G162</f>
        <v>-4495</v>
      </c>
      <c r="CT80" s="757">
        <f t="shared" si="115"/>
        <v>-1.5294669067765251E-3</v>
      </c>
      <c r="CU80" s="874"/>
      <c r="CV80" s="897">
        <f t="shared" si="130"/>
        <v>-10641</v>
      </c>
      <c r="CW80" s="902">
        <f t="shared" ref="CW80:CW146" si="132">+IFERROR(CV80/CS80,0)</f>
        <v>2.3672969966629589</v>
      </c>
      <c r="CY80" s="750"/>
    </row>
    <row r="81" spans="1:103" hidden="1" outlineLevel="2">
      <c r="A81" s="734">
        <v>52359505</v>
      </c>
      <c r="B81" s="833" t="s">
        <v>845</v>
      </c>
      <c r="C81" s="874"/>
      <c r="D81" s="762">
        <v>0</v>
      </c>
      <c r="E81" s="762">
        <v>0</v>
      </c>
      <c r="F81" s="762">
        <v>0</v>
      </c>
      <c r="G81" s="762">
        <v>-318</v>
      </c>
      <c r="H81" s="762">
        <v>0</v>
      </c>
      <c r="I81" s="762">
        <v>0</v>
      </c>
      <c r="J81" s="762">
        <v>-229</v>
      </c>
      <c r="K81" s="762">
        <v>0</v>
      </c>
      <c r="L81" s="935">
        <v>-59</v>
      </c>
      <c r="M81" s="744">
        <f t="shared" si="123"/>
        <v>-606</v>
      </c>
      <c r="N81" s="888">
        <f t="shared" si="114"/>
        <v>-1.2005491620919668E-3</v>
      </c>
      <c r="O81" s="874"/>
      <c r="P81" s="762">
        <v>0</v>
      </c>
      <c r="Q81" s="762">
        <v>0</v>
      </c>
      <c r="R81" s="762">
        <v>0</v>
      </c>
      <c r="S81" s="762">
        <v>-479</v>
      </c>
      <c r="T81" s="762">
        <v>0</v>
      </c>
      <c r="U81" s="762">
        <v>0</v>
      </c>
      <c r="V81" s="762">
        <v>-107</v>
      </c>
      <c r="W81" s="762">
        <v>0</v>
      </c>
      <c r="X81" s="935">
        <v>-300</v>
      </c>
      <c r="Y81" s="744">
        <f t="shared" si="124"/>
        <v>-886</v>
      </c>
      <c r="Z81" s="888">
        <f t="shared" si="111"/>
        <v>-1.6835080812188142E-3</v>
      </c>
      <c r="AA81" s="874"/>
      <c r="AB81" s="762">
        <v>0</v>
      </c>
      <c r="AC81" s="762">
        <v>0</v>
      </c>
      <c r="AD81" s="762">
        <v>0</v>
      </c>
      <c r="AE81" s="762">
        <v>-220</v>
      </c>
      <c r="AF81" s="762">
        <v>0</v>
      </c>
      <c r="AG81" s="762">
        <v>0</v>
      </c>
      <c r="AH81" s="762">
        <v>-143</v>
      </c>
      <c r="AI81" s="762">
        <v>0</v>
      </c>
      <c r="AJ81" s="935">
        <v>-185</v>
      </c>
      <c r="AK81" s="744">
        <f t="shared" si="125"/>
        <v>-548</v>
      </c>
      <c r="AL81" s="888">
        <f t="shared" si="50"/>
        <v>-1.0708458314199454E-3</v>
      </c>
      <c r="AM81" s="874"/>
      <c r="AN81" s="762">
        <v>0</v>
      </c>
      <c r="AO81" s="762">
        <v>0</v>
      </c>
      <c r="AP81" s="762">
        <v>0</v>
      </c>
      <c r="AQ81" s="762">
        <v>-1135</v>
      </c>
      <c r="AR81" s="762">
        <v>0</v>
      </c>
      <c r="AS81" s="762">
        <v>0</v>
      </c>
      <c r="AT81" s="762">
        <v>-135</v>
      </c>
      <c r="AU81" s="762">
        <v>0</v>
      </c>
      <c r="AV81" s="935">
        <v>-150</v>
      </c>
      <c r="AW81" s="744">
        <f t="shared" si="126"/>
        <v>-1420</v>
      </c>
      <c r="AX81" s="888">
        <f t="shared" si="52"/>
        <v>-2.6740787610352828E-3</v>
      </c>
      <c r="AY81" s="874"/>
      <c r="AZ81" s="762">
        <v>0</v>
      </c>
      <c r="BA81" s="762">
        <v>0</v>
      </c>
      <c r="BB81" s="762">
        <v>0</v>
      </c>
      <c r="BC81" s="762">
        <v>-2065</v>
      </c>
      <c r="BD81" s="762">
        <v>0</v>
      </c>
      <c r="BE81" s="762">
        <v>0</v>
      </c>
      <c r="BF81" s="762">
        <v>-144</v>
      </c>
      <c r="BG81" s="762">
        <v>0</v>
      </c>
      <c r="BH81" s="935">
        <v>-361</v>
      </c>
      <c r="BI81" s="744">
        <f t="shared" si="127"/>
        <v>-2570</v>
      </c>
      <c r="BJ81" s="888">
        <f t="shared" si="54"/>
        <v>-5.1820366815608218E-3</v>
      </c>
      <c r="BK81" s="874"/>
      <c r="BL81" s="762">
        <v>0</v>
      </c>
      <c r="BM81" s="762">
        <v>0</v>
      </c>
      <c r="BN81" s="762">
        <v>0</v>
      </c>
      <c r="BO81" s="762">
        <v>-138</v>
      </c>
      <c r="BP81" s="762">
        <v>0</v>
      </c>
      <c r="BQ81" s="762">
        <v>0</v>
      </c>
      <c r="BR81" s="762">
        <v>0</v>
      </c>
      <c r="BS81" s="762">
        <v>0</v>
      </c>
      <c r="BT81" s="935">
        <v>-331</v>
      </c>
      <c r="BU81" s="744">
        <f t="shared" si="128"/>
        <v>-469</v>
      </c>
      <c r="BV81" s="888">
        <f t="shared" si="56"/>
        <v>-9.4352148774629128E-4</v>
      </c>
      <c r="BW81" s="874"/>
      <c r="BX81" s="762">
        <v>0</v>
      </c>
      <c r="BY81" s="762">
        <v>0</v>
      </c>
      <c r="BZ81" s="762">
        <v>0</v>
      </c>
      <c r="CA81" s="762">
        <v>-324</v>
      </c>
      <c r="CB81" s="762">
        <v>0</v>
      </c>
      <c r="CC81" s="762">
        <v>0</v>
      </c>
      <c r="CD81" s="762">
        <v>0</v>
      </c>
      <c r="CE81" s="762">
        <v>0</v>
      </c>
      <c r="CF81" s="935">
        <v>-311</v>
      </c>
      <c r="CG81" s="744">
        <f t="shared" si="129"/>
        <v>-635</v>
      </c>
      <c r="CH81" s="888">
        <f t="shared" si="58"/>
        <v>-1.3229497404101769E-3</v>
      </c>
      <c r="CI81" s="874"/>
      <c r="CJ81" s="957">
        <f t="shared" si="101"/>
        <v>-166</v>
      </c>
      <c r="CK81" s="965">
        <f t="shared" si="102"/>
        <v>0.35394456289978676</v>
      </c>
      <c r="CL81" s="746"/>
      <c r="CM81" s="816">
        <f>-DATOS!D163</f>
        <v>-6527</v>
      </c>
      <c r="CN81" s="757">
        <f t="shared" si="85"/>
        <v>-2.1455816779750469E-3</v>
      </c>
      <c r="CO81" s="746"/>
      <c r="CP81" s="744">
        <f>-DATOS!F163</f>
        <v>-1399</v>
      </c>
      <c r="CQ81" s="756">
        <f t="shared" si="131"/>
        <v>-2.7154687580369821E-3</v>
      </c>
      <c r="CR81" s="874"/>
      <c r="CS81" s="816">
        <f>-DATOS!G163</f>
        <v>-4828</v>
      </c>
      <c r="CT81" s="757">
        <f t="shared" si="115"/>
        <v>-1.6427733539303812E-3</v>
      </c>
      <c r="CU81" s="874"/>
      <c r="CV81" s="897">
        <f t="shared" si="130"/>
        <v>-1699</v>
      </c>
      <c r="CW81" s="902">
        <f t="shared" si="132"/>
        <v>0.35190555095277548</v>
      </c>
      <c r="CY81" s="750"/>
    </row>
    <row r="82" spans="1:103" hidden="1" outlineLevel="2">
      <c r="A82" s="734">
        <v>52359506</v>
      </c>
      <c r="B82" s="833" t="s">
        <v>979</v>
      </c>
      <c r="C82" s="874"/>
      <c r="D82" s="762">
        <v>0</v>
      </c>
      <c r="E82" s="762">
        <v>0</v>
      </c>
      <c r="F82" s="762">
        <v>0</v>
      </c>
      <c r="G82" s="762">
        <v>0</v>
      </c>
      <c r="H82" s="762">
        <v>0</v>
      </c>
      <c r="I82" s="762">
        <v>0</v>
      </c>
      <c r="J82" s="762">
        <v>0</v>
      </c>
      <c r="K82" s="762">
        <v>0</v>
      </c>
      <c r="L82" s="935">
        <v>0</v>
      </c>
      <c r="M82" s="744">
        <f t="shared" si="123"/>
        <v>0</v>
      </c>
      <c r="N82" s="888">
        <f t="shared" si="114"/>
        <v>0</v>
      </c>
      <c r="O82" s="874"/>
      <c r="P82" s="762">
        <v>0</v>
      </c>
      <c r="Q82" s="762">
        <v>0</v>
      </c>
      <c r="R82" s="762">
        <v>0</v>
      </c>
      <c r="S82" s="762">
        <v>0</v>
      </c>
      <c r="T82" s="762">
        <v>0</v>
      </c>
      <c r="U82" s="762">
        <v>0</v>
      </c>
      <c r="V82" s="762">
        <v>0</v>
      </c>
      <c r="W82" s="762">
        <v>0</v>
      </c>
      <c r="X82" s="935">
        <v>0</v>
      </c>
      <c r="Y82" s="744">
        <f t="shared" si="124"/>
        <v>0</v>
      </c>
      <c r="Z82" s="888">
        <f t="shared" si="111"/>
        <v>0</v>
      </c>
      <c r="AA82" s="874"/>
      <c r="AB82" s="762">
        <v>0</v>
      </c>
      <c r="AC82" s="762">
        <v>0</v>
      </c>
      <c r="AD82" s="762">
        <v>0</v>
      </c>
      <c r="AE82" s="762">
        <v>0</v>
      </c>
      <c r="AF82" s="762">
        <v>0</v>
      </c>
      <c r="AG82" s="762">
        <v>0</v>
      </c>
      <c r="AH82" s="762">
        <v>0</v>
      </c>
      <c r="AI82" s="762">
        <v>0</v>
      </c>
      <c r="AJ82" s="935">
        <v>0</v>
      </c>
      <c r="AK82" s="744">
        <f t="shared" si="125"/>
        <v>0</v>
      </c>
      <c r="AL82" s="888">
        <f t="shared" si="50"/>
        <v>0</v>
      </c>
      <c r="AM82" s="874"/>
      <c r="AN82" s="762">
        <v>0</v>
      </c>
      <c r="AO82" s="762">
        <v>0</v>
      </c>
      <c r="AP82" s="762">
        <v>0</v>
      </c>
      <c r="AQ82" s="762">
        <v>0</v>
      </c>
      <c r="AR82" s="762">
        <v>0</v>
      </c>
      <c r="AS82" s="762">
        <v>0</v>
      </c>
      <c r="AT82" s="762">
        <v>0</v>
      </c>
      <c r="AU82" s="762">
        <v>0</v>
      </c>
      <c r="AV82" s="935">
        <v>0</v>
      </c>
      <c r="AW82" s="744">
        <f t="shared" si="126"/>
        <v>0</v>
      </c>
      <c r="AX82" s="888">
        <f t="shared" si="52"/>
        <v>0</v>
      </c>
      <c r="AY82" s="874"/>
      <c r="AZ82" s="762">
        <v>0</v>
      </c>
      <c r="BA82" s="762">
        <v>0</v>
      </c>
      <c r="BB82" s="762">
        <v>0</v>
      </c>
      <c r="BC82" s="762">
        <v>0</v>
      </c>
      <c r="BD82" s="762">
        <v>0</v>
      </c>
      <c r="BE82" s="762">
        <v>0</v>
      </c>
      <c r="BF82" s="762">
        <v>0</v>
      </c>
      <c r="BG82" s="762">
        <v>0</v>
      </c>
      <c r="BH82" s="935">
        <v>0</v>
      </c>
      <c r="BI82" s="744">
        <f t="shared" si="127"/>
        <v>0</v>
      </c>
      <c r="BJ82" s="888">
        <f t="shared" si="54"/>
        <v>0</v>
      </c>
      <c r="BK82" s="874"/>
      <c r="BL82" s="762">
        <v>0</v>
      </c>
      <c r="BM82" s="762">
        <v>0</v>
      </c>
      <c r="BN82" s="762">
        <v>0</v>
      </c>
      <c r="BO82" s="762">
        <v>0</v>
      </c>
      <c r="BP82" s="762">
        <v>0</v>
      </c>
      <c r="BQ82" s="762">
        <v>0</v>
      </c>
      <c r="BR82" s="762">
        <v>0</v>
      </c>
      <c r="BS82" s="762">
        <v>0</v>
      </c>
      <c r="BT82" s="935">
        <v>0</v>
      </c>
      <c r="BU82" s="744">
        <f t="shared" si="128"/>
        <v>0</v>
      </c>
      <c r="BV82" s="888">
        <f t="shared" si="56"/>
        <v>0</v>
      </c>
      <c r="BW82" s="874"/>
      <c r="BX82" s="762">
        <v>0</v>
      </c>
      <c r="BY82" s="762">
        <v>0</v>
      </c>
      <c r="BZ82" s="762">
        <v>0</v>
      </c>
      <c r="CA82" s="762">
        <v>0</v>
      </c>
      <c r="CB82" s="762">
        <v>0</v>
      </c>
      <c r="CC82" s="762">
        <v>0</v>
      </c>
      <c r="CD82" s="762">
        <v>0</v>
      </c>
      <c r="CE82" s="762">
        <v>0</v>
      </c>
      <c r="CF82" s="935">
        <v>0</v>
      </c>
      <c r="CG82" s="744">
        <f t="shared" si="129"/>
        <v>0</v>
      </c>
      <c r="CH82" s="888">
        <f t="shared" si="58"/>
        <v>0</v>
      </c>
      <c r="CI82" s="874"/>
      <c r="CJ82" s="957">
        <f t="shared" si="101"/>
        <v>0</v>
      </c>
      <c r="CK82" s="965">
        <f t="shared" si="102"/>
        <v>0</v>
      </c>
      <c r="CL82" s="746"/>
      <c r="CM82" s="816">
        <f>-DATOS!D164</f>
        <v>0</v>
      </c>
      <c r="CN82" s="757">
        <f t="shared" ref="CN82" si="133">+CM82/CM$13</f>
        <v>0</v>
      </c>
      <c r="CO82" s="746"/>
      <c r="CP82" s="744">
        <f>-+DATOS!F164</f>
        <v>0</v>
      </c>
      <c r="CQ82" s="756">
        <f t="shared" si="131"/>
        <v>0</v>
      </c>
      <c r="CR82" s="874"/>
      <c r="CS82" s="816">
        <f>+-DATOS!G164</f>
        <v>0</v>
      </c>
      <c r="CT82" s="757">
        <f t="shared" si="115"/>
        <v>0</v>
      </c>
      <c r="CU82" s="874"/>
      <c r="CV82" s="897">
        <f t="shared" si="130"/>
        <v>0</v>
      </c>
      <c r="CW82" s="902">
        <f t="shared" ref="CW82" si="134">+IFERROR(CV82/CS82,0)</f>
        <v>0</v>
      </c>
      <c r="CY82" s="750"/>
    </row>
    <row r="83" spans="1:103" hidden="1" outlineLevel="2">
      <c r="A83" s="734">
        <v>52359506</v>
      </c>
      <c r="B83" s="833" t="s">
        <v>1435</v>
      </c>
      <c r="C83" s="874"/>
      <c r="D83" s="762">
        <v>0</v>
      </c>
      <c r="E83" s="762">
        <v>0</v>
      </c>
      <c r="F83" s="762">
        <v>0</v>
      </c>
      <c r="G83" s="762">
        <v>0</v>
      </c>
      <c r="H83" s="762">
        <v>0</v>
      </c>
      <c r="I83" s="762">
        <v>0</v>
      </c>
      <c r="J83" s="762">
        <v>0</v>
      </c>
      <c r="K83" s="762">
        <v>0</v>
      </c>
      <c r="L83" s="935">
        <v>0</v>
      </c>
      <c r="M83" s="744">
        <f t="shared" si="123"/>
        <v>0</v>
      </c>
      <c r="N83" s="888">
        <f t="shared" si="114"/>
        <v>0</v>
      </c>
      <c r="O83" s="874"/>
      <c r="P83" s="762">
        <v>0</v>
      </c>
      <c r="Q83" s="762">
        <v>0</v>
      </c>
      <c r="R83" s="762">
        <v>0</v>
      </c>
      <c r="S83" s="762">
        <v>0</v>
      </c>
      <c r="T83" s="762">
        <v>0</v>
      </c>
      <c r="U83" s="762">
        <v>0</v>
      </c>
      <c r="V83" s="762">
        <v>0</v>
      </c>
      <c r="W83" s="762">
        <v>0</v>
      </c>
      <c r="X83" s="935">
        <v>0</v>
      </c>
      <c r="Y83" s="744">
        <f t="shared" si="124"/>
        <v>0</v>
      </c>
      <c r="Z83" s="888">
        <f t="shared" si="111"/>
        <v>0</v>
      </c>
      <c r="AA83" s="874"/>
      <c r="AB83" s="762">
        <v>0</v>
      </c>
      <c r="AC83" s="762">
        <v>0</v>
      </c>
      <c r="AD83" s="762">
        <v>0</v>
      </c>
      <c r="AE83" s="762">
        <v>0</v>
      </c>
      <c r="AF83" s="762">
        <v>0</v>
      </c>
      <c r="AG83" s="762">
        <v>0</v>
      </c>
      <c r="AH83" s="762">
        <v>0</v>
      </c>
      <c r="AI83" s="762">
        <v>0</v>
      </c>
      <c r="AJ83" s="935">
        <v>0</v>
      </c>
      <c r="AK83" s="744">
        <f t="shared" si="125"/>
        <v>0</v>
      </c>
      <c r="AL83" s="888">
        <f t="shared" si="50"/>
        <v>0</v>
      </c>
      <c r="AM83" s="874"/>
      <c r="AN83" s="762">
        <v>0</v>
      </c>
      <c r="AO83" s="762">
        <v>0</v>
      </c>
      <c r="AP83" s="762">
        <v>0</v>
      </c>
      <c r="AQ83" s="762">
        <v>0</v>
      </c>
      <c r="AR83" s="762">
        <v>0</v>
      </c>
      <c r="AS83" s="762">
        <v>0</v>
      </c>
      <c r="AT83" s="762">
        <v>0</v>
      </c>
      <c r="AU83" s="762">
        <v>0</v>
      </c>
      <c r="AV83" s="935">
        <v>0</v>
      </c>
      <c r="AW83" s="744">
        <f t="shared" si="126"/>
        <v>0</v>
      </c>
      <c r="AX83" s="888">
        <f t="shared" si="52"/>
        <v>0</v>
      </c>
      <c r="AY83" s="874"/>
      <c r="AZ83" s="762">
        <v>-8</v>
      </c>
      <c r="BA83" s="762">
        <v>-7</v>
      </c>
      <c r="BB83" s="762">
        <v>0</v>
      </c>
      <c r="BC83" s="762">
        <v>-8</v>
      </c>
      <c r="BD83" s="762">
        <v>0</v>
      </c>
      <c r="BE83" s="762">
        <v>0</v>
      </c>
      <c r="BF83" s="762">
        <v>-8</v>
      </c>
      <c r="BG83" s="762">
        <v>0</v>
      </c>
      <c r="BH83" s="935">
        <v>0</v>
      </c>
      <c r="BI83" s="744">
        <f t="shared" si="127"/>
        <v>-31</v>
      </c>
      <c r="BJ83" s="888">
        <f t="shared" si="54"/>
        <v>-6.2507057248399018E-5</v>
      </c>
      <c r="BK83" s="874"/>
      <c r="BL83" s="762">
        <v>0</v>
      </c>
      <c r="BM83" s="762">
        <v>0</v>
      </c>
      <c r="BN83" s="762">
        <v>0</v>
      </c>
      <c r="BO83" s="762">
        <v>0</v>
      </c>
      <c r="BP83" s="762">
        <v>0</v>
      </c>
      <c r="BQ83" s="762">
        <v>0</v>
      </c>
      <c r="BR83" s="762">
        <v>0</v>
      </c>
      <c r="BS83" s="762">
        <v>0</v>
      </c>
      <c r="BT83" s="935">
        <v>0</v>
      </c>
      <c r="BU83" s="744">
        <f t="shared" si="128"/>
        <v>0</v>
      </c>
      <c r="BV83" s="888">
        <f t="shared" si="56"/>
        <v>0</v>
      </c>
      <c r="BW83" s="874"/>
      <c r="BX83" s="762">
        <v>0</v>
      </c>
      <c r="BY83" s="762">
        <v>0</v>
      </c>
      <c r="BZ83" s="762">
        <v>0</v>
      </c>
      <c r="CA83" s="762">
        <v>0</v>
      </c>
      <c r="CB83" s="762">
        <v>0</v>
      </c>
      <c r="CC83" s="762">
        <v>0</v>
      </c>
      <c r="CD83" s="762">
        <v>0</v>
      </c>
      <c r="CE83" s="762">
        <v>0</v>
      </c>
      <c r="CF83" s="935">
        <v>0</v>
      </c>
      <c r="CG83" s="744">
        <f t="shared" si="129"/>
        <v>0</v>
      </c>
      <c r="CH83" s="888">
        <f t="shared" si="58"/>
        <v>0</v>
      </c>
      <c r="CI83" s="874"/>
      <c r="CJ83" s="957">
        <f t="shared" si="101"/>
        <v>0</v>
      </c>
      <c r="CK83" s="965">
        <f t="shared" si="102"/>
        <v>0</v>
      </c>
      <c r="CL83" s="746"/>
      <c r="CM83" s="816">
        <f>-DATOS!D165</f>
        <v>-30</v>
      </c>
      <c r="CN83" s="757"/>
      <c r="CO83" s="746"/>
      <c r="CP83" s="744">
        <f>-DATOS!F165</f>
        <v>0</v>
      </c>
      <c r="CQ83" s="756">
        <f t="shared" si="131"/>
        <v>0</v>
      </c>
      <c r="CR83" s="874"/>
      <c r="CS83" s="816">
        <f>-DATOS!G165</f>
        <v>0</v>
      </c>
      <c r="CT83" s="757">
        <f t="shared" si="115"/>
        <v>0</v>
      </c>
      <c r="CU83" s="874"/>
      <c r="CV83" s="897"/>
      <c r="CW83" s="902"/>
      <c r="CY83" s="750"/>
    </row>
    <row r="84" spans="1:103" hidden="1" outlineLevel="2">
      <c r="A84" s="734">
        <v>52359509</v>
      </c>
      <c r="B84" s="833" t="s">
        <v>883</v>
      </c>
      <c r="C84" s="874"/>
      <c r="D84" s="762">
        <v>0</v>
      </c>
      <c r="E84" s="762">
        <v>0</v>
      </c>
      <c r="F84" s="762">
        <v>0</v>
      </c>
      <c r="G84" s="762">
        <v>0</v>
      </c>
      <c r="H84" s="762">
        <v>0</v>
      </c>
      <c r="I84" s="762">
        <v>0</v>
      </c>
      <c r="J84" s="762">
        <v>0</v>
      </c>
      <c r="K84" s="762">
        <v>0</v>
      </c>
      <c r="L84" s="935">
        <v>-6</v>
      </c>
      <c r="M84" s="744">
        <f t="shared" si="123"/>
        <v>-6</v>
      </c>
      <c r="N84" s="888">
        <f t="shared" si="114"/>
        <v>-1.1886625367247196E-5</v>
      </c>
      <c r="O84" s="874"/>
      <c r="P84" s="762">
        <v>0</v>
      </c>
      <c r="Q84" s="762">
        <v>0</v>
      </c>
      <c r="R84" s="762">
        <v>0</v>
      </c>
      <c r="S84" s="762">
        <v>0</v>
      </c>
      <c r="T84" s="762">
        <v>0</v>
      </c>
      <c r="U84" s="762">
        <v>0</v>
      </c>
      <c r="V84" s="762">
        <v>0</v>
      </c>
      <c r="W84" s="762">
        <v>0</v>
      </c>
      <c r="X84" s="935">
        <v>-6</v>
      </c>
      <c r="Y84" s="744">
        <f t="shared" si="124"/>
        <v>-6</v>
      </c>
      <c r="Z84" s="888">
        <f t="shared" si="111"/>
        <v>-1.1400731926989712E-5</v>
      </c>
      <c r="AA84" s="874"/>
      <c r="AB84" s="762">
        <v>0</v>
      </c>
      <c r="AC84" s="762">
        <v>-22</v>
      </c>
      <c r="AD84" s="762">
        <v>0</v>
      </c>
      <c r="AE84" s="762">
        <v>0</v>
      </c>
      <c r="AF84" s="762">
        <v>-22</v>
      </c>
      <c r="AG84" s="762">
        <v>0</v>
      </c>
      <c r="AH84" s="762">
        <v>0</v>
      </c>
      <c r="AI84" s="762">
        <v>0</v>
      </c>
      <c r="AJ84" s="935">
        <v>0</v>
      </c>
      <c r="AK84" s="744">
        <f t="shared" si="125"/>
        <v>-44</v>
      </c>
      <c r="AL84" s="888">
        <f t="shared" si="50"/>
        <v>-8.5980322230798536E-5</v>
      </c>
      <c r="AM84" s="874"/>
      <c r="AN84" s="762">
        <v>0</v>
      </c>
      <c r="AO84" s="762">
        <v>0</v>
      </c>
      <c r="AP84" s="762">
        <v>0</v>
      </c>
      <c r="AQ84" s="762">
        <v>0</v>
      </c>
      <c r="AR84" s="762">
        <v>-22</v>
      </c>
      <c r="AS84" s="762">
        <v>0</v>
      </c>
      <c r="AT84" s="762">
        <v>-22</v>
      </c>
      <c r="AU84" s="762">
        <v>0</v>
      </c>
      <c r="AV84" s="935">
        <v>0</v>
      </c>
      <c r="AW84" s="744">
        <f t="shared" si="126"/>
        <v>-44</v>
      </c>
      <c r="AX84" s="888">
        <f t="shared" si="52"/>
        <v>-8.2858778510952425E-5</v>
      </c>
      <c r="AY84" s="874"/>
      <c r="AZ84" s="762">
        <v>0</v>
      </c>
      <c r="BA84" s="762">
        <v>0</v>
      </c>
      <c r="BB84" s="762">
        <v>0</v>
      </c>
      <c r="BC84" s="762">
        <v>-22</v>
      </c>
      <c r="BD84" s="762">
        <v>0</v>
      </c>
      <c r="BE84" s="762">
        <v>0</v>
      </c>
      <c r="BF84" s="762">
        <v>0</v>
      </c>
      <c r="BG84" s="762">
        <v>0</v>
      </c>
      <c r="BH84" s="935">
        <v>0</v>
      </c>
      <c r="BI84" s="744">
        <f t="shared" si="127"/>
        <v>-22</v>
      </c>
      <c r="BJ84" s="888">
        <f t="shared" si="54"/>
        <v>-4.4359847079508974E-5</v>
      </c>
      <c r="BK84" s="874"/>
      <c r="BL84" s="762">
        <v>0</v>
      </c>
      <c r="BM84" s="762">
        <v>0</v>
      </c>
      <c r="BN84" s="762">
        <v>0</v>
      </c>
      <c r="BO84" s="762">
        <v>0</v>
      </c>
      <c r="BP84" s="762">
        <v>0</v>
      </c>
      <c r="BQ84" s="762">
        <v>0</v>
      </c>
      <c r="BR84" s="762">
        <v>0</v>
      </c>
      <c r="BS84" s="762">
        <v>0</v>
      </c>
      <c r="BT84" s="935">
        <v>0</v>
      </c>
      <c r="BU84" s="744">
        <f t="shared" si="128"/>
        <v>0</v>
      </c>
      <c r="BV84" s="888">
        <f t="shared" si="56"/>
        <v>0</v>
      </c>
      <c r="BW84" s="874"/>
      <c r="BX84" s="762">
        <v>0</v>
      </c>
      <c r="BY84" s="762">
        <v>0</v>
      </c>
      <c r="BZ84" s="762">
        <v>0</v>
      </c>
      <c r="CA84" s="762">
        <v>0</v>
      </c>
      <c r="CB84" s="762">
        <v>0</v>
      </c>
      <c r="CC84" s="762">
        <v>0</v>
      </c>
      <c r="CD84" s="762">
        <v>0</v>
      </c>
      <c r="CE84" s="762">
        <v>0</v>
      </c>
      <c r="CF84" s="935">
        <v>0</v>
      </c>
      <c r="CG84" s="744">
        <f t="shared" si="129"/>
        <v>0</v>
      </c>
      <c r="CH84" s="888">
        <f t="shared" si="58"/>
        <v>0</v>
      </c>
      <c r="CI84" s="874"/>
      <c r="CJ84" s="957">
        <f t="shared" si="101"/>
        <v>0</v>
      </c>
      <c r="CK84" s="965">
        <f t="shared" si="102"/>
        <v>0</v>
      </c>
      <c r="CL84" s="746"/>
      <c r="CM84" s="816">
        <f>+Y84</f>
        <v>-6</v>
      </c>
      <c r="CN84" s="757">
        <f t="shared" si="85"/>
        <v>-1.9723441194806622E-6</v>
      </c>
      <c r="CO84" s="746"/>
      <c r="CP84" s="744">
        <f>-DATOS!F166</f>
        <v>0</v>
      </c>
      <c r="CQ84" s="756">
        <f t="shared" si="131"/>
        <v>0</v>
      </c>
      <c r="CR84" s="874"/>
      <c r="CS84" s="816">
        <f>-DATOS!G166</f>
        <v>-95</v>
      </c>
      <c r="CT84" s="757">
        <f t="shared" si="115"/>
        <v>-3.2324662100949917E-5</v>
      </c>
      <c r="CU84" s="874"/>
      <c r="CV84" s="897">
        <f t="shared" ref="CV84:CV100" si="135">+CM84-CS84</f>
        <v>89</v>
      </c>
      <c r="CW84" s="902">
        <f t="shared" si="132"/>
        <v>-0.93684210526315792</v>
      </c>
      <c r="CY84" s="750"/>
    </row>
    <row r="85" spans="1:103" hidden="1" outlineLevel="2">
      <c r="A85" s="734">
        <v>52359595</v>
      </c>
      <c r="B85" s="833" t="s">
        <v>844</v>
      </c>
      <c r="C85" s="874"/>
      <c r="D85" s="762">
        <v>-224</v>
      </c>
      <c r="E85" s="762">
        <v>-224</v>
      </c>
      <c r="F85" s="762">
        <v>-112</v>
      </c>
      <c r="G85" s="762">
        <v>-224</v>
      </c>
      <c r="H85" s="762">
        <v>-308</v>
      </c>
      <c r="I85" s="762">
        <v>-112</v>
      </c>
      <c r="J85" s="762">
        <v>-224</v>
      </c>
      <c r="K85" s="762">
        <v>0</v>
      </c>
      <c r="L85" s="935">
        <v>-224</v>
      </c>
      <c r="M85" s="744">
        <f t="shared" si="123"/>
        <v>-1652</v>
      </c>
      <c r="N85" s="888">
        <f t="shared" si="114"/>
        <v>-3.2727841844487279E-3</v>
      </c>
      <c r="O85" s="874"/>
      <c r="P85" s="762">
        <v>-183</v>
      </c>
      <c r="Q85" s="762">
        <v>-123</v>
      </c>
      <c r="R85" s="762">
        <v>-123</v>
      </c>
      <c r="S85" s="762">
        <v>-123</v>
      </c>
      <c r="T85" s="762">
        <v>-123</v>
      </c>
      <c r="U85" s="762">
        <v>-123</v>
      </c>
      <c r="V85" s="762">
        <v>-123</v>
      </c>
      <c r="W85" s="762">
        <v>0</v>
      </c>
      <c r="X85" s="935">
        <v>-123</v>
      </c>
      <c r="Y85" s="744">
        <f t="shared" si="124"/>
        <v>-1044</v>
      </c>
      <c r="Z85" s="888">
        <f t="shared" si="111"/>
        <v>-1.9837273552962102E-3</v>
      </c>
      <c r="AA85" s="874"/>
      <c r="AB85" s="762">
        <v>-123</v>
      </c>
      <c r="AC85" s="762">
        <v>-123</v>
      </c>
      <c r="AD85" s="762">
        <v>-342</v>
      </c>
      <c r="AE85" s="762">
        <v>-123</v>
      </c>
      <c r="AF85" s="762">
        <v>-123</v>
      </c>
      <c r="AG85" s="762">
        <v>-123</v>
      </c>
      <c r="AH85" s="762">
        <v>-123</v>
      </c>
      <c r="AI85" s="762">
        <v>0</v>
      </c>
      <c r="AJ85" s="935">
        <v>-123</v>
      </c>
      <c r="AK85" s="744">
        <f t="shared" si="125"/>
        <v>-1203</v>
      </c>
      <c r="AL85" s="888">
        <f t="shared" si="50"/>
        <v>-2.350780173719333E-3</v>
      </c>
      <c r="AM85" s="874"/>
      <c r="AN85" s="762">
        <v>-123</v>
      </c>
      <c r="AO85" s="762">
        <v>-123</v>
      </c>
      <c r="AP85" s="762">
        <v>-123</v>
      </c>
      <c r="AQ85" s="762">
        <v>-123</v>
      </c>
      <c r="AR85" s="762">
        <v>-123</v>
      </c>
      <c r="AS85" s="762">
        <v>-123</v>
      </c>
      <c r="AT85" s="762">
        <v>-123</v>
      </c>
      <c r="AU85" s="762">
        <v>0</v>
      </c>
      <c r="AV85" s="935">
        <v>-123</v>
      </c>
      <c r="AW85" s="744">
        <f t="shared" si="126"/>
        <v>-984</v>
      </c>
      <c r="AX85" s="888">
        <f t="shared" si="52"/>
        <v>-1.8530235921540269E-3</v>
      </c>
      <c r="AY85" s="874"/>
      <c r="AZ85" s="762">
        <v>-123</v>
      </c>
      <c r="BA85" s="762">
        <v>-123</v>
      </c>
      <c r="BB85" s="762">
        <v>-123</v>
      </c>
      <c r="BC85" s="762">
        <v>-123</v>
      </c>
      <c r="BD85" s="762">
        <v>-560</v>
      </c>
      <c r="BE85" s="762">
        <v>-123</v>
      </c>
      <c r="BF85" s="762">
        <v>-123</v>
      </c>
      <c r="BG85" s="762">
        <v>0</v>
      </c>
      <c r="BH85" s="935">
        <v>-123</v>
      </c>
      <c r="BI85" s="744">
        <f t="shared" si="127"/>
        <v>-1421</v>
      </c>
      <c r="BJ85" s="888">
        <f t="shared" si="54"/>
        <v>-2.8652428499991935E-3</v>
      </c>
      <c r="BK85" s="874"/>
      <c r="BL85" s="762">
        <v>-123</v>
      </c>
      <c r="BM85" s="762">
        <v>-478</v>
      </c>
      <c r="BN85" s="762">
        <v>-123</v>
      </c>
      <c r="BO85" s="762">
        <v>-123</v>
      </c>
      <c r="BP85" s="762">
        <v>-123</v>
      </c>
      <c r="BQ85" s="762">
        <v>-123</v>
      </c>
      <c r="BR85" s="762">
        <v>-123</v>
      </c>
      <c r="BS85" s="762">
        <v>0</v>
      </c>
      <c r="BT85" s="935">
        <v>-123</v>
      </c>
      <c r="BU85" s="744">
        <f t="shared" si="128"/>
        <v>-1339</v>
      </c>
      <c r="BV85" s="888">
        <f t="shared" si="56"/>
        <v>-2.6937639063801364E-3</v>
      </c>
      <c r="BW85" s="874"/>
      <c r="BX85" s="762">
        <v>-123</v>
      </c>
      <c r="BY85" s="762">
        <v>-123</v>
      </c>
      <c r="BZ85" s="762">
        <v>-123</v>
      </c>
      <c r="CA85" s="762">
        <v>-123</v>
      </c>
      <c r="CB85" s="762">
        <v>-123</v>
      </c>
      <c r="CC85" s="762">
        <v>-123</v>
      </c>
      <c r="CD85" s="762">
        <v>-123</v>
      </c>
      <c r="CE85" s="762">
        <v>0</v>
      </c>
      <c r="CF85" s="935">
        <v>-123</v>
      </c>
      <c r="CG85" s="744">
        <f t="shared" si="129"/>
        <v>-984</v>
      </c>
      <c r="CH85" s="888">
        <f t="shared" si="58"/>
        <v>-2.050051251281282E-3</v>
      </c>
      <c r="CI85" s="874"/>
      <c r="CJ85" s="957">
        <f t="shared" si="101"/>
        <v>355</v>
      </c>
      <c r="CK85" s="965">
        <f t="shared" si="102"/>
        <v>-0.26512322628827484</v>
      </c>
      <c r="CL85" s="746"/>
      <c r="CM85" s="816">
        <f>-DATOS!D167</f>
        <v>-6984</v>
      </c>
      <c r="CN85" s="757">
        <f t="shared" si="85"/>
        <v>-2.2958085550754907E-3</v>
      </c>
      <c r="CO85" s="746"/>
      <c r="CP85" s="744">
        <f>-DATOS!F167</f>
        <v>-1491</v>
      </c>
      <c r="CQ85" s="756">
        <f t="shared" si="131"/>
        <v>-2.8940413997377698E-3</v>
      </c>
      <c r="CR85" s="874"/>
      <c r="CS85" s="816">
        <f>-DATOS!G167</f>
        <v>-9510</v>
      </c>
      <c r="CT85" s="757">
        <f t="shared" si="115"/>
        <v>-3.2358688061056183E-3</v>
      </c>
      <c r="CU85" s="874"/>
      <c r="CV85" s="897">
        <f t="shared" si="135"/>
        <v>2526</v>
      </c>
      <c r="CW85" s="902">
        <f t="shared" si="132"/>
        <v>-0.26561514195583596</v>
      </c>
      <c r="CY85" s="750"/>
    </row>
    <row r="86" spans="1:103" hidden="1" outlineLevel="2">
      <c r="A86" s="734">
        <v>52401501</v>
      </c>
      <c r="B86" s="833" t="s">
        <v>955</v>
      </c>
      <c r="C86" s="874"/>
      <c r="D86" s="762">
        <v>-12</v>
      </c>
      <c r="E86" s="762">
        <v>0</v>
      </c>
      <c r="F86" s="762">
        <v>0</v>
      </c>
      <c r="G86" s="762">
        <v>0</v>
      </c>
      <c r="H86" s="762">
        <v>0</v>
      </c>
      <c r="I86" s="762">
        <v>0</v>
      </c>
      <c r="J86" s="762">
        <v>0</v>
      </c>
      <c r="K86" s="762">
        <v>0</v>
      </c>
      <c r="L86" s="935">
        <v>0</v>
      </c>
      <c r="M86" s="744">
        <f t="shared" si="123"/>
        <v>-12</v>
      </c>
      <c r="N86" s="888">
        <f t="shared" si="114"/>
        <v>-2.3773250734494393E-5</v>
      </c>
      <c r="O86" s="874"/>
      <c r="P86" s="762">
        <v>-12</v>
      </c>
      <c r="Q86" s="762">
        <v>0</v>
      </c>
      <c r="R86" s="762">
        <v>0</v>
      </c>
      <c r="S86" s="762">
        <v>0</v>
      </c>
      <c r="T86" s="762">
        <v>0</v>
      </c>
      <c r="U86" s="762">
        <v>0</v>
      </c>
      <c r="V86" s="762">
        <v>0</v>
      </c>
      <c r="W86" s="762">
        <v>0</v>
      </c>
      <c r="X86" s="935">
        <v>0</v>
      </c>
      <c r="Y86" s="744">
        <f t="shared" si="124"/>
        <v>-12</v>
      </c>
      <c r="Z86" s="888">
        <f t="shared" si="111"/>
        <v>-2.2801463853979424E-5</v>
      </c>
      <c r="AA86" s="874"/>
      <c r="AB86" s="762">
        <v>-24</v>
      </c>
      <c r="AC86" s="762">
        <v>0</v>
      </c>
      <c r="AD86" s="762">
        <v>0</v>
      </c>
      <c r="AE86" s="762">
        <v>0</v>
      </c>
      <c r="AF86" s="762">
        <v>0</v>
      </c>
      <c r="AG86" s="762">
        <v>0</v>
      </c>
      <c r="AH86" s="762">
        <v>0</v>
      </c>
      <c r="AI86" s="762">
        <v>0</v>
      </c>
      <c r="AJ86" s="935">
        <v>0</v>
      </c>
      <c r="AK86" s="744">
        <f t="shared" si="125"/>
        <v>-24</v>
      </c>
      <c r="AL86" s="888">
        <f t="shared" si="50"/>
        <v>-4.6898357580435569E-5</v>
      </c>
      <c r="AM86" s="874"/>
      <c r="AN86" s="762">
        <v>-979</v>
      </c>
      <c r="AO86" s="762">
        <v>-701</v>
      </c>
      <c r="AP86" s="762">
        <v>-507</v>
      </c>
      <c r="AQ86" s="762">
        <v>-548</v>
      </c>
      <c r="AR86" s="762">
        <v>-1180</v>
      </c>
      <c r="AS86" s="762">
        <v>-1162</v>
      </c>
      <c r="AT86" s="762">
        <v>-936</v>
      </c>
      <c r="AU86" s="762">
        <v>0</v>
      </c>
      <c r="AV86" s="935">
        <v>-485</v>
      </c>
      <c r="AW86" s="744">
        <f t="shared" si="126"/>
        <v>-6498</v>
      </c>
      <c r="AX86" s="888">
        <f t="shared" si="52"/>
        <v>-1.2236735062822019E-2</v>
      </c>
      <c r="AY86" s="874"/>
      <c r="AZ86" s="762">
        <v>0</v>
      </c>
      <c r="BA86" s="762">
        <v>0</v>
      </c>
      <c r="BB86" s="762">
        <v>0</v>
      </c>
      <c r="BC86" s="762">
        <v>0</v>
      </c>
      <c r="BD86" s="762">
        <v>0</v>
      </c>
      <c r="BE86" s="762">
        <v>0</v>
      </c>
      <c r="BF86" s="762">
        <v>0</v>
      </c>
      <c r="BG86" s="762">
        <v>0</v>
      </c>
      <c r="BH86" s="935">
        <v>0</v>
      </c>
      <c r="BI86" s="744">
        <f t="shared" si="127"/>
        <v>0</v>
      </c>
      <c r="BJ86" s="888">
        <f t="shared" si="54"/>
        <v>0</v>
      </c>
      <c r="BK86" s="874"/>
      <c r="BL86" s="762">
        <v>-23</v>
      </c>
      <c r="BM86" s="762">
        <v>0</v>
      </c>
      <c r="BN86" s="762">
        <v>0</v>
      </c>
      <c r="BO86" s="762">
        <v>0</v>
      </c>
      <c r="BP86" s="762">
        <v>-12</v>
      </c>
      <c r="BQ86" s="762">
        <v>0</v>
      </c>
      <c r="BR86" s="762">
        <v>0</v>
      </c>
      <c r="BS86" s="762">
        <v>0</v>
      </c>
      <c r="BT86" s="935">
        <v>0</v>
      </c>
      <c r="BU86" s="744">
        <f t="shared" si="128"/>
        <v>-35</v>
      </c>
      <c r="BV86" s="888">
        <f t="shared" si="56"/>
        <v>-7.04120513243501E-5</v>
      </c>
      <c r="BW86" s="874"/>
      <c r="BX86" s="762">
        <v>0</v>
      </c>
      <c r="BY86" s="762">
        <v>0</v>
      </c>
      <c r="BZ86" s="762">
        <v>0</v>
      </c>
      <c r="CA86" s="762">
        <v>0</v>
      </c>
      <c r="CB86" s="762">
        <v>-12</v>
      </c>
      <c r="CC86" s="762">
        <v>0</v>
      </c>
      <c r="CD86" s="762">
        <v>0</v>
      </c>
      <c r="CE86" s="762">
        <v>0</v>
      </c>
      <c r="CF86" s="935">
        <v>0</v>
      </c>
      <c r="CG86" s="744">
        <f t="shared" si="129"/>
        <v>-12</v>
      </c>
      <c r="CH86" s="888">
        <f t="shared" si="58"/>
        <v>-2.500062501562539E-5</v>
      </c>
      <c r="CI86" s="874"/>
      <c r="CJ86" s="957">
        <f t="shared" ref="CJ86:CJ117" si="136">+CG86-BU86</f>
        <v>23</v>
      </c>
      <c r="CK86" s="965">
        <f t="shared" ref="CK86:CK117" si="137">IFERROR(+CJ86/BU86,0%)</f>
        <v>-0.65714285714285714</v>
      </c>
      <c r="CL86" s="746"/>
      <c r="CM86" s="816">
        <f>-DATOS!D168</f>
        <v>-6582</v>
      </c>
      <c r="CN86" s="757">
        <f t="shared" si="85"/>
        <v>-2.1636614990702863E-3</v>
      </c>
      <c r="CO86" s="746"/>
      <c r="CP86" s="744">
        <f>-DATOS!F168</f>
        <v>0</v>
      </c>
      <c r="CQ86" s="756">
        <f t="shared" si="131"/>
        <v>0</v>
      </c>
      <c r="CR86" s="874"/>
      <c r="CS86" s="816">
        <f>-DATOS!G168</f>
        <v>-6130</v>
      </c>
      <c r="CT86" s="757">
        <f t="shared" si="115"/>
        <v>-2.0857913545139265E-3</v>
      </c>
      <c r="CU86" s="874"/>
      <c r="CV86" s="897">
        <f t="shared" si="135"/>
        <v>-452</v>
      </c>
      <c r="CW86" s="902">
        <f t="shared" si="132"/>
        <v>7.3735725938009783E-2</v>
      </c>
      <c r="CY86" s="750"/>
    </row>
    <row r="87" spans="1:103" hidden="1" outlineLevel="2">
      <c r="A87" s="734">
        <v>52451501</v>
      </c>
      <c r="B87" s="833" t="s">
        <v>788</v>
      </c>
      <c r="C87" s="874"/>
      <c r="D87" s="762">
        <v>-170</v>
      </c>
      <c r="E87" s="762">
        <v>-170</v>
      </c>
      <c r="F87" s="762">
        <v>-225</v>
      </c>
      <c r="G87" s="762">
        <v>-170</v>
      </c>
      <c r="H87" s="762">
        <v>-295</v>
      </c>
      <c r="I87" s="762">
        <v>-540</v>
      </c>
      <c r="J87" s="762">
        <v>-400</v>
      </c>
      <c r="K87" s="762">
        <v>-120</v>
      </c>
      <c r="L87" s="935">
        <v>-380</v>
      </c>
      <c r="M87" s="744">
        <f t="shared" si="123"/>
        <v>-2470</v>
      </c>
      <c r="N87" s="888">
        <f t="shared" si="114"/>
        <v>-4.8933274428500954E-3</v>
      </c>
      <c r="O87" s="874"/>
      <c r="P87" s="762">
        <v>0</v>
      </c>
      <c r="Q87" s="762">
        <v>-2705</v>
      </c>
      <c r="R87" s="762">
        <v>0</v>
      </c>
      <c r="S87" s="762">
        <v>0</v>
      </c>
      <c r="T87" s="762">
        <v>0</v>
      </c>
      <c r="U87" s="762">
        <v>-120</v>
      </c>
      <c r="V87" s="762">
        <v>-250</v>
      </c>
      <c r="W87" s="762">
        <v>0</v>
      </c>
      <c r="X87" s="935">
        <v>0</v>
      </c>
      <c r="Y87" s="744">
        <f t="shared" si="124"/>
        <v>-3075</v>
      </c>
      <c r="Z87" s="888">
        <f t="shared" si="111"/>
        <v>-5.8428751125822274E-3</v>
      </c>
      <c r="AA87" s="874"/>
      <c r="AB87" s="762">
        <v>-370</v>
      </c>
      <c r="AC87" s="762">
        <v>-2829</v>
      </c>
      <c r="AD87" s="762">
        <v>-325</v>
      </c>
      <c r="AE87" s="762">
        <v>-500</v>
      </c>
      <c r="AF87" s="762">
        <v>-1514</v>
      </c>
      <c r="AG87" s="762">
        <v>-1055</v>
      </c>
      <c r="AH87" s="762">
        <v>-2087</v>
      </c>
      <c r="AI87" s="762">
        <v>0</v>
      </c>
      <c r="AJ87" s="935">
        <v>-665</v>
      </c>
      <c r="AK87" s="744">
        <f t="shared" si="125"/>
        <v>-9345</v>
      </c>
      <c r="AL87" s="888">
        <f t="shared" ref="AL87:AL100" si="138">+AK87/AK$13</f>
        <v>-1.8261047982882101E-2</v>
      </c>
      <c r="AM87" s="874"/>
      <c r="AN87" s="762">
        <v>-195</v>
      </c>
      <c r="AO87" s="762">
        <v>-170</v>
      </c>
      <c r="AP87" s="762">
        <v>0</v>
      </c>
      <c r="AQ87" s="762">
        <v>-390</v>
      </c>
      <c r="AR87" s="762">
        <v>-180</v>
      </c>
      <c r="AS87" s="762">
        <v>0</v>
      </c>
      <c r="AT87" s="762">
        <v>0</v>
      </c>
      <c r="AU87" s="762">
        <v>0</v>
      </c>
      <c r="AV87" s="935">
        <v>0</v>
      </c>
      <c r="AW87" s="744">
        <f t="shared" si="126"/>
        <v>-935</v>
      </c>
      <c r="AX87" s="888">
        <f t="shared" ref="AX87:AX100" si="139">+AW87/AW$13</f>
        <v>-1.7607490433577391E-3</v>
      </c>
      <c r="AY87" s="874"/>
      <c r="AZ87" s="762">
        <v>-582</v>
      </c>
      <c r="BA87" s="762">
        <v>-150</v>
      </c>
      <c r="BB87" s="762">
        <v>-325</v>
      </c>
      <c r="BC87" s="762">
        <v>-90</v>
      </c>
      <c r="BD87" s="762">
        <v>-175</v>
      </c>
      <c r="BE87" s="762">
        <v>-400</v>
      </c>
      <c r="BF87" s="762">
        <v>-2682</v>
      </c>
      <c r="BG87" s="762">
        <v>0</v>
      </c>
      <c r="BH87" s="935">
        <v>-200</v>
      </c>
      <c r="BI87" s="744">
        <f t="shared" si="127"/>
        <v>-4604</v>
      </c>
      <c r="BJ87" s="888">
        <f t="shared" ref="BJ87:BJ100" si="140">+BI87/BI$13</f>
        <v>-9.2833061797299703E-3</v>
      </c>
      <c r="BK87" s="874"/>
      <c r="BL87" s="762">
        <v>-348</v>
      </c>
      <c r="BM87" s="762">
        <v>-440</v>
      </c>
      <c r="BN87" s="762">
        <v>-440</v>
      </c>
      <c r="BO87" s="762">
        <v>-345</v>
      </c>
      <c r="BP87" s="762">
        <v>-1235</v>
      </c>
      <c r="BQ87" s="762">
        <v>-310</v>
      </c>
      <c r="BR87" s="762">
        <v>-420</v>
      </c>
      <c r="BS87" s="762">
        <v>0</v>
      </c>
      <c r="BT87" s="935">
        <v>-250</v>
      </c>
      <c r="BU87" s="744">
        <f t="shared" si="128"/>
        <v>-3788</v>
      </c>
      <c r="BV87" s="888">
        <f t="shared" ref="BV87:BV100" si="141">+BU87/BU$13</f>
        <v>-7.6205957261896622E-3</v>
      </c>
      <c r="BW87" s="874"/>
      <c r="BX87" s="762">
        <v>-580</v>
      </c>
      <c r="BY87" s="762">
        <v>0</v>
      </c>
      <c r="BZ87" s="762">
        <v>-230</v>
      </c>
      <c r="CA87" s="762">
        <v>-194</v>
      </c>
      <c r="CB87" s="762">
        <v>-320</v>
      </c>
      <c r="CC87" s="762">
        <v>-270</v>
      </c>
      <c r="CD87" s="762">
        <v>-1080</v>
      </c>
      <c r="CE87" s="762">
        <v>0</v>
      </c>
      <c r="CF87" s="935">
        <v>-104</v>
      </c>
      <c r="CG87" s="744">
        <f t="shared" si="129"/>
        <v>-2778</v>
      </c>
      <c r="CH87" s="888">
        <f t="shared" ref="CH87:CH100" si="142">+CG87/CG$13</f>
        <v>-5.7876446911172778E-3</v>
      </c>
      <c r="CI87" s="874"/>
      <c r="CJ87" s="957">
        <f t="shared" si="136"/>
        <v>1010</v>
      </c>
      <c r="CK87" s="965">
        <f t="shared" si="137"/>
        <v>-0.2666314677930306</v>
      </c>
      <c r="CL87" s="746"/>
      <c r="CM87" s="816">
        <f>-DATOS!D169</f>
        <v>-24804</v>
      </c>
      <c r="CN87" s="757">
        <f t="shared" si="85"/>
        <v>-8.1536705899330573E-3</v>
      </c>
      <c r="CO87" s="746"/>
      <c r="CP87" s="744">
        <f>-DATOS!F169</f>
        <v>-2795</v>
      </c>
      <c r="CQ87" s="756">
        <f t="shared" si="131"/>
        <v>-5.4251144951489383E-3</v>
      </c>
      <c r="CR87" s="874"/>
      <c r="CS87" s="816">
        <f>-DATOS!G169</f>
        <v>-15052</v>
      </c>
      <c r="CT87" s="757">
        <f t="shared" si="115"/>
        <v>-5.121587515194718E-3</v>
      </c>
      <c r="CU87" s="874"/>
      <c r="CV87" s="897">
        <f t="shared" si="135"/>
        <v>-9752</v>
      </c>
      <c r="CW87" s="902">
        <f t="shared" si="132"/>
        <v>0.647887323943662</v>
      </c>
      <c r="CY87" s="750"/>
    </row>
    <row r="88" spans="1:103" hidden="1" outlineLevel="2">
      <c r="A88" s="734">
        <v>52459595</v>
      </c>
      <c r="B88" s="833" t="s">
        <v>903</v>
      </c>
      <c r="C88" s="874"/>
      <c r="D88" s="762">
        <v>0</v>
      </c>
      <c r="E88" s="762">
        <v>0</v>
      </c>
      <c r="F88" s="762">
        <v>0</v>
      </c>
      <c r="G88" s="762">
        <v>0</v>
      </c>
      <c r="H88" s="762">
        <v>0</v>
      </c>
      <c r="I88" s="762">
        <v>0</v>
      </c>
      <c r="J88" s="762">
        <v>0</v>
      </c>
      <c r="K88" s="762">
        <v>0</v>
      </c>
      <c r="L88" s="935">
        <v>0</v>
      </c>
      <c r="M88" s="744">
        <f t="shared" si="123"/>
        <v>0</v>
      </c>
      <c r="N88" s="888">
        <f t="shared" si="114"/>
        <v>0</v>
      </c>
      <c r="O88" s="874"/>
      <c r="P88" s="762">
        <v>0</v>
      </c>
      <c r="Q88" s="762">
        <v>0</v>
      </c>
      <c r="R88" s="762">
        <v>0</v>
      </c>
      <c r="S88" s="762">
        <v>0</v>
      </c>
      <c r="T88" s="762">
        <v>0</v>
      </c>
      <c r="U88" s="762">
        <v>0</v>
      </c>
      <c r="V88" s="762">
        <v>0</v>
      </c>
      <c r="W88" s="762">
        <v>0</v>
      </c>
      <c r="X88" s="935">
        <v>0</v>
      </c>
      <c r="Y88" s="744">
        <f t="shared" si="124"/>
        <v>0</v>
      </c>
      <c r="Z88" s="888">
        <f t="shared" si="111"/>
        <v>0</v>
      </c>
      <c r="AA88" s="874"/>
      <c r="AB88" s="762">
        <v>0</v>
      </c>
      <c r="AC88" s="762">
        <v>-150</v>
      </c>
      <c r="AD88" s="762">
        <v>0</v>
      </c>
      <c r="AE88" s="762">
        <v>0</v>
      </c>
      <c r="AF88" s="762">
        <v>0</v>
      </c>
      <c r="AG88" s="762">
        <v>0</v>
      </c>
      <c r="AH88" s="762">
        <v>0</v>
      </c>
      <c r="AI88" s="762">
        <v>0</v>
      </c>
      <c r="AJ88" s="935">
        <v>0</v>
      </c>
      <c r="AK88" s="744">
        <f t="shared" si="125"/>
        <v>-150</v>
      </c>
      <c r="AL88" s="888">
        <f t="shared" si="138"/>
        <v>-2.9311473487772229E-4</v>
      </c>
      <c r="AM88" s="874"/>
      <c r="AN88" s="762">
        <v>-129</v>
      </c>
      <c r="AO88" s="762">
        <v>0</v>
      </c>
      <c r="AP88" s="762">
        <v>0</v>
      </c>
      <c r="AQ88" s="762">
        <v>0</v>
      </c>
      <c r="AR88" s="762">
        <v>0</v>
      </c>
      <c r="AS88" s="762">
        <v>0</v>
      </c>
      <c r="AT88" s="762">
        <v>0</v>
      </c>
      <c r="AU88" s="762">
        <v>0</v>
      </c>
      <c r="AV88" s="935">
        <v>0</v>
      </c>
      <c r="AW88" s="744">
        <f t="shared" si="126"/>
        <v>-129</v>
      </c>
      <c r="AX88" s="888">
        <f t="shared" si="139"/>
        <v>-2.4292687336165597E-4</v>
      </c>
      <c r="AY88" s="874"/>
      <c r="AZ88" s="762">
        <v>0</v>
      </c>
      <c r="BA88" s="762">
        <v>0</v>
      </c>
      <c r="BB88" s="762">
        <v>0</v>
      </c>
      <c r="BC88" s="762">
        <v>0</v>
      </c>
      <c r="BD88" s="762">
        <v>0</v>
      </c>
      <c r="BE88" s="762">
        <v>0</v>
      </c>
      <c r="BF88" s="762">
        <v>0</v>
      </c>
      <c r="BG88" s="762">
        <v>0</v>
      </c>
      <c r="BH88" s="935">
        <v>0</v>
      </c>
      <c r="BI88" s="744">
        <f t="shared" si="127"/>
        <v>0</v>
      </c>
      <c r="BJ88" s="888">
        <f t="shared" si="140"/>
        <v>0</v>
      </c>
      <c r="BK88" s="874"/>
      <c r="BL88" s="762">
        <v>0</v>
      </c>
      <c r="BM88" s="762">
        <v>0</v>
      </c>
      <c r="BN88" s="762">
        <v>0</v>
      </c>
      <c r="BO88" s="762">
        <v>0</v>
      </c>
      <c r="BP88" s="762">
        <v>0</v>
      </c>
      <c r="BQ88" s="762">
        <v>0</v>
      </c>
      <c r="BR88" s="762">
        <v>0</v>
      </c>
      <c r="BS88" s="762">
        <v>0</v>
      </c>
      <c r="BT88" s="935">
        <v>0</v>
      </c>
      <c r="BU88" s="744">
        <f t="shared" si="128"/>
        <v>0</v>
      </c>
      <c r="BV88" s="888">
        <f t="shared" si="141"/>
        <v>0</v>
      </c>
      <c r="BW88" s="874"/>
      <c r="BX88" s="762">
        <v>0</v>
      </c>
      <c r="BY88" s="762">
        <v>0</v>
      </c>
      <c r="BZ88" s="762">
        <v>0</v>
      </c>
      <c r="CA88" s="762">
        <v>0</v>
      </c>
      <c r="CB88" s="762">
        <v>0</v>
      </c>
      <c r="CC88" s="762">
        <v>0</v>
      </c>
      <c r="CD88" s="762">
        <v>0</v>
      </c>
      <c r="CE88" s="762">
        <v>0</v>
      </c>
      <c r="CF88" s="935">
        <v>0</v>
      </c>
      <c r="CG88" s="744">
        <f t="shared" si="129"/>
        <v>0</v>
      </c>
      <c r="CH88" s="888">
        <f t="shared" si="142"/>
        <v>0</v>
      </c>
      <c r="CI88" s="874"/>
      <c r="CJ88" s="957">
        <f t="shared" si="136"/>
        <v>0</v>
      </c>
      <c r="CK88" s="965">
        <f t="shared" si="137"/>
        <v>0</v>
      </c>
      <c r="CL88" s="746"/>
      <c r="CM88" s="816">
        <v>0</v>
      </c>
      <c r="CN88" s="757">
        <f t="shared" si="85"/>
        <v>0</v>
      </c>
      <c r="CO88" s="746"/>
      <c r="CP88" s="744"/>
      <c r="CQ88" s="756">
        <f t="shared" si="131"/>
        <v>0</v>
      </c>
      <c r="CR88" s="874"/>
      <c r="CS88" s="816"/>
      <c r="CT88" s="757">
        <f t="shared" si="115"/>
        <v>0</v>
      </c>
      <c r="CU88" s="874"/>
      <c r="CV88" s="897">
        <f t="shared" si="135"/>
        <v>0</v>
      </c>
      <c r="CW88" s="902">
        <f t="shared" si="132"/>
        <v>0</v>
      </c>
      <c r="CY88" s="750"/>
    </row>
    <row r="89" spans="1:103" hidden="1" outlineLevel="2">
      <c r="A89" s="734">
        <v>5250</v>
      </c>
      <c r="B89" s="833" t="s">
        <v>789</v>
      </c>
      <c r="C89" s="874"/>
      <c r="D89" s="762">
        <v>-874</v>
      </c>
      <c r="E89" s="762">
        <v>0</v>
      </c>
      <c r="F89" s="762">
        <v>0</v>
      </c>
      <c r="G89" s="762">
        <v>0</v>
      </c>
      <c r="H89" s="762">
        <v>0</v>
      </c>
      <c r="I89" s="762">
        <v>0</v>
      </c>
      <c r="J89" s="762">
        <v>0</v>
      </c>
      <c r="K89" s="762">
        <v>-4520</v>
      </c>
      <c r="L89" s="935">
        <v>0</v>
      </c>
      <c r="M89" s="744">
        <f t="shared" si="123"/>
        <v>-5394</v>
      </c>
      <c r="N89" s="888">
        <f t="shared" si="114"/>
        <v>-1.0686076205155229E-2</v>
      </c>
      <c r="O89" s="874"/>
      <c r="P89" s="762">
        <v>0</v>
      </c>
      <c r="Q89" s="762">
        <v>0</v>
      </c>
      <c r="R89" s="762">
        <v>0</v>
      </c>
      <c r="S89" s="762">
        <v>0</v>
      </c>
      <c r="T89" s="762">
        <v>0</v>
      </c>
      <c r="U89" s="762">
        <v>0</v>
      </c>
      <c r="V89" s="762">
        <v>0</v>
      </c>
      <c r="W89" s="762">
        <v>0</v>
      </c>
      <c r="X89" s="935">
        <v>0</v>
      </c>
      <c r="Y89" s="744">
        <f t="shared" si="124"/>
        <v>0</v>
      </c>
      <c r="Z89" s="888">
        <f t="shared" si="111"/>
        <v>0</v>
      </c>
      <c r="AA89" s="874"/>
      <c r="AB89" s="762">
        <v>0</v>
      </c>
      <c r="AC89" s="762">
        <v>0</v>
      </c>
      <c r="AD89" s="762">
        <v>0</v>
      </c>
      <c r="AE89" s="762">
        <v>0</v>
      </c>
      <c r="AF89" s="762">
        <v>-150</v>
      </c>
      <c r="AG89" s="762">
        <v>0</v>
      </c>
      <c r="AH89" s="762">
        <v>0</v>
      </c>
      <c r="AI89" s="762">
        <v>0</v>
      </c>
      <c r="AJ89" s="935">
        <v>0</v>
      </c>
      <c r="AK89" s="744">
        <f t="shared" si="125"/>
        <v>-150</v>
      </c>
      <c r="AL89" s="888">
        <f t="shared" si="138"/>
        <v>-2.9311473487772229E-4</v>
      </c>
      <c r="AM89" s="874"/>
      <c r="AN89" s="762">
        <v>0</v>
      </c>
      <c r="AO89" s="762">
        <v>0</v>
      </c>
      <c r="AP89" s="762">
        <v>0</v>
      </c>
      <c r="AQ89" s="762">
        <v>-14</v>
      </c>
      <c r="AR89" s="762">
        <v>0</v>
      </c>
      <c r="AS89" s="762">
        <v>0</v>
      </c>
      <c r="AT89" s="762">
        <v>0</v>
      </c>
      <c r="AU89" s="762">
        <v>0</v>
      </c>
      <c r="AV89" s="935">
        <v>0</v>
      </c>
      <c r="AW89" s="744">
        <f t="shared" si="126"/>
        <v>-14</v>
      </c>
      <c r="AX89" s="888">
        <f t="shared" si="139"/>
        <v>-2.6364156798939406E-5</v>
      </c>
      <c r="AY89" s="874"/>
      <c r="AZ89" s="762">
        <v>-327</v>
      </c>
      <c r="BA89" s="762">
        <v>0</v>
      </c>
      <c r="BB89" s="762">
        <v>0</v>
      </c>
      <c r="BC89" s="762">
        <v>0</v>
      </c>
      <c r="BD89" s="762">
        <v>0</v>
      </c>
      <c r="BE89" s="762">
        <v>0</v>
      </c>
      <c r="BF89" s="762">
        <v>0</v>
      </c>
      <c r="BG89" s="762">
        <v>0</v>
      </c>
      <c r="BH89" s="935">
        <v>0</v>
      </c>
      <c r="BI89" s="744">
        <f t="shared" si="127"/>
        <v>-327</v>
      </c>
      <c r="BJ89" s="888">
        <f t="shared" si="140"/>
        <v>-6.5934863613633797E-4</v>
      </c>
      <c r="BK89" s="874"/>
      <c r="BL89" s="762">
        <v>-907</v>
      </c>
      <c r="BM89" s="762">
        <v>0</v>
      </c>
      <c r="BN89" s="762">
        <v>0</v>
      </c>
      <c r="BO89" s="762">
        <v>-390</v>
      </c>
      <c r="BP89" s="762">
        <v>-767</v>
      </c>
      <c r="BQ89" s="762">
        <v>0</v>
      </c>
      <c r="BR89" s="762">
        <v>0</v>
      </c>
      <c r="BS89" s="762">
        <v>0</v>
      </c>
      <c r="BT89" s="935">
        <v>0</v>
      </c>
      <c r="BU89" s="744">
        <f t="shared" si="128"/>
        <v>-2064</v>
      </c>
      <c r="BV89" s="888">
        <f t="shared" si="141"/>
        <v>-4.1522992552416741E-3</v>
      </c>
      <c r="BW89" s="874"/>
      <c r="BX89" s="762">
        <v>0</v>
      </c>
      <c r="BY89" s="762">
        <v>0</v>
      </c>
      <c r="BZ89" s="762">
        <v>0</v>
      </c>
      <c r="CA89" s="762">
        <v>0</v>
      </c>
      <c r="CB89" s="762">
        <v>0</v>
      </c>
      <c r="CC89" s="762">
        <v>0</v>
      </c>
      <c r="CD89" s="762">
        <v>0</v>
      </c>
      <c r="CE89" s="762">
        <v>0</v>
      </c>
      <c r="CF89" s="935">
        <v>0</v>
      </c>
      <c r="CG89" s="744">
        <f t="shared" si="129"/>
        <v>0</v>
      </c>
      <c r="CH89" s="888">
        <f t="shared" si="142"/>
        <v>0</v>
      </c>
      <c r="CI89" s="874"/>
      <c r="CJ89" s="957">
        <f t="shared" si="136"/>
        <v>2064</v>
      </c>
      <c r="CK89" s="965">
        <f t="shared" si="137"/>
        <v>-1</v>
      </c>
      <c r="CL89" s="746"/>
      <c r="CM89" s="816">
        <f>-DATOS!D170</f>
        <v>-2941</v>
      </c>
      <c r="CN89" s="757">
        <f t="shared" si="85"/>
        <v>-9.6677734256543787E-4</v>
      </c>
      <c r="CO89" s="746"/>
      <c r="CP89" s="744">
        <f>-DATOS!F170</f>
        <v>-1387</v>
      </c>
      <c r="CQ89" s="756">
        <f t="shared" si="131"/>
        <v>-2.6921766743368794E-3</v>
      </c>
      <c r="CR89" s="874"/>
      <c r="CS89" s="816">
        <f>-DATOS!G170</f>
        <v>-13492</v>
      </c>
      <c r="CT89" s="757">
        <f>+CS89/CS$13</f>
        <v>-4.5907825375370139E-3</v>
      </c>
      <c r="CU89" s="874"/>
      <c r="CV89" s="897">
        <f t="shared" si="135"/>
        <v>10551</v>
      </c>
      <c r="CW89" s="902">
        <f t="shared" si="132"/>
        <v>-0.78201897420693745</v>
      </c>
      <c r="CY89" s="750"/>
    </row>
    <row r="90" spans="1:103" hidden="1" outlineLevel="2">
      <c r="A90" s="734">
        <v>5250</v>
      </c>
      <c r="B90" s="833" t="s">
        <v>904</v>
      </c>
      <c r="C90" s="874"/>
      <c r="D90" s="762">
        <v>0</v>
      </c>
      <c r="E90" s="762">
        <v>0</v>
      </c>
      <c r="F90" s="762">
        <v>0</v>
      </c>
      <c r="G90" s="762">
        <v>0</v>
      </c>
      <c r="H90" s="762">
        <v>0</v>
      </c>
      <c r="I90" s="762">
        <v>0</v>
      </c>
      <c r="J90" s="762">
        <v>0</v>
      </c>
      <c r="K90" s="762">
        <v>0</v>
      </c>
      <c r="L90" s="935">
        <v>0</v>
      </c>
      <c r="M90" s="744">
        <f t="shared" si="123"/>
        <v>0</v>
      </c>
      <c r="N90" s="888">
        <f t="shared" si="114"/>
        <v>0</v>
      </c>
      <c r="O90" s="874"/>
      <c r="P90" s="762">
        <v>0</v>
      </c>
      <c r="Q90" s="762">
        <v>0</v>
      </c>
      <c r="R90" s="762">
        <v>0</v>
      </c>
      <c r="S90" s="762">
        <v>0</v>
      </c>
      <c r="T90" s="762">
        <v>0</v>
      </c>
      <c r="U90" s="762">
        <v>0</v>
      </c>
      <c r="V90" s="762">
        <v>0</v>
      </c>
      <c r="W90" s="762">
        <v>0</v>
      </c>
      <c r="X90" s="935">
        <v>0</v>
      </c>
      <c r="Y90" s="744">
        <f t="shared" si="124"/>
        <v>0</v>
      </c>
      <c r="Z90" s="888">
        <f t="shared" si="111"/>
        <v>0</v>
      </c>
      <c r="AA90" s="874"/>
      <c r="AB90" s="762">
        <v>-253</v>
      </c>
      <c r="AC90" s="762">
        <v>0</v>
      </c>
      <c r="AD90" s="762">
        <v>0</v>
      </c>
      <c r="AE90" s="762">
        <v>0</v>
      </c>
      <c r="AF90" s="762">
        <v>0</v>
      </c>
      <c r="AG90" s="762">
        <v>-133</v>
      </c>
      <c r="AH90" s="762">
        <v>0</v>
      </c>
      <c r="AI90" s="762">
        <v>0</v>
      </c>
      <c r="AJ90" s="935">
        <v>0</v>
      </c>
      <c r="AK90" s="744">
        <f t="shared" si="125"/>
        <v>-386</v>
      </c>
      <c r="AL90" s="888">
        <f t="shared" si="138"/>
        <v>-7.5428191775200534E-4</v>
      </c>
      <c r="AM90" s="874"/>
      <c r="AN90" s="762">
        <v>0</v>
      </c>
      <c r="AO90" s="762">
        <v>0</v>
      </c>
      <c r="AP90" s="762">
        <v>0</v>
      </c>
      <c r="AQ90" s="762">
        <v>0</v>
      </c>
      <c r="AR90" s="762">
        <v>0</v>
      </c>
      <c r="AS90" s="762">
        <v>0</v>
      </c>
      <c r="AT90" s="762">
        <v>0</v>
      </c>
      <c r="AU90" s="762">
        <v>0</v>
      </c>
      <c r="AV90" s="935">
        <v>0</v>
      </c>
      <c r="AW90" s="744">
        <f t="shared" si="126"/>
        <v>0</v>
      </c>
      <c r="AX90" s="888">
        <f t="shared" si="139"/>
        <v>0</v>
      </c>
      <c r="AY90" s="874"/>
      <c r="AZ90" s="762">
        <v>0</v>
      </c>
      <c r="BA90" s="762">
        <v>0</v>
      </c>
      <c r="BB90" s="762">
        <v>0</v>
      </c>
      <c r="BC90" s="762">
        <v>0</v>
      </c>
      <c r="BD90" s="762">
        <v>0</v>
      </c>
      <c r="BE90" s="762">
        <v>0</v>
      </c>
      <c r="BF90" s="762">
        <v>0</v>
      </c>
      <c r="BG90" s="762">
        <v>0</v>
      </c>
      <c r="BH90" s="935">
        <v>0</v>
      </c>
      <c r="BI90" s="744">
        <f t="shared" si="127"/>
        <v>0</v>
      </c>
      <c r="BJ90" s="888">
        <f t="shared" si="140"/>
        <v>0</v>
      </c>
      <c r="BK90" s="874"/>
      <c r="BL90" s="762">
        <v>0</v>
      </c>
      <c r="BM90" s="762">
        <v>0</v>
      </c>
      <c r="BN90" s="762">
        <v>0</v>
      </c>
      <c r="BO90" s="762">
        <v>0</v>
      </c>
      <c r="BP90" s="762">
        <v>0</v>
      </c>
      <c r="BQ90" s="762">
        <v>0</v>
      </c>
      <c r="BR90" s="762">
        <v>0</v>
      </c>
      <c r="BS90" s="762">
        <v>0</v>
      </c>
      <c r="BT90" s="935">
        <v>0</v>
      </c>
      <c r="BU90" s="744">
        <f t="shared" si="128"/>
        <v>0</v>
      </c>
      <c r="BV90" s="888">
        <f t="shared" si="141"/>
        <v>0</v>
      </c>
      <c r="BW90" s="874"/>
      <c r="BX90" s="762">
        <v>0</v>
      </c>
      <c r="BY90" s="762">
        <v>0</v>
      </c>
      <c r="BZ90" s="762">
        <v>0</v>
      </c>
      <c r="CA90" s="762">
        <v>0</v>
      </c>
      <c r="CB90" s="762">
        <v>0</v>
      </c>
      <c r="CC90" s="762">
        <v>0</v>
      </c>
      <c r="CD90" s="762">
        <v>0</v>
      </c>
      <c r="CE90" s="762">
        <v>0</v>
      </c>
      <c r="CF90" s="935">
        <v>0</v>
      </c>
      <c r="CG90" s="744">
        <f t="shared" si="129"/>
        <v>0</v>
      </c>
      <c r="CH90" s="888">
        <f t="shared" si="142"/>
        <v>0</v>
      </c>
      <c r="CI90" s="874"/>
      <c r="CJ90" s="957">
        <f t="shared" si="136"/>
        <v>0</v>
      </c>
      <c r="CK90" s="965">
        <f t="shared" si="137"/>
        <v>0</v>
      </c>
      <c r="CL90" s="746"/>
      <c r="CM90" s="816">
        <v>0</v>
      </c>
      <c r="CN90" s="757">
        <f t="shared" si="85"/>
        <v>0</v>
      </c>
      <c r="CO90" s="746"/>
      <c r="CP90" s="744"/>
      <c r="CQ90" s="756">
        <f t="shared" si="131"/>
        <v>0</v>
      </c>
      <c r="CR90" s="874"/>
      <c r="CS90" s="816"/>
      <c r="CT90" s="757"/>
      <c r="CU90" s="874"/>
      <c r="CV90" s="897">
        <f t="shared" si="135"/>
        <v>0</v>
      </c>
      <c r="CW90" s="902">
        <f t="shared" si="132"/>
        <v>0</v>
      </c>
      <c r="CY90" s="750"/>
    </row>
    <row r="91" spans="1:103" hidden="1" outlineLevel="2">
      <c r="A91" s="734">
        <v>5255</v>
      </c>
      <c r="B91" s="833" t="s">
        <v>856</v>
      </c>
      <c r="C91" s="874"/>
      <c r="D91" s="762">
        <v>0</v>
      </c>
      <c r="E91" s="762">
        <v>0</v>
      </c>
      <c r="F91" s="762">
        <v>0</v>
      </c>
      <c r="G91" s="762">
        <v>0</v>
      </c>
      <c r="H91" s="762">
        <v>0</v>
      </c>
      <c r="I91" s="762">
        <v>0</v>
      </c>
      <c r="J91" s="762">
        <v>0</v>
      </c>
      <c r="K91" s="762">
        <v>0</v>
      </c>
      <c r="L91" s="935">
        <v>0</v>
      </c>
      <c r="M91" s="744">
        <f t="shared" si="123"/>
        <v>0</v>
      </c>
      <c r="N91" s="888">
        <f t="shared" si="114"/>
        <v>0</v>
      </c>
      <c r="O91" s="874"/>
      <c r="P91" s="762">
        <v>0</v>
      </c>
      <c r="Q91" s="762">
        <v>0</v>
      </c>
      <c r="R91" s="762">
        <v>0</v>
      </c>
      <c r="S91" s="762">
        <v>0</v>
      </c>
      <c r="T91" s="762">
        <v>0</v>
      </c>
      <c r="U91" s="762">
        <v>0</v>
      </c>
      <c r="V91" s="762">
        <v>0</v>
      </c>
      <c r="W91" s="762">
        <v>0</v>
      </c>
      <c r="X91" s="935">
        <v>0</v>
      </c>
      <c r="Y91" s="744">
        <f t="shared" si="124"/>
        <v>0</v>
      </c>
      <c r="Z91" s="888">
        <f t="shared" ref="Z91:Z100" si="143">+Y91/Y$13</f>
        <v>0</v>
      </c>
      <c r="AA91" s="874"/>
      <c r="AB91" s="762">
        <v>0</v>
      </c>
      <c r="AC91" s="762">
        <v>0</v>
      </c>
      <c r="AD91" s="762">
        <v>0</v>
      </c>
      <c r="AE91" s="762">
        <v>0</v>
      </c>
      <c r="AF91" s="762">
        <v>0</v>
      </c>
      <c r="AG91" s="762">
        <v>0</v>
      </c>
      <c r="AH91" s="762">
        <v>0</v>
      </c>
      <c r="AI91" s="762">
        <v>0</v>
      </c>
      <c r="AJ91" s="935">
        <v>0</v>
      </c>
      <c r="AK91" s="744">
        <f t="shared" si="125"/>
        <v>0</v>
      </c>
      <c r="AL91" s="888">
        <f t="shared" si="138"/>
        <v>0</v>
      </c>
      <c r="AM91" s="874"/>
      <c r="AN91" s="762">
        <v>0</v>
      </c>
      <c r="AO91" s="762">
        <v>0</v>
      </c>
      <c r="AP91" s="762">
        <v>0</v>
      </c>
      <c r="AQ91" s="762">
        <v>0</v>
      </c>
      <c r="AR91" s="762">
        <v>0</v>
      </c>
      <c r="AS91" s="762">
        <v>0</v>
      </c>
      <c r="AT91" s="762">
        <v>0</v>
      </c>
      <c r="AU91" s="762">
        <v>0</v>
      </c>
      <c r="AV91" s="935">
        <v>0</v>
      </c>
      <c r="AW91" s="744">
        <f t="shared" si="126"/>
        <v>0</v>
      </c>
      <c r="AX91" s="888">
        <f t="shared" si="139"/>
        <v>0</v>
      </c>
      <c r="AY91" s="874"/>
      <c r="AZ91" s="762">
        <v>0</v>
      </c>
      <c r="BA91" s="762">
        <v>0</v>
      </c>
      <c r="BB91" s="762">
        <v>0</v>
      </c>
      <c r="BC91" s="762">
        <v>0</v>
      </c>
      <c r="BD91" s="762">
        <v>0</v>
      </c>
      <c r="BE91" s="762">
        <v>0</v>
      </c>
      <c r="BF91" s="762">
        <v>0</v>
      </c>
      <c r="BG91" s="762">
        <v>0</v>
      </c>
      <c r="BH91" s="935">
        <v>0</v>
      </c>
      <c r="BI91" s="744">
        <f t="shared" si="127"/>
        <v>0</v>
      </c>
      <c r="BJ91" s="888">
        <f t="shared" si="140"/>
        <v>0</v>
      </c>
      <c r="BK91" s="874"/>
      <c r="BL91" s="762">
        <v>0</v>
      </c>
      <c r="BM91" s="762">
        <v>0</v>
      </c>
      <c r="BN91" s="762">
        <v>0</v>
      </c>
      <c r="BO91" s="762">
        <v>0</v>
      </c>
      <c r="BP91" s="762">
        <v>0</v>
      </c>
      <c r="BQ91" s="762">
        <v>0</v>
      </c>
      <c r="BR91" s="762">
        <v>0</v>
      </c>
      <c r="BS91" s="762">
        <v>0</v>
      </c>
      <c r="BT91" s="935">
        <v>0</v>
      </c>
      <c r="BU91" s="744">
        <f t="shared" si="128"/>
        <v>0</v>
      </c>
      <c r="BV91" s="888">
        <f t="shared" si="141"/>
        <v>0</v>
      </c>
      <c r="BW91" s="874"/>
      <c r="BX91" s="762">
        <v>0</v>
      </c>
      <c r="BY91" s="762">
        <v>0</v>
      </c>
      <c r="BZ91" s="762">
        <v>0</v>
      </c>
      <c r="CA91" s="762">
        <v>0</v>
      </c>
      <c r="CB91" s="762">
        <v>0</v>
      </c>
      <c r="CC91" s="762">
        <v>0</v>
      </c>
      <c r="CD91" s="762">
        <v>0</v>
      </c>
      <c r="CE91" s="762">
        <v>0</v>
      </c>
      <c r="CF91" s="935">
        <v>0</v>
      </c>
      <c r="CG91" s="744">
        <f t="shared" si="129"/>
        <v>0</v>
      </c>
      <c r="CH91" s="888">
        <f t="shared" si="142"/>
        <v>0</v>
      </c>
      <c r="CI91" s="874"/>
      <c r="CJ91" s="957">
        <f t="shared" si="136"/>
        <v>0</v>
      </c>
      <c r="CK91" s="965">
        <f t="shared" si="137"/>
        <v>0</v>
      </c>
      <c r="CL91" s="746"/>
      <c r="CM91" s="816">
        <v>0</v>
      </c>
      <c r="CN91" s="757">
        <f t="shared" si="85"/>
        <v>0</v>
      </c>
      <c r="CO91" s="746"/>
      <c r="CP91" s="744">
        <v>0</v>
      </c>
      <c r="CQ91" s="756">
        <f t="shared" si="131"/>
        <v>0</v>
      </c>
      <c r="CR91" s="874"/>
      <c r="CS91" s="816">
        <v>0</v>
      </c>
      <c r="CT91" s="757">
        <f t="shared" ref="CT91:CT110" si="144">+CS91/CS$13</f>
        <v>0</v>
      </c>
      <c r="CU91" s="874"/>
      <c r="CV91" s="897">
        <f t="shared" si="135"/>
        <v>0</v>
      </c>
      <c r="CW91" s="902">
        <f t="shared" si="132"/>
        <v>0</v>
      </c>
      <c r="CY91" s="750"/>
    </row>
    <row r="92" spans="1:103" hidden="1" outlineLevel="2">
      <c r="A92" s="734">
        <v>5260</v>
      </c>
      <c r="B92" s="833" t="s">
        <v>76</v>
      </c>
      <c r="C92" s="874"/>
      <c r="D92" s="762">
        <v>0</v>
      </c>
      <c r="E92" s="762">
        <v>0</v>
      </c>
      <c r="F92" s="762">
        <v>0</v>
      </c>
      <c r="G92" s="762">
        <v>-445</v>
      </c>
      <c r="H92" s="762">
        <v>-445</v>
      </c>
      <c r="I92" s="762">
        <v>0</v>
      </c>
      <c r="J92" s="762">
        <v>0</v>
      </c>
      <c r="K92" s="762">
        <v>0</v>
      </c>
      <c r="L92" s="935">
        <v>-2</v>
      </c>
      <c r="M92" s="744">
        <f t="shared" si="123"/>
        <v>-892</v>
      </c>
      <c r="N92" s="888">
        <f t="shared" si="114"/>
        <v>-1.7671449712640833E-3</v>
      </c>
      <c r="O92" s="874"/>
      <c r="P92" s="762">
        <v>0</v>
      </c>
      <c r="Q92" s="762">
        <v>0</v>
      </c>
      <c r="R92" s="762">
        <v>0</v>
      </c>
      <c r="S92" s="762">
        <v>-445</v>
      </c>
      <c r="T92" s="762">
        <v>-445</v>
      </c>
      <c r="U92" s="762">
        <v>0</v>
      </c>
      <c r="V92" s="762">
        <v>0</v>
      </c>
      <c r="W92" s="762">
        <v>0</v>
      </c>
      <c r="X92" s="935">
        <v>-2</v>
      </c>
      <c r="Y92" s="744">
        <f t="shared" si="124"/>
        <v>-892</v>
      </c>
      <c r="Z92" s="888">
        <f t="shared" si="143"/>
        <v>-1.6949088131458039E-3</v>
      </c>
      <c r="AA92" s="874"/>
      <c r="AB92" s="762">
        <v>0</v>
      </c>
      <c r="AC92" s="762">
        <v>0</v>
      </c>
      <c r="AD92" s="762">
        <v>0</v>
      </c>
      <c r="AE92" s="762">
        <v>-445</v>
      </c>
      <c r="AF92" s="762">
        <v>-445</v>
      </c>
      <c r="AG92" s="762">
        <v>0</v>
      </c>
      <c r="AH92" s="762">
        <v>0</v>
      </c>
      <c r="AI92" s="762">
        <v>0</v>
      </c>
      <c r="AJ92" s="935">
        <v>-2</v>
      </c>
      <c r="AK92" s="744">
        <f t="shared" si="125"/>
        <v>-892</v>
      </c>
      <c r="AL92" s="888">
        <f t="shared" si="138"/>
        <v>-1.7430556234061887E-3</v>
      </c>
      <c r="AM92" s="874"/>
      <c r="AN92" s="762">
        <v>0</v>
      </c>
      <c r="AO92" s="762">
        <v>0</v>
      </c>
      <c r="AP92" s="762">
        <v>0</v>
      </c>
      <c r="AQ92" s="762">
        <v>-457</v>
      </c>
      <c r="AR92" s="762">
        <v>-445</v>
      </c>
      <c r="AS92" s="762">
        <v>0</v>
      </c>
      <c r="AT92" s="762">
        <v>0</v>
      </c>
      <c r="AU92" s="762">
        <v>0</v>
      </c>
      <c r="AV92" s="935">
        <v>-2</v>
      </c>
      <c r="AW92" s="744">
        <f t="shared" si="126"/>
        <v>-904</v>
      </c>
      <c r="AX92" s="888">
        <f t="shared" si="139"/>
        <v>-1.702371267588659E-3</v>
      </c>
      <c r="AY92" s="874"/>
      <c r="AZ92" s="762">
        <v>0</v>
      </c>
      <c r="BA92" s="762">
        <v>0</v>
      </c>
      <c r="BB92" s="762">
        <v>0</v>
      </c>
      <c r="BC92" s="762">
        <v>-457</v>
      </c>
      <c r="BD92" s="762">
        <v>-445</v>
      </c>
      <c r="BE92" s="762">
        <v>0</v>
      </c>
      <c r="BF92" s="762">
        <v>0</v>
      </c>
      <c r="BG92" s="762">
        <v>0</v>
      </c>
      <c r="BH92" s="935">
        <v>-2</v>
      </c>
      <c r="BI92" s="744">
        <f t="shared" si="127"/>
        <v>-904</v>
      </c>
      <c r="BJ92" s="888">
        <f t="shared" si="140"/>
        <v>-1.8227864436307325E-3</v>
      </c>
      <c r="BK92" s="874"/>
      <c r="BL92" s="762">
        <v>0</v>
      </c>
      <c r="BM92" s="762">
        <v>0</v>
      </c>
      <c r="BN92" s="762">
        <v>0</v>
      </c>
      <c r="BO92" s="762">
        <v>-457</v>
      </c>
      <c r="BP92" s="762">
        <v>-445</v>
      </c>
      <c r="BQ92" s="762">
        <v>0</v>
      </c>
      <c r="BR92" s="762">
        <v>0</v>
      </c>
      <c r="BS92" s="762">
        <v>0</v>
      </c>
      <c r="BT92" s="935">
        <v>-2</v>
      </c>
      <c r="BU92" s="744">
        <f t="shared" si="128"/>
        <v>-904</v>
      </c>
      <c r="BV92" s="888">
        <f t="shared" si="141"/>
        <v>-1.8186426970632139E-3</v>
      </c>
      <c r="BW92" s="874"/>
      <c r="BX92" s="762">
        <v>0</v>
      </c>
      <c r="BY92" s="762">
        <v>0</v>
      </c>
      <c r="BZ92" s="762">
        <v>0</v>
      </c>
      <c r="CA92" s="762">
        <v>-457</v>
      </c>
      <c r="CB92" s="762">
        <v>-445</v>
      </c>
      <c r="CC92" s="762">
        <v>0</v>
      </c>
      <c r="CD92" s="762">
        <v>0</v>
      </c>
      <c r="CE92" s="762">
        <v>0</v>
      </c>
      <c r="CF92" s="935">
        <v>-2</v>
      </c>
      <c r="CG92" s="744">
        <f t="shared" si="129"/>
        <v>-904</v>
      </c>
      <c r="CH92" s="888">
        <f t="shared" si="142"/>
        <v>-1.8833804178437794E-3</v>
      </c>
      <c r="CI92" s="874"/>
      <c r="CJ92" s="957">
        <f t="shared" si="136"/>
        <v>0</v>
      </c>
      <c r="CK92" s="965">
        <f t="shared" si="137"/>
        <v>0</v>
      </c>
      <c r="CL92" s="746"/>
      <c r="CM92" s="816">
        <f>-DATOS!D171</f>
        <v>-5402</v>
      </c>
      <c r="CN92" s="757">
        <f t="shared" si="85"/>
        <v>-1.7757671555724227E-3</v>
      </c>
      <c r="CO92" s="746"/>
      <c r="CP92" s="744">
        <f>-DATOS!F171</f>
        <v>-890</v>
      </c>
      <c r="CQ92" s="756">
        <f t="shared" si="131"/>
        <v>-1.7274962077576225E-3</v>
      </c>
      <c r="CR92" s="874"/>
      <c r="CS92" s="816">
        <f>-DATOS!G171</f>
        <v>-5481</v>
      </c>
      <c r="CT92" s="757">
        <f t="shared" si="144"/>
        <v>-1.864962873424279E-3</v>
      </c>
      <c r="CU92" s="874"/>
      <c r="CV92" s="897">
        <f t="shared" si="135"/>
        <v>79</v>
      </c>
      <c r="CW92" s="902">
        <f t="shared" si="132"/>
        <v>-1.4413428206531655E-2</v>
      </c>
      <c r="CY92" s="750"/>
    </row>
    <row r="93" spans="1:103" hidden="1" outlineLevel="2">
      <c r="A93" s="734">
        <v>5265</v>
      </c>
      <c r="B93" s="833" t="s">
        <v>237</v>
      </c>
      <c r="C93" s="874"/>
      <c r="D93" s="762">
        <v>0</v>
      </c>
      <c r="E93" s="762">
        <v>0</v>
      </c>
      <c r="F93" s="762">
        <v>0</v>
      </c>
      <c r="G93" s="762">
        <v>0</v>
      </c>
      <c r="H93" s="762">
        <v>0</v>
      </c>
      <c r="I93" s="762">
        <v>0</v>
      </c>
      <c r="J93" s="762">
        <v>0</v>
      </c>
      <c r="K93" s="762">
        <v>0</v>
      </c>
      <c r="L93" s="935">
        <v>0</v>
      </c>
      <c r="M93" s="744">
        <f t="shared" si="123"/>
        <v>0</v>
      </c>
      <c r="N93" s="888">
        <f t="shared" si="114"/>
        <v>0</v>
      </c>
      <c r="O93" s="874"/>
      <c r="P93" s="762">
        <v>0</v>
      </c>
      <c r="Q93" s="762">
        <v>0</v>
      </c>
      <c r="R93" s="762">
        <v>0</v>
      </c>
      <c r="S93" s="762">
        <v>0</v>
      </c>
      <c r="T93" s="762">
        <v>0</v>
      </c>
      <c r="U93" s="762">
        <v>0</v>
      </c>
      <c r="V93" s="762">
        <v>0</v>
      </c>
      <c r="W93" s="762">
        <v>0</v>
      </c>
      <c r="X93" s="935">
        <v>0</v>
      </c>
      <c r="Y93" s="744">
        <f t="shared" si="124"/>
        <v>0</v>
      </c>
      <c r="Z93" s="888">
        <f t="shared" si="143"/>
        <v>0</v>
      </c>
      <c r="AA93" s="874"/>
      <c r="AB93" s="762">
        <v>0</v>
      </c>
      <c r="AC93" s="762">
        <v>0</v>
      </c>
      <c r="AD93" s="762">
        <v>0</v>
      </c>
      <c r="AE93" s="762">
        <v>0</v>
      </c>
      <c r="AF93" s="762">
        <v>0</v>
      </c>
      <c r="AG93" s="762">
        <v>0</v>
      </c>
      <c r="AH93" s="762">
        <v>0</v>
      </c>
      <c r="AI93" s="762">
        <v>0</v>
      </c>
      <c r="AJ93" s="935">
        <v>0</v>
      </c>
      <c r="AK93" s="744">
        <f t="shared" si="125"/>
        <v>0</v>
      </c>
      <c r="AL93" s="888">
        <f t="shared" si="138"/>
        <v>0</v>
      </c>
      <c r="AM93" s="874"/>
      <c r="AN93" s="762">
        <v>0</v>
      </c>
      <c r="AO93" s="762">
        <v>0</v>
      </c>
      <c r="AP93" s="762">
        <v>0</v>
      </c>
      <c r="AQ93" s="762">
        <v>0</v>
      </c>
      <c r="AR93" s="762">
        <v>0</v>
      </c>
      <c r="AS93" s="762">
        <v>0</v>
      </c>
      <c r="AT93" s="762">
        <v>0</v>
      </c>
      <c r="AU93" s="762">
        <v>0</v>
      </c>
      <c r="AV93" s="935">
        <v>0</v>
      </c>
      <c r="AW93" s="744">
        <f t="shared" si="126"/>
        <v>0</v>
      </c>
      <c r="AX93" s="888">
        <f t="shared" si="139"/>
        <v>0</v>
      </c>
      <c r="AY93" s="874"/>
      <c r="AZ93" s="762">
        <v>0</v>
      </c>
      <c r="BA93" s="762">
        <v>0</v>
      </c>
      <c r="BB93" s="762">
        <v>0</v>
      </c>
      <c r="BC93" s="762">
        <v>0</v>
      </c>
      <c r="BD93" s="762">
        <v>0</v>
      </c>
      <c r="BE93" s="762">
        <v>0</v>
      </c>
      <c r="BF93" s="762">
        <v>0</v>
      </c>
      <c r="BG93" s="762">
        <v>0</v>
      </c>
      <c r="BH93" s="935">
        <v>0</v>
      </c>
      <c r="BI93" s="744">
        <f t="shared" si="127"/>
        <v>0</v>
      </c>
      <c r="BJ93" s="888">
        <f t="shared" si="140"/>
        <v>0</v>
      </c>
      <c r="BK93" s="874"/>
      <c r="BL93" s="762">
        <v>0</v>
      </c>
      <c r="BM93" s="762">
        <v>0</v>
      </c>
      <c r="BN93" s="762">
        <v>0</v>
      </c>
      <c r="BO93" s="762">
        <v>0</v>
      </c>
      <c r="BP93" s="762">
        <v>0</v>
      </c>
      <c r="BQ93" s="762">
        <v>0</v>
      </c>
      <c r="BR93" s="762">
        <v>0</v>
      </c>
      <c r="BS93" s="762">
        <v>0</v>
      </c>
      <c r="BT93" s="935">
        <v>0</v>
      </c>
      <c r="BU93" s="744">
        <f t="shared" si="128"/>
        <v>0</v>
      </c>
      <c r="BV93" s="888">
        <f t="shared" si="141"/>
        <v>0</v>
      </c>
      <c r="BW93" s="874"/>
      <c r="BX93" s="762">
        <v>0</v>
      </c>
      <c r="BY93" s="762">
        <v>0</v>
      </c>
      <c r="BZ93" s="762">
        <v>0</v>
      </c>
      <c r="CA93" s="762">
        <v>0</v>
      </c>
      <c r="CB93" s="762">
        <v>0</v>
      </c>
      <c r="CC93" s="762">
        <v>0</v>
      </c>
      <c r="CD93" s="762">
        <v>0</v>
      </c>
      <c r="CE93" s="762">
        <v>0</v>
      </c>
      <c r="CF93" s="935">
        <v>0</v>
      </c>
      <c r="CG93" s="744">
        <f t="shared" si="129"/>
        <v>0</v>
      </c>
      <c r="CH93" s="888">
        <f t="shared" si="142"/>
        <v>0</v>
      </c>
      <c r="CI93" s="874"/>
      <c r="CJ93" s="957">
        <f t="shared" si="136"/>
        <v>0</v>
      </c>
      <c r="CK93" s="965">
        <f t="shared" si="137"/>
        <v>0</v>
      </c>
      <c r="CL93" s="746"/>
      <c r="CM93" s="816">
        <v>0</v>
      </c>
      <c r="CN93" s="757">
        <f t="shared" si="85"/>
        <v>0</v>
      </c>
      <c r="CO93" s="746"/>
      <c r="CP93" s="744">
        <v>0</v>
      </c>
      <c r="CQ93" s="756">
        <f t="shared" si="131"/>
        <v>0</v>
      </c>
      <c r="CR93" s="874"/>
      <c r="CS93" s="816">
        <v>0</v>
      </c>
      <c r="CT93" s="757">
        <f t="shared" si="144"/>
        <v>0</v>
      </c>
      <c r="CU93" s="874"/>
      <c r="CV93" s="897">
        <f t="shared" si="135"/>
        <v>0</v>
      </c>
      <c r="CW93" s="902">
        <f t="shared" si="132"/>
        <v>0</v>
      </c>
      <c r="CY93" s="750"/>
    </row>
    <row r="94" spans="1:103" hidden="1" outlineLevel="2">
      <c r="A94" s="734">
        <v>5295</v>
      </c>
      <c r="B94" s="833" t="s">
        <v>71</v>
      </c>
      <c r="C94" s="874"/>
      <c r="D94" s="772">
        <f>+SUM(D95:D115)</f>
        <v>-315</v>
      </c>
      <c r="E94" s="772">
        <f t="shared" ref="E94" si="145">+SUM(E95:E115)</f>
        <v>-295</v>
      </c>
      <c r="F94" s="772">
        <f>+SUM(F95:F115)</f>
        <v>-238</v>
      </c>
      <c r="G94" s="772">
        <f t="shared" ref="G94" si="146">+SUM(G95:G115)</f>
        <v>-122</v>
      </c>
      <c r="H94" s="772">
        <f>+SUM(H95:H115)</f>
        <v>-1367</v>
      </c>
      <c r="I94" s="772">
        <f t="shared" ref="I94" si="147">+SUM(I95:I115)</f>
        <v>-389</v>
      </c>
      <c r="J94" s="772">
        <f>+SUM(J95:J115)</f>
        <v>-486</v>
      </c>
      <c r="K94" s="772">
        <f>+SUM(K95:K115)</f>
        <v>-119</v>
      </c>
      <c r="L94" s="937">
        <f>+SUM(L95:L115)</f>
        <v>-714</v>
      </c>
      <c r="M94" s="772">
        <f>+SUM(M95:M115)</f>
        <v>-4045</v>
      </c>
      <c r="N94" s="887">
        <f t="shared" si="114"/>
        <v>-8.0135666017524844E-3</v>
      </c>
      <c r="O94" s="874"/>
      <c r="P94" s="772">
        <f>+SUM(P95:P115)</f>
        <v>-333</v>
      </c>
      <c r="Q94" s="772">
        <f t="shared" ref="Q94" si="148">+SUM(Q95:Q115)</f>
        <v>-283</v>
      </c>
      <c r="R94" s="772">
        <f>+SUM(R95:R115)</f>
        <v>-381</v>
      </c>
      <c r="S94" s="772">
        <f t="shared" ref="S94" si="149">+SUM(S95:S115)</f>
        <v>-524</v>
      </c>
      <c r="T94" s="772">
        <f>+SUM(T95:T115)</f>
        <v>-517</v>
      </c>
      <c r="U94" s="772">
        <f t="shared" ref="U94" si="150">+SUM(U95:U115)</f>
        <v>-644</v>
      </c>
      <c r="V94" s="772">
        <f>+SUM(V95:V115)</f>
        <v>-260</v>
      </c>
      <c r="W94" s="772">
        <f>+SUM(W95:W115)</f>
        <v>0</v>
      </c>
      <c r="X94" s="937">
        <f>+SUM(X95:X115)</f>
        <v>-544</v>
      </c>
      <c r="Y94" s="772">
        <f>+SUM(Y95:Y115)</f>
        <v>-3486</v>
      </c>
      <c r="Z94" s="887">
        <f t="shared" si="143"/>
        <v>-6.6238252495810232E-3</v>
      </c>
      <c r="AA94" s="874"/>
      <c r="AB94" s="772">
        <f>+SUM(AB95:AB115)</f>
        <v>-479</v>
      </c>
      <c r="AC94" s="772">
        <f t="shared" ref="AC94" si="151">+SUM(AC95:AC115)</f>
        <v>-562</v>
      </c>
      <c r="AD94" s="772">
        <f>+SUM(AD95:AD115)</f>
        <v>-279</v>
      </c>
      <c r="AE94" s="772">
        <f t="shared" ref="AE94" si="152">+SUM(AE95:AE115)</f>
        <v>-344</v>
      </c>
      <c r="AF94" s="772">
        <f>+SUM(AF95:AF115)</f>
        <v>-814</v>
      </c>
      <c r="AG94" s="772">
        <f t="shared" ref="AG94" si="153">+SUM(AG95:AG115)</f>
        <v>-434</v>
      </c>
      <c r="AH94" s="772">
        <f>+SUM(AH95:AH115)</f>
        <v>-477</v>
      </c>
      <c r="AI94" s="772">
        <f>+SUM(AI95:AI115)</f>
        <v>0</v>
      </c>
      <c r="AJ94" s="937">
        <f>+SUM(AJ95:AJ115)</f>
        <v>-896</v>
      </c>
      <c r="AK94" s="772">
        <f>+SUM(AK95:AK115)</f>
        <v>-4285</v>
      </c>
      <c r="AL94" s="887">
        <f t="shared" si="138"/>
        <v>-8.3733109263402668E-3</v>
      </c>
      <c r="AM94" s="874"/>
      <c r="AN94" s="772">
        <f>+SUM(AN95:AN115)</f>
        <v>-462</v>
      </c>
      <c r="AO94" s="772">
        <f t="shared" ref="AO94" si="154">+SUM(AO95:AO115)</f>
        <v>-586</v>
      </c>
      <c r="AP94" s="772">
        <f>+SUM(AP95:AP115)</f>
        <v>-211</v>
      </c>
      <c r="AQ94" s="772">
        <f t="shared" ref="AQ94" si="155">+SUM(AQ95:AQ115)</f>
        <v>-492</v>
      </c>
      <c r="AR94" s="772">
        <f>+SUM(AR95:AR115)</f>
        <v>-659</v>
      </c>
      <c r="AS94" s="772">
        <f t="shared" ref="AS94" si="156">+SUM(AS95:AS115)</f>
        <v>-272</v>
      </c>
      <c r="AT94" s="772">
        <f>+SUM(AT95:AT115)</f>
        <v>-362</v>
      </c>
      <c r="AU94" s="772">
        <f>+SUM(AU95:AU115)</f>
        <v>0</v>
      </c>
      <c r="AV94" s="937">
        <f>+SUM(AV95:AV115)</f>
        <v>-244</v>
      </c>
      <c r="AW94" s="772">
        <f>+SUM(AW95:AW115)</f>
        <v>-3288</v>
      </c>
      <c r="AX94" s="887">
        <f t="shared" si="139"/>
        <v>-6.1918105396366269E-3</v>
      </c>
      <c r="AY94" s="874"/>
      <c r="AZ94" s="772">
        <f>+SUM(AZ95:AZ115)</f>
        <v>-462</v>
      </c>
      <c r="BA94" s="772">
        <f t="shared" ref="BA94" si="157">+SUM(BA95:BA115)</f>
        <v>-213</v>
      </c>
      <c r="BB94" s="772">
        <f>+SUM(BB95:BB115)</f>
        <v>-250</v>
      </c>
      <c r="BC94" s="772">
        <f t="shared" ref="BC94" si="158">+SUM(BC95:BC115)</f>
        <v>-580</v>
      </c>
      <c r="BD94" s="772">
        <f>+SUM(BD95:BD115)</f>
        <v>-516</v>
      </c>
      <c r="BE94" s="772">
        <f t="shared" ref="BE94" si="159">+SUM(BE95:BE115)</f>
        <v>-520</v>
      </c>
      <c r="BF94" s="772">
        <f>+SUM(BF95:BF115)</f>
        <v>-232</v>
      </c>
      <c r="BG94" s="772">
        <f>+SUM(BG95:BG115)</f>
        <v>0</v>
      </c>
      <c r="BH94" s="937">
        <f>+SUM(BH95:BH115)</f>
        <v>-165</v>
      </c>
      <c r="BI94" s="772">
        <f>+SUM(BI95:BI115)</f>
        <v>-2938</v>
      </c>
      <c r="BJ94" s="887">
        <f t="shared" si="140"/>
        <v>-5.9240559417998804E-3</v>
      </c>
      <c r="BK94" s="874"/>
      <c r="BL94" s="772">
        <f>+SUM(BL95:BL115)</f>
        <v>-521</v>
      </c>
      <c r="BM94" s="772">
        <f t="shared" ref="BM94" si="160">+SUM(BM95:BM115)</f>
        <v>-397</v>
      </c>
      <c r="BN94" s="772">
        <f>+SUM(BN95:BN115)</f>
        <v>-453</v>
      </c>
      <c r="BO94" s="772">
        <f t="shared" ref="BO94" si="161">+SUM(BO95:BO115)</f>
        <v>-834</v>
      </c>
      <c r="BP94" s="772">
        <f>+SUM(BP95:BP115)</f>
        <v>-1118</v>
      </c>
      <c r="BQ94" s="772">
        <f t="shared" ref="BQ94" si="162">+SUM(BQ95:BQ115)</f>
        <v>-712</v>
      </c>
      <c r="BR94" s="772">
        <f>+SUM(BR95:BR115)</f>
        <v>-243</v>
      </c>
      <c r="BS94" s="772">
        <f>+SUM(BS95:BS115)</f>
        <v>0</v>
      </c>
      <c r="BT94" s="937">
        <f>+SUM(BT95:BT115)</f>
        <v>-95</v>
      </c>
      <c r="BU94" s="772">
        <f>+SUM(BU95:BU115)</f>
        <v>-4373</v>
      </c>
      <c r="BV94" s="887">
        <f t="shared" si="141"/>
        <v>-8.7974828697537991E-3</v>
      </c>
      <c r="BW94" s="874"/>
      <c r="BX94" s="772">
        <f>+SUM(BX95:BX115)</f>
        <v>-359</v>
      </c>
      <c r="BY94" s="772">
        <f t="shared" ref="BY94" si="163">+SUM(BY95:BY115)</f>
        <v>-527</v>
      </c>
      <c r="BZ94" s="772">
        <f>+SUM(BZ95:BZ115)</f>
        <v>-190</v>
      </c>
      <c r="CA94" s="772">
        <f t="shared" ref="CA94" si="164">+SUM(CA95:CA115)</f>
        <v>-598</v>
      </c>
      <c r="CB94" s="772">
        <f>+SUM(CB95:CB115)</f>
        <v>-547</v>
      </c>
      <c r="CC94" s="772">
        <f t="shared" ref="CC94" si="165">+SUM(CC95:CC115)</f>
        <v>-264</v>
      </c>
      <c r="CD94" s="772">
        <f>+SUM(CD95:CD115)</f>
        <v>-456</v>
      </c>
      <c r="CE94" s="772">
        <f>+SUM(CE95:CE115)</f>
        <v>0</v>
      </c>
      <c r="CF94" s="937">
        <f>+SUM(CF95:CF115)</f>
        <v>-327</v>
      </c>
      <c r="CG94" s="772">
        <f>+SUM(CG95:CG115)</f>
        <v>-3268</v>
      </c>
      <c r="CH94" s="887">
        <f t="shared" si="142"/>
        <v>-6.8085035459219817E-3</v>
      </c>
      <c r="CI94" s="874"/>
      <c r="CJ94" s="966">
        <f t="shared" si="136"/>
        <v>1105</v>
      </c>
      <c r="CK94" s="964">
        <f t="shared" si="137"/>
        <v>-0.25268694260233249</v>
      </c>
      <c r="CL94" s="746"/>
      <c r="CM94" s="867">
        <f>+SUM(CM95:CM115)</f>
        <v>-21786.5</v>
      </c>
      <c r="CN94" s="757">
        <f t="shared" ref="CN94:CN116" si="166">+CM94/CM$13</f>
        <v>-7.1617458598442407E-3</v>
      </c>
      <c r="CO94" s="746"/>
      <c r="CP94" s="772">
        <f>+SUM(CP95:CP115)</f>
        <v>-4003</v>
      </c>
      <c r="CQ94" s="756">
        <f t="shared" si="131"/>
        <v>-7.7698509209592845E-3</v>
      </c>
      <c r="CR94" s="874"/>
      <c r="CS94" s="773">
        <f>+SUM(CS95:CS115)</f>
        <v>-27620</v>
      </c>
      <c r="CT94" s="757">
        <f t="shared" si="144"/>
        <v>-9.3979701813498608E-3</v>
      </c>
      <c r="CU94" s="874"/>
      <c r="CV94" s="897">
        <f t="shared" si="135"/>
        <v>5833.5</v>
      </c>
      <c r="CW94" s="902">
        <f t="shared" si="132"/>
        <v>-0.21120564808110065</v>
      </c>
      <c r="CY94" s="750"/>
    </row>
    <row r="95" spans="1:103" hidden="1" outlineLevel="2">
      <c r="A95" s="734">
        <v>52952501</v>
      </c>
      <c r="B95" s="833" t="s">
        <v>892</v>
      </c>
      <c r="C95" s="874"/>
      <c r="D95" s="762">
        <v>0</v>
      </c>
      <c r="E95" s="762">
        <v>0</v>
      </c>
      <c r="F95" s="762">
        <v>0</v>
      </c>
      <c r="G95" s="762">
        <v>0</v>
      </c>
      <c r="H95" s="762">
        <v>0</v>
      </c>
      <c r="I95" s="762">
        <v>0</v>
      </c>
      <c r="J95" s="762">
        <v>0</v>
      </c>
      <c r="K95" s="762">
        <v>0</v>
      </c>
      <c r="L95" s="935">
        <v>0</v>
      </c>
      <c r="M95" s="744">
        <f t="shared" ref="M95:M116" si="167">SUM(D95:L95)</f>
        <v>0</v>
      </c>
      <c r="N95" s="888">
        <f t="shared" si="114"/>
        <v>0</v>
      </c>
      <c r="O95" s="874"/>
      <c r="P95" s="762">
        <v>0</v>
      </c>
      <c r="Q95" s="762">
        <v>0</v>
      </c>
      <c r="R95" s="762">
        <v>0</v>
      </c>
      <c r="S95" s="762">
        <v>0</v>
      </c>
      <c r="T95" s="762">
        <v>0</v>
      </c>
      <c r="U95" s="762">
        <v>0</v>
      </c>
      <c r="V95" s="762">
        <v>0</v>
      </c>
      <c r="W95" s="762">
        <v>0</v>
      </c>
      <c r="X95" s="935">
        <v>0</v>
      </c>
      <c r="Y95" s="744">
        <f t="shared" ref="Y95:Y116" si="168">SUM(P95:X95)</f>
        <v>0</v>
      </c>
      <c r="Z95" s="888">
        <f t="shared" si="143"/>
        <v>0</v>
      </c>
      <c r="AA95" s="874"/>
      <c r="AB95" s="762">
        <v>0</v>
      </c>
      <c r="AC95" s="762">
        <v>0</v>
      </c>
      <c r="AD95" s="762">
        <v>-47</v>
      </c>
      <c r="AE95" s="762">
        <v>0</v>
      </c>
      <c r="AF95" s="762">
        <v>-65</v>
      </c>
      <c r="AG95" s="762">
        <v>0</v>
      </c>
      <c r="AH95" s="762">
        <v>0</v>
      </c>
      <c r="AI95" s="762">
        <v>0</v>
      </c>
      <c r="AJ95" s="935">
        <v>0</v>
      </c>
      <c r="AK95" s="744">
        <f t="shared" ref="AK95:AK116" si="169">SUM(AB95:AJ95)</f>
        <v>-112</v>
      </c>
      <c r="AL95" s="888">
        <f t="shared" si="138"/>
        <v>-2.1885900204203265E-4</v>
      </c>
      <c r="AM95" s="874"/>
      <c r="AN95" s="762">
        <v>0</v>
      </c>
      <c r="AO95" s="762">
        <v>0</v>
      </c>
      <c r="AP95" s="762">
        <v>0</v>
      </c>
      <c r="AQ95" s="762">
        <v>0</v>
      </c>
      <c r="AR95" s="762">
        <v>0</v>
      </c>
      <c r="AS95" s="762">
        <v>0</v>
      </c>
      <c r="AT95" s="762">
        <v>0</v>
      </c>
      <c r="AU95" s="762">
        <v>0</v>
      </c>
      <c r="AV95" s="935">
        <v>0</v>
      </c>
      <c r="AW95" s="744">
        <f t="shared" ref="AW95:AW116" si="170">SUM(AN95:AV95)</f>
        <v>0</v>
      </c>
      <c r="AX95" s="888">
        <f t="shared" si="139"/>
        <v>0</v>
      </c>
      <c r="AY95" s="874"/>
      <c r="AZ95" s="762">
        <v>0</v>
      </c>
      <c r="BA95" s="762">
        <v>0</v>
      </c>
      <c r="BB95" s="762">
        <v>0</v>
      </c>
      <c r="BC95" s="762">
        <v>0</v>
      </c>
      <c r="BD95" s="762">
        <v>0</v>
      </c>
      <c r="BE95" s="762">
        <v>0</v>
      </c>
      <c r="BF95" s="762">
        <v>0</v>
      </c>
      <c r="BG95" s="762">
        <v>0</v>
      </c>
      <c r="BH95" s="935">
        <v>0</v>
      </c>
      <c r="BI95" s="744">
        <f t="shared" ref="BI95:BI116" si="171">SUM(AZ95:BH95)</f>
        <v>0</v>
      </c>
      <c r="BJ95" s="888">
        <f t="shared" si="140"/>
        <v>0</v>
      </c>
      <c r="BK95" s="874"/>
      <c r="BL95" s="762">
        <v>0</v>
      </c>
      <c r="BM95" s="762">
        <v>0</v>
      </c>
      <c r="BN95" s="762">
        <v>0</v>
      </c>
      <c r="BO95" s="762">
        <v>0</v>
      </c>
      <c r="BP95" s="762">
        <v>0</v>
      </c>
      <c r="BQ95" s="762">
        <v>0</v>
      </c>
      <c r="BR95" s="762">
        <v>0</v>
      </c>
      <c r="BS95" s="762">
        <v>0</v>
      </c>
      <c r="BT95" s="935">
        <v>0</v>
      </c>
      <c r="BU95" s="744">
        <f t="shared" ref="BU95:BU116" si="172">SUM(BL95:BT95)</f>
        <v>0</v>
      </c>
      <c r="BV95" s="888">
        <f t="shared" si="141"/>
        <v>0</v>
      </c>
      <c r="BW95" s="874"/>
      <c r="BX95" s="762">
        <v>0</v>
      </c>
      <c r="BY95" s="762">
        <v>0</v>
      </c>
      <c r="BZ95" s="762">
        <v>0</v>
      </c>
      <c r="CA95" s="762">
        <v>0</v>
      </c>
      <c r="CB95" s="762">
        <v>0</v>
      </c>
      <c r="CC95" s="762">
        <v>0</v>
      </c>
      <c r="CD95" s="762">
        <v>0</v>
      </c>
      <c r="CE95" s="762">
        <v>0</v>
      </c>
      <c r="CF95" s="935">
        <v>0</v>
      </c>
      <c r="CG95" s="744">
        <f t="shared" ref="CG95:CG116" si="173">SUM(BX95:CF95)</f>
        <v>0</v>
      </c>
      <c r="CH95" s="888">
        <f t="shared" si="142"/>
        <v>0</v>
      </c>
      <c r="CI95" s="874"/>
      <c r="CJ95" s="957">
        <f t="shared" si="136"/>
        <v>0</v>
      </c>
      <c r="CK95" s="965">
        <f t="shared" si="137"/>
        <v>0</v>
      </c>
      <c r="CL95" s="746"/>
      <c r="CM95" s="816">
        <f>-DATOS!D173</f>
        <v>-112</v>
      </c>
      <c r="CN95" s="757">
        <f t="shared" si="166"/>
        <v>-3.6817090230305693E-5</v>
      </c>
      <c r="CO95" s="746"/>
      <c r="CP95" s="744">
        <f>-DATOS!F173</f>
        <v>0</v>
      </c>
      <c r="CQ95" s="756">
        <f t="shared" si="131"/>
        <v>0</v>
      </c>
      <c r="CR95" s="874"/>
      <c r="CS95" s="816">
        <f>-DATOS!G173</f>
        <v>0</v>
      </c>
      <c r="CT95" s="757">
        <f t="shared" si="144"/>
        <v>0</v>
      </c>
      <c r="CU95" s="874"/>
      <c r="CV95" s="897">
        <f t="shared" si="135"/>
        <v>-112</v>
      </c>
      <c r="CW95" s="902">
        <f t="shared" si="132"/>
        <v>0</v>
      </c>
      <c r="CY95" s="750"/>
    </row>
    <row r="96" spans="1:103" hidden="1" outlineLevel="2">
      <c r="A96" s="734">
        <v>52952502</v>
      </c>
      <c r="B96" s="833" t="s">
        <v>857</v>
      </c>
      <c r="C96" s="874"/>
      <c r="D96" s="762">
        <v>-62</v>
      </c>
      <c r="E96" s="762">
        <v>0</v>
      </c>
      <c r="F96" s="762">
        <v>-141</v>
      </c>
      <c r="G96" s="762">
        <v>48</v>
      </c>
      <c r="H96" s="762">
        <v>-487</v>
      </c>
      <c r="I96" s="762">
        <v>-9</v>
      </c>
      <c r="J96" s="762">
        <v>-298</v>
      </c>
      <c r="K96" s="762">
        <v>-119</v>
      </c>
      <c r="L96" s="935">
        <v>-145</v>
      </c>
      <c r="M96" s="744">
        <f t="shared" si="167"/>
        <v>-1213</v>
      </c>
      <c r="N96" s="888">
        <f t="shared" ref="N96:N100" si="174">+M96/M$13</f>
        <v>-2.403079428411808E-3</v>
      </c>
      <c r="O96" s="874"/>
      <c r="P96" s="762">
        <v>-126</v>
      </c>
      <c r="Q96" s="762">
        <v>-131</v>
      </c>
      <c r="R96" s="762">
        <v>-200</v>
      </c>
      <c r="S96" s="762">
        <v>-229</v>
      </c>
      <c r="T96" s="762">
        <v>-73</v>
      </c>
      <c r="U96" s="762">
        <v>-99</v>
      </c>
      <c r="V96" s="762">
        <v>-124</v>
      </c>
      <c r="W96" s="762">
        <v>0</v>
      </c>
      <c r="X96" s="935">
        <v>-80</v>
      </c>
      <c r="Y96" s="744">
        <f t="shared" si="168"/>
        <v>-1062</v>
      </c>
      <c r="Z96" s="888">
        <f t="shared" si="143"/>
        <v>-2.017929551077179E-3</v>
      </c>
      <c r="AA96" s="874"/>
      <c r="AB96" s="762">
        <v>-91</v>
      </c>
      <c r="AC96" s="762">
        <v>-208</v>
      </c>
      <c r="AD96" s="762">
        <v>0</v>
      </c>
      <c r="AE96" s="762">
        <v>-35</v>
      </c>
      <c r="AF96" s="762">
        <v>-295</v>
      </c>
      <c r="AG96" s="762">
        <v>-27</v>
      </c>
      <c r="AH96" s="762">
        <v>-132</v>
      </c>
      <c r="AI96" s="762">
        <v>0</v>
      </c>
      <c r="AJ96" s="935">
        <v>-141</v>
      </c>
      <c r="AK96" s="744">
        <f t="shared" si="169"/>
        <v>-929</v>
      </c>
      <c r="AL96" s="888">
        <f t="shared" si="138"/>
        <v>-1.8153572580093601E-3</v>
      </c>
      <c r="AM96" s="874"/>
      <c r="AN96" s="762">
        <v>-201</v>
      </c>
      <c r="AO96" s="762">
        <v>-400</v>
      </c>
      <c r="AP96" s="762">
        <v>0</v>
      </c>
      <c r="AQ96" s="762">
        <v>-64</v>
      </c>
      <c r="AR96" s="762">
        <v>-201</v>
      </c>
      <c r="AS96" s="762">
        <v>-25</v>
      </c>
      <c r="AT96" s="762">
        <v>-147</v>
      </c>
      <c r="AU96" s="762">
        <v>0</v>
      </c>
      <c r="AV96" s="935">
        <v>-43</v>
      </c>
      <c r="AW96" s="744">
        <f t="shared" si="170"/>
        <v>-1081</v>
      </c>
      <c r="AX96" s="888">
        <f t="shared" si="139"/>
        <v>-2.0356895356895355E-3</v>
      </c>
      <c r="AY96" s="874"/>
      <c r="AZ96" s="762">
        <v>-164</v>
      </c>
      <c r="BA96" s="762">
        <v>0</v>
      </c>
      <c r="BB96" s="762">
        <v>-121</v>
      </c>
      <c r="BC96" s="762">
        <v>-226</v>
      </c>
      <c r="BD96" s="762">
        <v>-219</v>
      </c>
      <c r="BE96" s="762">
        <v>-41</v>
      </c>
      <c r="BF96" s="762">
        <v>-125</v>
      </c>
      <c r="BG96" s="762">
        <v>0</v>
      </c>
      <c r="BH96" s="935">
        <v>0</v>
      </c>
      <c r="BI96" s="744">
        <f t="shared" si="171"/>
        <v>-896</v>
      </c>
      <c r="BJ96" s="888">
        <f t="shared" si="140"/>
        <v>-1.8066555901472747E-3</v>
      </c>
      <c r="BK96" s="874"/>
      <c r="BL96" s="762">
        <v>-136</v>
      </c>
      <c r="BM96" s="762">
        <v>-149</v>
      </c>
      <c r="BN96" s="762">
        <v>-189</v>
      </c>
      <c r="BO96" s="762">
        <v>-214</v>
      </c>
      <c r="BP96" s="762">
        <v>-322</v>
      </c>
      <c r="BQ96" s="762">
        <v>-392</v>
      </c>
      <c r="BR96" s="762">
        <v>-84</v>
      </c>
      <c r="BS96" s="762">
        <v>0</v>
      </c>
      <c r="BT96" s="935">
        <v>0</v>
      </c>
      <c r="BU96" s="744">
        <f t="shared" si="172"/>
        <v>-1486</v>
      </c>
      <c r="BV96" s="888">
        <f t="shared" si="141"/>
        <v>-2.9894945219424069E-3</v>
      </c>
      <c r="BW96" s="874"/>
      <c r="BX96" s="762">
        <v>-54</v>
      </c>
      <c r="BY96" s="762">
        <v>-341</v>
      </c>
      <c r="BZ96" s="762">
        <v>-62</v>
      </c>
      <c r="CA96" s="762">
        <v>-120</v>
      </c>
      <c r="CB96" s="762">
        <v>-325</v>
      </c>
      <c r="CC96" s="762">
        <v>-141</v>
      </c>
      <c r="CD96" s="762">
        <v>-180</v>
      </c>
      <c r="CE96" s="762">
        <v>0</v>
      </c>
      <c r="CF96" s="935">
        <v>-153</v>
      </c>
      <c r="CG96" s="744">
        <f t="shared" si="173"/>
        <v>-1376</v>
      </c>
      <c r="CH96" s="888">
        <f t="shared" si="142"/>
        <v>-2.8667383351250447E-3</v>
      </c>
      <c r="CI96" s="874"/>
      <c r="CJ96" s="957">
        <f t="shared" si="136"/>
        <v>110</v>
      </c>
      <c r="CK96" s="965">
        <f t="shared" si="137"/>
        <v>-7.4024226110363398E-2</v>
      </c>
      <c r="CL96" s="746"/>
      <c r="CM96" s="816">
        <f>-DATOS!D174</f>
        <v>-6826.5</v>
      </c>
      <c r="CN96" s="757">
        <f t="shared" si="166"/>
        <v>-2.2440345219391232E-3</v>
      </c>
      <c r="CO96" s="746"/>
      <c r="CP96" s="744">
        <f>-DATOS!F174-28</f>
        <v>-1449</v>
      </c>
      <c r="CQ96" s="756">
        <f t="shared" si="131"/>
        <v>-2.8125191067874104E-3</v>
      </c>
      <c r="CR96" s="874"/>
      <c r="CS96" s="816">
        <f>-DATOS!G174</f>
        <v>-7623</v>
      </c>
      <c r="CT96" s="757">
        <f t="shared" si="144"/>
        <v>-2.593798938900434E-3</v>
      </c>
      <c r="CU96" s="874"/>
      <c r="CV96" s="897">
        <f t="shared" si="135"/>
        <v>796.5</v>
      </c>
      <c r="CW96" s="902">
        <f t="shared" si="132"/>
        <v>-0.10448642266824085</v>
      </c>
      <c r="CY96" s="750"/>
    </row>
    <row r="97" spans="1:103" hidden="1" outlineLevel="2">
      <c r="A97" s="734">
        <v>52953001</v>
      </c>
      <c r="B97" s="833" t="s">
        <v>858</v>
      </c>
      <c r="C97" s="874"/>
      <c r="D97" s="762">
        <v>-106</v>
      </c>
      <c r="E97" s="762">
        <v>-73</v>
      </c>
      <c r="F97" s="762">
        <v>-25</v>
      </c>
      <c r="G97" s="762">
        <v>-28</v>
      </c>
      <c r="H97" s="762">
        <v>-62</v>
      </c>
      <c r="I97" s="762">
        <v>-121</v>
      </c>
      <c r="J97" s="762">
        <v>-45</v>
      </c>
      <c r="K97" s="762">
        <v>0</v>
      </c>
      <c r="L97" s="935">
        <v>-14</v>
      </c>
      <c r="M97" s="744">
        <f t="shared" si="167"/>
        <v>-474</v>
      </c>
      <c r="N97" s="888">
        <f t="shared" si="174"/>
        <v>-9.3904340401252848E-4</v>
      </c>
      <c r="O97" s="874"/>
      <c r="P97" s="762">
        <v>-74</v>
      </c>
      <c r="Q97" s="762">
        <v>-56</v>
      </c>
      <c r="R97" s="762">
        <v>-70</v>
      </c>
      <c r="S97" s="762">
        <v>-98</v>
      </c>
      <c r="T97" s="762">
        <v>-67</v>
      </c>
      <c r="U97" s="762">
        <v>-60</v>
      </c>
      <c r="V97" s="762">
        <v>-51</v>
      </c>
      <c r="W97" s="762">
        <v>0</v>
      </c>
      <c r="X97" s="935">
        <v>-128</v>
      </c>
      <c r="Y97" s="744">
        <f t="shared" si="168"/>
        <v>-604</v>
      </c>
      <c r="Z97" s="888">
        <f t="shared" si="143"/>
        <v>-1.1476736806502977E-3</v>
      </c>
      <c r="AA97" s="874"/>
      <c r="AB97" s="762">
        <v>-100</v>
      </c>
      <c r="AC97" s="762">
        <v>-43</v>
      </c>
      <c r="AD97" s="762">
        <v>-2</v>
      </c>
      <c r="AE97" s="762">
        <v>-60</v>
      </c>
      <c r="AF97" s="762">
        <v>-105</v>
      </c>
      <c r="AG97" s="762">
        <v>-81</v>
      </c>
      <c r="AH97" s="762">
        <v>-41</v>
      </c>
      <c r="AI97" s="762">
        <v>0</v>
      </c>
      <c r="AJ97" s="935">
        <v>-8</v>
      </c>
      <c r="AK97" s="744">
        <f t="shared" si="169"/>
        <v>-440</v>
      </c>
      <c r="AL97" s="888">
        <f t="shared" si="138"/>
        <v>-8.5980322230798541E-4</v>
      </c>
      <c r="AM97" s="874"/>
      <c r="AN97" s="762">
        <v>-83</v>
      </c>
      <c r="AO97" s="762">
        <v>-67</v>
      </c>
      <c r="AP97" s="762">
        <v>0</v>
      </c>
      <c r="AQ97" s="762">
        <v>-144</v>
      </c>
      <c r="AR97" s="762">
        <v>-114</v>
      </c>
      <c r="AS97" s="762">
        <v>-109</v>
      </c>
      <c r="AT97" s="762">
        <v>-99</v>
      </c>
      <c r="AU97" s="762">
        <v>0</v>
      </c>
      <c r="AV97" s="935">
        <v>-41</v>
      </c>
      <c r="AW97" s="744">
        <f t="shared" si="170"/>
        <v>-657</v>
      </c>
      <c r="AX97" s="888">
        <f t="shared" si="139"/>
        <v>-1.237232215493085E-3</v>
      </c>
      <c r="AY97" s="874"/>
      <c r="AZ97" s="762">
        <v>-49</v>
      </c>
      <c r="BA97" s="762">
        <v>-76</v>
      </c>
      <c r="BB97" s="762">
        <v>-63</v>
      </c>
      <c r="BC97" s="762">
        <v>-25</v>
      </c>
      <c r="BD97" s="762">
        <v>-63</v>
      </c>
      <c r="BE97" s="762">
        <v>-21</v>
      </c>
      <c r="BF97" s="762">
        <v>-23</v>
      </c>
      <c r="BG97" s="762">
        <v>0</v>
      </c>
      <c r="BH97" s="935">
        <v>-58</v>
      </c>
      <c r="BI97" s="744">
        <f t="shared" si="171"/>
        <v>-378</v>
      </c>
      <c r="BJ97" s="888">
        <f t="shared" si="140"/>
        <v>-7.6218282709338155E-4</v>
      </c>
      <c r="BK97" s="874"/>
      <c r="BL97" s="762">
        <v>0</v>
      </c>
      <c r="BM97" s="762">
        <v>-93</v>
      </c>
      <c r="BN97" s="762">
        <v>-59</v>
      </c>
      <c r="BO97" s="762">
        <v>-152</v>
      </c>
      <c r="BP97" s="762">
        <v>-135</v>
      </c>
      <c r="BQ97" s="762">
        <v>-83</v>
      </c>
      <c r="BR97" s="762">
        <v>-56</v>
      </c>
      <c r="BS97" s="762">
        <v>0</v>
      </c>
      <c r="BT97" s="935">
        <v>-64</v>
      </c>
      <c r="BU97" s="744">
        <f t="shared" si="172"/>
        <v>-642</v>
      </c>
      <c r="BV97" s="888">
        <f t="shared" si="141"/>
        <v>-1.2915581985780788E-3</v>
      </c>
      <c r="BW97" s="874"/>
      <c r="BX97" s="762">
        <v>-126</v>
      </c>
      <c r="BY97" s="762">
        <v>-55</v>
      </c>
      <c r="BZ97" s="762">
        <v>-26</v>
      </c>
      <c r="CA97" s="762">
        <v>-126</v>
      </c>
      <c r="CB97" s="762">
        <v>-26</v>
      </c>
      <c r="CC97" s="762">
        <v>-56</v>
      </c>
      <c r="CD97" s="762">
        <v>-22</v>
      </c>
      <c r="CE97" s="762">
        <v>0</v>
      </c>
      <c r="CF97" s="935">
        <v>-62</v>
      </c>
      <c r="CG97" s="744">
        <f t="shared" si="173"/>
        <v>-499</v>
      </c>
      <c r="CH97" s="888">
        <f t="shared" si="142"/>
        <v>-1.0396093235664225E-3</v>
      </c>
      <c r="CI97" s="874"/>
      <c r="CJ97" s="957">
        <f t="shared" si="136"/>
        <v>143</v>
      </c>
      <c r="CK97" s="965">
        <f t="shared" si="137"/>
        <v>-0.22274143302180685</v>
      </c>
      <c r="CL97" s="746"/>
      <c r="CM97" s="816">
        <f>-DATOS!D175</f>
        <v>-3219.5</v>
      </c>
      <c r="CN97" s="757">
        <f t="shared" si="166"/>
        <v>-1.058326982111332E-3</v>
      </c>
      <c r="CO97" s="746"/>
      <c r="CP97" s="744">
        <f>-DATOS!F175</f>
        <v>-361</v>
      </c>
      <c r="CQ97" s="756">
        <f t="shared" si="131"/>
        <v>-7.0070351797809185E-4</v>
      </c>
      <c r="CR97" s="874"/>
      <c r="CS97" s="816">
        <f>-DATOS!G175</f>
        <v>-3767.5</v>
      </c>
      <c r="CT97" s="757">
        <f t="shared" si="144"/>
        <v>-1.2819280470034613E-3</v>
      </c>
      <c r="CU97" s="874"/>
      <c r="CV97" s="897">
        <f t="shared" si="135"/>
        <v>548</v>
      </c>
      <c r="CW97" s="902">
        <f t="shared" si="132"/>
        <v>-0.14545454545454545</v>
      </c>
      <c r="CY97" s="750"/>
    </row>
    <row r="98" spans="1:103" hidden="1" outlineLevel="2">
      <c r="A98" s="734">
        <v>52953501</v>
      </c>
      <c r="B98" s="833" t="s">
        <v>859</v>
      </c>
      <c r="C98" s="874"/>
      <c r="D98" s="762">
        <v>0</v>
      </c>
      <c r="E98" s="762">
        <v>0</v>
      </c>
      <c r="F98" s="762">
        <v>0</v>
      </c>
      <c r="G98" s="762">
        <v>0</v>
      </c>
      <c r="H98" s="762">
        <v>0</v>
      </c>
      <c r="I98" s="762">
        <v>0</v>
      </c>
      <c r="J98" s="762">
        <v>0</v>
      </c>
      <c r="K98" s="762">
        <v>0</v>
      </c>
      <c r="L98" s="935">
        <v>0</v>
      </c>
      <c r="M98" s="744">
        <f t="shared" si="167"/>
        <v>0</v>
      </c>
      <c r="N98" s="888">
        <f t="shared" si="174"/>
        <v>0</v>
      </c>
      <c r="O98" s="874"/>
      <c r="P98" s="762">
        <v>0</v>
      </c>
      <c r="Q98" s="762">
        <v>0</v>
      </c>
      <c r="R98" s="762">
        <v>0</v>
      </c>
      <c r="S98" s="762">
        <v>0</v>
      </c>
      <c r="T98" s="762">
        <v>0</v>
      </c>
      <c r="U98" s="762">
        <v>0</v>
      </c>
      <c r="V98" s="762">
        <v>0</v>
      </c>
      <c r="W98" s="762">
        <v>0</v>
      </c>
      <c r="X98" s="935">
        <v>0</v>
      </c>
      <c r="Y98" s="744">
        <f t="shared" si="168"/>
        <v>0</v>
      </c>
      <c r="Z98" s="888">
        <f t="shared" si="143"/>
        <v>0</v>
      </c>
      <c r="AA98" s="874"/>
      <c r="AB98" s="762">
        <v>0</v>
      </c>
      <c r="AC98" s="762">
        <v>0</v>
      </c>
      <c r="AD98" s="762">
        <v>0</v>
      </c>
      <c r="AE98" s="762">
        <v>0</v>
      </c>
      <c r="AF98" s="762">
        <v>0</v>
      </c>
      <c r="AG98" s="762">
        <v>0</v>
      </c>
      <c r="AH98" s="762">
        <v>0</v>
      </c>
      <c r="AI98" s="762">
        <v>0</v>
      </c>
      <c r="AJ98" s="935">
        <v>0</v>
      </c>
      <c r="AK98" s="744">
        <f t="shared" si="169"/>
        <v>0</v>
      </c>
      <c r="AL98" s="888">
        <f t="shared" si="138"/>
        <v>0</v>
      </c>
      <c r="AM98" s="874"/>
      <c r="AN98" s="762">
        <v>0</v>
      </c>
      <c r="AO98" s="762">
        <v>0</v>
      </c>
      <c r="AP98" s="762">
        <v>0</v>
      </c>
      <c r="AQ98" s="762">
        <v>0</v>
      </c>
      <c r="AR98" s="762">
        <v>0</v>
      </c>
      <c r="AS98" s="762">
        <v>0</v>
      </c>
      <c r="AT98" s="762">
        <v>0</v>
      </c>
      <c r="AU98" s="762">
        <v>0</v>
      </c>
      <c r="AV98" s="935">
        <v>0</v>
      </c>
      <c r="AW98" s="744">
        <f t="shared" si="170"/>
        <v>0</v>
      </c>
      <c r="AX98" s="888">
        <f t="shared" si="139"/>
        <v>0</v>
      </c>
      <c r="AY98" s="874"/>
      <c r="AZ98" s="762">
        <v>0</v>
      </c>
      <c r="BA98" s="762">
        <v>0</v>
      </c>
      <c r="BB98" s="762">
        <v>0</v>
      </c>
      <c r="BC98" s="762">
        <v>0</v>
      </c>
      <c r="BD98" s="762">
        <v>0</v>
      </c>
      <c r="BE98" s="762">
        <v>0</v>
      </c>
      <c r="BF98" s="762">
        <v>0</v>
      </c>
      <c r="BG98" s="762">
        <v>0</v>
      </c>
      <c r="BH98" s="935">
        <v>0</v>
      </c>
      <c r="BI98" s="744">
        <f t="shared" si="171"/>
        <v>0</v>
      </c>
      <c r="BJ98" s="888">
        <f t="shared" si="140"/>
        <v>0</v>
      </c>
      <c r="BK98" s="874"/>
      <c r="BL98" s="762">
        <v>0</v>
      </c>
      <c r="BM98" s="762">
        <v>0</v>
      </c>
      <c r="BN98" s="762">
        <v>0</v>
      </c>
      <c r="BO98" s="762">
        <v>0</v>
      </c>
      <c r="BP98" s="762">
        <v>0</v>
      </c>
      <c r="BQ98" s="762">
        <v>0</v>
      </c>
      <c r="BR98" s="762">
        <v>0</v>
      </c>
      <c r="BS98" s="762">
        <v>0</v>
      </c>
      <c r="BT98" s="935">
        <v>0</v>
      </c>
      <c r="BU98" s="744">
        <f t="shared" si="172"/>
        <v>0</v>
      </c>
      <c r="BV98" s="888">
        <f t="shared" si="141"/>
        <v>0</v>
      </c>
      <c r="BW98" s="874"/>
      <c r="BX98" s="762">
        <v>0</v>
      </c>
      <c r="BY98" s="762">
        <v>0</v>
      </c>
      <c r="BZ98" s="762">
        <v>0</v>
      </c>
      <c r="CA98" s="762">
        <v>0</v>
      </c>
      <c r="CB98" s="762">
        <v>0</v>
      </c>
      <c r="CC98" s="762">
        <v>0</v>
      </c>
      <c r="CD98" s="762">
        <v>0</v>
      </c>
      <c r="CE98" s="762">
        <v>0</v>
      </c>
      <c r="CF98" s="935">
        <v>0</v>
      </c>
      <c r="CG98" s="744">
        <f t="shared" si="173"/>
        <v>0</v>
      </c>
      <c r="CH98" s="888">
        <f t="shared" si="142"/>
        <v>0</v>
      </c>
      <c r="CI98" s="874"/>
      <c r="CJ98" s="957">
        <f t="shared" si="136"/>
        <v>0</v>
      </c>
      <c r="CK98" s="965">
        <f t="shared" si="137"/>
        <v>0</v>
      </c>
      <c r="CL98" s="746"/>
      <c r="CM98" s="816">
        <v>0</v>
      </c>
      <c r="CN98" s="757">
        <f t="shared" si="166"/>
        <v>0</v>
      </c>
      <c r="CO98" s="746"/>
      <c r="CP98" s="744">
        <f>-DATOS!F176</f>
        <v>0</v>
      </c>
      <c r="CQ98" s="756">
        <f t="shared" si="131"/>
        <v>0</v>
      </c>
      <c r="CR98" s="874"/>
      <c r="CS98" s="816">
        <f>-DATOS!G176</f>
        <v>0</v>
      </c>
      <c r="CT98" s="757">
        <f t="shared" si="144"/>
        <v>0</v>
      </c>
      <c r="CU98" s="874"/>
      <c r="CV98" s="897">
        <f t="shared" si="135"/>
        <v>0</v>
      </c>
      <c r="CW98" s="902">
        <f t="shared" si="132"/>
        <v>0</v>
      </c>
      <c r="CY98" s="750"/>
    </row>
    <row r="99" spans="1:103" hidden="1" outlineLevel="2">
      <c r="A99" s="734">
        <v>52954001</v>
      </c>
      <c r="B99" s="833" t="s">
        <v>860</v>
      </c>
      <c r="C99" s="874"/>
      <c r="D99" s="762">
        <v>-2</v>
      </c>
      <c r="E99" s="762">
        <v>0</v>
      </c>
      <c r="F99" s="762">
        <v>0</v>
      </c>
      <c r="G99" s="762">
        <v>0</v>
      </c>
      <c r="H99" s="762">
        <v>-1</v>
      </c>
      <c r="I99" s="762">
        <v>-2</v>
      </c>
      <c r="J99" s="762">
        <v>0</v>
      </c>
      <c r="K99" s="762">
        <v>0</v>
      </c>
      <c r="L99" s="935">
        <v>-1</v>
      </c>
      <c r="M99" s="744">
        <f t="shared" si="167"/>
        <v>-6</v>
      </c>
      <c r="N99" s="888">
        <f t="shared" si="174"/>
        <v>-1.1886625367247196E-5</v>
      </c>
      <c r="O99" s="874"/>
      <c r="P99" s="762">
        <v>0</v>
      </c>
      <c r="Q99" s="762">
        <v>0</v>
      </c>
      <c r="R99" s="762">
        <v>0</v>
      </c>
      <c r="S99" s="762">
        <v>0</v>
      </c>
      <c r="T99" s="762">
        <v>-13</v>
      </c>
      <c r="U99" s="762">
        <v>0</v>
      </c>
      <c r="V99" s="762">
        <v>0</v>
      </c>
      <c r="W99" s="762">
        <v>0</v>
      </c>
      <c r="X99" s="935">
        <v>0</v>
      </c>
      <c r="Y99" s="744">
        <f t="shared" si="168"/>
        <v>-13</v>
      </c>
      <c r="Z99" s="888">
        <f t="shared" si="143"/>
        <v>-2.4701585841811043E-5</v>
      </c>
      <c r="AA99" s="874"/>
      <c r="AB99" s="762">
        <v>0</v>
      </c>
      <c r="AC99" s="762">
        <v>0</v>
      </c>
      <c r="AD99" s="762">
        <v>0</v>
      </c>
      <c r="AE99" s="762">
        <v>0</v>
      </c>
      <c r="AF99" s="762">
        <v>-1</v>
      </c>
      <c r="AG99" s="762">
        <v>0</v>
      </c>
      <c r="AH99" s="762">
        <v>0</v>
      </c>
      <c r="AI99" s="762">
        <v>0</v>
      </c>
      <c r="AJ99" s="935">
        <v>-4</v>
      </c>
      <c r="AK99" s="744">
        <f t="shared" si="169"/>
        <v>-5</v>
      </c>
      <c r="AL99" s="888">
        <f t="shared" si="138"/>
        <v>-9.7704911625907434E-6</v>
      </c>
      <c r="AM99" s="874"/>
      <c r="AN99" s="762">
        <v>0</v>
      </c>
      <c r="AO99" s="762">
        <v>0</v>
      </c>
      <c r="AP99" s="762">
        <v>0</v>
      </c>
      <c r="AQ99" s="762">
        <v>0</v>
      </c>
      <c r="AR99" s="762">
        <v>0</v>
      </c>
      <c r="AS99" s="762">
        <v>0</v>
      </c>
      <c r="AT99" s="762">
        <v>0</v>
      </c>
      <c r="AU99" s="762">
        <v>0</v>
      </c>
      <c r="AV99" s="935">
        <v>0</v>
      </c>
      <c r="AW99" s="744">
        <f t="shared" si="170"/>
        <v>0</v>
      </c>
      <c r="AX99" s="888">
        <f t="shared" si="139"/>
        <v>0</v>
      </c>
      <c r="AY99" s="874"/>
      <c r="AZ99" s="762">
        <v>-24</v>
      </c>
      <c r="BA99" s="762">
        <v>0</v>
      </c>
      <c r="BB99" s="762">
        <v>0</v>
      </c>
      <c r="BC99" s="762">
        <v>-1</v>
      </c>
      <c r="BD99" s="762">
        <v>0</v>
      </c>
      <c r="BE99" s="762">
        <v>0</v>
      </c>
      <c r="BF99" s="762">
        <v>0</v>
      </c>
      <c r="BG99" s="762">
        <v>0</v>
      </c>
      <c r="BH99" s="935">
        <v>0</v>
      </c>
      <c r="BI99" s="744">
        <f t="shared" si="171"/>
        <v>-25</v>
      </c>
      <c r="BJ99" s="888">
        <f t="shared" si="140"/>
        <v>-5.0408917135805657E-5</v>
      </c>
      <c r="BK99" s="874"/>
      <c r="BL99" s="762">
        <v>-1</v>
      </c>
      <c r="BM99" s="762">
        <v>0</v>
      </c>
      <c r="BN99" s="762">
        <v>0</v>
      </c>
      <c r="BO99" s="762">
        <v>-1</v>
      </c>
      <c r="BP99" s="762">
        <v>-11</v>
      </c>
      <c r="BQ99" s="762">
        <v>0</v>
      </c>
      <c r="BR99" s="762">
        <v>0</v>
      </c>
      <c r="BS99" s="762">
        <v>0</v>
      </c>
      <c r="BT99" s="935">
        <v>-13</v>
      </c>
      <c r="BU99" s="744">
        <f t="shared" si="172"/>
        <v>-26</v>
      </c>
      <c r="BV99" s="888">
        <f t="shared" si="141"/>
        <v>-5.2306095269517214E-5</v>
      </c>
      <c r="BW99" s="874"/>
      <c r="BX99" s="762">
        <v>0</v>
      </c>
      <c r="BY99" s="762">
        <v>0</v>
      </c>
      <c r="BZ99" s="762">
        <v>0</v>
      </c>
      <c r="CA99" s="762">
        <v>0</v>
      </c>
      <c r="CB99" s="762">
        <v>0</v>
      </c>
      <c r="CC99" s="762">
        <v>0</v>
      </c>
      <c r="CD99" s="762">
        <v>0</v>
      </c>
      <c r="CE99" s="762">
        <v>0</v>
      </c>
      <c r="CF99" s="935">
        <v>0</v>
      </c>
      <c r="CG99" s="744">
        <f t="shared" si="173"/>
        <v>0</v>
      </c>
      <c r="CH99" s="888">
        <f t="shared" si="142"/>
        <v>0</v>
      </c>
      <c r="CI99" s="874"/>
      <c r="CJ99" s="957">
        <f t="shared" si="136"/>
        <v>26</v>
      </c>
      <c r="CK99" s="965">
        <f t="shared" si="137"/>
        <v>-1</v>
      </c>
      <c r="CL99" s="746"/>
      <c r="CM99" s="816">
        <f>-DATOS!D177</f>
        <v>-69</v>
      </c>
      <c r="CN99" s="757">
        <f t="shared" si="166"/>
        <v>-2.2681957374027615E-5</v>
      </c>
      <c r="CO99" s="746"/>
      <c r="CP99" s="744">
        <f>-DATOS!F177</f>
        <v>-190.5</v>
      </c>
      <c r="CQ99" s="756">
        <f t="shared" si="131"/>
        <v>-3.697618287391316E-4</v>
      </c>
      <c r="CR99" s="874"/>
      <c r="CS99" s="816">
        <f>-DATOS!G177</f>
        <v>-420</v>
      </c>
      <c r="CT99" s="757">
        <f t="shared" si="144"/>
        <v>-1.429090324463049E-4</v>
      </c>
      <c r="CU99" s="874"/>
      <c r="CV99" s="897">
        <f t="shared" si="135"/>
        <v>351</v>
      </c>
      <c r="CW99" s="902">
        <f t="shared" si="132"/>
        <v>-0.83571428571428574</v>
      </c>
      <c r="CY99" s="750"/>
    </row>
    <row r="100" spans="1:103" hidden="1" outlineLevel="2">
      <c r="A100" s="734">
        <v>52954501</v>
      </c>
      <c r="B100" s="833" t="s">
        <v>861</v>
      </c>
      <c r="C100" s="874"/>
      <c r="D100" s="762">
        <v>0</v>
      </c>
      <c r="E100" s="762">
        <v>-18</v>
      </c>
      <c r="F100" s="762">
        <v>-15</v>
      </c>
      <c r="G100" s="762">
        <v>-22</v>
      </c>
      <c r="H100" s="762">
        <v>-17</v>
      </c>
      <c r="I100" s="762">
        <v>-40</v>
      </c>
      <c r="J100" s="762">
        <v>-27</v>
      </c>
      <c r="K100" s="762">
        <v>0</v>
      </c>
      <c r="L100" s="935">
        <v>-246</v>
      </c>
      <c r="M100" s="744">
        <f t="shared" si="167"/>
        <v>-385</v>
      </c>
      <c r="N100" s="888">
        <f t="shared" si="174"/>
        <v>-7.6272512773169513E-4</v>
      </c>
      <c r="O100" s="874"/>
      <c r="P100" s="762">
        <v>0</v>
      </c>
      <c r="Q100" s="762">
        <v>-18</v>
      </c>
      <c r="R100" s="762">
        <v>-8</v>
      </c>
      <c r="S100" s="762">
        <v>-8</v>
      </c>
      <c r="T100" s="762">
        <v>-45</v>
      </c>
      <c r="U100" s="762">
        <v>-30</v>
      </c>
      <c r="V100" s="762">
        <v>-16</v>
      </c>
      <c r="W100" s="762">
        <v>0</v>
      </c>
      <c r="X100" s="935">
        <v>-210</v>
      </c>
      <c r="Y100" s="744">
        <f t="shared" si="168"/>
        <v>-335</v>
      </c>
      <c r="Z100" s="888">
        <f t="shared" si="143"/>
        <v>-6.3654086592359227E-4</v>
      </c>
      <c r="AA100" s="874"/>
      <c r="AB100" s="762">
        <v>-5</v>
      </c>
      <c r="AC100" s="762">
        <v>-12</v>
      </c>
      <c r="AD100" s="762">
        <v>-20</v>
      </c>
      <c r="AE100" s="762">
        <v>0</v>
      </c>
      <c r="AF100" s="762">
        <v>-12</v>
      </c>
      <c r="AG100" s="762">
        <v>-38</v>
      </c>
      <c r="AH100" s="762">
        <v>-12</v>
      </c>
      <c r="AI100" s="762">
        <v>0</v>
      </c>
      <c r="AJ100" s="935">
        <v>-483</v>
      </c>
      <c r="AK100" s="744">
        <f t="shared" si="169"/>
        <v>-582</v>
      </c>
      <c r="AL100" s="888">
        <f t="shared" si="138"/>
        <v>-1.1372851713255625E-3</v>
      </c>
      <c r="AM100" s="874"/>
      <c r="AN100" s="762">
        <v>-16</v>
      </c>
      <c r="AO100" s="762">
        <v>-5</v>
      </c>
      <c r="AP100" s="762">
        <v>-61</v>
      </c>
      <c r="AQ100" s="762">
        <v>-19</v>
      </c>
      <c r="AR100" s="762">
        <v>-168</v>
      </c>
      <c r="AS100" s="762">
        <v>-33</v>
      </c>
      <c r="AT100" s="762">
        <v>-16</v>
      </c>
      <c r="AU100" s="762">
        <v>0</v>
      </c>
      <c r="AV100" s="935">
        <v>-50</v>
      </c>
      <c r="AW100" s="744">
        <f t="shared" si="170"/>
        <v>-368</v>
      </c>
      <c r="AX100" s="888">
        <f t="shared" si="139"/>
        <v>-6.93000693000693E-4</v>
      </c>
      <c r="AY100" s="874"/>
      <c r="AZ100" s="762">
        <v>-57</v>
      </c>
      <c r="BA100" s="762">
        <v>-30</v>
      </c>
      <c r="BB100" s="762">
        <v>-20</v>
      </c>
      <c r="BC100" s="762">
        <v>-46</v>
      </c>
      <c r="BD100" s="762">
        <v>-35</v>
      </c>
      <c r="BE100" s="762">
        <v>-31</v>
      </c>
      <c r="BF100" s="762">
        <v>-16</v>
      </c>
      <c r="BG100" s="762">
        <v>0</v>
      </c>
      <c r="BH100" s="935">
        <v>-17</v>
      </c>
      <c r="BI100" s="744">
        <f t="shared" si="171"/>
        <v>-252</v>
      </c>
      <c r="BJ100" s="888">
        <f t="shared" si="140"/>
        <v>-5.0812188472892103E-4</v>
      </c>
      <c r="BK100" s="874"/>
      <c r="BL100" s="762">
        <v>-48</v>
      </c>
      <c r="BM100" s="762">
        <v>-19</v>
      </c>
      <c r="BN100" s="762">
        <v>-36</v>
      </c>
      <c r="BO100" s="762">
        <v>-4</v>
      </c>
      <c r="BP100" s="762">
        <v>-16</v>
      </c>
      <c r="BQ100" s="762">
        <v>-44</v>
      </c>
      <c r="BR100" s="762">
        <v>-12</v>
      </c>
      <c r="BS100" s="762">
        <v>0</v>
      </c>
      <c r="BT100" s="935">
        <v>-8</v>
      </c>
      <c r="BU100" s="744">
        <f t="shared" si="172"/>
        <v>-187</v>
      </c>
      <c r="BV100" s="888">
        <f t="shared" si="141"/>
        <v>-3.7620153136152764E-4</v>
      </c>
      <c r="BW100" s="874"/>
      <c r="BX100" s="762">
        <v>-4</v>
      </c>
      <c r="BY100" s="762">
        <v>-20</v>
      </c>
      <c r="BZ100" s="762">
        <v>-16</v>
      </c>
      <c r="CA100" s="762">
        <v>-30</v>
      </c>
      <c r="CB100" s="762">
        <v>0</v>
      </c>
      <c r="CC100" s="762">
        <v>0</v>
      </c>
      <c r="CD100" s="762">
        <v>-190</v>
      </c>
      <c r="CE100" s="762">
        <v>0</v>
      </c>
      <c r="CF100" s="935">
        <v>-52</v>
      </c>
      <c r="CG100" s="744">
        <f t="shared" si="173"/>
        <v>-312</v>
      </c>
      <c r="CH100" s="888">
        <f t="shared" si="142"/>
        <v>-6.5001625040626019E-4</v>
      </c>
      <c r="CI100" s="874"/>
      <c r="CJ100" s="957">
        <f t="shared" si="136"/>
        <v>-125</v>
      </c>
      <c r="CK100" s="965">
        <f t="shared" si="137"/>
        <v>0.66844919786096257</v>
      </c>
      <c r="CL100" s="746"/>
      <c r="CM100" s="816">
        <f>-DATOS!D178</f>
        <v>-2034.5</v>
      </c>
      <c r="CN100" s="757">
        <f t="shared" si="166"/>
        <v>-6.6878901851390117E-4</v>
      </c>
      <c r="CO100" s="746"/>
      <c r="CP100" s="744">
        <f>-DATOS!F178</f>
        <v>-377</v>
      </c>
      <c r="CQ100" s="756">
        <f t="shared" si="131"/>
        <v>-7.3175962957822886E-4</v>
      </c>
      <c r="CR100" s="874"/>
      <c r="CS100" s="816">
        <f>-DATOS!G178</f>
        <v>-1649</v>
      </c>
      <c r="CT100" s="757">
        <f t="shared" si="144"/>
        <v>-5.610880821522781E-4</v>
      </c>
      <c r="CU100" s="874"/>
      <c r="CV100" s="897">
        <f t="shared" si="135"/>
        <v>-385.5</v>
      </c>
      <c r="CW100" s="902">
        <f t="shared" si="132"/>
        <v>0.23377804730139479</v>
      </c>
      <c r="CY100" s="750"/>
    </row>
    <row r="101" spans="1:103" hidden="1" outlineLevel="2">
      <c r="A101" s="734" t="s">
        <v>1437</v>
      </c>
      <c r="B101" s="833" t="s">
        <v>1438</v>
      </c>
      <c r="C101" s="874"/>
      <c r="D101" s="762">
        <v>0</v>
      </c>
      <c r="E101" s="762">
        <v>0</v>
      </c>
      <c r="F101" s="762">
        <v>0</v>
      </c>
      <c r="G101" s="762">
        <v>0</v>
      </c>
      <c r="H101" s="762">
        <v>0</v>
      </c>
      <c r="I101" s="762">
        <v>0</v>
      </c>
      <c r="J101" s="762">
        <v>0</v>
      </c>
      <c r="K101" s="762">
        <v>0</v>
      </c>
      <c r="L101" s="935">
        <v>0</v>
      </c>
      <c r="M101" s="744">
        <f t="shared" si="167"/>
        <v>0</v>
      </c>
      <c r="N101" s="888"/>
      <c r="O101" s="874"/>
      <c r="P101" s="762">
        <v>0</v>
      </c>
      <c r="Q101" s="762">
        <v>0</v>
      </c>
      <c r="R101" s="762">
        <v>0</v>
      </c>
      <c r="S101" s="762">
        <v>0</v>
      </c>
      <c r="T101" s="762">
        <v>-38</v>
      </c>
      <c r="U101" s="762">
        <v>0</v>
      </c>
      <c r="V101" s="762">
        <v>0</v>
      </c>
      <c r="W101" s="762">
        <v>0</v>
      </c>
      <c r="X101" s="935">
        <v>0</v>
      </c>
      <c r="Y101" s="744">
        <f t="shared" si="168"/>
        <v>-38</v>
      </c>
      <c r="Z101" s="888"/>
      <c r="AA101" s="874"/>
      <c r="AB101" s="762">
        <v>0</v>
      </c>
      <c r="AC101" s="762">
        <v>0</v>
      </c>
      <c r="AD101" s="762">
        <v>0</v>
      </c>
      <c r="AE101" s="762">
        <v>0</v>
      </c>
      <c r="AF101" s="762">
        <v>0</v>
      </c>
      <c r="AG101" s="762">
        <v>0</v>
      </c>
      <c r="AH101" s="762">
        <v>0</v>
      </c>
      <c r="AI101" s="762">
        <v>0</v>
      </c>
      <c r="AJ101" s="935">
        <v>0</v>
      </c>
      <c r="AK101" s="744">
        <f t="shared" si="169"/>
        <v>0</v>
      </c>
      <c r="AL101" s="888"/>
      <c r="AM101" s="874"/>
      <c r="AN101" s="762">
        <v>0</v>
      </c>
      <c r="AO101" s="762">
        <v>0</v>
      </c>
      <c r="AP101" s="762">
        <v>0</v>
      </c>
      <c r="AQ101" s="762">
        <v>0</v>
      </c>
      <c r="AR101" s="762">
        <v>0</v>
      </c>
      <c r="AS101" s="762">
        <v>0</v>
      </c>
      <c r="AT101" s="762">
        <v>0</v>
      </c>
      <c r="AU101" s="762">
        <v>0</v>
      </c>
      <c r="AV101" s="935">
        <v>0</v>
      </c>
      <c r="AW101" s="744">
        <f t="shared" si="170"/>
        <v>0</v>
      </c>
      <c r="AX101" s="888"/>
      <c r="AY101" s="874"/>
      <c r="AZ101" s="762">
        <v>0</v>
      </c>
      <c r="BA101" s="762">
        <v>0</v>
      </c>
      <c r="BB101" s="762">
        <v>0</v>
      </c>
      <c r="BC101" s="762">
        <v>0</v>
      </c>
      <c r="BD101" s="762">
        <v>0</v>
      </c>
      <c r="BE101" s="762">
        <v>0</v>
      </c>
      <c r="BF101" s="762">
        <v>0</v>
      </c>
      <c r="BG101" s="762">
        <v>0</v>
      </c>
      <c r="BH101" s="935">
        <v>0</v>
      </c>
      <c r="BI101" s="744">
        <f t="shared" si="171"/>
        <v>0</v>
      </c>
      <c r="BJ101" s="888"/>
      <c r="BK101" s="874"/>
      <c r="BL101" s="762">
        <v>0</v>
      </c>
      <c r="BM101" s="762">
        <v>0</v>
      </c>
      <c r="BN101" s="762">
        <v>0</v>
      </c>
      <c r="BO101" s="762">
        <v>0</v>
      </c>
      <c r="BP101" s="762">
        <v>0</v>
      </c>
      <c r="BQ101" s="762">
        <v>0</v>
      </c>
      <c r="BR101" s="762">
        <v>0</v>
      </c>
      <c r="BS101" s="762">
        <v>0</v>
      </c>
      <c r="BT101" s="935">
        <v>0</v>
      </c>
      <c r="BU101" s="744">
        <f t="shared" si="172"/>
        <v>0</v>
      </c>
      <c r="BV101" s="888"/>
      <c r="BW101" s="874"/>
      <c r="BX101" s="762">
        <v>0</v>
      </c>
      <c r="BY101" s="762">
        <v>0</v>
      </c>
      <c r="BZ101" s="762">
        <v>0</v>
      </c>
      <c r="CA101" s="762">
        <v>0</v>
      </c>
      <c r="CB101" s="762">
        <v>0</v>
      </c>
      <c r="CC101" s="762">
        <v>0</v>
      </c>
      <c r="CD101" s="762">
        <v>0</v>
      </c>
      <c r="CE101" s="762">
        <v>0</v>
      </c>
      <c r="CF101" s="935">
        <v>0</v>
      </c>
      <c r="CG101" s="744">
        <f t="shared" si="173"/>
        <v>0</v>
      </c>
      <c r="CH101" s="888"/>
      <c r="CI101" s="874"/>
      <c r="CJ101" s="957">
        <f t="shared" si="136"/>
        <v>0</v>
      </c>
      <c r="CK101" s="965">
        <f t="shared" si="137"/>
        <v>0</v>
      </c>
      <c r="CL101" s="746"/>
      <c r="CM101" s="816">
        <f>-DATOS!D179</f>
        <v>-38</v>
      </c>
      <c r="CN101" s="757">
        <f t="shared" si="166"/>
        <v>-1.249151275671086E-5</v>
      </c>
      <c r="CO101" s="746"/>
      <c r="CP101" s="744"/>
      <c r="CQ101" s="756"/>
      <c r="CR101" s="874"/>
      <c r="CS101" s="816"/>
      <c r="CT101" s="757"/>
      <c r="CU101" s="874"/>
      <c r="CV101" s="897"/>
      <c r="CW101" s="902"/>
      <c r="CY101" s="750"/>
    </row>
    <row r="102" spans="1:103" hidden="1" outlineLevel="2">
      <c r="A102" s="734">
        <v>52956501</v>
      </c>
      <c r="B102" s="833" t="s">
        <v>862</v>
      </c>
      <c r="C102" s="874"/>
      <c r="D102" s="762">
        <v>-11</v>
      </c>
      <c r="E102" s="762">
        <v>0</v>
      </c>
      <c r="F102" s="762">
        <v>-3</v>
      </c>
      <c r="G102" s="762">
        <v>0</v>
      </c>
      <c r="H102" s="762">
        <v>-3</v>
      </c>
      <c r="I102" s="762">
        <v>0</v>
      </c>
      <c r="J102" s="762">
        <v>-6</v>
      </c>
      <c r="K102" s="762">
        <v>0</v>
      </c>
      <c r="L102" s="935">
        <v>-3</v>
      </c>
      <c r="M102" s="744">
        <f t="shared" si="167"/>
        <v>-26</v>
      </c>
      <c r="N102" s="888">
        <f t="shared" ref="N102:N107" si="175">+M102/M$13</f>
        <v>-5.1508709924737847E-5</v>
      </c>
      <c r="O102" s="874"/>
      <c r="P102" s="762">
        <v>-6</v>
      </c>
      <c r="Q102" s="762">
        <v>0</v>
      </c>
      <c r="R102" s="762">
        <v>-8</v>
      </c>
      <c r="S102" s="762">
        <v>0</v>
      </c>
      <c r="T102" s="762">
        <v>0</v>
      </c>
      <c r="U102" s="762">
        <v>0</v>
      </c>
      <c r="V102" s="762">
        <v>-7</v>
      </c>
      <c r="W102" s="762">
        <v>0</v>
      </c>
      <c r="X102" s="935">
        <v>-44</v>
      </c>
      <c r="Y102" s="744">
        <f t="shared" si="168"/>
        <v>-65</v>
      </c>
      <c r="Z102" s="888">
        <f t="shared" ref="Z102:Z107" si="176">+Y102/Y$13</f>
        <v>-1.2350792920905521E-4</v>
      </c>
      <c r="AA102" s="874"/>
      <c r="AB102" s="762">
        <v>0</v>
      </c>
      <c r="AC102" s="762">
        <v>0</v>
      </c>
      <c r="AD102" s="762">
        <v>0</v>
      </c>
      <c r="AE102" s="762">
        <v>0</v>
      </c>
      <c r="AF102" s="762">
        <v>0</v>
      </c>
      <c r="AG102" s="762">
        <v>0</v>
      </c>
      <c r="AH102" s="762">
        <v>0</v>
      </c>
      <c r="AI102" s="762">
        <v>0</v>
      </c>
      <c r="AJ102" s="935">
        <v>0</v>
      </c>
      <c r="AK102" s="744">
        <f t="shared" si="169"/>
        <v>0</v>
      </c>
      <c r="AL102" s="888">
        <f t="shared" ref="AL102:AL107" si="177">+AK102/AK$13</f>
        <v>0</v>
      </c>
      <c r="AM102" s="874"/>
      <c r="AN102" s="762">
        <v>0</v>
      </c>
      <c r="AO102" s="762">
        <v>0</v>
      </c>
      <c r="AP102" s="762">
        <v>0</v>
      </c>
      <c r="AQ102" s="762">
        <v>0</v>
      </c>
      <c r="AR102" s="762">
        <v>0</v>
      </c>
      <c r="AS102" s="762">
        <v>0</v>
      </c>
      <c r="AT102" s="762">
        <v>0</v>
      </c>
      <c r="AU102" s="762">
        <v>0</v>
      </c>
      <c r="AV102" s="935">
        <v>0</v>
      </c>
      <c r="AW102" s="744">
        <f t="shared" si="170"/>
        <v>0</v>
      </c>
      <c r="AX102" s="888">
        <f t="shared" ref="AX102:AX107" si="178">+AW102/AW$13</f>
        <v>0</v>
      </c>
      <c r="AY102" s="874"/>
      <c r="AZ102" s="762">
        <v>0</v>
      </c>
      <c r="BA102" s="762">
        <v>0</v>
      </c>
      <c r="BB102" s="762">
        <v>0</v>
      </c>
      <c r="BC102" s="762">
        <v>0</v>
      </c>
      <c r="BD102" s="762">
        <v>0</v>
      </c>
      <c r="BE102" s="762">
        <v>0</v>
      </c>
      <c r="BF102" s="762">
        <v>0</v>
      </c>
      <c r="BG102" s="762">
        <v>0</v>
      </c>
      <c r="BH102" s="935">
        <v>0</v>
      </c>
      <c r="BI102" s="744">
        <f t="shared" si="171"/>
        <v>0</v>
      </c>
      <c r="BJ102" s="888">
        <f t="shared" ref="BJ102:BJ107" si="179">+BI102/BI$13</f>
        <v>0</v>
      </c>
      <c r="BK102" s="874"/>
      <c r="BL102" s="762">
        <v>0</v>
      </c>
      <c r="BM102" s="762">
        <v>0</v>
      </c>
      <c r="BN102" s="762">
        <v>0</v>
      </c>
      <c r="BO102" s="762">
        <v>0</v>
      </c>
      <c r="BP102" s="762">
        <v>0</v>
      </c>
      <c r="BQ102" s="762">
        <v>0</v>
      </c>
      <c r="BR102" s="762">
        <v>0</v>
      </c>
      <c r="BS102" s="762">
        <v>0</v>
      </c>
      <c r="BT102" s="935">
        <v>0</v>
      </c>
      <c r="BU102" s="744">
        <f t="shared" si="172"/>
        <v>0</v>
      </c>
      <c r="BV102" s="888">
        <f t="shared" ref="BV102:BV107" si="180">+BU102/BU$13</f>
        <v>0</v>
      </c>
      <c r="BW102" s="874"/>
      <c r="BX102" s="762">
        <v>0</v>
      </c>
      <c r="BY102" s="762">
        <v>0</v>
      </c>
      <c r="BZ102" s="762">
        <v>0</v>
      </c>
      <c r="CA102" s="762">
        <v>-15</v>
      </c>
      <c r="CB102" s="762">
        <v>-4</v>
      </c>
      <c r="CC102" s="762">
        <v>0</v>
      </c>
      <c r="CD102" s="762">
        <v>0</v>
      </c>
      <c r="CE102" s="762">
        <v>0</v>
      </c>
      <c r="CF102" s="935">
        <v>0</v>
      </c>
      <c r="CG102" s="744">
        <f t="shared" si="173"/>
        <v>-19</v>
      </c>
      <c r="CH102" s="888">
        <f t="shared" ref="CH102:CH107" si="181">+CG102/CG$13</f>
        <v>-3.9584322941406871E-5</v>
      </c>
      <c r="CI102" s="874"/>
      <c r="CJ102" s="957">
        <f t="shared" si="136"/>
        <v>-19</v>
      </c>
      <c r="CK102" s="965">
        <f t="shared" si="137"/>
        <v>0</v>
      </c>
      <c r="CL102" s="746"/>
      <c r="CM102" s="816">
        <f>-DATOS!D180</f>
        <v>-83.5</v>
      </c>
      <c r="CN102" s="757">
        <f t="shared" si="166"/>
        <v>-2.7448455662772548E-5</v>
      </c>
      <c r="CO102" s="746"/>
      <c r="CP102" s="744">
        <f>-DATOS!F180</f>
        <v>-95</v>
      </c>
      <c r="CQ102" s="756">
        <f t="shared" si="131"/>
        <v>-1.8439566262581363E-4</v>
      </c>
      <c r="CR102" s="874"/>
      <c r="CS102" s="816">
        <f>-DATOS!G180</f>
        <v>-813</v>
      </c>
      <c r="CT102" s="757">
        <f t="shared" si="144"/>
        <v>-2.7663105566391879E-4</v>
      </c>
      <c r="CU102" s="874"/>
      <c r="CV102" s="897">
        <f t="shared" ref="CV102:CV107" si="182">+CM102-CS102</f>
        <v>729.5</v>
      </c>
      <c r="CW102" s="902">
        <f t="shared" si="132"/>
        <v>-0.89729397293972935</v>
      </c>
      <c r="CY102" s="750"/>
    </row>
    <row r="103" spans="1:103" hidden="1" outlineLevel="2">
      <c r="A103" s="734">
        <v>52959506</v>
      </c>
      <c r="B103" s="833" t="s">
        <v>863</v>
      </c>
      <c r="C103" s="874"/>
      <c r="D103" s="762">
        <v>-103</v>
      </c>
      <c r="E103" s="762">
        <v>-204</v>
      </c>
      <c r="F103" s="762">
        <v>-54</v>
      </c>
      <c r="G103" s="762">
        <v>-100</v>
      </c>
      <c r="H103" s="762">
        <v>-138</v>
      </c>
      <c r="I103" s="762">
        <v>-47</v>
      </c>
      <c r="J103" s="762">
        <v>-100</v>
      </c>
      <c r="K103" s="762">
        <v>0</v>
      </c>
      <c r="L103" s="935">
        <v>-27</v>
      </c>
      <c r="M103" s="744">
        <f t="shared" si="167"/>
        <v>-773</v>
      </c>
      <c r="N103" s="888">
        <f t="shared" si="175"/>
        <v>-1.5313935681470138E-3</v>
      </c>
      <c r="O103" s="874"/>
      <c r="P103" s="762">
        <v>-96</v>
      </c>
      <c r="Q103" s="762">
        <v>-78</v>
      </c>
      <c r="R103" s="762">
        <v>-40</v>
      </c>
      <c r="S103" s="762">
        <v>-124</v>
      </c>
      <c r="T103" s="762">
        <v>-124</v>
      </c>
      <c r="U103" s="762">
        <v>-49</v>
      </c>
      <c r="V103" s="762">
        <v>-62</v>
      </c>
      <c r="W103" s="762">
        <v>0</v>
      </c>
      <c r="X103" s="935">
        <v>-28</v>
      </c>
      <c r="Y103" s="744">
        <f t="shared" si="168"/>
        <v>-601</v>
      </c>
      <c r="Z103" s="888">
        <f t="shared" si="176"/>
        <v>-1.141973314686803E-3</v>
      </c>
      <c r="AA103" s="874"/>
      <c r="AB103" s="762">
        <v>-85</v>
      </c>
      <c r="AC103" s="762">
        <v>-119</v>
      </c>
      <c r="AD103" s="762">
        <v>-42</v>
      </c>
      <c r="AE103" s="762">
        <v>-81</v>
      </c>
      <c r="AF103" s="762">
        <v>-131</v>
      </c>
      <c r="AG103" s="762">
        <v>-84</v>
      </c>
      <c r="AH103" s="762">
        <v>-89</v>
      </c>
      <c r="AI103" s="762">
        <v>0</v>
      </c>
      <c r="AJ103" s="935">
        <v>-47</v>
      </c>
      <c r="AK103" s="744">
        <f t="shared" si="169"/>
        <v>-678</v>
      </c>
      <c r="AL103" s="888">
        <f t="shared" si="177"/>
        <v>-1.3248786016473047E-3</v>
      </c>
      <c r="AM103" s="874"/>
      <c r="AN103" s="762">
        <v>-106</v>
      </c>
      <c r="AO103" s="762">
        <v>-114</v>
      </c>
      <c r="AP103" s="762">
        <v>-47</v>
      </c>
      <c r="AQ103" s="762">
        <v>-89</v>
      </c>
      <c r="AR103" s="762">
        <v>-105</v>
      </c>
      <c r="AS103" s="762">
        <v>-65</v>
      </c>
      <c r="AT103" s="762">
        <v>-64</v>
      </c>
      <c r="AU103" s="762">
        <v>0</v>
      </c>
      <c r="AV103" s="935">
        <v>-46</v>
      </c>
      <c r="AW103" s="744">
        <f t="shared" si="170"/>
        <v>-636</v>
      </c>
      <c r="AX103" s="888">
        <f t="shared" si="178"/>
        <v>-1.1976859802946759E-3</v>
      </c>
      <c r="AY103" s="874"/>
      <c r="AZ103" s="762">
        <v>-84</v>
      </c>
      <c r="BA103" s="762">
        <v>-107</v>
      </c>
      <c r="BB103" s="762">
        <v>-46</v>
      </c>
      <c r="BC103" s="762">
        <v>-81</v>
      </c>
      <c r="BD103" s="762">
        <v>-120</v>
      </c>
      <c r="BE103" s="762">
        <v>-88</v>
      </c>
      <c r="BF103" s="762">
        <v>-62</v>
      </c>
      <c r="BG103" s="762">
        <v>0</v>
      </c>
      <c r="BH103" s="935">
        <v>-60</v>
      </c>
      <c r="BI103" s="744">
        <f t="shared" si="171"/>
        <v>-648</v>
      </c>
      <c r="BJ103" s="888">
        <f t="shared" si="179"/>
        <v>-1.3065991321600827E-3</v>
      </c>
      <c r="BK103" s="874"/>
      <c r="BL103" s="762">
        <v>-84</v>
      </c>
      <c r="BM103" s="762">
        <v>-136</v>
      </c>
      <c r="BN103" s="762">
        <v>-12</v>
      </c>
      <c r="BO103" s="762">
        <v>-86</v>
      </c>
      <c r="BP103" s="762">
        <v>-94</v>
      </c>
      <c r="BQ103" s="762">
        <v>-50</v>
      </c>
      <c r="BR103" s="762">
        <v>-75</v>
      </c>
      <c r="BS103" s="762">
        <v>0</v>
      </c>
      <c r="BT103" s="935">
        <v>-10</v>
      </c>
      <c r="BU103" s="744">
        <f t="shared" si="172"/>
        <v>-547</v>
      </c>
      <c r="BV103" s="888">
        <f t="shared" si="180"/>
        <v>-1.1004397735548429E-3</v>
      </c>
      <c r="BW103" s="874"/>
      <c r="BX103" s="762">
        <v>0</v>
      </c>
      <c r="BY103" s="762">
        <v>0</v>
      </c>
      <c r="BZ103" s="762">
        <v>0</v>
      </c>
      <c r="CA103" s="762">
        <v>0</v>
      </c>
      <c r="CB103" s="762">
        <v>0</v>
      </c>
      <c r="CC103" s="762">
        <v>0</v>
      </c>
      <c r="CD103" s="762">
        <v>-59</v>
      </c>
      <c r="CE103" s="762">
        <v>0</v>
      </c>
      <c r="CF103" s="935">
        <v>0</v>
      </c>
      <c r="CG103" s="744">
        <f t="shared" si="173"/>
        <v>-59</v>
      </c>
      <c r="CH103" s="888">
        <f t="shared" si="181"/>
        <v>-1.2291973966015816E-4</v>
      </c>
      <c r="CI103" s="874"/>
      <c r="CJ103" s="957">
        <f t="shared" si="136"/>
        <v>488</v>
      </c>
      <c r="CK103" s="965">
        <f t="shared" si="137"/>
        <v>-0.89213893967093238</v>
      </c>
      <c r="CL103" s="746"/>
      <c r="CM103" s="816">
        <f>-DATOS!D183</f>
        <v>-3169</v>
      </c>
      <c r="CN103" s="757">
        <f t="shared" si="166"/>
        <v>-1.041726419105703E-3</v>
      </c>
      <c r="CO103" s="746"/>
      <c r="CP103" s="744">
        <f>-DATOS!F183</f>
        <v>-792</v>
      </c>
      <c r="CQ103" s="756">
        <f t="shared" si="131"/>
        <v>-1.5372775242067833E-3</v>
      </c>
      <c r="CR103" s="874"/>
      <c r="CS103" s="816">
        <f>-DATOS!G183</f>
        <v>-3814</v>
      </c>
      <c r="CT103" s="757">
        <f t="shared" si="144"/>
        <v>-1.2977501184528737E-3</v>
      </c>
      <c r="CU103" s="874"/>
      <c r="CV103" s="897">
        <f t="shared" si="182"/>
        <v>645</v>
      </c>
      <c r="CW103" s="902">
        <f t="shared" si="132"/>
        <v>-0.16911379129522811</v>
      </c>
      <c r="CY103" s="750"/>
    </row>
    <row r="104" spans="1:103" hidden="1" outlineLevel="2">
      <c r="A104" s="734">
        <v>52959501</v>
      </c>
      <c r="B104" s="833" t="s">
        <v>864</v>
      </c>
      <c r="C104" s="874"/>
      <c r="D104" s="762">
        <v>0</v>
      </c>
      <c r="E104" s="762">
        <v>0</v>
      </c>
      <c r="F104" s="762">
        <v>0</v>
      </c>
      <c r="G104" s="762">
        <v>0</v>
      </c>
      <c r="H104" s="762">
        <v>-251</v>
      </c>
      <c r="I104" s="762">
        <v>-80</v>
      </c>
      <c r="J104" s="762">
        <v>0</v>
      </c>
      <c r="K104" s="762">
        <v>0</v>
      </c>
      <c r="L104" s="935">
        <v>-21</v>
      </c>
      <c r="M104" s="744">
        <f t="shared" si="167"/>
        <v>-352</v>
      </c>
      <c r="N104" s="888">
        <f t="shared" si="175"/>
        <v>-6.9734868821183548E-4</v>
      </c>
      <c r="O104" s="874"/>
      <c r="P104" s="762">
        <v>0</v>
      </c>
      <c r="Q104" s="762">
        <v>0</v>
      </c>
      <c r="R104" s="762">
        <v>-55</v>
      </c>
      <c r="S104" s="762">
        <v>0</v>
      </c>
      <c r="T104" s="762">
        <v>-18</v>
      </c>
      <c r="U104" s="762">
        <v>-78</v>
      </c>
      <c r="V104" s="762">
        <v>0</v>
      </c>
      <c r="W104" s="762">
        <v>0</v>
      </c>
      <c r="X104" s="935">
        <v>0</v>
      </c>
      <c r="Y104" s="744">
        <f t="shared" si="168"/>
        <v>-151</v>
      </c>
      <c r="Z104" s="888">
        <f t="shared" si="176"/>
        <v>-2.8691842016257443E-4</v>
      </c>
      <c r="AA104" s="874"/>
      <c r="AB104" s="762">
        <v>0</v>
      </c>
      <c r="AC104" s="762">
        <v>0</v>
      </c>
      <c r="AD104" s="762">
        <v>0</v>
      </c>
      <c r="AE104" s="762">
        <v>0</v>
      </c>
      <c r="AF104" s="762">
        <v>0</v>
      </c>
      <c r="AG104" s="762">
        <v>0</v>
      </c>
      <c r="AH104" s="762">
        <v>0</v>
      </c>
      <c r="AI104" s="762">
        <v>0</v>
      </c>
      <c r="AJ104" s="935">
        <v>0</v>
      </c>
      <c r="AK104" s="744">
        <f t="shared" si="169"/>
        <v>0</v>
      </c>
      <c r="AL104" s="888">
        <f t="shared" si="177"/>
        <v>0</v>
      </c>
      <c r="AM104" s="874"/>
      <c r="AN104" s="762">
        <v>0</v>
      </c>
      <c r="AO104" s="762">
        <v>0</v>
      </c>
      <c r="AP104" s="762">
        <v>-103</v>
      </c>
      <c r="AQ104" s="762">
        <v>-32</v>
      </c>
      <c r="AR104" s="762">
        <v>-40</v>
      </c>
      <c r="AS104" s="762">
        <v>-40</v>
      </c>
      <c r="AT104" s="762">
        <v>-24</v>
      </c>
      <c r="AU104" s="762">
        <v>0</v>
      </c>
      <c r="AV104" s="935">
        <v>-32</v>
      </c>
      <c r="AW104" s="744">
        <f t="shared" si="170"/>
        <v>-271</v>
      </c>
      <c r="AX104" s="888">
        <f t="shared" si="178"/>
        <v>-5.1033474946518423E-4</v>
      </c>
      <c r="AY104" s="874"/>
      <c r="AZ104" s="762">
        <v>0</v>
      </c>
      <c r="BA104" s="762">
        <v>0</v>
      </c>
      <c r="BB104" s="762">
        <v>0</v>
      </c>
      <c r="BC104" s="762">
        <v>0</v>
      </c>
      <c r="BD104" s="762">
        <v>-27</v>
      </c>
      <c r="BE104" s="762">
        <v>-95</v>
      </c>
      <c r="BF104" s="762">
        <v>0</v>
      </c>
      <c r="BG104" s="762">
        <v>0</v>
      </c>
      <c r="BH104" s="935">
        <v>0</v>
      </c>
      <c r="BI104" s="744">
        <f t="shared" si="171"/>
        <v>-122</v>
      </c>
      <c r="BJ104" s="888">
        <f t="shared" si="179"/>
        <v>-2.4599551562273162E-4</v>
      </c>
      <c r="BK104" s="874"/>
      <c r="BL104" s="762">
        <v>-22</v>
      </c>
      <c r="BM104" s="762">
        <v>0</v>
      </c>
      <c r="BN104" s="762">
        <v>-157</v>
      </c>
      <c r="BO104" s="762">
        <v>0</v>
      </c>
      <c r="BP104" s="762">
        <v>0</v>
      </c>
      <c r="BQ104" s="762">
        <v>-129</v>
      </c>
      <c r="BR104" s="762">
        <v>0</v>
      </c>
      <c r="BS104" s="762">
        <v>0</v>
      </c>
      <c r="BT104" s="935">
        <v>0</v>
      </c>
      <c r="BU104" s="744">
        <f t="shared" si="172"/>
        <v>-308</v>
      </c>
      <c r="BV104" s="888">
        <f t="shared" si="180"/>
        <v>-6.1962605165428086E-4</v>
      </c>
      <c r="BW104" s="874"/>
      <c r="BX104" s="762">
        <v>-9</v>
      </c>
      <c r="BY104" s="762">
        <v>0</v>
      </c>
      <c r="BZ104" s="762">
        <v>0</v>
      </c>
      <c r="CA104" s="762">
        <v>-9</v>
      </c>
      <c r="CB104" s="762">
        <v>0</v>
      </c>
      <c r="CC104" s="762">
        <v>0</v>
      </c>
      <c r="CD104" s="762">
        <v>0</v>
      </c>
      <c r="CE104" s="762">
        <v>0</v>
      </c>
      <c r="CF104" s="935">
        <v>-6</v>
      </c>
      <c r="CG104" s="744">
        <f t="shared" si="173"/>
        <v>-24</v>
      </c>
      <c r="CH104" s="888">
        <f t="shared" si="181"/>
        <v>-5.0001250031250781E-5</v>
      </c>
      <c r="CI104" s="874"/>
      <c r="CJ104" s="957">
        <f t="shared" si="136"/>
        <v>284</v>
      </c>
      <c r="CK104" s="965">
        <f t="shared" si="137"/>
        <v>-0.92207792207792205</v>
      </c>
      <c r="CL104" s="746"/>
      <c r="CM104" s="816">
        <f>-DATOS!D181</f>
        <v>-874</v>
      </c>
      <c r="CN104" s="757">
        <f t="shared" si="166"/>
        <v>-2.8730479340434976E-4</v>
      </c>
      <c r="CO104" s="746"/>
      <c r="CP104" s="744">
        <f>-DATOS!F181</f>
        <v>-265</v>
      </c>
      <c r="CQ104" s="756">
        <f t="shared" si="131"/>
        <v>-5.1436684837726963E-4</v>
      </c>
      <c r="CR104" s="874"/>
      <c r="CS104" s="816">
        <f>-DATOS!G181</f>
        <v>-2159.5</v>
      </c>
      <c r="CT104" s="757">
        <f t="shared" si="144"/>
        <v>-7.3479060849475104E-4</v>
      </c>
      <c r="CU104" s="874"/>
      <c r="CV104" s="897">
        <f t="shared" si="182"/>
        <v>1285.5</v>
      </c>
      <c r="CW104" s="902">
        <f t="shared" si="132"/>
        <v>-0.59527668441768933</v>
      </c>
      <c r="CY104" s="750"/>
    </row>
    <row r="105" spans="1:103" hidden="1" outlineLevel="2">
      <c r="A105" s="734">
        <v>52959508</v>
      </c>
      <c r="B105" s="833" t="s">
        <v>865</v>
      </c>
      <c r="C105" s="874"/>
      <c r="D105" s="762">
        <v>0</v>
      </c>
      <c r="E105" s="762">
        <v>0</v>
      </c>
      <c r="F105" s="762">
        <v>0</v>
      </c>
      <c r="G105" s="762">
        <v>0</v>
      </c>
      <c r="H105" s="762">
        <v>0</v>
      </c>
      <c r="I105" s="762">
        <v>-63</v>
      </c>
      <c r="J105" s="762">
        <v>0</v>
      </c>
      <c r="K105" s="762">
        <v>0</v>
      </c>
      <c r="L105" s="935">
        <v>0</v>
      </c>
      <c r="M105" s="744">
        <f t="shared" si="167"/>
        <v>-63</v>
      </c>
      <c r="N105" s="888">
        <f t="shared" si="175"/>
        <v>-1.2480956635609557E-4</v>
      </c>
      <c r="O105" s="874"/>
      <c r="P105" s="762">
        <v>0</v>
      </c>
      <c r="Q105" s="762">
        <v>0</v>
      </c>
      <c r="R105" s="762">
        <v>0</v>
      </c>
      <c r="S105" s="762">
        <v>0</v>
      </c>
      <c r="T105" s="762">
        <v>0</v>
      </c>
      <c r="U105" s="762">
        <v>-321</v>
      </c>
      <c r="V105" s="762">
        <v>0</v>
      </c>
      <c r="W105" s="762">
        <v>0</v>
      </c>
      <c r="X105" s="935">
        <v>0</v>
      </c>
      <c r="Y105" s="744">
        <f t="shared" si="168"/>
        <v>-321</v>
      </c>
      <c r="Z105" s="888">
        <f t="shared" si="176"/>
        <v>-6.099391580939496E-4</v>
      </c>
      <c r="AA105" s="874"/>
      <c r="AB105" s="762">
        <v>-168</v>
      </c>
      <c r="AC105" s="762">
        <v>-180</v>
      </c>
      <c r="AD105" s="762">
        <v>-168</v>
      </c>
      <c r="AE105" s="762">
        <v>-168</v>
      </c>
      <c r="AF105" s="762">
        <v>-168</v>
      </c>
      <c r="AG105" s="762">
        <v>-182</v>
      </c>
      <c r="AH105" s="762">
        <v>-190</v>
      </c>
      <c r="AI105" s="762">
        <v>0</v>
      </c>
      <c r="AJ105" s="935">
        <v>-189</v>
      </c>
      <c r="AK105" s="744">
        <f t="shared" si="169"/>
        <v>-1413</v>
      </c>
      <c r="AL105" s="888">
        <f t="shared" si="177"/>
        <v>-2.7611408025481443E-3</v>
      </c>
      <c r="AM105" s="874"/>
      <c r="AN105" s="762">
        <v>0</v>
      </c>
      <c r="AO105" s="762">
        <v>0</v>
      </c>
      <c r="AP105" s="762">
        <v>0</v>
      </c>
      <c r="AQ105" s="762">
        <v>0</v>
      </c>
      <c r="AR105" s="762">
        <v>0</v>
      </c>
      <c r="AS105" s="762">
        <v>0</v>
      </c>
      <c r="AT105" s="762">
        <v>0</v>
      </c>
      <c r="AU105" s="762">
        <v>0</v>
      </c>
      <c r="AV105" s="935">
        <v>0</v>
      </c>
      <c r="AW105" s="744">
        <f t="shared" si="170"/>
        <v>0</v>
      </c>
      <c r="AX105" s="888">
        <f t="shared" si="178"/>
        <v>0</v>
      </c>
      <c r="AY105" s="874"/>
      <c r="AZ105" s="762">
        <v>-53</v>
      </c>
      <c r="BA105" s="762">
        <v>0</v>
      </c>
      <c r="BB105" s="762">
        <v>0</v>
      </c>
      <c r="BC105" s="762">
        <v>0</v>
      </c>
      <c r="BD105" s="762">
        <v>-29</v>
      </c>
      <c r="BE105" s="762">
        <v>-136</v>
      </c>
      <c r="BF105" s="762">
        <v>0</v>
      </c>
      <c r="BG105" s="762">
        <v>0</v>
      </c>
      <c r="BH105" s="935">
        <v>0</v>
      </c>
      <c r="BI105" s="744">
        <f t="shared" si="171"/>
        <v>-218</v>
      </c>
      <c r="BJ105" s="888">
        <f t="shared" si="179"/>
        <v>-4.3956575742422533E-4</v>
      </c>
      <c r="BK105" s="874"/>
      <c r="BL105" s="762">
        <v>-73</v>
      </c>
      <c r="BM105" s="762">
        <v>0</v>
      </c>
      <c r="BN105" s="762">
        <v>0</v>
      </c>
      <c r="BO105" s="762">
        <v>-191</v>
      </c>
      <c r="BP105" s="762">
        <v>-30</v>
      </c>
      <c r="BQ105" s="762">
        <v>0</v>
      </c>
      <c r="BR105" s="762">
        <v>0</v>
      </c>
      <c r="BS105" s="762">
        <v>0</v>
      </c>
      <c r="BT105" s="935">
        <v>0</v>
      </c>
      <c r="BU105" s="744">
        <f t="shared" si="172"/>
        <v>-294</v>
      </c>
      <c r="BV105" s="888">
        <f t="shared" si="180"/>
        <v>-5.9146123112454078E-4</v>
      </c>
      <c r="BW105" s="874"/>
      <c r="BX105" s="762">
        <v>0</v>
      </c>
      <c r="BY105" s="762">
        <v>-15</v>
      </c>
      <c r="BZ105" s="762">
        <v>-45</v>
      </c>
      <c r="CA105" s="762">
        <v>-62</v>
      </c>
      <c r="CB105" s="762">
        <v>-40</v>
      </c>
      <c r="CC105" s="762">
        <v>0</v>
      </c>
      <c r="CD105" s="762">
        <v>0</v>
      </c>
      <c r="CE105" s="762">
        <v>0</v>
      </c>
      <c r="CF105" s="935">
        <v>-12</v>
      </c>
      <c r="CG105" s="744">
        <f t="shared" si="173"/>
        <v>-174</v>
      </c>
      <c r="CH105" s="888">
        <f t="shared" si="181"/>
        <v>-3.6250906272656814E-4</v>
      </c>
      <c r="CI105" s="874"/>
      <c r="CJ105" s="957">
        <f t="shared" si="136"/>
        <v>120</v>
      </c>
      <c r="CK105" s="965">
        <f t="shared" si="137"/>
        <v>-0.40816326530612246</v>
      </c>
      <c r="CL105" s="746"/>
      <c r="CM105" s="816">
        <f>-DATOS!D184-DATOS!D185</f>
        <v>-2422</v>
      </c>
      <c r="CN105" s="757">
        <f t="shared" si="166"/>
        <v>-7.9616957623036063E-4</v>
      </c>
      <c r="CO105" s="746"/>
      <c r="CP105" s="744">
        <f>-DATOS!F184</f>
        <v>-152</v>
      </c>
      <c r="CQ105" s="756">
        <f t="shared" si="131"/>
        <v>-2.9503306020130184E-4</v>
      </c>
      <c r="CR105" s="874"/>
      <c r="CS105" s="816">
        <f>-DATOS!G184</f>
        <v>-3433.5</v>
      </c>
      <c r="CT105" s="757">
        <f t="shared" si="144"/>
        <v>-1.1682813402485426E-3</v>
      </c>
      <c r="CU105" s="874"/>
      <c r="CV105" s="897">
        <f t="shared" si="182"/>
        <v>1011.5</v>
      </c>
      <c r="CW105" s="902">
        <f t="shared" si="132"/>
        <v>-0.29459734964322121</v>
      </c>
      <c r="CY105" s="750"/>
    </row>
    <row r="106" spans="1:103" hidden="1" outlineLevel="2">
      <c r="A106" s="734">
        <v>52959595</v>
      </c>
      <c r="B106" s="833" t="s">
        <v>903</v>
      </c>
      <c r="C106" s="874"/>
      <c r="D106" s="762">
        <v>0</v>
      </c>
      <c r="E106" s="762">
        <v>0</v>
      </c>
      <c r="F106" s="762">
        <v>0</v>
      </c>
      <c r="G106" s="762">
        <v>0</v>
      </c>
      <c r="H106" s="762">
        <v>0</v>
      </c>
      <c r="I106" s="762">
        <v>0</v>
      </c>
      <c r="J106" s="762">
        <v>0</v>
      </c>
      <c r="K106" s="762">
        <v>0</v>
      </c>
      <c r="L106" s="935">
        <v>-257</v>
      </c>
      <c r="M106" s="744">
        <f t="shared" si="167"/>
        <v>-257</v>
      </c>
      <c r="N106" s="888">
        <f t="shared" si="175"/>
        <v>-5.0914378656375487E-4</v>
      </c>
      <c r="O106" s="874"/>
      <c r="P106" s="762">
        <v>0</v>
      </c>
      <c r="Q106" s="762">
        <v>0</v>
      </c>
      <c r="R106" s="762">
        <v>0</v>
      </c>
      <c r="S106" s="762">
        <v>0</v>
      </c>
      <c r="T106" s="762">
        <v>0</v>
      </c>
      <c r="U106" s="762">
        <v>-7</v>
      </c>
      <c r="V106" s="762">
        <v>0</v>
      </c>
      <c r="W106" s="762">
        <v>0</v>
      </c>
      <c r="X106" s="935">
        <v>0</v>
      </c>
      <c r="Y106" s="744">
        <f t="shared" si="168"/>
        <v>-7</v>
      </c>
      <c r="Z106" s="888">
        <f t="shared" si="176"/>
        <v>-1.3300853914821331E-5</v>
      </c>
      <c r="AA106" s="874"/>
      <c r="AB106" s="762">
        <v>0</v>
      </c>
      <c r="AC106" s="762">
        <v>0</v>
      </c>
      <c r="AD106" s="762">
        <v>0</v>
      </c>
      <c r="AE106" s="762">
        <v>0</v>
      </c>
      <c r="AF106" s="762">
        <v>-15</v>
      </c>
      <c r="AG106" s="762">
        <v>0</v>
      </c>
      <c r="AH106" s="762">
        <v>-17</v>
      </c>
      <c r="AI106" s="762">
        <v>0</v>
      </c>
      <c r="AJ106" s="935">
        <v>0</v>
      </c>
      <c r="AK106" s="744">
        <f t="shared" si="169"/>
        <v>-32</v>
      </c>
      <c r="AL106" s="888">
        <f t="shared" si="177"/>
        <v>-6.2531143440580758E-5</v>
      </c>
      <c r="AM106" s="874"/>
      <c r="AN106" s="762">
        <v>-6</v>
      </c>
      <c r="AO106" s="762">
        <v>0</v>
      </c>
      <c r="AP106" s="762">
        <v>0</v>
      </c>
      <c r="AQ106" s="762">
        <v>0</v>
      </c>
      <c r="AR106" s="762">
        <v>-13</v>
      </c>
      <c r="AS106" s="762">
        <v>0</v>
      </c>
      <c r="AT106" s="762">
        <v>0</v>
      </c>
      <c r="AU106" s="762">
        <v>0</v>
      </c>
      <c r="AV106" s="935">
        <v>0</v>
      </c>
      <c r="AW106" s="744">
        <f t="shared" si="170"/>
        <v>-19</v>
      </c>
      <c r="AX106" s="888">
        <f t="shared" si="178"/>
        <v>-3.5779927084274913E-5</v>
      </c>
      <c r="AY106" s="874"/>
      <c r="AZ106" s="762">
        <v>0</v>
      </c>
      <c r="BA106" s="762">
        <v>0</v>
      </c>
      <c r="BB106" s="762">
        <v>0</v>
      </c>
      <c r="BC106" s="762">
        <v>0</v>
      </c>
      <c r="BD106" s="762">
        <v>0</v>
      </c>
      <c r="BE106" s="762">
        <v>-8</v>
      </c>
      <c r="BF106" s="762">
        <v>0</v>
      </c>
      <c r="BG106" s="762">
        <v>0</v>
      </c>
      <c r="BH106" s="935">
        <v>-2</v>
      </c>
      <c r="BI106" s="744">
        <f t="shared" si="171"/>
        <v>-10</v>
      </c>
      <c r="BJ106" s="888">
        <f t="shared" si="179"/>
        <v>-2.0163566854322264E-5</v>
      </c>
      <c r="BK106" s="874"/>
      <c r="BL106" s="762">
        <v>0</v>
      </c>
      <c r="BM106" s="762">
        <v>0</v>
      </c>
      <c r="BN106" s="762">
        <v>0</v>
      </c>
      <c r="BO106" s="762">
        <v>0</v>
      </c>
      <c r="BP106" s="762">
        <v>-379</v>
      </c>
      <c r="BQ106" s="762">
        <v>0</v>
      </c>
      <c r="BR106" s="762">
        <v>0</v>
      </c>
      <c r="BS106" s="762">
        <v>0</v>
      </c>
      <c r="BT106" s="935">
        <v>0</v>
      </c>
      <c r="BU106" s="744">
        <f t="shared" si="172"/>
        <v>-379</v>
      </c>
      <c r="BV106" s="888">
        <f t="shared" si="180"/>
        <v>-7.6246192719796248E-4</v>
      </c>
      <c r="BW106" s="874"/>
      <c r="BX106" s="762">
        <v>0</v>
      </c>
      <c r="BY106" s="762">
        <v>0</v>
      </c>
      <c r="BZ106" s="762">
        <v>0</v>
      </c>
      <c r="CA106" s="762">
        <v>-5</v>
      </c>
      <c r="CB106" s="762">
        <v>0</v>
      </c>
      <c r="CC106" s="762">
        <v>0</v>
      </c>
      <c r="CD106" s="762">
        <v>0</v>
      </c>
      <c r="CE106" s="762">
        <v>0</v>
      </c>
      <c r="CF106" s="935">
        <v>0</v>
      </c>
      <c r="CG106" s="744">
        <f t="shared" si="173"/>
        <v>-5</v>
      </c>
      <c r="CH106" s="888">
        <f t="shared" si="181"/>
        <v>-1.0416927089843913E-5</v>
      </c>
      <c r="CI106" s="874"/>
      <c r="CJ106" s="957">
        <f t="shared" si="136"/>
        <v>374</v>
      </c>
      <c r="CK106" s="965">
        <f t="shared" si="137"/>
        <v>-0.98680738786279687</v>
      </c>
      <c r="CL106" s="746"/>
      <c r="CM106" s="816">
        <f>-DATOS!D188</f>
        <v>-465.5</v>
      </c>
      <c r="CN106" s="757">
        <f>+CM106/CM$13</f>
        <v>-1.5302103126970803E-4</v>
      </c>
      <c r="CO106" s="746"/>
      <c r="CP106" s="744">
        <f>-DATOS!F188</f>
        <v>-11</v>
      </c>
      <c r="CQ106" s="756">
        <f>+CP106/CP$13</f>
        <v>-2.135107672509421E-5</v>
      </c>
      <c r="CR106" s="874"/>
      <c r="CS106" s="816">
        <f>-DATOS!G188-DATOS!G186</f>
        <v>-791</v>
      </c>
      <c r="CT106" s="757">
        <f>+CS106/CS$13</f>
        <v>-2.6914534444054091E-4</v>
      </c>
      <c r="CU106" s="874"/>
      <c r="CV106" s="897">
        <f t="shared" si="182"/>
        <v>325.5</v>
      </c>
      <c r="CW106" s="902">
        <f>+IFERROR(CV106/CS106,0)</f>
        <v>-0.41150442477876104</v>
      </c>
      <c r="CY106" s="750"/>
    </row>
    <row r="107" spans="1:103" hidden="1" outlineLevel="2">
      <c r="A107" s="734">
        <v>52959503</v>
      </c>
      <c r="B107" s="833" t="s">
        <v>866</v>
      </c>
      <c r="C107" s="874"/>
      <c r="D107" s="762">
        <v>0</v>
      </c>
      <c r="E107" s="762">
        <v>0</v>
      </c>
      <c r="F107" s="762">
        <v>0</v>
      </c>
      <c r="G107" s="762">
        <v>0</v>
      </c>
      <c r="H107" s="762">
        <v>0</v>
      </c>
      <c r="I107" s="762">
        <v>0</v>
      </c>
      <c r="J107" s="762">
        <v>0</v>
      </c>
      <c r="K107" s="762">
        <v>0</v>
      </c>
      <c r="L107" s="935">
        <v>0</v>
      </c>
      <c r="M107" s="744">
        <f t="shared" si="167"/>
        <v>0</v>
      </c>
      <c r="N107" s="888">
        <f t="shared" si="175"/>
        <v>0</v>
      </c>
      <c r="O107" s="874"/>
      <c r="P107" s="762">
        <v>0</v>
      </c>
      <c r="Q107" s="762">
        <v>0</v>
      </c>
      <c r="R107" s="762">
        <v>0</v>
      </c>
      <c r="S107" s="762">
        <v>0</v>
      </c>
      <c r="T107" s="762">
        <v>0</v>
      </c>
      <c r="U107" s="762">
        <v>0</v>
      </c>
      <c r="V107" s="762">
        <v>0</v>
      </c>
      <c r="W107" s="762">
        <v>0</v>
      </c>
      <c r="X107" s="935">
        <v>0</v>
      </c>
      <c r="Y107" s="744">
        <f t="shared" si="168"/>
        <v>0</v>
      </c>
      <c r="Z107" s="888">
        <f t="shared" si="176"/>
        <v>0</v>
      </c>
      <c r="AA107" s="874"/>
      <c r="AB107" s="762">
        <v>0</v>
      </c>
      <c r="AC107" s="762">
        <v>0</v>
      </c>
      <c r="AD107" s="762">
        <v>0</v>
      </c>
      <c r="AE107" s="762">
        <v>0</v>
      </c>
      <c r="AF107" s="762">
        <v>0</v>
      </c>
      <c r="AG107" s="762">
        <v>0</v>
      </c>
      <c r="AH107" s="762">
        <v>0</v>
      </c>
      <c r="AI107" s="762">
        <v>0</v>
      </c>
      <c r="AJ107" s="935">
        <v>0</v>
      </c>
      <c r="AK107" s="744">
        <f t="shared" si="169"/>
        <v>0</v>
      </c>
      <c r="AL107" s="888">
        <f t="shared" si="177"/>
        <v>0</v>
      </c>
      <c r="AM107" s="874"/>
      <c r="AN107" s="762">
        <v>0</v>
      </c>
      <c r="AO107" s="762">
        <v>0</v>
      </c>
      <c r="AP107" s="762">
        <v>0</v>
      </c>
      <c r="AQ107" s="762">
        <v>0</v>
      </c>
      <c r="AR107" s="762">
        <v>0</v>
      </c>
      <c r="AS107" s="762">
        <v>0</v>
      </c>
      <c r="AT107" s="762">
        <v>0</v>
      </c>
      <c r="AU107" s="762">
        <v>0</v>
      </c>
      <c r="AV107" s="935">
        <v>0</v>
      </c>
      <c r="AW107" s="744">
        <f t="shared" si="170"/>
        <v>0</v>
      </c>
      <c r="AX107" s="888">
        <f t="shared" si="178"/>
        <v>0</v>
      </c>
      <c r="AY107" s="874"/>
      <c r="AZ107" s="762">
        <v>0</v>
      </c>
      <c r="BA107" s="762">
        <v>0</v>
      </c>
      <c r="BB107" s="762">
        <v>0</v>
      </c>
      <c r="BC107" s="762">
        <v>0</v>
      </c>
      <c r="BD107" s="762">
        <v>0</v>
      </c>
      <c r="BE107" s="762">
        <v>0</v>
      </c>
      <c r="BF107" s="762">
        <v>0</v>
      </c>
      <c r="BG107" s="762">
        <v>0</v>
      </c>
      <c r="BH107" s="935">
        <v>0</v>
      </c>
      <c r="BI107" s="744">
        <f t="shared" si="171"/>
        <v>0</v>
      </c>
      <c r="BJ107" s="888">
        <f t="shared" si="179"/>
        <v>0</v>
      </c>
      <c r="BK107" s="874"/>
      <c r="BL107" s="762">
        <v>0</v>
      </c>
      <c r="BM107" s="762">
        <v>0</v>
      </c>
      <c r="BN107" s="762">
        <v>0</v>
      </c>
      <c r="BO107" s="762">
        <v>0</v>
      </c>
      <c r="BP107" s="762">
        <v>0</v>
      </c>
      <c r="BQ107" s="762">
        <v>0</v>
      </c>
      <c r="BR107" s="762">
        <v>0</v>
      </c>
      <c r="BS107" s="762">
        <v>0</v>
      </c>
      <c r="BT107" s="935">
        <v>0</v>
      </c>
      <c r="BU107" s="744">
        <f t="shared" si="172"/>
        <v>0</v>
      </c>
      <c r="BV107" s="888">
        <f t="shared" si="180"/>
        <v>0</v>
      </c>
      <c r="BW107" s="874"/>
      <c r="BX107" s="762">
        <v>0</v>
      </c>
      <c r="BY107" s="762">
        <v>0</v>
      </c>
      <c r="BZ107" s="762">
        <v>0</v>
      </c>
      <c r="CA107" s="762">
        <v>0</v>
      </c>
      <c r="CB107" s="762">
        <v>0</v>
      </c>
      <c r="CC107" s="762">
        <v>0</v>
      </c>
      <c r="CD107" s="762">
        <v>0</v>
      </c>
      <c r="CE107" s="762">
        <v>0</v>
      </c>
      <c r="CF107" s="935">
        <v>0</v>
      </c>
      <c r="CG107" s="744">
        <f t="shared" si="173"/>
        <v>0</v>
      </c>
      <c r="CH107" s="888">
        <f t="shared" si="181"/>
        <v>0</v>
      </c>
      <c r="CI107" s="874"/>
      <c r="CJ107" s="957">
        <f t="shared" si="136"/>
        <v>0</v>
      </c>
      <c r="CK107" s="965">
        <f t="shared" si="137"/>
        <v>0</v>
      </c>
      <c r="CL107" s="746"/>
      <c r="CM107" s="816">
        <v>0</v>
      </c>
      <c r="CN107" s="757">
        <f t="shared" si="166"/>
        <v>0</v>
      </c>
      <c r="CO107" s="746"/>
      <c r="CP107" s="744"/>
      <c r="CQ107" s="756">
        <f t="shared" si="131"/>
        <v>0</v>
      </c>
      <c r="CR107" s="874"/>
      <c r="CS107" s="816">
        <v>0</v>
      </c>
      <c r="CT107" s="757">
        <f t="shared" si="144"/>
        <v>0</v>
      </c>
      <c r="CU107" s="874"/>
      <c r="CV107" s="897">
        <f t="shared" si="182"/>
        <v>0</v>
      </c>
      <c r="CW107" s="902">
        <f t="shared" si="132"/>
        <v>0</v>
      </c>
      <c r="CY107" s="750"/>
    </row>
    <row r="108" spans="1:103" hidden="1" outlineLevel="2">
      <c r="A108" s="734">
        <v>52959514</v>
      </c>
      <c r="B108" s="833" t="s">
        <v>1425</v>
      </c>
      <c r="C108" s="874"/>
      <c r="D108" s="762">
        <v>0</v>
      </c>
      <c r="E108" s="762">
        <v>0</v>
      </c>
      <c r="F108" s="762">
        <v>0</v>
      </c>
      <c r="G108" s="762">
        <v>0</v>
      </c>
      <c r="H108" s="762">
        <v>0</v>
      </c>
      <c r="I108" s="762">
        <v>0</v>
      </c>
      <c r="J108" s="762">
        <v>0</v>
      </c>
      <c r="K108" s="762">
        <v>0</v>
      </c>
      <c r="L108" s="935">
        <v>0</v>
      </c>
      <c r="M108" s="744">
        <f t="shared" si="167"/>
        <v>0</v>
      </c>
      <c r="N108" s="888"/>
      <c r="O108" s="874"/>
      <c r="P108" s="762">
        <v>0</v>
      </c>
      <c r="Q108" s="762">
        <v>0</v>
      </c>
      <c r="R108" s="762">
        <v>0</v>
      </c>
      <c r="S108" s="762">
        <v>0</v>
      </c>
      <c r="T108" s="762">
        <v>0</v>
      </c>
      <c r="U108" s="762">
        <v>0</v>
      </c>
      <c r="V108" s="762">
        <v>0</v>
      </c>
      <c r="W108" s="762">
        <v>0</v>
      </c>
      <c r="X108" s="935">
        <v>0</v>
      </c>
      <c r="Y108" s="744">
        <f t="shared" si="168"/>
        <v>0</v>
      </c>
      <c r="Z108" s="888"/>
      <c r="AA108" s="874"/>
      <c r="AB108" s="762">
        <v>0</v>
      </c>
      <c r="AC108" s="762">
        <v>0</v>
      </c>
      <c r="AD108" s="762">
        <v>0</v>
      </c>
      <c r="AE108" s="762">
        <v>0</v>
      </c>
      <c r="AF108" s="762">
        <v>0</v>
      </c>
      <c r="AG108" s="762">
        <v>0</v>
      </c>
      <c r="AH108" s="762">
        <v>0</v>
      </c>
      <c r="AI108" s="762">
        <v>0</v>
      </c>
      <c r="AJ108" s="935">
        <v>0</v>
      </c>
      <c r="AK108" s="744">
        <f t="shared" si="169"/>
        <v>0</v>
      </c>
      <c r="AL108" s="888"/>
      <c r="AM108" s="874"/>
      <c r="AN108" s="762">
        <v>0</v>
      </c>
      <c r="AO108" s="762">
        <v>0</v>
      </c>
      <c r="AP108" s="762">
        <v>0</v>
      </c>
      <c r="AQ108" s="762">
        <v>0</v>
      </c>
      <c r="AR108" s="762">
        <v>0</v>
      </c>
      <c r="AS108" s="762">
        <v>0</v>
      </c>
      <c r="AT108" s="762">
        <v>0</v>
      </c>
      <c r="AU108" s="762">
        <v>0</v>
      </c>
      <c r="AV108" s="935">
        <v>0</v>
      </c>
      <c r="AW108" s="744">
        <f t="shared" si="170"/>
        <v>0</v>
      </c>
      <c r="AX108" s="888"/>
      <c r="AY108" s="874"/>
      <c r="AZ108" s="762">
        <v>0</v>
      </c>
      <c r="BA108" s="762">
        <v>0</v>
      </c>
      <c r="BB108" s="762">
        <v>0</v>
      </c>
      <c r="BC108" s="762">
        <v>0</v>
      </c>
      <c r="BD108" s="762">
        <v>0</v>
      </c>
      <c r="BE108" s="762">
        <v>0</v>
      </c>
      <c r="BF108" s="762">
        <v>0</v>
      </c>
      <c r="BG108" s="762">
        <v>0</v>
      </c>
      <c r="BH108" s="935">
        <v>0</v>
      </c>
      <c r="BI108" s="744">
        <f t="shared" si="171"/>
        <v>0</v>
      </c>
      <c r="BJ108" s="888"/>
      <c r="BK108" s="874"/>
      <c r="BL108" s="762">
        <v>0</v>
      </c>
      <c r="BM108" s="762">
        <v>0</v>
      </c>
      <c r="BN108" s="762">
        <v>0</v>
      </c>
      <c r="BO108" s="762">
        <v>0</v>
      </c>
      <c r="BP108" s="762">
        <v>0</v>
      </c>
      <c r="BQ108" s="762">
        <v>0</v>
      </c>
      <c r="BR108" s="762">
        <v>0</v>
      </c>
      <c r="BS108" s="762">
        <v>0</v>
      </c>
      <c r="BT108" s="935">
        <v>0</v>
      </c>
      <c r="BU108" s="744">
        <f t="shared" si="172"/>
        <v>0</v>
      </c>
      <c r="BV108" s="888"/>
      <c r="BW108" s="874"/>
      <c r="BX108" s="762">
        <v>0</v>
      </c>
      <c r="BY108" s="762">
        <v>0</v>
      </c>
      <c r="BZ108" s="762">
        <v>0</v>
      </c>
      <c r="CA108" s="762">
        <v>0</v>
      </c>
      <c r="CB108" s="762">
        <v>0</v>
      </c>
      <c r="CC108" s="762">
        <v>0</v>
      </c>
      <c r="CD108" s="762">
        <v>0</v>
      </c>
      <c r="CE108" s="762">
        <v>0</v>
      </c>
      <c r="CF108" s="935">
        <v>0</v>
      </c>
      <c r="CG108" s="744">
        <f t="shared" si="173"/>
        <v>0</v>
      </c>
      <c r="CH108" s="888"/>
      <c r="CI108" s="874"/>
      <c r="CJ108" s="957">
        <f t="shared" si="136"/>
        <v>0</v>
      </c>
      <c r="CK108" s="965">
        <f t="shared" si="137"/>
        <v>0</v>
      </c>
      <c r="CL108" s="746"/>
      <c r="CM108" s="816">
        <v>0</v>
      </c>
      <c r="CN108" s="757">
        <f t="shared" si="166"/>
        <v>0</v>
      </c>
      <c r="CO108" s="746"/>
      <c r="CP108" s="744"/>
      <c r="CQ108" s="756"/>
      <c r="CR108" s="874"/>
      <c r="CS108" s="816"/>
      <c r="CT108" s="757"/>
      <c r="CU108" s="874"/>
      <c r="CV108" s="897"/>
      <c r="CW108" s="902"/>
      <c r="CY108" s="750"/>
    </row>
    <row r="109" spans="1:103" hidden="1" outlineLevel="2">
      <c r="A109" s="734">
        <v>52959515</v>
      </c>
      <c r="B109" s="833" t="s">
        <v>956</v>
      </c>
      <c r="C109" s="874"/>
      <c r="D109" s="762">
        <v>0</v>
      </c>
      <c r="E109" s="762">
        <v>0</v>
      </c>
      <c r="F109" s="762">
        <v>0</v>
      </c>
      <c r="G109" s="762">
        <v>-20</v>
      </c>
      <c r="H109" s="762">
        <v>0</v>
      </c>
      <c r="I109" s="762">
        <v>0</v>
      </c>
      <c r="J109" s="762">
        <v>0</v>
      </c>
      <c r="K109" s="762">
        <v>0</v>
      </c>
      <c r="L109" s="935">
        <v>0</v>
      </c>
      <c r="M109" s="744">
        <f t="shared" si="167"/>
        <v>-20</v>
      </c>
      <c r="N109" s="888">
        <f t="shared" ref="N109:N116" si="183">+M109/M$13</f>
        <v>-3.9622084557490656E-5</v>
      </c>
      <c r="O109" s="874"/>
      <c r="P109" s="762">
        <v>0</v>
      </c>
      <c r="Q109" s="762">
        <v>0</v>
      </c>
      <c r="R109" s="762">
        <v>0</v>
      </c>
      <c r="S109" s="762">
        <v>0</v>
      </c>
      <c r="T109" s="762">
        <v>0</v>
      </c>
      <c r="U109" s="762">
        <v>0</v>
      </c>
      <c r="V109" s="762">
        <v>0</v>
      </c>
      <c r="W109" s="762">
        <v>0</v>
      </c>
      <c r="X109" s="935">
        <v>0</v>
      </c>
      <c r="Y109" s="744">
        <f t="shared" si="168"/>
        <v>0</v>
      </c>
      <c r="Z109" s="888">
        <f t="shared" ref="Z109:Z116" si="184">+Y109/Y$13</f>
        <v>0</v>
      </c>
      <c r="AA109" s="874"/>
      <c r="AB109" s="762">
        <v>0</v>
      </c>
      <c r="AC109" s="762">
        <v>0</v>
      </c>
      <c r="AD109" s="762">
        <v>0</v>
      </c>
      <c r="AE109" s="762">
        <v>0</v>
      </c>
      <c r="AF109" s="762">
        <v>0</v>
      </c>
      <c r="AG109" s="762">
        <v>0</v>
      </c>
      <c r="AH109" s="762">
        <v>4</v>
      </c>
      <c r="AI109" s="762">
        <v>0</v>
      </c>
      <c r="AJ109" s="935">
        <v>0</v>
      </c>
      <c r="AK109" s="744">
        <f t="shared" si="169"/>
        <v>4</v>
      </c>
      <c r="AL109" s="888">
        <f t="shared" ref="AL109:AL116" si="185">+AK109/AK$13</f>
        <v>7.8163929300725948E-6</v>
      </c>
      <c r="AM109" s="874"/>
      <c r="AN109" s="762">
        <v>0</v>
      </c>
      <c r="AO109" s="762">
        <v>0</v>
      </c>
      <c r="AP109" s="762">
        <v>0</v>
      </c>
      <c r="AQ109" s="762">
        <v>0</v>
      </c>
      <c r="AR109" s="762">
        <v>0</v>
      </c>
      <c r="AS109" s="762">
        <v>0</v>
      </c>
      <c r="AT109" s="762">
        <v>0</v>
      </c>
      <c r="AU109" s="762">
        <v>0</v>
      </c>
      <c r="AV109" s="935">
        <v>0</v>
      </c>
      <c r="AW109" s="744">
        <f t="shared" si="170"/>
        <v>0</v>
      </c>
      <c r="AX109" s="888">
        <f t="shared" ref="AX109:AX116" si="186">+AW109/AW$13</f>
        <v>0</v>
      </c>
      <c r="AY109" s="874"/>
      <c r="AZ109" s="762">
        <v>0</v>
      </c>
      <c r="BA109" s="762">
        <v>0</v>
      </c>
      <c r="BB109" s="762">
        <v>0</v>
      </c>
      <c r="BC109" s="762">
        <v>-39</v>
      </c>
      <c r="BD109" s="762">
        <v>0</v>
      </c>
      <c r="BE109" s="762">
        <v>0</v>
      </c>
      <c r="BF109" s="762">
        <v>0</v>
      </c>
      <c r="BG109" s="762">
        <v>0</v>
      </c>
      <c r="BH109" s="935">
        <v>0</v>
      </c>
      <c r="BI109" s="744">
        <f t="shared" si="171"/>
        <v>-39</v>
      </c>
      <c r="BJ109" s="888">
        <f t="shared" ref="BJ109:BJ116" si="187">+BI109/BI$13</f>
        <v>-7.8637910731856818E-5</v>
      </c>
      <c r="BK109" s="874"/>
      <c r="BL109" s="762">
        <v>0</v>
      </c>
      <c r="BM109" s="762">
        <v>0</v>
      </c>
      <c r="BN109" s="762">
        <v>0</v>
      </c>
      <c r="BO109" s="762">
        <v>0</v>
      </c>
      <c r="BP109" s="762">
        <v>0</v>
      </c>
      <c r="BQ109" s="762">
        <v>0</v>
      </c>
      <c r="BR109" s="762">
        <v>0</v>
      </c>
      <c r="BS109" s="762">
        <v>0</v>
      </c>
      <c r="BT109" s="935">
        <v>0</v>
      </c>
      <c r="BU109" s="744">
        <f t="shared" si="172"/>
        <v>0</v>
      </c>
      <c r="BV109" s="888">
        <f t="shared" ref="BV109:BV116" si="188">+BU109/BU$13</f>
        <v>0</v>
      </c>
      <c r="BW109" s="874"/>
      <c r="BX109" s="762">
        <v>0</v>
      </c>
      <c r="BY109" s="762">
        <v>0</v>
      </c>
      <c r="BZ109" s="762">
        <v>0</v>
      </c>
      <c r="CA109" s="762">
        <v>-56</v>
      </c>
      <c r="CB109" s="762">
        <v>0</v>
      </c>
      <c r="CC109" s="762">
        <v>0</v>
      </c>
      <c r="CD109" s="762">
        <v>0</v>
      </c>
      <c r="CE109" s="762">
        <v>0</v>
      </c>
      <c r="CF109" s="935">
        <v>-13</v>
      </c>
      <c r="CG109" s="744">
        <f t="shared" si="173"/>
        <v>-69</v>
      </c>
      <c r="CH109" s="888">
        <f t="shared" ref="CH109:CH116" si="189">+CG109/CG$13</f>
        <v>-1.4375359383984599E-4</v>
      </c>
      <c r="CI109" s="874"/>
      <c r="CJ109" s="957">
        <f t="shared" si="136"/>
        <v>-69</v>
      </c>
      <c r="CK109" s="965">
        <f t="shared" si="137"/>
        <v>0</v>
      </c>
      <c r="CL109" s="746"/>
      <c r="CM109" s="816">
        <f>-DATOS!D189</f>
        <v>-1277</v>
      </c>
      <c r="CN109" s="757">
        <f>+CM109/CM$13</f>
        <v>-4.1978057342946756E-4</v>
      </c>
      <c r="CO109" s="746"/>
      <c r="CP109" s="744"/>
      <c r="CQ109" s="756">
        <f>+CP109/CP$13</f>
        <v>0</v>
      </c>
      <c r="CR109" s="874"/>
      <c r="CS109" s="816">
        <v>0</v>
      </c>
      <c r="CT109" s="757">
        <f t="shared" si="144"/>
        <v>0</v>
      </c>
      <c r="CU109" s="874"/>
      <c r="CV109" s="897">
        <f t="shared" ref="CV109:CV116" si="190">+CM109-CS109</f>
        <v>-1277</v>
      </c>
      <c r="CW109" s="902">
        <f>+IFERROR(CV109/CS109,0)</f>
        <v>0</v>
      </c>
      <c r="CY109" s="750"/>
    </row>
    <row r="110" spans="1:103" hidden="1" outlineLevel="2">
      <c r="A110" s="734">
        <v>52959516</v>
      </c>
      <c r="B110" s="833" t="s">
        <v>899</v>
      </c>
      <c r="C110" s="874"/>
      <c r="D110" s="762">
        <v>0</v>
      </c>
      <c r="E110" s="762">
        <v>0</v>
      </c>
      <c r="F110" s="762">
        <v>0</v>
      </c>
      <c r="G110" s="762">
        <v>0</v>
      </c>
      <c r="H110" s="762">
        <v>0</v>
      </c>
      <c r="I110" s="762">
        <v>0</v>
      </c>
      <c r="J110" s="762">
        <v>0</v>
      </c>
      <c r="K110" s="762">
        <v>0</v>
      </c>
      <c r="L110" s="935">
        <v>0</v>
      </c>
      <c r="M110" s="744">
        <f t="shared" si="167"/>
        <v>0</v>
      </c>
      <c r="N110" s="888">
        <f t="shared" si="183"/>
        <v>0</v>
      </c>
      <c r="O110" s="874"/>
      <c r="P110" s="762">
        <v>0</v>
      </c>
      <c r="Q110" s="762">
        <v>0</v>
      </c>
      <c r="R110" s="762">
        <v>0</v>
      </c>
      <c r="S110" s="762">
        <v>-74</v>
      </c>
      <c r="T110" s="762">
        <v>0</v>
      </c>
      <c r="U110" s="762">
        <v>0</v>
      </c>
      <c r="V110" s="762">
        <v>0</v>
      </c>
      <c r="W110" s="762">
        <v>0</v>
      </c>
      <c r="X110" s="935">
        <v>-46</v>
      </c>
      <c r="Y110" s="744">
        <f t="shared" si="168"/>
        <v>-120</v>
      </c>
      <c r="Z110" s="888">
        <f t="shared" si="184"/>
        <v>-2.2801463853979424E-4</v>
      </c>
      <c r="AA110" s="874"/>
      <c r="AB110" s="762">
        <v>0</v>
      </c>
      <c r="AC110" s="762">
        <v>0</v>
      </c>
      <c r="AD110" s="762">
        <v>0</v>
      </c>
      <c r="AE110" s="762">
        <v>0</v>
      </c>
      <c r="AF110" s="762">
        <v>0</v>
      </c>
      <c r="AG110" s="762">
        <v>0</v>
      </c>
      <c r="AH110" s="762">
        <v>0</v>
      </c>
      <c r="AI110" s="762">
        <v>0</v>
      </c>
      <c r="AJ110" s="935">
        <v>-18</v>
      </c>
      <c r="AK110" s="744">
        <f t="shared" si="169"/>
        <v>-18</v>
      </c>
      <c r="AL110" s="888">
        <f t="shared" si="185"/>
        <v>-3.5173768185326673E-5</v>
      </c>
      <c r="AM110" s="874"/>
      <c r="AN110" s="762">
        <v>0</v>
      </c>
      <c r="AO110" s="762">
        <v>0</v>
      </c>
      <c r="AP110" s="762">
        <v>0</v>
      </c>
      <c r="AQ110" s="762">
        <v>-72</v>
      </c>
      <c r="AR110" s="762">
        <v>0</v>
      </c>
      <c r="AS110" s="762">
        <v>0</v>
      </c>
      <c r="AT110" s="762">
        <v>0</v>
      </c>
      <c r="AU110" s="762">
        <v>0</v>
      </c>
      <c r="AV110" s="935">
        <v>-10</v>
      </c>
      <c r="AW110" s="744">
        <f t="shared" si="170"/>
        <v>-82</v>
      </c>
      <c r="AX110" s="888">
        <f t="shared" si="186"/>
        <v>-1.5441863267950224E-4</v>
      </c>
      <c r="AY110" s="874"/>
      <c r="AZ110" s="762">
        <v>0</v>
      </c>
      <c r="BA110" s="762">
        <v>0</v>
      </c>
      <c r="BB110" s="762">
        <v>0</v>
      </c>
      <c r="BC110" s="762">
        <v>-162</v>
      </c>
      <c r="BD110" s="762">
        <v>0</v>
      </c>
      <c r="BE110" s="762">
        <v>0</v>
      </c>
      <c r="BF110" s="762">
        <v>0</v>
      </c>
      <c r="BG110" s="762">
        <v>0</v>
      </c>
      <c r="BH110" s="935">
        <v>-28</v>
      </c>
      <c r="BI110" s="744">
        <f t="shared" si="171"/>
        <v>-190</v>
      </c>
      <c r="BJ110" s="888">
        <f t="shared" si="187"/>
        <v>-3.8310777023212297E-4</v>
      </c>
      <c r="BK110" s="874"/>
      <c r="BL110" s="762">
        <v>0</v>
      </c>
      <c r="BM110" s="762">
        <v>0</v>
      </c>
      <c r="BN110" s="762">
        <v>0</v>
      </c>
      <c r="BO110" s="762">
        <v>0</v>
      </c>
      <c r="BP110" s="762">
        <v>0</v>
      </c>
      <c r="BQ110" s="762">
        <v>0</v>
      </c>
      <c r="BR110" s="762">
        <v>0</v>
      </c>
      <c r="BS110" s="762">
        <v>0</v>
      </c>
      <c r="BT110" s="935">
        <v>0</v>
      </c>
      <c r="BU110" s="744">
        <f t="shared" si="172"/>
        <v>0</v>
      </c>
      <c r="BV110" s="888">
        <f t="shared" si="188"/>
        <v>0</v>
      </c>
      <c r="BW110" s="874"/>
      <c r="BX110" s="762">
        <v>0</v>
      </c>
      <c r="BY110" s="762">
        <v>0</v>
      </c>
      <c r="BZ110" s="762">
        <v>0</v>
      </c>
      <c r="CA110" s="762">
        <v>-58</v>
      </c>
      <c r="CB110" s="762">
        <v>0</v>
      </c>
      <c r="CC110" s="762">
        <v>0</v>
      </c>
      <c r="CD110" s="762">
        <v>0</v>
      </c>
      <c r="CE110" s="762">
        <v>0</v>
      </c>
      <c r="CF110" s="935">
        <v>0</v>
      </c>
      <c r="CG110" s="744">
        <f t="shared" si="173"/>
        <v>-58</v>
      </c>
      <c r="CH110" s="888">
        <f t="shared" si="189"/>
        <v>-1.2083635424218939E-4</v>
      </c>
      <c r="CI110" s="874"/>
      <c r="CJ110" s="957">
        <f t="shared" si="136"/>
        <v>-58</v>
      </c>
      <c r="CK110" s="965">
        <f t="shared" si="137"/>
        <v>0</v>
      </c>
      <c r="CL110" s="746"/>
      <c r="CM110" s="816">
        <f>-DATOS!D187-207</f>
        <v>-674</v>
      </c>
      <c r="CN110" s="757">
        <f t="shared" si="166"/>
        <v>-2.2155998942166103E-4</v>
      </c>
      <c r="CO110" s="746"/>
      <c r="CP110" s="744">
        <f>-DATOS!F187</f>
        <v>-86</v>
      </c>
      <c r="CQ110" s="756">
        <f t="shared" si="131"/>
        <v>-1.6692659985073657E-4</v>
      </c>
      <c r="CR110" s="874"/>
      <c r="CS110" s="816">
        <f>-DATOS!G187</f>
        <v>-386</v>
      </c>
      <c r="CT110" s="757">
        <f t="shared" si="144"/>
        <v>-1.3134020601017547E-4</v>
      </c>
      <c r="CU110" s="874"/>
      <c r="CV110" s="897">
        <f t="shared" si="190"/>
        <v>-288</v>
      </c>
      <c r="CW110" s="902">
        <f t="shared" si="132"/>
        <v>0.74611398963730569</v>
      </c>
      <c r="CY110" s="750"/>
    </row>
    <row r="111" spans="1:103" hidden="1" outlineLevel="2">
      <c r="A111" s="734">
        <v>52959601</v>
      </c>
      <c r="B111" s="833" t="s">
        <v>867</v>
      </c>
      <c r="C111" s="874"/>
      <c r="D111" s="762">
        <v>-31</v>
      </c>
      <c r="E111" s="762">
        <v>0</v>
      </c>
      <c r="F111" s="762">
        <v>0</v>
      </c>
      <c r="G111" s="762">
        <v>0</v>
      </c>
      <c r="H111" s="762">
        <v>-408</v>
      </c>
      <c r="I111" s="762">
        <v>-27</v>
      </c>
      <c r="J111" s="762">
        <v>-10</v>
      </c>
      <c r="K111" s="762">
        <v>0</v>
      </c>
      <c r="L111" s="935">
        <v>0</v>
      </c>
      <c r="M111" s="744">
        <f t="shared" si="167"/>
        <v>-476</v>
      </c>
      <c r="N111" s="888">
        <f t="shared" si="183"/>
        <v>-9.4300561246827761E-4</v>
      </c>
      <c r="O111" s="874"/>
      <c r="P111" s="762">
        <v>-31</v>
      </c>
      <c r="Q111" s="762">
        <v>0</v>
      </c>
      <c r="R111" s="762">
        <v>0</v>
      </c>
      <c r="S111" s="762">
        <v>9</v>
      </c>
      <c r="T111" s="762">
        <v>-139</v>
      </c>
      <c r="U111" s="762">
        <v>0</v>
      </c>
      <c r="V111" s="762">
        <v>0</v>
      </c>
      <c r="W111" s="762">
        <v>0</v>
      </c>
      <c r="X111" s="935">
        <v>-8</v>
      </c>
      <c r="Y111" s="744">
        <f t="shared" si="168"/>
        <v>-169</v>
      </c>
      <c r="Z111" s="888">
        <f t="shared" si="184"/>
        <v>-3.2112061594354355E-4</v>
      </c>
      <c r="AA111" s="874"/>
      <c r="AB111" s="762">
        <v>-30</v>
      </c>
      <c r="AC111" s="762">
        <v>0</v>
      </c>
      <c r="AD111" s="762">
        <v>0</v>
      </c>
      <c r="AE111" s="762">
        <v>0</v>
      </c>
      <c r="AF111" s="762">
        <v>-22</v>
      </c>
      <c r="AG111" s="762">
        <v>-22</v>
      </c>
      <c r="AH111" s="762">
        <v>0</v>
      </c>
      <c r="AI111" s="762">
        <v>0</v>
      </c>
      <c r="AJ111" s="935">
        <v>-6</v>
      </c>
      <c r="AK111" s="744">
        <f t="shared" si="169"/>
        <v>-80</v>
      </c>
      <c r="AL111" s="888">
        <f t="shared" si="185"/>
        <v>-1.563278586014519E-4</v>
      </c>
      <c r="AM111" s="874"/>
      <c r="AN111" s="762">
        <v>-50</v>
      </c>
      <c r="AO111" s="762">
        <v>0</v>
      </c>
      <c r="AP111" s="762">
        <v>0</v>
      </c>
      <c r="AQ111" s="762">
        <v>-72</v>
      </c>
      <c r="AR111" s="762">
        <v>-18</v>
      </c>
      <c r="AS111" s="762">
        <v>0</v>
      </c>
      <c r="AT111" s="762">
        <v>-12</v>
      </c>
      <c r="AU111" s="762">
        <v>0</v>
      </c>
      <c r="AV111" s="935">
        <v>-22</v>
      </c>
      <c r="AW111" s="744">
        <f t="shared" si="170"/>
        <v>-174</v>
      </c>
      <c r="AX111" s="888">
        <f t="shared" si="186"/>
        <v>-3.2766880592967552E-4</v>
      </c>
      <c r="AY111" s="874"/>
      <c r="AZ111" s="762">
        <v>-31</v>
      </c>
      <c r="BA111" s="762">
        <v>0</v>
      </c>
      <c r="BB111" s="762">
        <v>0</v>
      </c>
      <c r="BC111" s="762">
        <v>0</v>
      </c>
      <c r="BD111" s="762">
        <v>-23</v>
      </c>
      <c r="BE111" s="762">
        <v>-100</v>
      </c>
      <c r="BF111" s="762">
        <v>-6</v>
      </c>
      <c r="BG111" s="762">
        <v>0</v>
      </c>
      <c r="BH111" s="935">
        <v>0</v>
      </c>
      <c r="BI111" s="744">
        <f t="shared" si="171"/>
        <v>-160</v>
      </c>
      <c r="BJ111" s="888">
        <f t="shared" si="187"/>
        <v>-3.2261706966915622E-4</v>
      </c>
      <c r="BK111" s="874"/>
      <c r="BL111" s="762">
        <v>-157</v>
      </c>
      <c r="BM111" s="762">
        <v>0</v>
      </c>
      <c r="BN111" s="762">
        <v>0</v>
      </c>
      <c r="BO111" s="762">
        <v>-186</v>
      </c>
      <c r="BP111" s="762">
        <v>-131</v>
      </c>
      <c r="BQ111" s="762">
        <v>-14</v>
      </c>
      <c r="BR111" s="762">
        <v>-16</v>
      </c>
      <c r="BS111" s="762">
        <v>0</v>
      </c>
      <c r="BT111" s="935">
        <v>0</v>
      </c>
      <c r="BU111" s="744">
        <f t="shared" si="172"/>
        <v>-504</v>
      </c>
      <c r="BV111" s="888">
        <f t="shared" si="188"/>
        <v>-1.0139335390706415E-3</v>
      </c>
      <c r="BW111" s="874"/>
      <c r="BX111" s="762">
        <v>-4</v>
      </c>
      <c r="BY111" s="762">
        <v>0</v>
      </c>
      <c r="BZ111" s="762">
        <v>0</v>
      </c>
      <c r="CA111" s="762">
        <v>-43</v>
      </c>
      <c r="CB111" s="762">
        <v>0</v>
      </c>
      <c r="CC111" s="762">
        <v>0</v>
      </c>
      <c r="CD111" s="762">
        <v>-5</v>
      </c>
      <c r="CE111" s="762">
        <v>0</v>
      </c>
      <c r="CF111" s="935">
        <v>-7</v>
      </c>
      <c r="CG111" s="744">
        <f t="shared" si="173"/>
        <v>-59</v>
      </c>
      <c r="CH111" s="888">
        <f t="shared" si="189"/>
        <v>-1.2291973966015816E-4</v>
      </c>
      <c r="CI111" s="874"/>
      <c r="CJ111" s="957">
        <f t="shared" si="136"/>
        <v>445</v>
      </c>
      <c r="CK111" s="965">
        <f t="shared" si="137"/>
        <v>-0.88293650793650791</v>
      </c>
      <c r="CL111" s="746"/>
      <c r="CM111" s="816">
        <v>0</v>
      </c>
      <c r="CN111" s="757">
        <f t="shared" si="166"/>
        <v>0</v>
      </c>
      <c r="CO111" s="746"/>
      <c r="CP111" s="744">
        <f>-DATOS!F189</f>
        <v>-224.5</v>
      </c>
      <c r="CQ111" s="756">
        <f t="shared" si="131"/>
        <v>-4.3575606588942275E-4</v>
      </c>
      <c r="CR111" s="874"/>
      <c r="CS111" s="816">
        <f>-DATOS!G189</f>
        <v>-1384.5</v>
      </c>
      <c r="CT111" s="757">
        <f>+CS111/CS$13</f>
        <v>-4.7108941767121223E-4</v>
      </c>
      <c r="CU111" s="874"/>
      <c r="CV111" s="897">
        <f t="shared" si="190"/>
        <v>1384.5</v>
      </c>
      <c r="CW111" s="902">
        <f t="shared" si="132"/>
        <v>-1</v>
      </c>
      <c r="CY111" s="750"/>
    </row>
    <row r="112" spans="1:103" hidden="1" outlineLevel="2">
      <c r="A112" s="734">
        <v>52959602</v>
      </c>
      <c r="B112" s="833" t="s">
        <v>889</v>
      </c>
      <c r="C112" s="874"/>
      <c r="D112" s="762">
        <v>0</v>
      </c>
      <c r="E112" s="762">
        <v>0</v>
      </c>
      <c r="F112" s="762">
        <v>0</v>
      </c>
      <c r="G112" s="762">
        <v>0</v>
      </c>
      <c r="H112" s="762">
        <v>0</v>
      </c>
      <c r="I112" s="762">
        <v>0</v>
      </c>
      <c r="J112" s="762">
        <v>0</v>
      </c>
      <c r="K112" s="762">
        <v>0</v>
      </c>
      <c r="L112" s="935">
        <v>0</v>
      </c>
      <c r="M112" s="744">
        <f t="shared" si="167"/>
        <v>0</v>
      </c>
      <c r="N112" s="888">
        <f t="shared" si="183"/>
        <v>0</v>
      </c>
      <c r="O112" s="874"/>
      <c r="P112" s="762">
        <v>0</v>
      </c>
      <c r="Q112" s="762">
        <v>0</v>
      </c>
      <c r="R112" s="762">
        <v>0</v>
      </c>
      <c r="S112" s="762">
        <v>0</v>
      </c>
      <c r="T112" s="762">
        <v>0</v>
      </c>
      <c r="U112" s="762">
        <v>0</v>
      </c>
      <c r="V112" s="762">
        <v>0</v>
      </c>
      <c r="W112" s="762">
        <v>0</v>
      </c>
      <c r="X112" s="935">
        <v>0</v>
      </c>
      <c r="Y112" s="744">
        <f t="shared" si="168"/>
        <v>0</v>
      </c>
      <c r="Z112" s="888">
        <f t="shared" si="184"/>
        <v>0</v>
      </c>
      <c r="AA112" s="874"/>
      <c r="AB112" s="762">
        <v>0</v>
      </c>
      <c r="AC112" s="762">
        <v>0</v>
      </c>
      <c r="AD112" s="762">
        <v>0</v>
      </c>
      <c r="AE112" s="762">
        <v>0</v>
      </c>
      <c r="AF112" s="762">
        <v>0</v>
      </c>
      <c r="AG112" s="762">
        <v>0</v>
      </c>
      <c r="AH112" s="762">
        <v>0</v>
      </c>
      <c r="AI112" s="762">
        <v>0</v>
      </c>
      <c r="AJ112" s="935">
        <v>0</v>
      </c>
      <c r="AK112" s="744">
        <f t="shared" si="169"/>
        <v>0</v>
      </c>
      <c r="AL112" s="888">
        <f t="shared" si="185"/>
        <v>0</v>
      </c>
      <c r="AM112" s="874"/>
      <c r="AN112" s="762">
        <v>0</v>
      </c>
      <c r="AO112" s="762">
        <v>0</v>
      </c>
      <c r="AP112" s="762">
        <v>0</v>
      </c>
      <c r="AQ112" s="762">
        <v>0</v>
      </c>
      <c r="AR112" s="762">
        <v>0</v>
      </c>
      <c r="AS112" s="762">
        <v>0</v>
      </c>
      <c r="AT112" s="762">
        <v>0</v>
      </c>
      <c r="AU112" s="762">
        <v>0</v>
      </c>
      <c r="AV112" s="935">
        <v>0</v>
      </c>
      <c r="AW112" s="744">
        <f t="shared" si="170"/>
        <v>0</v>
      </c>
      <c r="AX112" s="888">
        <f t="shared" si="186"/>
        <v>0</v>
      </c>
      <c r="AY112" s="874"/>
      <c r="AZ112" s="762">
        <v>0</v>
      </c>
      <c r="BA112" s="762">
        <v>0</v>
      </c>
      <c r="BB112" s="762">
        <v>0</v>
      </c>
      <c r="BC112" s="762">
        <v>0</v>
      </c>
      <c r="BD112" s="762">
        <v>0</v>
      </c>
      <c r="BE112" s="762">
        <v>0</v>
      </c>
      <c r="BF112" s="762">
        <v>0</v>
      </c>
      <c r="BG112" s="762">
        <v>0</v>
      </c>
      <c r="BH112" s="935">
        <v>0</v>
      </c>
      <c r="BI112" s="744">
        <f t="shared" si="171"/>
        <v>0</v>
      </c>
      <c r="BJ112" s="888">
        <f t="shared" si="187"/>
        <v>0</v>
      </c>
      <c r="BK112" s="874"/>
      <c r="BL112" s="762">
        <v>0</v>
      </c>
      <c r="BM112" s="762">
        <v>0</v>
      </c>
      <c r="BN112" s="762">
        <v>0</v>
      </c>
      <c r="BO112" s="762">
        <v>0</v>
      </c>
      <c r="BP112" s="762">
        <v>0</v>
      </c>
      <c r="BQ112" s="762">
        <v>0</v>
      </c>
      <c r="BR112" s="762">
        <v>0</v>
      </c>
      <c r="BS112" s="762">
        <v>0</v>
      </c>
      <c r="BT112" s="935">
        <v>0</v>
      </c>
      <c r="BU112" s="744">
        <f t="shared" si="172"/>
        <v>0</v>
      </c>
      <c r="BV112" s="888">
        <f t="shared" si="188"/>
        <v>0</v>
      </c>
      <c r="BW112" s="874"/>
      <c r="BX112" s="762">
        <v>0</v>
      </c>
      <c r="BY112" s="762">
        <v>0</v>
      </c>
      <c r="BZ112" s="762">
        <v>0</v>
      </c>
      <c r="CA112" s="762">
        <v>0</v>
      </c>
      <c r="CB112" s="762">
        <v>0</v>
      </c>
      <c r="CC112" s="762">
        <v>0</v>
      </c>
      <c r="CD112" s="762">
        <v>0</v>
      </c>
      <c r="CE112" s="762">
        <v>0</v>
      </c>
      <c r="CF112" s="935">
        <v>0</v>
      </c>
      <c r="CG112" s="744">
        <f t="shared" si="173"/>
        <v>0</v>
      </c>
      <c r="CH112" s="888">
        <f t="shared" si="189"/>
        <v>0</v>
      </c>
      <c r="CI112" s="874"/>
      <c r="CJ112" s="957">
        <f t="shared" si="136"/>
        <v>0</v>
      </c>
      <c r="CK112" s="965">
        <f t="shared" si="137"/>
        <v>0</v>
      </c>
      <c r="CL112" s="746"/>
      <c r="CM112" s="816">
        <v>0</v>
      </c>
      <c r="CN112" s="757">
        <f t="shared" si="166"/>
        <v>0</v>
      </c>
      <c r="CO112" s="746"/>
      <c r="CP112" s="744">
        <f>-DATOS!F190</f>
        <v>0</v>
      </c>
      <c r="CQ112" s="756">
        <f t="shared" si="131"/>
        <v>0</v>
      </c>
      <c r="CR112" s="874"/>
      <c r="CS112" s="816">
        <f>-DATOS!G190</f>
        <v>0</v>
      </c>
      <c r="CT112" s="757">
        <f>+CS112/CS$13</f>
        <v>0</v>
      </c>
      <c r="CU112" s="874"/>
      <c r="CV112" s="897">
        <f t="shared" si="190"/>
        <v>0</v>
      </c>
      <c r="CW112" s="902">
        <f t="shared" si="132"/>
        <v>0</v>
      </c>
      <c r="CY112" s="750"/>
    </row>
    <row r="113" spans="1:103" hidden="1" outlineLevel="2">
      <c r="A113" s="734">
        <v>52959605</v>
      </c>
      <c r="B113" s="833" t="s">
        <v>900</v>
      </c>
      <c r="C113" s="874"/>
      <c r="D113" s="762">
        <v>0</v>
      </c>
      <c r="E113" s="762">
        <v>0</v>
      </c>
      <c r="F113" s="762">
        <v>0</v>
      </c>
      <c r="G113" s="762">
        <v>0</v>
      </c>
      <c r="H113" s="762">
        <v>0</v>
      </c>
      <c r="I113" s="762">
        <v>0</v>
      </c>
      <c r="J113" s="762">
        <v>0</v>
      </c>
      <c r="K113" s="762">
        <v>0</v>
      </c>
      <c r="L113" s="935">
        <v>0</v>
      </c>
      <c r="M113" s="744">
        <f t="shared" si="167"/>
        <v>0</v>
      </c>
      <c r="N113" s="888">
        <f t="shared" si="183"/>
        <v>0</v>
      </c>
      <c r="O113" s="874"/>
      <c r="P113" s="762">
        <v>0</v>
      </c>
      <c r="Q113" s="762">
        <v>0</v>
      </c>
      <c r="R113" s="762">
        <v>0</v>
      </c>
      <c r="S113" s="762">
        <v>0</v>
      </c>
      <c r="T113" s="762">
        <v>0</v>
      </c>
      <c r="U113" s="762">
        <v>0</v>
      </c>
      <c r="V113" s="762">
        <v>0</v>
      </c>
      <c r="W113" s="762">
        <v>0</v>
      </c>
      <c r="X113" s="935">
        <v>0</v>
      </c>
      <c r="Y113" s="744">
        <f t="shared" si="168"/>
        <v>0</v>
      </c>
      <c r="Z113" s="888">
        <f t="shared" si="184"/>
        <v>0</v>
      </c>
      <c r="AA113" s="874"/>
      <c r="AB113" s="762">
        <v>0</v>
      </c>
      <c r="AC113" s="762">
        <v>0</v>
      </c>
      <c r="AD113" s="762">
        <v>0</v>
      </c>
      <c r="AE113" s="762">
        <v>0</v>
      </c>
      <c r="AF113" s="762">
        <v>0</v>
      </c>
      <c r="AG113" s="762">
        <v>0</v>
      </c>
      <c r="AH113" s="762">
        <v>0</v>
      </c>
      <c r="AI113" s="762">
        <v>0</v>
      </c>
      <c r="AJ113" s="935">
        <v>0</v>
      </c>
      <c r="AK113" s="744">
        <f t="shared" si="169"/>
        <v>0</v>
      </c>
      <c r="AL113" s="888">
        <f t="shared" si="185"/>
        <v>0</v>
      </c>
      <c r="AM113" s="874"/>
      <c r="AN113" s="762">
        <v>0</v>
      </c>
      <c r="AO113" s="762">
        <v>0</v>
      </c>
      <c r="AP113" s="762">
        <v>0</v>
      </c>
      <c r="AQ113" s="762">
        <v>0</v>
      </c>
      <c r="AR113" s="762">
        <v>0</v>
      </c>
      <c r="AS113" s="762">
        <v>0</v>
      </c>
      <c r="AT113" s="762">
        <v>0</v>
      </c>
      <c r="AU113" s="762">
        <v>0</v>
      </c>
      <c r="AV113" s="935">
        <v>0</v>
      </c>
      <c r="AW113" s="744">
        <f t="shared" si="170"/>
        <v>0</v>
      </c>
      <c r="AX113" s="888">
        <f t="shared" si="186"/>
        <v>0</v>
      </c>
      <c r="AY113" s="874"/>
      <c r="AZ113" s="762">
        <v>0</v>
      </c>
      <c r="BA113" s="762">
        <v>0</v>
      </c>
      <c r="BB113" s="762">
        <v>0</v>
      </c>
      <c r="BC113" s="762">
        <v>0</v>
      </c>
      <c r="BD113" s="762">
        <v>0</v>
      </c>
      <c r="BE113" s="762">
        <v>0</v>
      </c>
      <c r="BF113" s="762">
        <v>0</v>
      </c>
      <c r="BG113" s="762">
        <v>0</v>
      </c>
      <c r="BH113" s="935">
        <v>0</v>
      </c>
      <c r="BI113" s="744">
        <f t="shared" si="171"/>
        <v>0</v>
      </c>
      <c r="BJ113" s="888">
        <f t="shared" si="187"/>
        <v>0</v>
      </c>
      <c r="BK113" s="874"/>
      <c r="BL113" s="762">
        <v>0</v>
      </c>
      <c r="BM113" s="762">
        <v>0</v>
      </c>
      <c r="BN113" s="762">
        <v>0</v>
      </c>
      <c r="BO113" s="762">
        <v>0</v>
      </c>
      <c r="BP113" s="762">
        <v>0</v>
      </c>
      <c r="BQ113" s="762">
        <v>0</v>
      </c>
      <c r="BR113" s="762">
        <v>0</v>
      </c>
      <c r="BS113" s="762">
        <v>0</v>
      </c>
      <c r="BT113" s="935">
        <v>0</v>
      </c>
      <c r="BU113" s="744">
        <f t="shared" si="172"/>
        <v>0</v>
      </c>
      <c r="BV113" s="888">
        <f t="shared" si="188"/>
        <v>0</v>
      </c>
      <c r="BW113" s="874"/>
      <c r="BX113" s="762">
        <v>-4</v>
      </c>
      <c r="BY113" s="762">
        <v>0</v>
      </c>
      <c r="BZ113" s="762">
        <v>0</v>
      </c>
      <c r="CA113" s="762">
        <v>0</v>
      </c>
      <c r="CB113" s="762">
        <v>0</v>
      </c>
      <c r="CC113" s="762">
        <v>0</v>
      </c>
      <c r="CD113" s="762">
        <v>0</v>
      </c>
      <c r="CE113" s="762">
        <v>0</v>
      </c>
      <c r="CF113" s="935">
        <v>0</v>
      </c>
      <c r="CG113" s="744">
        <f t="shared" si="173"/>
        <v>-4</v>
      </c>
      <c r="CH113" s="888">
        <f t="shared" si="189"/>
        <v>-8.3335416718751307E-6</v>
      </c>
      <c r="CI113" s="874"/>
      <c r="CJ113" s="957">
        <f t="shared" si="136"/>
        <v>-4</v>
      </c>
      <c r="CK113" s="965">
        <f t="shared" si="137"/>
        <v>0</v>
      </c>
      <c r="CL113" s="746"/>
      <c r="CM113" s="816">
        <v>0</v>
      </c>
      <c r="CN113" s="757">
        <f t="shared" si="166"/>
        <v>0</v>
      </c>
      <c r="CO113" s="746"/>
      <c r="CP113" s="744"/>
      <c r="CQ113" s="756">
        <f t="shared" si="131"/>
        <v>0</v>
      </c>
      <c r="CR113" s="874"/>
      <c r="CS113" s="816">
        <v>0</v>
      </c>
      <c r="CT113" s="757">
        <f t="shared" ref="CT113:CT115" si="191">+CS113/CS$13</f>
        <v>0</v>
      </c>
      <c r="CU113" s="874"/>
      <c r="CV113" s="897">
        <f t="shared" si="190"/>
        <v>0</v>
      </c>
      <c r="CW113" s="902">
        <f t="shared" si="132"/>
        <v>0</v>
      </c>
      <c r="CY113" s="750"/>
    </row>
    <row r="114" spans="1:103" hidden="1" outlineLevel="2">
      <c r="A114" s="734">
        <v>52959606</v>
      </c>
      <c r="B114" s="833" t="s">
        <v>1009</v>
      </c>
      <c r="C114" s="874"/>
      <c r="D114" s="762">
        <v>0</v>
      </c>
      <c r="E114" s="762">
        <v>0</v>
      </c>
      <c r="F114" s="762">
        <v>0</v>
      </c>
      <c r="G114" s="762">
        <v>0</v>
      </c>
      <c r="H114" s="762">
        <v>0</v>
      </c>
      <c r="I114" s="762">
        <v>0</v>
      </c>
      <c r="J114" s="762">
        <v>0</v>
      </c>
      <c r="K114" s="762">
        <v>0</v>
      </c>
      <c r="L114" s="935">
        <v>0</v>
      </c>
      <c r="M114" s="744">
        <f t="shared" si="167"/>
        <v>0</v>
      </c>
      <c r="N114" s="888">
        <f t="shared" si="183"/>
        <v>0</v>
      </c>
      <c r="O114" s="874"/>
      <c r="P114" s="762">
        <v>0</v>
      </c>
      <c r="Q114" s="762">
        <v>0</v>
      </c>
      <c r="R114" s="762">
        <v>0</v>
      </c>
      <c r="S114" s="762">
        <v>0</v>
      </c>
      <c r="T114" s="762">
        <v>0</v>
      </c>
      <c r="U114" s="762">
        <v>0</v>
      </c>
      <c r="V114" s="762">
        <v>0</v>
      </c>
      <c r="W114" s="762">
        <v>0</v>
      </c>
      <c r="X114" s="935">
        <v>0</v>
      </c>
      <c r="Y114" s="744">
        <f t="shared" si="168"/>
        <v>0</v>
      </c>
      <c r="Z114" s="888">
        <f t="shared" si="184"/>
        <v>0</v>
      </c>
      <c r="AA114" s="874"/>
      <c r="AB114" s="762">
        <v>0</v>
      </c>
      <c r="AC114" s="762">
        <v>0</v>
      </c>
      <c r="AD114" s="762">
        <v>0</v>
      </c>
      <c r="AE114" s="762">
        <v>0</v>
      </c>
      <c r="AF114" s="762">
        <v>0</v>
      </c>
      <c r="AG114" s="762">
        <v>0</v>
      </c>
      <c r="AH114" s="762">
        <v>0</v>
      </c>
      <c r="AI114" s="762">
        <v>0</v>
      </c>
      <c r="AJ114" s="935">
        <v>0</v>
      </c>
      <c r="AK114" s="744">
        <f t="shared" si="169"/>
        <v>0</v>
      </c>
      <c r="AL114" s="888">
        <f t="shared" si="185"/>
        <v>0</v>
      </c>
      <c r="AM114" s="874"/>
      <c r="AN114" s="762">
        <v>0</v>
      </c>
      <c r="AO114" s="762">
        <v>0</v>
      </c>
      <c r="AP114" s="762">
        <v>0</v>
      </c>
      <c r="AQ114" s="762">
        <v>0</v>
      </c>
      <c r="AR114" s="762">
        <v>0</v>
      </c>
      <c r="AS114" s="762">
        <v>0</v>
      </c>
      <c r="AT114" s="762">
        <v>0</v>
      </c>
      <c r="AU114" s="762">
        <v>0</v>
      </c>
      <c r="AV114" s="935">
        <v>0</v>
      </c>
      <c r="AW114" s="744">
        <f t="shared" si="170"/>
        <v>0</v>
      </c>
      <c r="AX114" s="888">
        <f t="shared" si="186"/>
        <v>0</v>
      </c>
      <c r="AY114" s="874"/>
      <c r="AZ114" s="762">
        <v>0</v>
      </c>
      <c r="BA114" s="762">
        <v>0</v>
      </c>
      <c r="BB114" s="762">
        <v>0</v>
      </c>
      <c r="BC114" s="762">
        <v>0</v>
      </c>
      <c r="BD114" s="762">
        <v>0</v>
      </c>
      <c r="BE114" s="762">
        <v>0</v>
      </c>
      <c r="BF114" s="762">
        <v>0</v>
      </c>
      <c r="BG114" s="762">
        <v>0</v>
      </c>
      <c r="BH114" s="935">
        <v>0</v>
      </c>
      <c r="BI114" s="744">
        <f t="shared" si="171"/>
        <v>0</v>
      </c>
      <c r="BJ114" s="888">
        <f t="shared" si="187"/>
        <v>0</v>
      </c>
      <c r="BK114" s="874"/>
      <c r="BL114" s="762">
        <v>0</v>
      </c>
      <c r="BM114" s="762">
        <v>0</v>
      </c>
      <c r="BN114" s="762">
        <v>0</v>
      </c>
      <c r="BO114" s="762">
        <v>0</v>
      </c>
      <c r="BP114" s="762">
        <v>0</v>
      </c>
      <c r="BQ114" s="762">
        <v>0</v>
      </c>
      <c r="BR114" s="762">
        <v>0</v>
      </c>
      <c r="BS114" s="762">
        <v>0</v>
      </c>
      <c r="BT114" s="935">
        <v>0</v>
      </c>
      <c r="BU114" s="744">
        <f t="shared" si="172"/>
        <v>0</v>
      </c>
      <c r="BV114" s="888">
        <f t="shared" si="188"/>
        <v>0</v>
      </c>
      <c r="BW114" s="874"/>
      <c r="BX114" s="762">
        <v>-158</v>
      </c>
      <c r="BY114" s="762">
        <v>-96</v>
      </c>
      <c r="BZ114" s="762">
        <v>-41</v>
      </c>
      <c r="CA114" s="762">
        <v>-74</v>
      </c>
      <c r="CB114" s="762">
        <v>-152</v>
      </c>
      <c r="CC114" s="762">
        <v>-67</v>
      </c>
      <c r="CD114" s="762">
        <v>0</v>
      </c>
      <c r="CE114" s="762">
        <v>0</v>
      </c>
      <c r="CF114" s="935">
        <v>-22</v>
      </c>
      <c r="CG114" s="744">
        <f t="shared" si="173"/>
        <v>-610</v>
      </c>
      <c r="CH114" s="888">
        <f t="shared" si="189"/>
        <v>-1.2708651049609574E-3</v>
      </c>
      <c r="CI114" s="874"/>
      <c r="CJ114" s="957">
        <f t="shared" si="136"/>
        <v>-610</v>
      </c>
      <c r="CK114" s="965">
        <f t="shared" si="137"/>
        <v>0</v>
      </c>
      <c r="CL114" s="746"/>
      <c r="CM114" s="816">
        <f>-DATOS!D190</f>
        <v>-522</v>
      </c>
      <c r="CN114" s="757">
        <f t="shared" si="166"/>
        <v>-1.715939383948176E-4</v>
      </c>
      <c r="CO114" s="746"/>
      <c r="CP114" s="744"/>
      <c r="CQ114" s="756">
        <f t="shared" si="131"/>
        <v>0</v>
      </c>
      <c r="CR114" s="874"/>
      <c r="CS114" s="816">
        <v>0</v>
      </c>
      <c r="CT114" s="757">
        <f t="shared" si="191"/>
        <v>0</v>
      </c>
      <c r="CU114" s="874"/>
      <c r="CV114" s="897">
        <f t="shared" si="190"/>
        <v>-522</v>
      </c>
      <c r="CW114" s="902">
        <f t="shared" si="132"/>
        <v>0</v>
      </c>
      <c r="CY114" s="750"/>
    </row>
    <row r="115" spans="1:103" hidden="1" outlineLevel="2">
      <c r="A115" s="734">
        <v>52959612</v>
      </c>
      <c r="B115" s="833" t="s">
        <v>998</v>
      </c>
      <c r="C115" s="874"/>
      <c r="D115" s="762">
        <v>0</v>
      </c>
      <c r="E115" s="762">
        <v>0</v>
      </c>
      <c r="F115" s="762">
        <v>0</v>
      </c>
      <c r="G115" s="762">
        <v>0</v>
      </c>
      <c r="H115" s="762">
        <v>0</v>
      </c>
      <c r="I115" s="762">
        <v>0</v>
      </c>
      <c r="J115" s="762">
        <v>0</v>
      </c>
      <c r="K115" s="762">
        <v>0</v>
      </c>
      <c r="L115" s="935">
        <v>0</v>
      </c>
      <c r="M115" s="744">
        <f t="shared" si="167"/>
        <v>0</v>
      </c>
      <c r="N115" s="888">
        <f t="shared" si="183"/>
        <v>0</v>
      </c>
      <c r="O115" s="874"/>
      <c r="P115" s="762">
        <v>0</v>
      </c>
      <c r="Q115" s="762">
        <v>0</v>
      </c>
      <c r="R115" s="762">
        <v>0</v>
      </c>
      <c r="S115" s="762">
        <v>0</v>
      </c>
      <c r="T115" s="762">
        <v>0</v>
      </c>
      <c r="U115" s="762">
        <v>0</v>
      </c>
      <c r="V115" s="762">
        <v>0</v>
      </c>
      <c r="W115" s="762">
        <v>0</v>
      </c>
      <c r="X115" s="935">
        <v>0</v>
      </c>
      <c r="Y115" s="744">
        <f t="shared" si="168"/>
        <v>0</v>
      </c>
      <c r="Z115" s="888">
        <f t="shared" si="184"/>
        <v>0</v>
      </c>
      <c r="AA115" s="874"/>
      <c r="AB115" s="762">
        <v>0</v>
      </c>
      <c r="AC115" s="762">
        <v>0</v>
      </c>
      <c r="AD115" s="762">
        <v>0</v>
      </c>
      <c r="AE115" s="762">
        <v>0</v>
      </c>
      <c r="AF115" s="762">
        <v>0</v>
      </c>
      <c r="AG115" s="762">
        <v>0</v>
      </c>
      <c r="AH115" s="762">
        <v>0</v>
      </c>
      <c r="AI115" s="762">
        <v>0</v>
      </c>
      <c r="AJ115" s="935">
        <v>0</v>
      </c>
      <c r="AK115" s="744">
        <f t="shared" si="169"/>
        <v>0</v>
      </c>
      <c r="AL115" s="888">
        <f t="shared" si="185"/>
        <v>0</v>
      </c>
      <c r="AM115" s="874"/>
      <c r="AN115" s="762">
        <v>0</v>
      </c>
      <c r="AO115" s="762">
        <v>0</v>
      </c>
      <c r="AP115" s="762">
        <v>0</v>
      </c>
      <c r="AQ115" s="762">
        <v>0</v>
      </c>
      <c r="AR115" s="762">
        <v>0</v>
      </c>
      <c r="AS115" s="762">
        <v>0</v>
      </c>
      <c r="AT115" s="762">
        <v>0</v>
      </c>
      <c r="AU115" s="762">
        <v>0</v>
      </c>
      <c r="AV115" s="935">
        <v>0</v>
      </c>
      <c r="AW115" s="744">
        <f t="shared" si="170"/>
        <v>0</v>
      </c>
      <c r="AX115" s="888">
        <f t="shared" si="186"/>
        <v>0</v>
      </c>
      <c r="AY115" s="874"/>
      <c r="AZ115" s="762">
        <v>0</v>
      </c>
      <c r="BA115" s="762">
        <v>0</v>
      </c>
      <c r="BB115" s="762">
        <v>0</v>
      </c>
      <c r="BC115" s="762">
        <v>0</v>
      </c>
      <c r="BD115" s="762">
        <v>0</v>
      </c>
      <c r="BE115" s="762">
        <v>0</v>
      </c>
      <c r="BF115" s="762">
        <v>0</v>
      </c>
      <c r="BG115" s="762">
        <v>0</v>
      </c>
      <c r="BH115" s="935">
        <v>0</v>
      </c>
      <c r="BI115" s="744">
        <f t="shared" si="171"/>
        <v>0</v>
      </c>
      <c r="BJ115" s="888">
        <f t="shared" si="187"/>
        <v>0</v>
      </c>
      <c r="BK115" s="874"/>
      <c r="BL115" s="762">
        <v>0</v>
      </c>
      <c r="BM115" s="762">
        <v>0</v>
      </c>
      <c r="BN115" s="762">
        <v>0</v>
      </c>
      <c r="BO115" s="762">
        <v>0</v>
      </c>
      <c r="BP115" s="762">
        <v>0</v>
      </c>
      <c r="BQ115" s="762">
        <v>0</v>
      </c>
      <c r="BR115" s="762">
        <v>0</v>
      </c>
      <c r="BS115" s="762">
        <v>0</v>
      </c>
      <c r="BT115" s="935">
        <v>0</v>
      </c>
      <c r="BU115" s="744">
        <f t="shared" si="172"/>
        <v>0</v>
      </c>
      <c r="BV115" s="888">
        <f t="shared" si="188"/>
        <v>0</v>
      </c>
      <c r="BW115" s="874"/>
      <c r="BX115" s="762">
        <v>0</v>
      </c>
      <c r="BY115" s="762">
        <v>0</v>
      </c>
      <c r="BZ115" s="762">
        <v>0</v>
      </c>
      <c r="CA115" s="762">
        <v>0</v>
      </c>
      <c r="CB115" s="762">
        <v>0</v>
      </c>
      <c r="CC115" s="762">
        <v>0</v>
      </c>
      <c r="CD115" s="762">
        <v>0</v>
      </c>
      <c r="CE115" s="762">
        <v>0</v>
      </c>
      <c r="CF115" s="935">
        <v>0</v>
      </c>
      <c r="CG115" s="744">
        <f t="shared" si="173"/>
        <v>0</v>
      </c>
      <c r="CH115" s="888">
        <f t="shared" si="189"/>
        <v>0</v>
      </c>
      <c r="CI115" s="874"/>
      <c r="CJ115" s="957">
        <f t="shared" si="136"/>
        <v>0</v>
      </c>
      <c r="CK115" s="965">
        <f t="shared" si="137"/>
        <v>0</v>
      </c>
      <c r="CL115" s="746"/>
      <c r="CM115" s="816">
        <f>-DATOS!D191</f>
        <v>0</v>
      </c>
      <c r="CN115" s="757">
        <f t="shared" ref="CN115" si="192">+CM115/CM$13</f>
        <v>0</v>
      </c>
      <c r="CO115" s="746"/>
      <c r="CP115" s="744">
        <f>-DATOS!F191</f>
        <v>0</v>
      </c>
      <c r="CQ115" s="756">
        <f t="shared" si="131"/>
        <v>0</v>
      </c>
      <c r="CR115" s="874"/>
      <c r="CS115" s="816">
        <f>-DATOS!G191</f>
        <v>-1379</v>
      </c>
      <c r="CT115" s="757">
        <f t="shared" si="191"/>
        <v>-4.692179898653678E-4</v>
      </c>
      <c r="CU115" s="874"/>
      <c r="CV115" s="897">
        <f t="shared" si="190"/>
        <v>1379</v>
      </c>
      <c r="CW115" s="902">
        <f t="shared" ref="CW115" si="193">+IFERROR(CV115/CS115,0)</f>
        <v>-1</v>
      </c>
      <c r="CY115" s="750"/>
    </row>
    <row r="116" spans="1:103" hidden="1" outlineLevel="2">
      <c r="A116" s="734">
        <v>5297</v>
      </c>
      <c r="B116" s="833" t="s">
        <v>868</v>
      </c>
      <c r="C116" s="874"/>
      <c r="D116" s="762">
        <v>0</v>
      </c>
      <c r="E116" s="762">
        <v>0</v>
      </c>
      <c r="F116" s="762">
        <v>0</v>
      </c>
      <c r="G116" s="762">
        <v>0</v>
      </c>
      <c r="H116" s="762">
        <v>0</v>
      </c>
      <c r="I116" s="762">
        <v>0</v>
      </c>
      <c r="J116" s="762">
        <v>0</v>
      </c>
      <c r="K116" s="762">
        <v>0</v>
      </c>
      <c r="L116" s="935">
        <v>0</v>
      </c>
      <c r="M116" s="744">
        <f t="shared" si="167"/>
        <v>0</v>
      </c>
      <c r="N116" s="888">
        <f t="shared" si="183"/>
        <v>0</v>
      </c>
      <c r="O116" s="874"/>
      <c r="P116" s="762">
        <v>0</v>
      </c>
      <c r="Q116" s="762">
        <v>0</v>
      </c>
      <c r="R116" s="762">
        <v>-294</v>
      </c>
      <c r="S116" s="762">
        <v>0</v>
      </c>
      <c r="T116" s="762">
        <v>-34</v>
      </c>
      <c r="U116" s="762">
        <v>0</v>
      </c>
      <c r="V116" s="762">
        <v>0</v>
      </c>
      <c r="W116" s="762">
        <v>0</v>
      </c>
      <c r="X116" s="935">
        <v>0</v>
      </c>
      <c r="Y116" s="744">
        <f t="shared" si="168"/>
        <v>-328</v>
      </c>
      <c r="Z116" s="888">
        <f t="shared" si="184"/>
        <v>-6.2324001200877099E-4</v>
      </c>
      <c r="AA116" s="874"/>
      <c r="AB116" s="762">
        <v>0</v>
      </c>
      <c r="AC116" s="762">
        <v>0</v>
      </c>
      <c r="AD116" s="762">
        <v>0</v>
      </c>
      <c r="AE116" s="762">
        <v>0</v>
      </c>
      <c r="AF116" s="762">
        <v>0</v>
      </c>
      <c r="AG116" s="762">
        <v>0</v>
      </c>
      <c r="AH116" s="762">
        <v>0</v>
      </c>
      <c r="AI116" s="762">
        <v>0</v>
      </c>
      <c r="AJ116" s="935">
        <v>0</v>
      </c>
      <c r="AK116" s="744">
        <f t="shared" si="169"/>
        <v>0</v>
      </c>
      <c r="AL116" s="888">
        <f t="shared" si="185"/>
        <v>0</v>
      </c>
      <c r="AM116" s="874"/>
      <c r="AN116" s="762">
        <v>-123</v>
      </c>
      <c r="AO116" s="762">
        <v>-55</v>
      </c>
      <c r="AP116" s="762">
        <v>0</v>
      </c>
      <c r="AQ116" s="762">
        <v>0</v>
      </c>
      <c r="AR116" s="762">
        <v>-50</v>
      </c>
      <c r="AS116" s="762">
        <v>-15</v>
      </c>
      <c r="AT116" s="762">
        <v>-15</v>
      </c>
      <c r="AU116" s="762">
        <v>0</v>
      </c>
      <c r="AV116" s="935">
        <v>-29</v>
      </c>
      <c r="AW116" s="744">
        <f t="shared" si="170"/>
        <v>-287</v>
      </c>
      <c r="AX116" s="888">
        <f t="shared" si="186"/>
        <v>-5.4046521437825783E-4</v>
      </c>
      <c r="AY116" s="874"/>
      <c r="AZ116" s="762">
        <v>-17</v>
      </c>
      <c r="BA116" s="762">
        <v>0</v>
      </c>
      <c r="BB116" s="762">
        <v>0</v>
      </c>
      <c r="BC116" s="762">
        <v>0</v>
      </c>
      <c r="BD116" s="762">
        <v>0</v>
      </c>
      <c r="BE116" s="762">
        <v>0</v>
      </c>
      <c r="BF116" s="762">
        <v>-17</v>
      </c>
      <c r="BG116" s="762">
        <v>0</v>
      </c>
      <c r="BH116" s="935">
        <v>0</v>
      </c>
      <c r="BI116" s="744">
        <f t="shared" si="171"/>
        <v>-34</v>
      </c>
      <c r="BJ116" s="888">
        <f t="shared" si="187"/>
        <v>-6.8556127304695688E-5</v>
      </c>
      <c r="BK116" s="874"/>
      <c r="BL116" s="762">
        <v>-995</v>
      </c>
      <c r="BM116" s="762">
        <v>-450</v>
      </c>
      <c r="BN116" s="762">
        <v>0</v>
      </c>
      <c r="BO116" s="762">
        <v>-179</v>
      </c>
      <c r="BP116" s="762">
        <v>0</v>
      </c>
      <c r="BQ116" s="762">
        <v>0</v>
      </c>
      <c r="BR116" s="762">
        <v>0</v>
      </c>
      <c r="BS116" s="762">
        <v>0</v>
      </c>
      <c r="BT116" s="935">
        <v>0</v>
      </c>
      <c r="BU116" s="744">
        <f t="shared" si="172"/>
        <v>-1624</v>
      </c>
      <c r="BV116" s="888">
        <f t="shared" si="188"/>
        <v>-3.2671191814498445E-3</v>
      </c>
      <c r="BW116" s="874"/>
      <c r="BX116" s="762">
        <v>-1311</v>
      </c>
      <c r="BY116" s="762">
        <v>-108</v>
      </c>
      <c r="BZ116" s="762">
        <v>0</v>
      </c>
      <c r="CA116" s="762">
        <v>124</v>
      </c>
      <c r="CB116" s="762">
        <v>-73</v>
      </c>
      <c r="CC116" s="762">
        <v>-2129</v>
      </c>
      <c r="CD116" s="762">
        <v>-2003</v>
      </c>
      <c r="CE116" s="762">
        <v>0</v>
      </c>
      <c r="CF116" s="935">
        <v>0</v>
      </c>
      <c r="CG116" s="744">
        <f t="shared" si="173"/>
        <v>-5500</v>
      </c>
      <c r="CH116" s="888">
        <f t="shared" si="189"/>
        <v>-1.1458619798828304E-2</v>
      </c>
      <c r="CI116" s="948"/>
      <c r="CJ116" s="957">
        <f t="shared" si="136"/>
        <v>-3876</v>
      </c>
      <c r="CK116" s="965">
        <f t="shared" si="137"/>
        <v>2.3866995073891624</v>
      </c>
      <c r="CL116" s="746"/>
      <c r="CM116" s="816">
        <f>-DATOS!D192</f>
        <v>-7773</v>
      </c>
      <c r="CN116" s="757">
        <f t="shared" si="166"/>
        <v>-2.5551718067871976E-3</v>
      </c>
      <c r="CO116" s="746"/>
      <c r="CP116" s="744">
        <f>-DATOS!F192+28</f>
        <v>-428</v>
      </c>
      <c r="CQ116" s="756">
        <f t="shared" si="131"/>
        <v>-8.307509853036657E-4</v>
      </c>
      <c r="CR116" s="874"/>
      <c r="CS116" s="816">
        <f>-DATOS!G192</f>
        <v>-5887</v>
      </c>
      <c r="CT116" s="757">
        <f>+CS116/CS$13</f>
        <v>-2.0031082714557073E-3</v>
      </c>
      <c r="CU116" s="874"/>
      <c r="CV116" s="897">
        <f t="shared" si="190"/>
        <v>-1886</v>
      </c>
      <c r="CW116" s="902">
        <f t="shared" si="132"/>
        <v>0.32036691014098861</v>
      </c>
      <c r="CY116" s="750"/>
    </row>
    <row r="117" spans="1:103" hidden="1" outlineLevel="1">
      <c r="A117" s="734"/>
      <c r="B117" s="833"/>
      <c r="C117" s="874"/>
      <c r="D117" s="847"/>
      <c r="E117" s="847"/>
      <c r="F117" s="847"/>
      <c r="G117" s="847"/>
      <c r="H117" s="847"/>
      <c r="I117" s="847"/>
      <c r="J117" s="847"/>
      <c r="K117" s="847"/>
      <c r="L117" s="939"/>
      <c r="M117" s="848"/>
      <c r="N117" s="884"/>
      <c r="O117" s="874"/>
      <c r="P117" s="847"/>
      <c r="Q117" s="847"/>
      <c r="R117" s="847"/>
      <c r="S117" s="847"/>
      <c r="T117" s="847"/>
      <c r="U117" s="847"/>
      <c r="V117" s="847"/>
      <c r="W117" s="847"/>
      <c r="X117" s="939"/>
      <c r="Y117" s="848"/>
      <c r="Z117" s="884"/>
      <c r="AA117" s="874"/>
      <c r="AB117" s="847"/>
      <c r="AC117" s="847"/>
      <c r="AD117" s="847"/>
      <c r="AE117" s="847"/>
      <c r="AF117" s="847"/>
      <c r="AG117" s="847"/>
      <c r="AH117" s="847"/>
      <c r="AI117" s="847"/>
      <c r="AJ117" s="939"/>
      <c r="AK117" s="848"/>
      <c r="AL117" s="884"/>
      <c r="AM117" s="874"/>
      <c r="AN117" s="847"/>
      <c r="AO117" s="847"/>
      <c r="AP117" s="847"/>
      <c r="AQ117" s="847"/>
      <c r="AR117" s="847"/>
      <c r="AS117" s="847"/>
      <c r="AT117" s="847"/>
      <c r="AU117" s="847"/>
      <c r="AV117" s="939"/>
      <c r="AW117" s="848"/>
      <c r="AX117" s="884"/>
      <c r="AY117" s="874"/>
      <c r="AZ117" s="847"/>
      <c r="BA117" s="847"/>
      <c r="BB117" s="847"/>
      <c r="BC117" s="847"/>
      <c r="BD117" s="847"/>
      <c r="BE117" s="847"/>
      <c r="BF117" s="847"/>
      <c r="BG117" s="847"/>
      <c r="BH117" s="939"/>
      <c r="BI117" s="848"/>
      <c r="BJ117" s="884"/>
      <c r="BK117" s="874"/>
      <c r="BL117" s="847"/>
      <c r="BM117" s="847"/>
      <c r="BN117" s="847"/>
      <c r="BO117" s="847"/>
      <c r="BP117" s="847"/>
      <c r="BQ117" s="847"/>
      <c r="BR117" s="847"/>
      <c r="BS117" s="847"/>
      <c r="BT117" s="939"/>
      <c r="BU117" s="848"/>
      <c r="BV117" s="884"/>
      <c r="BW117" s="874"/>
      <c r="BX117" s="847"/>
      <c r="BY117" s="847"/>
      <c r="BZ117" s="847"/>
      <c r="CA117" s="847"/>
      <c r="CB117" s="847"/>
      <c r="CC117" s="847"/>
      <c r="CD117" s="847"/>
      <c r="CE117" s="847"/>
      <c r="CF117" s="939"/>
      <c r="CG117" s="848"/>
      <c r="CH117" s="884"/>
      <c r="CI117" s="874"/>
      <c r="CJ117" s="848">
        <f t="shared" si="136"/>
        <v>0</v>
      </c>
      <c r="CK117" s="884"/>
      <c r="CL117" s="746"/>
      <c r="CM117" s="846"/>
      <c r="CN117" s="843"/>
      <c r="CO117" s="746"/>
      <c r="CP117" s="848"/>
      <c r="CQ117" s="843"/>
      <c r="CR117" s="874"/>
      <c r="CS117" s="846"/>
      <c r="CT117" s="843"/>
      <c r="CU117" s="874"/>
      <c r="CV117" s="848"/>
      <c r="CW117" s="884"/>
      <c r="CY117" s="750"/>
    </row>
    <row r="118" spans="1:103" hidden="1" outlineLevel="1">
      <c r="A118" s="739">
        <v>51</v>
      </c>
      <c r="B118" s="836" t="s">
        <v>869</v>
      </c>
      <c r="C118" s="879"/>
      <c r="D118" s="758">
        <f>SUM(D119:D122)</f>
        <v>0</v>
      </c>
      <c r="E118" s="758">
        <f t="shared" ref="E118:L118" si="194">SUM(E119:E122)</f>
        <v>0</v>
      </c>
      <c r="F118" s="758">
        <f t="shared" si="194"/>
        <v>0</v>
      </c>
      <c r="G118" s="758">
        <f t="shared" si="194"/>
        <v>0</v>
      </c>
      <c r="H118" s="758">
        <f t="shared" si="194"/>
        <v>0</v>
      </c>
      <c r="I118" s="758">
        <f t="shared" si="194"/>
        <v>0</v>
      </c>
      <c r="J118" s="758">
        <f t="shared" si="194"/>
        <v>0</v>
      </c>
      <c r="K118" s="758">
        <f t="shared" si="194"/>
        <v>0</v>
      </c>
      <c r="L118" s="937">
        <f t="shared" si="194"/>
        <v>0</v>
      </c>
      <c r="M118" s="772">
        <f>SUM(D118:L118)</f>
        <v>0</v>
      </c>
      <c r="N118" s="887">
        <f t="shared" ref="N118:N132" si="195">+M118/M$13</f>
        <v>0</v>
      </c>
      <c r="O118" s="879"/>
      <c r="P118" s="758">
        <f>SUM(P119:P122)</f>
        <v>0</v>
      </c>
      <c r="Q118" s="758">
        <f t="shared" ref="Q118:X118" si="196">SUM(Q119:Q122)</f>
        <v>0</v>
      </c>
      <c r="R118" s="758">
        <f t="shared" si="196"/>
        <v>0</v>
      </c>
      <c r="S118" s="758">
        <f t="shared" si="196"/>
        <v>0</v>
      </c>
      <c r="T118" s="758">
        <f t="shared" si="196"/>
        <v>0</v>
      </c>
      <c r="U118" s="758">
        <f t="shared" si="196"/>
        <v>0</v>
      </c>
      <c r="V118" s="758">
        <f t="shared" si="196"/>
        <v>0</v>
      </c>
      <c r="W118" s="758">
        <f t="shared" si="196"/>
        <v>0</v>
      </c>
      <c r="X118" s="937">
        <f t="shared" si="196"/>
        <v>0</v>
      </c>
      <c r="Y118" s="772">
        <f>SUM(P118:X118)</f>
        <v>0</v>
      </c>
      <c r="Z118" s="887">
        <f t="shared" ref="Z118:Z132" si="197">+Y118/Y$13</f>
        <v>0</v>
      </c>
      <c r="AA118" s="879"/>
      <c r="AB118" s="758">
        <f>SUM(AB119:AB122)</f>
        <v>0</v>
      </c>
      <c r="AC118" s="758">
        <f t="shared" ref="AC118:AJ118" si="198">SUM(AC119:AC122)</f>
        <v>0</v>
      </c>
      <c r="AD118" s="758">
        <f t="shared" si="198"/>
        <v>0</v>
      </c>
      <c r="AE118" s="758">
        <f t="shared" si="198"/>
        <v>0</v>
      </c>
      <c r="AF118" s="758">
        <f t="shared" si="198"/>
        <v>0</v>
      </c>
      <c r="AG118" s="758">
        <f t="shared" si="198"/>
        <v>0</v>
      </c>
      <c r="AH118" s="758">
        <f t="shared" si="198"/>
        <v>0</v>
      </c>
      <c r="AI118" s="758">
        <f t="shared" si="198"/>
        <v>0</v>
      </c>
      <c r="AJ118" s="937">
        <f t="shared" si="198"/>
        <v>0</v>
      </c>
      <c r="AK118" s="772">
        <f>SUM(AB118:AJ118)</f>
        <v>0</v>
      </c>
      <c r="AL118" s="887">
        <f t="shared" ref="AL118:AL132" si="199">+AK118/AK$13</f>
        <v>0</v>
      </c>
      <c r="AM118" s="879"/>
      <c r="AN118" s="758">
        <f>SUM(AN119:AN122)</f>
        <v>0</v>
      </c>
      <c r="AO118" s="758">
        <f t="shared" ref="AO118:AV118" si="200">SUM(AO119:AO122)</f>
        <v>0</v>
      </c>
      <c r="AP118" s="758">
        <f t="shared" si="200"/>
        <v>0</v>
      </c>
      <c r="AQ118" s="758">
        <f t="shared" si="200"/>
        <v>0</v>
      </c>
      <c r="AR118" s="758">
        <f t="shared" si="200"/>
        <v>0</v>
      </c>
      <c r="AS118" s="758">
        <f t="shared" si="200"/>
        <v>0</v>
      </c>
      <c r="AT118" s="758">
        <f t="shared" si="200"/>
        <v>0</v>
      </c>
      <c r="AU118" s="758">
        <f t="shared" si="200"/>
        <v>0</v>
      </c>
      <c r="AV118" s="937">
        <f t="shared" si="200"/>
        <v>0</v>
      </c>
      <c r="AW118" s="772">
        <f>SUM(AN118:AV118)</f>
        <v>0</v>
      </c>
      <c r="AX118" s="887">
        <f t="shared" ref="AX118:AX132" si="201">+AW118/AW$13</f>
        <v>0</v>
      </c>
      <c r="AY118" s="879"/>
      <c r="AZ118" s="758">
        <f>SUM(AZ119:AZ122)</f>
        <v>0</v>
      </c>
      <c r="BA118" s="758">
        <f t="shared" ref="BA118:BH118" si="202">SUM(BA119:BA122)</f>
        <v>0</v>
      </c>
      <c r="BB118" s="758">
        <f t="shared" si="202"/>
        <v>0</v>
      </c>
      <c r="BC118" s="758">
        <f t="shared" si="202"/>
        <v>0</v>
      </c>
      <c r="BD118" s="758">
        <f t="shared" si="202"/>
        <v>0</v>
      </c>
      <c r="BE118" s="758">
        <f t="shared" si="202"/>
        <v>0</v>
      </c>
      <c r="BF118" s="758">
        <f t="shared" si="202"/>
        <v>0</v>
      </c>
      <c r="BG118" s="758">
        <f t="shared" si="202"/>
        <v>0</v>
      </c>
      <c r="BH118" s="937">
        <f t="shared" si="202"/>
        <v>0</v>
      </c>
      <c r="BI118" s="772">
        <f>SUM(AZ118:BH118)</f>
        <v>0</v>
      </c>
      <c r="BJ118" s="887">
        <f t="shared" ref="BJ118:BJ132" si="203">+BI118/BI$13</f>
        <v>0</v>
      </c>
      <c r="BK118" s="879"/>
      <c r="BL118" s="758">
        <f>SUM(BL119:BL122)</f>
        <v>0</v>
      </c>
      <c r="BM118" s="758">
        <f t="shared" ref="BM118:BT118" si="204">SUM(BM119:BM122)</f>
        <v>0</v>
      </c>
      <c r="BN118" s="758">
        <f t="shared" si="204"/>
        <v>0</v>
      </c>
      <c r="BO118" s="758">
        <f t="shared" si="204"/>
        <v>0</v>
      </c>
      <c r="BP118" s="758">
        <f t="shared" si="204"/>
        <v>0</v>
      </c>
      <c r="BQ118" s="758">
        <f t="shared" si="204"/>
        <v>0</v>
      </c>
      <c r="BR118" s="758">
        <f t="shared" si="204"/>
        <v>0</v>
      </c>
      <c r="BS118" s="758">
        <f t="shared" si="204"/>
        <v>0</v>
      </c>
      <c r="BT118" s="937">
        <f t="shared" si="204"/>
        <v>0</v>
      </c>
      <c r="BU118" s="772">
        <f>SUM(BL118:BT118)</f>
        <v>0</v>
      </c>
      <c r="BV118" s="887">
        <f t="shared" ref="BV118:BV132" si="205">+BU118/BU$13</f>
        <v>0</v>
      </c>
      <c r="BW118" s="879"/>
      <c r="BX118" s="758">
        <f>SUM(BX119:BX122)</f>
        <v>0</v>
      </c>
      <c r="BY118" s="758">
        <f t="shared" ref="BY118:CF118" si="206">SUM(BY119:BY122)</f>
        <v>0</v>
      </c>
      <c r="BZ118" s="758">
        <f t="shared" si="206"/>
        <v>0</v>
      </c>
      <c r="CA118" s="758">
        <f t="shared" si="206"/>
        <v>0</v>
      </c>
      <c r="CB118" s="758">
        <f t="shared" si="206"/>
        <v>0</v>
      </c>
      <c r="CC118" s="758">
        <f t="shared" si="206"/>
        <v>0</v>
      </c>
      <c r="CD118" s="758">
        <f t="shared" si="206"/>
        <v>0</v>
      </c>
      <c r="CE118" s="758">
        <f t="shared" si="206"/>
        <v>0</v>
      </c>
      <c r="CF118" s="937">
        <f t="shared" si="206"/>
        <v>0</v>
      </c>
      <c r="CG118" s="772">
        <f>SUM(BX118:CF118)</f>
        <v>0</v>
      </c>
      <c r="CH118" s="887">
        <f t="shared" ref="CH118:CH132" si="207">+CG118/CG$13</f>
        <v>0</v>
      </c>
      <c r="CI118" s="874"/>
      <c r="CJ118" s="957">
        <f t="shared" ref="CJ118:CJ132" si="208">+CG118-BU118</f>
        <v>0</v>
      </c>
      <c r="CK118" s="964">
        <f t="shared" ref="CK118:CK132" si="209">IFERROR(+CJ118/BU118,0%)</f>
        <v>0</v>
      </c>
      <c r="CL118" s="746"/>
      <c r="CM118" s="816">
        <v>0</v>
      </c>
      <c r="CN118" s="757">
        <f t="shared" ref="CN118:CN119" si="210">+CM118/CM$13</f>
        <v>0</v>
      </c>
      <c r="CO118" s="746"/>
      <c r="CP118" s="744">
        <f>+SUM(CP119:CP122)</f>
        <v>0</v>
      </c>
      <c r="CQ118" s="756">
        <f t="shared" si="131"/>
        <v>0</v>
      </c>
      <c r="CR118" s="874"/>
      <c r="CS118" s="760">
        <f>+SUM(CS119:CS122)</f>
        <v>0</v>
      </c>
      <c r="CT118" s="767">
        <f t="shared" ref="CT118:CT126" si="211">+CS118/CS$13</f>
        <v>0</v>
      </c>
      <c r="CU118" s="874"/>
      <c r="CV118" s="897">
        <f>+CM118-CS118</f>
        <v>0</v>
      </c>
      <c r="CW118" s="902">
        <f t="shared" si="132"/>
        <v>0</v>
      </c>
      <c r="CY118" s="750"/>
    </row>
    <row r="119" spans="1:103" hidden="1" outlineLevel="2">
      <c r="A119" s="734">
        <v>5104</v>
      </c>
      <c r="B119" s="833" t="s">
        <v>870</v>
      </c>
      <c r="C119" s="879"/>
      <c r="D119" s="762">
        <v>0</v>
      </c>
      <c r="E119" s="762">
        <v>0</v>
      </c>
      <c r="F119" s="762">
        <v>0</v>
      </c>
      <c r="G119" s="762">
        <v>0</v>
      </c>
      <c r="H119" s="762">
        <v>0</v>
      </c>
      <c r="I119" s="762">
        <v>0</v>
      </c>
      <c r="J119" s="762">
        <v>0</v>
      </c>
      <c r="K119" s="762">
        <v>0</v>
      </c>
      <c r="L119" s="935">
        <v>0</v>
      </c>
      <c r="M119" s="744">
        <f>SUM(D119:L119)</f>
        <v>0</v>
      </c>
      <c r="N119" s="887">
        <f t="shared" si="195"/>
        <v>0</v>
      </c>
      <c r="O119" s="879"/>
      <c r="P119" s="762">
        <v>0</v>
      </c>
      <c r="Q119" s="762">
        <v>0</v>
      </c>
      <c r="R119" s="762">
        <v>0</v>
      </c>
      <c r="S119" s="762">
        <v>0</v>
      </c>
      <c r="T119" s="762">
        <v>0</v>
      </c>
      <c r="U119" s="762">
        <v>0</v>
      </c>
      <c r="V119" s="762">
        <v>0</v>
      </c>
      <c r="W119" s="762">
        <v>0</v>
      </c>
      <c r="X119" s="935">
        <v>0</v>
      </c>
      <c r="Y119" s="744">
        <f>SUM(P119:X119)</f>
        <v>0</v>
      </c>
      <c r="Z119" s="887">
        <f t="shared" si="197"/>
        <v>0</v>
      </c>
      <c r="AA119" s="879"/>
      <c r="AB119" s="762">
        <v>0</v>
      </c>
      <c r="AC119" s="762">
        <v>0</v>
      </c>
      <c r="AD119" s="762">
        <v>0</v>
      </c>
      <c r="AE119" s="762">
        <v>0</v>
      </c>
      <c r="AF119" s="762">
        <v>0</v>
      </c>
      <c r="AG119" s="762">
        <v>0</v>
      </c>
      <c r="AH119" s="762">
        <v>0</v>
      </c>
      <c r="AI119" s="762">
        <v>0</v>
      </c>
      <c r="AJ119" s="935">
        <v>0</v>
      </c>
      <c r="AK119" s="744">
        <f>SUM(AB119:AJ119)</f>
        <v>0</v>
      </c>
      <c r="AL119" s="887">
        <f t="shared" si="199"/>
        <v>0</v>
      </c>
      <c r="AM119" s="879"/>
      <c r="AN119" s="762">
        <v>0</v>
      </c>
      <c r="AO119" s="762">
        <v>0</v>
      </c>
      <c r="AP119" s="762">
        <v>0</v>
      </c>
      <c r="AQ119" s="762">
        <v>0</v>
      </c>
      <c r="AR119" s="762">
        <v>0</v>
      </c>
      <c r="AS119" s="762">
        <v>0</v>
      </c>
      <c r="AT119" s="762">
        <v>0</v>
      </c>
      <c r="AU119" s="762">
        <v>0</v>
      </c>
      <c r="AV119" s="935">
        <v>0</v>
      </c>
      <c r="AW119" s="744">
        <f>SUM(AN119:AV119)</f>
        <v>0</v>
      </c>
      <c r="AX119" s="887">
        <f t="shared" si="201"/>
        <v>0</v>
      </c>
      <c r="AY119" s="879"/>
      <c r="AZ119" s="762">
        <v>0</v>
      </c>
      <c r="BA119" s="762">
        <v>0</v>
      </c>
      <c r="BB119" s="762">
        <v>0</v>
      </c>
      <c r="BC119" s="762">
        <v>0</v>
      </c>
      <c r="BD119" s="762">
        <v>0</v>
      </c>
      <c r="BE119" s="762">
        <v>0</v>
      </c>
      <c r="BF119" s="762">
        <v>0</v>
      </c>
      <c r="BG119" s="762">
        <v>0</v>
      </c>
      <c r="BH119" s="935">
        <v>0</v>
      </c>
      <c r="BI119" s="744">
        <f>SUM(AZ119:BH119)</f>
        <v>0</v>
      </c>
      <c r="BJ119" s="887">
        <f t="shared" si="203"/>
        <v>0</v>
      </c>
      <c r="BK119" s="879"/>
      <c r="BL119" s="762">
        <v>0</v>
      </c>
      <c r="BM119" s="762">
        <v>0</v>
      </c>
      <c r="BN119" s="762">
        <v>0</v>
      </c>
      <c r="BO119" s="762">
        <v>0</v>
      </c>
      <c r="BP119" s="762">
        <v>0</v>
      </c>
      <c r="BQ119" s="762">
        <v>0</v>
      </c>
      <c r="BR119" s="762">
        <v>0</v>
      </c>
      <c r="BS119" s="762">
        <v>0</v>
      </c>
      <c r="BT119" s="935">
        <v>0</v>
      </c>
      <c r="BU119" s="744">
        <f>SUM(BL119:BT119)</f>
        <v>0</v>
      </c>
      <c r="BV119" s="887">
        <f t="shared" si="205"/>
        <v>0</v>
      </c>
      <c r="BW119" s="879"/>
      <c r="BX119" s="762">
        <v>0</v>
      </c>
      <c r="BY119" s="762">
        <v>0</v>
      </c>
      <c r="BZ119" s="762">
        <v>0</v>
      </c>
      <c r="CA119" s="762">
        <v>0</v>
      </c>
      <c r="CB119" s="762">
        <v>0</v>
      </c>
      <c r="CC119" s="762">
        <v>0</v>
      </c>
      <c r="CD119" s="762">
        <v>0</v>
      </c>
      <c r="CE119" s="762">
        <v>0</v>
      </c>
      <c r="CF119" s="935">
        <v>0</v>
      </c>
      <c r="CG119" s="744">
        <f>SUM(BX119:CF119)</f>
        <v>0</v>
      </c>
      <c r="CH119" s="887">
        <f t="shared" si="207"/>
        <v>0</v>
      </c>
      <c r="CI119" s="879"/>
      <c r="CJ119" s="957">
        <f t="shared" si="208"/>
        <v>0</v>
      </c>
      <c r="CK119" s="964">
        <f t="shared" si="209"/>
        <v>0</v>
      </c>
      <c r="CL119" s="766"/>
      <c r="CM119" s="816">
        <v>0</v>
      </c>
      <c r="CN119" s="767">
        <f t="shared" si="210"/>
        <v>0</v>
      </c>
      <c r="CO119" s="766"/>
      <c r="CP119" s="744">
        <f>SUM(CI119:CO119)</f>
        <v>0</v>
      </c>
      <c r="CQ119" s="765">
        <f t="shared" si="131"/>
        <v>0</v>
      </c>
      <c r="CR119" s="879"/>
      <c r="CS119" s="816">
        <f>+CP119</f>
        <v>0</v>
      </c>
      <c r="CT119" s="767">
        <f t="shared" si="211"/>
        <v>0</v>
      </c>
      <c r="CU119" s="879"/>
      <c r="CV119" s="897">
        <f>+CM119-CS119</f>
        <v>0</v>
      </c>
      <c r="CW119" s="906">
        <f t="shared" si="132"/>
        <v>0</v>
      </c>
      <c r="CY119" s="750"/>
    </row>
    <row r="120" spans="1:103" hidden="1" outlineLevel="2">
      <c r="A120" s="734">
        <v>5105</v>
      </c>
      <c r="B120" s="833" t="s">
        <v>871</v>
      </c>
      <c r="C120" s="874"/>
      <c r="D120" s="762">
        <v>0</v>
      </c>
      <c r="E120" s="762">
        <v>0</v>
      </c>
      <c r="F120" s="762">
        <v>0</v>
      </c>
      <c r="G120" s="762">
        <v>0</v>
      </c>
      <c r="H120" s="762">
        <v>0</v>
      </c>
      <c r="I120" s="762">
        <v>0</v>
      </c>
      <c r="J120" s="762">
        <v>0</v>
      </c>
      <c r="K120" s="762">
        <v>0</v>
      </c>
      <c r="L120" s="935">
        <v>0</v>
      </c>
      <c r="M120" s="744">
        <f>SUM(D120:L120)</f>
        <v>0</v>
      </c>
      <c r="N120" s="888">
        <f t="shared" si="195"/>
        <v>0</v>
      </c>
      <c r="O120" s="874"/>
      <c r="P120" s="762">
        <v>0</v>
      </c>
      <c r="Q120" s="762">
        <v>0</v>
      </c>
      <c r="R120" s="762">
        <v>0</v>
      </c>
      <c r="S120" s="762">
        <v>0</v>
      </c>
      <c r="T120" s="762">
        <v>0</v>
      </c>
      <c r="U120" s="762">
        <v>0</v>
      </c>
      <c r="V120" s="762">
        <v>0</v>
      </c>
      <c r="W120" s="762">
        <v>0</v>
      </c>
      <c r="X120" s="935">
        <v>0</v>
      </c>
      <c r="Y120" s="744">
        <f>SUM(P120:X120)</f>
        <v>0</v>
      </c>
      <c r="Z120" s="888">
        <f t="shared" si="197"/>
        <v>0</v>
      </c>
      <c r="AA120" s="874"/>
      <c r="AB120" s="762">
        <v>0</v>
      </c>
      <c r="AC120" s="762">
        <v>0</v>
      </c>
      <c r="AD120" s="762">
        <v>0</v>
      </c>
      <c r="AE120" s="762">
        <v>0</v>
      </c>
      <c r="AF120" s="762">
        <v>0</v>
      </c>
      <c r="AG120" s="762">
        <v>0</v>
      </c>
      <c r="AH120" s="762">
        <v>0</v>
      </c>
      <c r="AI120" s="762">
        <v>0</v>
      </c>
      <c r="AJ120" s="935">
        <v>0</v>
      </c>
      <c r="AK120" s="744">
        <f>SUM(AB120:AJ120)</f>
        <v>0</v>
      </c>
      <c r="AL120" s="888">
        <f t="shared" si="199"/>
        <v>0</v>
      </c>
      <c r="AM120" s="874"/>
      <c r="AN120" s="762">
        <v>0</v>
      </c>
      <c r="AO120" s="762">
        <v>0</v>
      </c>
      <c r="AP120" s="762">
        <v>0</v>
      </c>
      <c r="AQ120" s="762">
        <v>0</v>
      </c>
      <c r="AR120" s="762">
        <v>0</v>
      </c>
      <c r="AS120" s="762">
        <v>0</v>
      </c>
      <c r="AT120" s="762">
        <v>0</v>
      </c>
      <c r="AU120" s="762">
        <v>0</v>
      </c>
      <c r="AV120" s="935">
        <v>0</v>
      </c>
      <c r="AW120" s="744">
        <f>SUM(AN120:AV120)</f>
        <v>0</v>
      </c>
      <c r="AX120" s="888">
        <f t="shared" si="201"/>
        <v>0</v>
      </c>
      <c r="AY120" s="874"/>
      <c r="AZ120" s="762">
        <v>0</v>
      </c>
      <c r="BA120" s="762">
        <v>0</v>
      </c>
      <c r="BB120" s="762">
        <v>0</v>
      </c>
      <c r="BC120" s="762">
        <v>0</v>
      </c>
      <c r="BD120" s="762">
        <v>0</v>
      </c>
      <c r="BE120" s="762">
        <v>0</v>
      </c>
      <c r="BF120" s="762">
        <v>0</v>
      </c>
      <c r="BG120" s="762">
        <v>0</v>
      </c>
      <c r="BH120" s="935">
        <v>0</v>
      </c>
      <c r="BI120" s="744">
        <f>SUM(AZ120:BH120)</f>
        <v>0</v>
      </c>
      <c r="BJ120" s="888">
        <f t="shared" si="203"/>
        <v>0</v>
      </c>
      <c r="BK120" s="874"/>
      <c r="BL120" s="762">
        <v>0</v>
      </c>
      <c r="BM120" s="762">
        <v>0</v>
      </c>
      <c r="BN120" s="762">
        <v>0</v>
      </c>
      <c r="BO120" s="762">
        <v>0</v>
      </c>
      <c r="BP120" s="762">
        <v>0</v>
      </c>
      <c r="BQ120" s="762">
        <v>0</v>
      </c>
      <c r="BR120" s="762">
        <v>0</v>
      </c>
      <c r="BS120" s="762">
        <v>0</v>
      </c>
      <c r="BT120" s="935">
        <v>0</v>
      </c>
      <c r="BU120" s="744">
        <f>SUM(BL120:BT120)</f>
        <v>0</v>
      </c>
      <c r="BV120" s="888">
        <f t="shared" si="205"/>
        <v>0</v>
      </c>
      <c r="BW120" s="874"/>
      <c r="BX120" s="762">
        <v>0</v>
      </c>
      <c r="BY120" s="762">
        <v>0</v>
      </c>
      <c r="BZ120" s="762">
        <v>0</v>
      </c>
      <c r="CA120" s="762">
        <v>0</v>
      </c>
      <c r="CB120" s="762">
        <v>0</v>
      </c>
      <c r="CC120" s="762">
        <v>0</v>
      </c>
      <c r="CD120" s="762">
        <v>0</v>
      </c>
      <c r="CE120" s="762">
        <v>0</v>
      </c>
      <c r="CF120" s="935">
        <v>0</v>
      </c>
      <c r="CG120" s="744">
        <f>SUM(BX120:CF120)</f>
        <v>0</v>
      </c>
      <c r="CH120" s="888">
        <f t="shared" si="207"/>
        <v>0</v>
      </c>
      <c r="CI120" s="874"/>
      <c r="CJ120" s="957">
        <f t="shared" si="208"/>
        <v>0</v>
      </c>
      <c r="CK120" s="965">
        <f t="shared" si="209"/>
        <v>0</v>
      </c>
      <c r="CL120" s="766"/>
      <c r="CM120" s="816">
        <v>0</v>
      </c>
      <c r="CN120" s="757">
        <f t="shared" ref="CN120:CN132" si="212">+CM120/CM$13</f>
        <v>0</v>
      </c>
      <c r="CO120" s="766"/>
      <c r="CP120" s="744"/>
      <c r="CQ120" s="756">
        <f t="shared" si="131"/>
        <v>0</v>
      </c>
      <c r="CR120" s="874"/>
      <c r="CS120" s="816"/>
      <c r="CT120" s="757">
        <f t="shared" si="211"/>
        <v>0</v>
      </c>
      <c r="CU120" s="874"/>
      <c r="CV120" s="897">
        <f>+CM120-CS120</f>
        <v>0</v>
      </c>
      <c r="CW120" s="902">
        <f t="shared" si="132"/>
        <v>0</v>
      </c>
      <c r="CY120" s="750"/>
    </row>
    <row r="121" spans="1:103" hidden="1" outlineLevel="2">
      <c r="A121" s="734">
        <v>51351001</v>
      </c>
      <c r="B121" s="833" t="s">
        <v>854</v>
      </c>
      <c r="C121" s="874"/>
      <c r="D121" s="744">
        <v>0</v>
      </c>
      <c r="E121" s="744">
        <v>0</v>
      </c>
      <c r="F121" s="744">
        <v>0</v>
      </c>
      <c r="G121" s="744">
        <v>0</v>
      </c>
      <c r="H121" s="744">
        <v>0</v>
      </c>
      <c r="I121" s="744">
        <v>0</v>
      </c>
      <c r="J121" s="744">
        <v>0</v>
      </c>
      <c r="K121" s="744">
        <v>0</v>
      </c>
      <c r="L121" s="932">
        <v>0</v>
      </c>
      <c r="M121" s="744">
        <f>SUM(D121:L121)</f>
        <v>0</v>
      </c>
      <c r="N121" s="888">
        <f t="shared" si="195"/>
        <v>0</v>
      </c>
      <c r="O121" s="874"/>
      <c r="P121" s="744">
        <v>0</v>
      </c>
      <c r="Q121" s="744">
        <v>0</v>
      </c>
      <c r="R121" s="744">
        <v>0</v>
      </c>
      <c r="S121" s="744">
        <v>0</v>
      </c>
      <c r="T121" s="744">
        <v>0</v>
      </c>
      <c r="U121" s="744">
        <v>0</v>
      </c>
      <c r="V121" s="744">
        <v>0</v>
      </c>
      <c r="W121" s="744">
        <v>0</v>
      </c>
      <c r="X121" s="932">
        <v>0</v>
      </c>
      <c r="Y121" s="744">
        <f>SUM(P121:X121)</f>
        <v>0</v>
      </c>
      <c r="Z121" s="888">
        <f t="shared" si="197"/>
        <v>0</v>
      </c>
      <c r="AA121" s="874"/>
      <c r="AB121" s="744">
        <v>0</v>
      </c>
      <c r="AC121" s="744">
        <v>0</v>
      </c>
      <c r="AD121" s="744">
        <v>0</v>
      </c>
      <c r="AE121" s="744">
        <v>0</v>
      </c>
      <c r="AF121" s="744">
        <v>0</v>
      </c>
      <c r="AG121" s="744">
        <v>0</v>
      </c>
      <c r="AH121" s="744">
        <v>0</v>
      </c>
      <c r="AI121" s="744">
        <v>0</v>
      </c>
      <c r="AJ121" s="932">
        <v>0</v>
      </c>
      <c r="AK121" s="744">
        <f>SUM(AB121:AJ121)</f>
        <v>0</v>
      </c>
      <c r="AL121" s="888">
        <f t="shared" si="199"/>
        <v>0</v>
      </c>
      <c r="AM121" s="874"/>
      <c r="AN121" s="744">
        <v>0</v>
      </c>
      <c r="AO121" s="744">
        <v>0</v>
      </c>
      <c r="AP121" s="744">
        <v>0</v>
      </c>
      <c r="AQ121" s="744">
        <v>0</v>
      </c>
      <c r="AR121" s="744">
        <v>0</v>
      </c>
      <c r="AS121" s="744">
        <v>0</v>
      </c>
      <c r="AT121" s="744">
        <v>0</v>
      </c>
      <c r="AU121" s="744">
        <v>0</v>
      </c>
      <c r="AV121" s="932">
        <v>0</v>
      </c>
      <c r="AW121" s="744">
        <f>SUM(AN121:AV121)</f>
        <v>0</v>
      </c>
      <c r="AX121" s="888">
        <f t="shared" si="201"/>
        <v>0</v>
      </c>
      <c r="AY121" s="874"/>
      <c r="AZ121" s="744">
        <v>0</v>
      </c>
      <c r="BA121" s="744">
        <v>0</v>
      </c>
      <c r="BB121" s="744">
        <v>0</v>
      </c>
      <c r="BC121" s="744">
        <v>0</v>
      </c>
      <c r="BD121" s="744">
        <v>0</v>
      </c>
      <c r="BE121" s="744">
        <v>0</v>
      </c>
      <c r="BF121" s="744">
        <v>0</v>
      </c>
      <c r="BG121" s="744">
        <v>0</v>
      </c>
      <c r="BH121" s="932">
        <v>0</v>
      </c>
      <c r="BI121" s="744">
        <f>SUM(AZ121:BH121)</f>
        <v>0</v>
      </c>
      <c r="BJ121" s="888">
        <f t="shared" si="203"/>
        <v>0</v>
      </c>
      <c r="BK121" s="874"/>
      <c r="BL121" s="744">
        <v>0</v>
      </c>
      <c r="BM121" s="744">
        <v>0</v>
      </c>
      <c r="BN121" s="744">
        <v>0</v>
      </c>
      <c r="BO121" s="744">
        <v>0</v>
      </c>
      <c r="BP121" s="744">
        <v>0</v>
      </c>
      <c r="BQ121" s="744">
        <v>0</v>
      </c>
      <c r="BR121" s="744">
        <v>0</v>
      </c>
      <c r="BS121" s="744">
        <v>0</v>
      </c>
      <c r="BT121" s="932">
        <v>0</v>
      </c>
      <c r="BU121" s="744">
        <f>SUM(BL121:BT121)</f>
        <v>0</v>
      </c>
      <c r="BV121" s="888">
        <f t="shared" si="205"/>
        <v>0</v>
      </c>
      <c r="BW121" s="874"/>
      <c r="BX121" s="744">
        <v>0</v>
      </c>
      <c r="BY121" s="744">
        <v>0</v>
      </c>
      <c r="BZ121" s="744">
        <v>0</v>
      </c>
      <c r="CA121" s="744">
        <v>0</v>
      </c>
      <c r="CB121" s="744">
        <v>0</v>
      </c>
      <c r="CC121" s="744">
        <v>0</v>
      </c>
      <c r="CD121" s="744">
        <v>0</v>
      </c>
      <c r="CE121" s="744">
        <v>0</v>
      </c>
      <c r="CF121" s="932">
        <v>0</v>
      </c>
      <c r="CG121" s="744">
        <f>SUM(BX121:CF121)</f>
        <v>0</v>
      </c>
      <c r="CH121" s="888">
        <f t="shared" si="207"/>
        <v>0</v>
      </c>
      <c r="CI121" s="874"/>
      <c r="CJ121" s="957">
        <f t="shared" si="208"/>
        <v>0</v>
      </c>
      <c r="CK121" s="965">
        <f t="shared" si="209"/>
        <v>0</v>
      </c>
      <c r="CL121" s="766"/>
      <c r="CM121" s="816">
        <v>0</v>
      </c>
      <c r="CN121" s="757"/>
      <c r="CO121" s="766"/>
      <c r="CP121" s="744"/>
      <c r="CQ121" s="756"/>
      <c r="CR121" s="874"/>
      <c r="CS121" s="816"/>
      <c r="CT121" s="757"/>
      <c r="CU121" s="874"/>
      <c r="CV121" s="897"/>
      <c r="CW121" s="902"/>
      <c r="CY121" s="750"/>
    </row>
    <row r="122" spans="1:103" hidden="1" outlineLevel="2">
      <c r="A122" s="734">
        <v>5195</v>
      </c>
      <c r="B122" s="833" t="s">
        <v>71</v>
      </c>
      <c r="C122" s="874"/>
      <c r="D122" s="762">
        <v>0</v>
      </c>
      <c r="E122" s="762">
        <v>0</v>
      </c>
      <c r="F122" s="762">
        <v>0</v>
      </c>
      <c r="G122" s="762">
        <v>0</v>
      </c>
      <c r="H122" s="762">
        <v>0</v>
      </c>
      <c r="I122" s="762">
        <v>0</v>
      </c>
      <c r="J122" s="762">
        <v>0</v>
      </c>
      <c r="K122" s="762">
        <v>0</v>
      </c>
      <c r="L122" s="935">
        <v>0</v>
      </c>
      <c r="M122" s="744">
        <f>SUM(D122:L122)</f>
        <v>0</v>
      </c>
      <c r="N122" s="888">
        <f t="shared" si="195"/>
        <v>0</v>
      </c>
      <c r="O122" s="874"/>
      <c r="P122" s="762">
        <v>0</v>
      </c>
      <c r="Q122" s="762">
        <v>0</v>
      </c>
      <c r="R122" s="762">
        <v>0</v>
      </c>
      <c r="S122" s="762">
        <v>0</v>
      </c>
      <c r="T122" s="762">
        <v>0</v>
      </c>
      <c r="U122" s="762">
        <v>0</v>
      </c>
      <c r="V122" s="762">
        <v>0</v>
      </c>
      <c r="W122" s="762">
        <v>0</v>
      </c>
      <c r="X122" s="935">
        <v>0</v>
      </c>
      <c r="Y122" s="744">
        <f>SUM(P122:X122)</f>
        <v>0</v>
      </c>
      <c r="Z122" s="888">
        <f t="shared" si="197"/>
        <v>0</v>
      </c>
      <c r="AA122" s="874"/>
      <c r="AB122" s="762">
        <v>0</v>
      </c>
      <c r="AC122" s="762">
        <v>0</v>
      </c>
      <c r="AD122" s="762">
        <v>0</v>
      </c>
      <c r="AE122" s="762">
        <v>0</v>
      </c>
      <c r="AF122" s="762">
        <v>0</v>
      </c>
      <c r="AG122" s="762">
        <v>0</v>
      </c>
      <c r="AH122" s="762">
        <v>0</v>
      </c>
      <c r="AI122" s="762">
        <v>0</v>
      </c>
      <c r="AJ122" s="935">
        <v>0</v>
      </c>
      <c r="AK122" s="744">
        <f>SUM(AB122:AJ122)</f>
        <v>0</v>
      </c>
      <c r="AL122" s="888">
        <f t="shared" si="199"/>
        <v>0</v>
      </c>
      <c r="AM122" s="874"/>
      <c r="AN122" s="762">
        <v>0</v>
      </c>
      <c r="AO122" s="762">
        <v>0</v>
      </c>
      <c r="AP122" s="762">
        <v>0</v>
      </c>
      <c r="AQ122" s="762">
        <v>0</v>
      </c>
      <c r="AR122" s="762">
        <v>0</v>
      </c>
      <c r="AS122" s="762">
        <v>0</v>
      </c>
      <c r="AT122" s="762">
        <v>0</v>
      </c>
      <c r="AU122" s="762">
        <v>0</v>
      </c>
      <c r="AV122" s="935">
        <v>0</v>
      </c>
      <c r="AW122" s="744">
        <f>SUM(AN122:AV122)</f>
        <v>0</v>
      </c>
      <c r="AX122" s="888">
        <f t="shared" si="201"/>
        <v>0</v>
      </c>
      <c r="AY122" s="874"/>
      <c r="AZ122" s="762">
        <v>0</v>
      </c>
      <c r="BA122" s="762">
        <v>0</v>
      </c>
      <c r="BB122" s="762">
        <v>0</v>
      </c>
      <c r="BC122" s="762">
        <v>0</v>
      </c>
      <c r="BD122" s="762">
        <v>0</v>
      </c>
      <c r="BE122" s="762">
        <v>0</v>
      </c>
      <c r="BF122" s="762">
        <v>0</v>
      </c>
      <c r="BG122" s="762">
        <v>0</v>
      </c>
      <c r="BH122" s="935">
        <v>0</v>
      </c>
      <c r="BI122" s="744">
        <f>SUM(AZ122:BH122)</f>
        <v>0</v>
      </c>
      <c r="BJ122" s="888">
        <f t="shared" si="203"/>
        <v>0</v>
      </c>
      <c r="BK122" s="874"/>
      <c r="BL122" s="762">
        <v>0</v>
      </c>
      <c r="BM122" s="762">
        <v>0</v>
      </c>
      <c r="BN122" s="762">
        <v>0</v>
      </c>
      <c r="BO122" s="762">
        <v>0</v>
      </c>
      <c r="BP122" s="762">
        <v>0</v>
      </c>
      <c r="BQ122" s="762">
        <v>0</v>
      </c>
      <c r="BR122" s="762">
        <v>0</v>
      </c>
      <c r="BS122" s="762">
        <v>0</v>
      </c>
      <c r="BT122" s="935">
        <v>0</v>
      </c>
      <c r="BU122" s="744">
        <f>SUM(BL122:BT122)</f>
        <v>0</v>
      </c>
      <c r="BV122" s="888">
        <f t="shared" si="205"/>
        <v>0</v>
      </c>
      <c r="BW122" s="874"/>
      <c r="BX122" s="762">
        <v>0</v>
      </c>
      <c r="BY122" s="762">
        <v>0</v>
      </c>
      <c r="BZ122" s="762">
        <v>0</v>
      </c>
      <c r="CA122" s="762">
        <v>0</v>
      </c>
      <c r="CB122" s="762">
        <v>0</v>
      </c>
      <c r="CC122" s="762">
        <v>0</v>
      </c>
      <c r="CD122" s="762">
        <v>0</v>
      </c>
      <c r="CE122" s="762">
        <v>0</v>
      </c>
      <c r="CF122" s="935">
        <v>0</v>
      </c>
      <c r="CG122" s="744">
        <f>SUM(BX122:CF122)</f>
        <v>0</v>
      </c>
      <c r="CH122" s="888">
        <f t="shared" si="207"/>
        <v>0</v>
      </c>
      <c r="CI122" s="874"/>
      <c r="CJ122" s="957">
        <f t="shared" si="208"/>
        <v>0</v>
      </c>
      <c r="CK122" s="965">
        <f t="shared" si="209"/>
        <v>0</v>
      </c>
      <c r="CL122" s="766"/>
      <c r="CM122" s="816">
        <v>0</v>
      </c>
      <c r="CN122" s="757">
        <f t="shared" si="212"/>
        <v>0</v>
      </c>
      <c r="CO122" s="766"/>
      <c r="CP122" s="744"/>
      <c r="CQ122" s="756">
        <f t="shared" si="131"/>
        <v>0</v>
      </c>
      <c r="CR122" s="874"/>
      <c r="CS122" s="816"/>
      <c r="CT122" s="757">
        <f t="shared" si="211"/>
        <v>0</v>
      </c>
      <c r="CU122" s="874"/>
      <c r="CV122" s="897">
        <f t="shared" ref="CV122:CV132" si="213">+CM122-CS122</f>
        <v>0</v>
      </c>
      <c r="CW122" s="902">
        <f t="shared" si="132"/>
        <v>0</v>
      </c>
      <c r="CY122" s="750"/>
    </row>
    <row r="123" spans="1:103" s="774" customFormat="1" hidden="1" outlineLevel="1">
      <c r="A123" s="739">
        <v>55</v>
      </c>
      <c r="B123" s="836" t="s">
        <v>872</v>
      </c>
      <c r="C123" s="879"/>
      <c r="D123" s="758">
        <f t="shared" ref="D123:L123" si="214">SUM(D124:D132)</f>
        <v>-7</v>
      </c>
      <c r="E123" s="758">
        <f t="shared" si="214"/>
        <v>-8</v>
      </c>
      <c r="F123" s="758">
        <f t="shared" si="214"/>
        <v>-3</v>
      </c>
      <c r="G123" s="758">
        <f t="shared" si="214"/>
        <v>-6</v>
      </c>
      <c r="H123" s="758">
        <f t="shared" si="214"/>
        <v>-10</v>
      </c>
      <c r="I123" s="758">
        <f t="shared" si="214"/>
        <v>-3</v>
      </c>
      <c r="J123" s="758">
        <f t="shared" si="214"/>
        <v>-40</v>
      </c>
      <c r="K123" s="758">
        <f t="shared" si="214"/>
        <v>0</v>
      </c>
      <c r="L123" s="758">
        <f t="shared" si="214"/>
        <v>-7</v>
      </c>
      <c r="M123" s="758">
        <f>SUM(M124:M132)</f>
        <v>-84</v>
      </c>
      <c r="N123" s="887">
        <f t="shared" si="195"/>
        <v>-1.6641275514146076E-4</v>
      </c>
      <c r="O123" s="879"/>
      <c r="P123" s="758">
        <f t="shared" ref="P123:X123" si="215">SUM(P124:P132)</f>
        <v>-4</v>
      </c>
      <c r="Q123" s="758">
        <f t="shared" si="215"/>
        <v>-6</v>
      </c>
      <c r="R123" s="758">
        <f t="shared" si="215"/>
        <v>-4</v>
      </c>
      <c r="S123" s="758">
        <f t="shared" si="215"/>
        <v>-18</v>
      </c>
      <c r="T123" s="758">
        <f t="shared" si="215"/>
        <v>-2</v>
      </c>
      <c r="U123" s="758">
        <f t="shared" si="215"/>
        <v>-5</v>
      </c>
      <c r="V123" s="758">
        <f t="shared" si="215"/>
        <v>-2</v>
      </c>
      <c r="W123" s="758">
        <f t="shared" si="215"/>
        <v>0</v>
      </c>
      <c r="X123" s="758">
        <f t="shared" si="215"/>
        <v>-46</v>
      </c>
      <c r="Y123" s="758">
        <f>SUM(Y124:Y132)</f>
        <v>-87</v>
      </c>
      <c r="Z123" s="887">
        <f t="shared" si="197"/>
        <v>-1.6531061294135083E-4</v>
      </c>
      <c r="AA123" s="879"/>
      <c r="AB123" s="758">
        <f t="shared" ref="AB123:AJ123" si="216">SUM(AB124:AB132)</f>
        <v>-7</v>
      </c>
      <c r="AC123" s="758">
        <f t="shared" si="216"/>
        <v>-5</v>
      </c>
      <c r="AD123" s="758">
        <f t="shared" si="216"/>
        <v>-2</v>
      </c>
      <c r="AE123" s="758">
        <f t="shared" si="216"/>
        <v>-3</v>
      </c>
      <c r="AF123" s="758">
        <f t="shared" si="216"/>
        <v>-5</v>
      </c>
      <c r="AG123" s="758">
        <f t="shared" si="216"/>
        <v>-3</v>
      </c>
      <c r="AH123" s="758">
        <f t="shared" si="216"/>
        <v>-6</v>
      </c>
      <c r="AI123" s="758">
        <f t="shared" si="216"/>
        <v>0</v>
      </c>
      <c r="AJ123" s="758">
        <f t="shared" si="216"/>
        <v>-5</v>
      </c>
      <c r="AK123" s="758">
        <f>SUM(AK124:AK132)</f>
        <v>-36</v>
      </c>
      <c r="AL123" s="887">
        <f t="shared" si="199"/>
        <v>-7.0347536370653346E-5</v>
      </c>
      <c r="AM123" s="879"/>
      <c r="AN123" s="758">
        <f t="shared" ref="AN123:AV123" si="217">SUM(AN124:AN132)</f>
        <v>-6</v>
      </c>
      <c r="AO123" s="758">
        <f t="shared" si="217"/>
        <v>-5</v>
      </c>
      <c r="AP123" s="758">
        <f t="shared" si="217"/>
        <v>-4</v>
      </c>
      <c r="AQ123" s="758">
        <f t="shared" si="217"/>
        <v>-13</v>
      </c>
      <c r="AR123" s="758">
        <f t="shared" si="217"/>
        <v>-173</v>
      </c>
      <c r="AS123" s="758">
        <f t="shared" si="217"/>
        <v>-3</v>
      </c>
      <c r="AT123" s="758">
        <f t="shared" si="217"/>
        <v>-1</v>
      </c>
      <c r="AU123" s="758">
        <f t="shared" si="217"/>
        <v>0</v>
      </c>
      <c r="AV123" s="758">
        <f t="shared" si="217"/>
        <v>-9</v>
      </c>
      <c r="AW123" s="758">
        <f>SUM(AW124:AW132)</f>
        <v>-214</v>
      </c>
      <c r="AX123" s="887">
        <f t="shared" si="201"/>
        <v>-4.0299496821235951E-4</v>
      </c>
      <c r="AY123" s="879"/>
      <c r="AZ123" s="758">
        <f t="shared" ref="AZ123:BH123" si="218">SUM(AZ124:AZ132)</f>
        <v>-7</v>
      </c>
      <c r="BA123" s="758">
        <f t="shared" si="218"/>
        <v>-203</v>
      </c>
      <c r="BB123" s="758">
        <f t="shared" si="218"/>
        <v>-4</v>
      </c>
      <c r="BC123" s="758">
        <f t="shared" si="218"/>
        <v>-91</v>
      </c>
      <c r="BD123" s="758">
        <f t="shared" si="218"/>
        <v>-4</v>
      </c>
      <c r="BE123" s="758">
        <f t="shared" si="218"/>
        <v>-2</v>
      </c>
      <c r="BF123" s="758">
        <f t="shared" si="218"/>
        <v>-3</v>
      </c>
      <c r="BG123" s="758">
        <f t="shared" si="218"/>
        <v>0</v>
      </c>
      <c r="BH123" s="758">
        <f t="shared" si="218"/>
        <v>-7</v>
      </c>
      <c r="BI123" s="758">
        <f>SUM(BI124:BI132)</f>
        <v>-321</v>
      </c>
      <c r="BJ123" s="887">
        <f t="shared" si="203"/>
        <v>-6.4725049602374458E-4</v>
      </c>
      <c r="BK123" s="879"/>
      <c r="BL123" s="758">
        <f t="shared" ref="BL123:BT123" si="219">SUM(BL124:BL132)</f>
        <v>-7</v>
      </c>
      <c r="BM123" s="758">
        <f t="shared" si="219"/>
        <v>-39</v>
      </c>
      <c r="BN123" s="758">
        <f t="shared" si="219"/>
        <v>-4</v>
      </c>
      <c r="BO123" s="758">
        <f t="shared" si="219"/>
        <v>-24</v>
      </c>
      <c r="BP123" s="758">
        <f t="shared" si="219"/>
        <v>-2</v>
      </c>
      <c r="BQ123" s="758">
        <f t="shared" si="219"/>
        <v>-4</v>
      </c>
      <c r="BR123" s="758">
        <f t="shared" si="219"/>
        <v>-6</v>
      </c>
      <c r="BS123" s="758">
        <f t="shared" si="219"/>
        <v>0</v>
      </c>
      <c r="BT123" s="758">
        <f t="shared" si="219"/>
        <v>-8</v>
      </c>
      <c r="BU123" s="758">
        <f>SUM(BU124:BU132)</f>
        <v>-94</v>
      </c>
      <c r="BV123" s="887">
        <f t="shared" si="205"/>
        <v>-1.8910665212825456E-4</v>
      </c>
      <c r="BW123" s="879"/>
      <c r="BX123" s="758">
        <f t="shared" ref="BX123:CF123" si="220">SUM(BX124:BX132)</f>
        <v>-5</v>
      </c>
      <c r="BY123" s="758">
        <f t="shared" si="220"/>
        <v>-4</v>
      </c>
      <c r="BZ123" s="758">
        <f t="shared" si="220"/>
        <v>-5</v>
      </c>
      <c r="CA123" s="758">
        <f t="shared" si="220"/>
        <v>-3</v>
      </c>
      <c r="CB123" s="758">
        <f t="shared" si="220"/>
        <v>-6</v>
      </c>
      <c r="CC123" s="758">
        <f t="shared" si="220"/>
        <v>-1</v>
      </c>
      <c r="CD123" s="758">
        <f t="shared" si="220"/>
        <v>-86</v>
      </c>
      <c r="CE123" s="758">
        <f t="shared" si="220"/>
        <v>0</v>
      </c>
      <c r="CF123" s="758">
        <f t="shared" si="220"/>
        <v>-32</v>
      </c>
      <c r="CG123" s="758">
        <f>SUM(CG124:CG132)</f>
        <v>-142</v>
      </c>
      <c r="CH123" s="887">
        <f t="shared" si="207"/>
        <v>-2.9584072935156711E-4</v>
      </c>
      <c r="CI123" s="879"/>
      <c r="CJ123" s="966">
        <f t="shared" si="208"/>
        <v>-48</v>
      </c>
      <c r="CK123" s="964">
        <f t="shared" si="209"/>
        <v>0.51063829787234039</v>
      </c>
      <c r="CL123" s="766"/>
      <c r="CM123" s="760">
        <f>SUM(CM124:CM132)</f>
        <v>-900</v>
      </c>
      <c r="CN123" s="767">
        <f t="shared" si="212"/>
        <v>-2.9585161792209931E-4</v>
      </c>
      <c r="CO123" s="766"/>
      <c r="CP123" s="758">
        <f>SUM(CP124:CP132)</f>
        <v>-108</v>
      </c>
      <c r="CQ123" s="765">
        <f t="shared" si="131"/>
        <v>-2.0962875330092498E-4</v>
      </c>
      <c r="CR123" s="879"/>
      <c r="CS123" s="760">
        <f>SUM(CS124:CS132)</f>
        <v>-629</v>
      </c>
      <c r="CT123" s="767">
        <f t="shared" si="211"/>
        <v>-2.1402328906839474E-4</v>
      </c>
      <c r="CU123" s="879"/>
      <c r="CV123" s="908">
        <f t="shared" si="213"/>
        <v>-271</v>
      </c>
      <c r="CW123" s="906">
        <f t="shared" si="132"/>
        <v>0.43084260731319557</v>
      </c>
      <c r="CY123" s="775"/>
    </row>
    <row r="124" spans="1:103" hidden="1" outlineLevel="2">
      <c r="A124" s="734">
        <v>551515</v>
      </c>
      <c r="B124" s="833" t="s">
        <v>873</v>
      </c>
      <c r="C124" s="874"/>
      <c r="D124" s="744">
        <v>0</v>
      </c>
      <c r="E124" s="744">
        <v>0</v>
      </c>
      <c r="F124" s="744">
        <v>0</v>
      </c>
      <c r="G124" s="744">
        <v>0</v>
      </c>
      <c r="H124" s="744">
        <v>0</v>
      </c>
      <c r="I124" s="744">
        <v>0</v>
      </c>
      <c r="J124" s="744">
        <v>0</v>
      </c>
      <c r="K124" s="744">
        <v>0</v>
      </c>
      <c r="L124" s="932">
        <v>0</v>
      </c>
      <c r="M124" s="744">
        <f t="shared" ref="M124:M132" si="221">SUM(D124:L124)</f>
        <v>0</v>
      </c>
      <c r="N124" s="888">
        <f t="shared" si="195"/>
        <v>0</v>
      </c>
      <c r="O124" s="874"/>
      <c r="P124" s="744">
        <v>0</v>
      </c>
      <c r="Q124" s="744">
        <v>0</v>
      </c>
      <c r="R124" s="744">
        <v>0</v>
      </c>
      <c r="S124" s="744">
        <v>0</v>
      </c>
      <c r="T124" s="744">
        <v>0</v>
      </c>
      <c r="U124" s="744">
        <v>0</v>
      </c>
      <c r="V124" s="744">
        <v>0</v>
      </c>
      <c r="W124" s="744">
        <v>0</v>
      </c>
      <c r="X124" s="932">
        <v>0</v>
      </c>
      <c r="Y124" s="744">
        <f t="shared" ref="Y124:Y132" si="222">SUM(P124:X124)</f>
        <v>0</v>
      </c>
      <c r="Z124" s="888">
        <f t="shared" si="197"/>
        <v>0</v>
      </c>
      <c r="AA124" s="874"/>
      <c r="AB124" s="744">
        <v>0</v>
      </c>
      <c r="AC124" s="744">
        <v>0</v>
      </c>
      <c r="AD124" s="744">
        <v>0</v>
      </c>
      <c r="AE124" s="744">
        <v>0</v>
      </c>
      <c r="AF124" s="744">
        <v>0</v>
      </c>
      <c r="AG124" s="744">
        <v>0</v>
      </c>
      <c r="AH124" s="744">
        <v>0</v>
      </c>
      <c r="AI124" s="744">
        <v>0</v>
      </c>
      <c r="AJ124" s="932">
        <v>0</v>
      </c>
      <c r="AK124" s="744">
        <f t="shared" ref="AK124:AK132" si="223">SUM(AB124:AJ124)</f>
        <v>0</v>
      </c>
      <c r="AL124" s="888">
        <f t="shared" si="199"/>
        <v>0</v>
      </c>
      <c r="AM124" s="874"/>
      <c r="AN124" s="744">
        <v>0</v>
      </c>
      <c r="AO124" s="744">
        <v>0</v>
      </c>
      <c r="AP124" s="744">
        <v>0</v>
      </c>
      <c r="AQ124" s="744">
        <v>0</v>
      </c>
      <c r="AR124" s="744">
        <v>0</v>
      </c>
      <c r="AS124" s="744">
        <v>0</v>
      </c>
      <c r="AT124" s="744">
        <v>0</v>
      </c>
      <c r="AU124" s="744">
        <v>0</v>
      </c>
      <c r="AV124" s="932">
        <v>0</v>
      </c>
      <c r="AW124" s="744">
        <f t="shared" ref="AW124:AW132" si="224">SUM(AN124:AV124)</f>
        <v>0</v>
      </c>
      <c r="AX124" s="888">
        <f t="shared" si="201"/>
        <v>0</v>
      </c>
      <c r="AY124" s="874"/>
      <c r="AZ124" s="744">
        <v>0</v>
      </c>
      <c r="BA124" s="744">
        <v>0</v>
      </c>
      <c r="BB124" s="744">
        <v>0</v>
      </c>
      <c r="BC124" s="744">
        <v>0</v>
      </c>
      <c r="BD124" s="744">
        <v>0</v>
      </c>
      <c r="BE124" s="744">
        <v>0</v>
      </c>
      <c r="BF124" s="744">
        <v>0</v>
      </c>
      <c r="BG124" s="744">
        <v>0</v>
      </c>
      <c r="BH124" s="932">
        <v>0</v>
      </c>
      <c r="BI124" s="744">
        <f t="shared" ref="BI124:BI132" si="225">SUM(AZ124:BH124)</f>
        <v>0</v>
      </c>
      <c r="BJ124" s="888">
        <f t="shared" si="203"/>
        <v>0</v>
      </c>
      <c r="BK124" s="874"/>
      <c r="BL124" s="744">
        <v>0</v>
      </c>
      <c r="BM124" s="744">
        <v>0</v>
      </c>
      <c r="BN124" s="744">
        <v>0</v>
      </c>
      <c r="BO124" s="744">
        <v>0</v>
      </c>
      <c r="BP124" s="744">
        <v>0</v>
      </c>
      <c r="BQ124" s="744">
        <v>0</v>
      </c>
      <c r="BR124" s="744">
        <v>0</v>
      </c>
      <c r="BS124" s="744">
        <v>0</v>
      </c>
      <c r="BT124" s="932">
        <v>0</v>
      </c>
      <c r="BU124" s="744">
        <f t="shared" ref="BU124:BU132" si="226">SUM(BL124:BT124)</f>
        <v>0</v>
      </c>
      <c r="BV124" s="888">
        <f t="shared" si="205"/>
        <v>0</v>
      </c>
      <c r="BW124" s="874"/>
      <c r="BX124" s="744">
        <v>0</v>
      </c>
      <c r="BY124" s="744">
        <v>0</v>
      </c>
      <c r="BZ124" s="744">
        <v>0</v>
      </c>
      <c r="CA124" s="744">
        <v>0</v>
      </c>
      <c r="CB124" s="744">
        <v>0</v>
      </c>
      <c r="CC124" s="744">
        <v>0</v>
      </c>
      <c r="CD124" s="744">
        <v>-84</v>
      </c>
      <c r="CE124" s="744">
        <v>0</v>
      </c>
      <c r="CF124" s="932">
        <v>0</v>
      </c>
      <c r="CG124" s="744">
        <f t="shared" ref="CG124:CG132" si="227">SUM(BX124:CF124)</f>
        <v>-84</v>
      </c>
      <c r="CH124" s="888">
        <f t="shared" si="207"/>
        <v>-1.7500437510937773E-4</v>
      </c>
      <c r="CI124" s="874"/>
      <c r="CJ124" s="957">
        <f t="shared" si="208"/>
        <v>-84</v>
      </c>
      <c r="CK124" s="965">
        <f t="shared" si="209"/>
        <v>0</v>
      </c>
      <c r="CL124" s="746"/>
      <c r="CM124" s="816">
        <v>0</v>
      </c>
      <c r="CN124" s="757">
        <f t="shared" si="212"/>
        <v>0</v>
      </c>
      <c r="CO124" s="746"/>
      <c r="CP124" s="744">
        <f>+DATOS!F200</f>
        <v>0</v>
      </c>
      <c r="CQ124" s="756">
        <f t="shared" si="131"/>
        <v>0</v>
      </c>
      <c r="CR124" s="874"/>
      <c r="CS124" s="816">
        <f>+DATOS!G200</f>
        <v>0</v>
      </c>
      <c r="CT124" s="757">
        <f t="shared" si="211"/>
        <v>0</v>
      </c>
      <c r="CU124" s="874"/>
      <c r="CV124" s="897">
        <f t="shared" si="213"/>
        <v>0</v>
      </c>
      <c r="CW124" s="902">
        <f t="shared" si="132"/>
        <v>0</v>
      </c>
      <c r="CX124" s="774"/>
      <c r="CY124" s="775"/>
    </row>
    <row r="125" spans="1:103" hidden="1" outlineLevel="2">
      <c r="A125" s="734">
        <v>551520</v>
      </c>
      <c r="B125" s="833" t="s">
        <v>485</v>
      </c>
      <c r="C125" s="874"/>
      <c r="D125" s="744">
        <v>0</v>
      </c>
      <c r="E125" s="744">
        <v>0</v>
      </c>
      <c r="F125" s="744">
        <v>0</v>
      </c>
      <c r="G125" s="744">
        <v>0</v>
      </c>
      <c r="H125" s="744">
        <v>0</v>
      </c>
      <c r="I125" s="744">
        <v>0</v>
      </c>
      <c r="J125" s="744">
        <v>0</v>
      </c>
      <c r="K125" s="744">
        <v>0</v>
      </c>
      <c r="L125" s="932">
        <v>0</v>
      </c>
      <c r="M125" s="744">
        <f t="shared" si="221"/>
        <v>0</v>
      </c>
      <c r="N125" s="888">
        <f t="shared" si="195"/>
        <v>0</v>
      </c>
      <c r="O125" s="874"/>
      <c r="P125" s="744">
        <v>0</v>
      </c>
      <c r="Q125" s="744">
        <v>0</v>
      </c>
      <c r="R125" s="744">
        <v>0</v>
      </c>
      <c r="S125" s="744">
        <v>0</v>
      </c>
      <c r="T125" s="744">
        <v>0</v>
      </c>
      <c r="U125" s="744">
        <v>0</v>
      </c>
      <c r="V125" s="744">
        <v>0</v>
      </c>
      <c r="W125" s="744">
        <v>0</v>
      </c>
      <c r="X125" s="932">
        <v>0</v>
      </c>
      <c r="Y125" s="744">
        <f t="shared" si="222"/>
        <v>0</v>
      </c>
      <c r="Z125" s="888">
        <f t="shared" si="197"/>
        <v>0</v>
      </c>
      <c r="AA125" s="874"/>
      <c r="AB125" s="744">
        <v>0</v>
      </c>
      <c r="AC125" s="744">
        <v>0</v>
      </c>
      <c r="AD125" s="744">
        <v>0</v>
      </c>
      <c r="AE125" s="744">
        <v>0</v>
      </c>
      <c r="AF125" s="744">
        <v>0</v>
      </c>
      <c r="AG125" s="744">
        <v>0</v>
      </c>
      <c r="AH125" s="744">
        <v>0</v>
      </c>
      <c r="AI125" s="744">
        <v>0</v>
      </c>
      <c r="AJ125" s="932">
        <v>0</v>
      </c>
      <c r="AK125" s="744">
        <f t="shared" si="223"/>
        <v>0</v>
      </c>
      <c r="AL125" s="888">
        <f t="shared" si="199"/>
        <v>0</v>
      </c>
      <c r="AM125" s="874"/>
      <c r="AN125" s="744">
        <v>0</v>
      </c>
      <c r="AO125" s="744">
        <v>0</v>
      </c>
      <c r="AP125" s="744">
        <v>0</v>
      </c>
      <c r="AQ125" s="744">
        <v>0</v>
      </c>
      <c r="AR125" s="744">
        <v>0</v>
      </c>
      <c r="AS125" s="744">
        <v>0</v>
      </c>
      <c r="AT125" s="744">
        <v>0</v>
      </c>
      <c r="AU125" s="744">
        <v>0</v>
      </c>
      <c r="AV125" s="932">
        <v>0</v>
      </c>
      <c r="AW125" s="744">
        <f t="shared" si="224"/>
        <v>0</v>
      </c>
      <c r="AX125" s="888">
        <f t="shared" si="201"/>
        <v>0</v>
      </c>
      <c r="AY125" s="874"/>
      <c r="AZ125" s="744">
        <v>0</v>
      </c>
      <c r="BA125" s="744">
        <v>0</v>
      </c>
      <c r="BB125" s="744">
        <v>0</v>
      </c>
      <c r="BC125" s="744">
        <v>0</v>
      </c>
      <c r="BD125" s="744">
        <v>0</v>
      </c>
      <c r="BE125" s="744">
        <v>0</v>
      </c>
      <c r="BF125" s="744">
        <v>0</v>
      </c>
      <c r="BG125" s="744">
        <v>0</v>
      </c>
      <c r="BH125" s="932">
        <v>0</v>
      </c>
      <c r="BI125" s="744">
        <f t="shared" si="225"/>
        <v>0</v>
      </c>
      <c r="BJ125" s="888">
        <f t="shared" si="203"/>
        <v>0</v>
      </c>
      <c r="BK125" s="874"/>
      <c r="BL125" s="744">
        <v>0</v>
      </c>
      <c r="BM125" s="744">
        <v>0</v>
      </c>
      <c r="BN125" s="744">
        <v>0</v>
      </c>
      <c r="BO125" s="744">
        <v>0</v>
      </c>
      <c r="BP125" s="744">
        <v>0</v>
      </c>
      <c r="BQ125" s="744">
        <v>0</v>
      </c>
      <c r="BR125" s="744">
        <v>0</v>
      </c>
      <c r="BS125" s="744">
        <v>0</v>
      </c>
      <c r="BT125" s="932">
        <v>0</v>
      </c>
      <c r="BU125" s="744">
        <f t="shared" si="226"/>
        <v>0</v>
      </c>
      <c r="BV125" s="888">
        <f t="shared" si="205"/>
        <v>0</v>
      </c>
      <c r="BW125" s="874"/>
      <c r="BX125" s="744">
        <v>0</v>
      </c>
      <c r="BY125" s="744">
        <v>0</v>
      </c>
      <c r="BZ125" s="744">
        <v>0</v>
      </c>
      <c r="CA125" s="744">
        <v>0</v>
      </c>
      <c r="CB125" s="744">
        <v>0</v>
      </c>
      <c r="CC125" s="744">
        <v>0</v>
      </c>
      <c r="CD125" s="744">
        <v>0</v>
      </c>
      <c r="CE125" s="744">
        <v>0</v>
      </c>
      <c r="CF125" s="932">
        <v>0</v>
      </c>
      <c r="CG125" s="744">
        <f t="shared" si="227"/>
        <v>0</v>
      </c>
      <c r="CH125" s="888">
        <f t="shared" si="207"/>
        <v>0</v>
      </c>
      <c r="CI125" s="874"/>
      <c r="CJ125" s="957">
        <f t="shared" si="208"/>
        <v>0</v>
      </c>
      <c r="CK125" s="965">
        <f t="shared" si="209"/>
        <v>0</v>
      </c>
      <c r="CL125" s="746"/>
      <c r="CM125" s="816">
        <v>0</v>
      </c>
      <c r="CN125" s="757">
        <f t="shared" si="212"/>
        <v>0</v>
      </c>
      <c r="CO125" s="746"/>
      <c r="CP125" s="744">
        <v>0</v>
      </c>
      <c r="CQ125" s="756">
        <f t="shared" si="131"/>
        <v>0</v>
      </c>
      <c r="CR125" s="874"/>
      <c r="CS125" s="816">
        <v>0</v>
      </c>
      <c r="CT125" s="757">
        <f t="shared" si="211"/>
        <v>0</v>
      </c>
      <c r="CU125" s="874"/>
      <c r="CV125" s="897">
        <f t="shared" si="213"/>
        <v>0</v>
      </c>
      <c r="CW125" s="902">
        <f t="shared" si="132"/>
        <v>0</v>
      </c>
      <c r="CY125" s="750"/>
    </row>
    <row r="126" spans="1:103" hidden="1" outlineLevel="2">
      <c r="A126" s="734">
        <v>559520</v>
      </c>
      <c r="B126" s="833" t="s">
        <v>559</v>
      </c>
      <c r="C126" s="874"/>
      <c r="D126" s="762">
        <v>0</v>
      </c>
      <c r="E126" s="762">
        <v>0</v>
      </c>
      <c r="F126" s="762">
        <v>0</v>
      </c>
      <c r="G126" s="762">
        <v>0</v>
      </c>
      <c r="H126" s="762">
        <v>0</v>
      </c>
      <c r="I126" s="762">
        <v>0</v>
      </c>
      <c r="J126" s="762">
        <v>-33</v>
      </c>
      <c r="K126" s="762">
        <v>0</v>
      </c>
      <c r="L126" s="932">
        <v>0</v>
      </c>
      <c r="M126" s="744">
        <f t="shared" si="221"/>
        <v>-33</v>
      </c>
      <c r="N126" s="888">
        <f t="shared" si="195"/>
        <v>-6.5376439519859573E-5</v>
      </c>
      <c r="O126" s="874"/>
      <c r="P126" s="762">
        <v>0</v>
      </c>
      <c r="Q126" s="762">
        <v>0</v>
      </c>
      <c r="R126" s="762">
        <v>0</v>
      </c>
      <c r="S126" s="762">
        <v>-14</v>
      </c>
      <c r="T126" s="762">
        <v>0</v>
      </c>
      <c r="U126" s="762">
        <v>0</v>
      </c>
      <c r="V126" s="762">
        <v>0</v>
      </c>
      <c r="W126" s="762">
        <v>0</v>
      </c>
      <c r="X126" s="932">
        <v>-42</v>
      </c>
      <c r="Y126" s="744">
        <f t="shared" si="222"/>
        <v>-56</v>
      </c>
      <c r="Z126" s="888">
        <f t="shared" si="197"/>
        <v>-1.0640683131857065E-4</v>
      </c>
      <c r="AA126" s="874"/>
      <c r="AB126" s="762">
        <v>0</v>
      </c>
      <c r="AC126" s="762">
        <v>0</v>
      </c>
      <c r="AD126" s="762">
        <v>0</v>
      </c>
      <c r="AE126" s="762">
        <v>0</v>
      </c>
      <c r="AF126" s="762">
        <v>0</v>
      </c>
      <c r="AG126" s="762">
        <v>0</v>
      </c>
      <c r="AH126" s="762">
        <v>0</v>
      </c>
      <c r="AI126" s="762">
        <v>0</v>
      </c>
      <c r="AJ126" s="932">
        <v>0</v>
      </c>
      <c r="AK126" s="744">
        <f t="shared" si="223"/>
        <v>0</v>
      </c>
      <c r="AL126" s="888">
        <f t="shared" si="199"/>
        <v>0</v>
      </c>
      <c r="AM126" s="874"/>
      <c r="AN126" s="762">
        <v>0</v>
      </c>
      <c r="AO126" s="762">
        <v>0</v>
      </c>
      <c r="AP126" s="762">
        <v>0</v>
      </c>
      <c r="AQ126" s="762">
        <v>-11</v>
      </c>
      <c r="AR126" s="762">
        <v>-171</v>
      </c>
      <c r="AS126" s="762">
        <v>0</v>
      </c>
      <c r="AT126" s="762">
        <v>0</v>
      </c>
      <c r="AU126" s="762">
        <v>0</v>
      </c>
      <c r="AV126" s="932">
        <v>0</v>
      </c>
      <c r="AW126" s="744">
        <f t="shared" si="224"/>
        <v>-182</v>
      </c>
      <c r="AX126" s="888">
        <f t="shared" si="201"/>
        <v>-3.4273403838621232E-4</v>
      </c>
      <c r="AY126" s="874"/>
      <c r="AZ126" s="762">
        <v>0</v>
      </c>
      <c r="BA126" s="762">
        <v>0</v>
      </c>
      <c r="BB126" s="762">
        <v>0</v>
      </c>
      <c r="BC126" s="762">
        <v>-89</v>
      </c>
      <c r="BD126" s="762">
        <v>0</v>
      </c>
      <c r="BE126" s="762">
        <v>0</v>
      </c>
      <c r="BF126" s="762">
        <v>0</v>
      </c>
      <c r="BG126" s="762">
        <v>0</v>
      </c>
      <c r="BH126" s="932">
        <v>0</v>
      </c>
      <c r="BI126" s="744">
        <f t="shared" si="225"/>
        <v>-89</v>
      </c>
      <c r="BJ126" s="888">
        <f t="shared" si="203"/>
        <v>-1.7945574500346815E-4</v>
      </c>
      <c r="BK126" s="874"/>
      <c r="BL126" s="762">
        <v>0</v>
      </c>
      <c r="BM126" s="762">
        <v>0</v>
      </c>
      <c r="BN126" s="762">
        <v>0</v>
      </c>
      <c r="BO126" s="762">
        <v>-22</v>
      </c>
      <c r="BP126" s="762">
        <v>0</v>
      </c>
      <c r="BQ126" s="762">
        <v>0</v>
      </c>
      <c r="BR126" s="762">
        <v>0</v>
      </c>
      <c r="BS126" s="762">
        <v>0</v>
      </c>
      <c r="BT126" s="932">
        <v>0</v>
      </c>
      <c r="BU126" s="744">
        <f t="shared" si="226"/>
        <v>-22</v>
      </c>
      <c r="BV126" s="888">
        <f t="shared" si="205"/>
        <v>-4.425900368959149E-5</v>
      </c>
      <c r="BW126" s="874"/>
      <c r="BX126" s="762">
        <v>0</v>
      </c>
      <c r="BY126" s="762">
        <v>0</v>
      </c>
      <c r="BZ126" s="762">
        <v>0</v>
      </c>
      <c r="CA126" s="762">
        <v>0</v>
      </c>
      <c r="CB126" s="762">
        <v>0</v>
      </c>
      <c r="CC126" s="762">
        <v>0</v>
      </c>
      <c r="CD126" s="762">
        <v>0</v>
      </c>
      <c r="CE126" s="762">
        <v>0</v>
      </c>
      <c r="CF126" s="932">
        <v>-27</v>
      </c>
      <c r="CG126" s="744">
        <f t="shared" si="227"/>
        <v>-27</v>
      </c>
      <c r="CH126" s="888">
        <f t="shared" si="207"/>
        <v>-5.6251406285157129E-5</v>
      </c>
      <c r="CI126" s="874"/>
      <c r="CJ126" s="957">
        <f t="shared" si="208"/>
        <v>-5</v>
      </c>
      <c r="CK126" s="965">
        <f t="shared" si="209"/>
        <v>0.22727272727272727</v>
      </c>
      <c r="CL126" s="746"/>
      <c r="CM126" s="816">
        <f>-DATOS!D207</f>
        <v>-377</v>
      </c>
      <c r="CN126" s="757">
        <f t="shared" si="212"/>
        <v>-1.2392895550736828E-4</v>
      </c>
      <c r="CO126" s="746"/>
      <c r="CP126" s="744">
        <f>-+DATOS!F207</f>
        <v>-39</v>
      </c>
      <c r="CQ126" s="756">
        <f t="shared" si="131"/>
        <v>-7.5699272025334029E-5</v>
      </c>
      <c r="CR126" s="874"/>
      <c r="CS126" s="816">
        <f>-DATOS!G207</f>
        <v>-39</v>
      </c>
      <c r="CT126" s="757">
        <f t="shared" si="211"/>
        <v>-1.3270124441442599E-5</v>
      </c>
      <c r="CU126" s="874"/>
      <c r="CV126" s="897">
        <f t="shared" si="213"/>
        <v>-338</v>
      </c>
      <c r="CW126" s="902">
        <f t="shared" si="132"/>
        <v>8.6666666666666661</v>
      </c>
      <c r="CY126" s="750"/>
    </row>
    <row r="127" spans="1:103" hidden="1" outlineLevel="2">
      <c r="A127" s="734">
        <v>559525</v>
      </c>
      <c r="B127" s="833" t="s">
        <v>798</v>
      </c>
      <c r="C127" s="874"/>
      <c r="D127" s="762">
        <v>0</v>
      </c>
      <c r="E127" s="762">
        <v>0</v>
      </c>
      <c r="F127" s="762">
        <v>0</v>
      </c>
      <c r="G127" s="762">
        <v>0</v>
      </c>
      <c r="H127" s="762">
        <v>0</v>
      </c>
      <c r="I127" s="762">
        <v>0</v>
      </c>
      <c r="J127" s="762">
        <v>0</v>
      </c>
      <c r="K127" s="762">
        <v>0</v>
      </c>
      <c r="L127" s="932">
        <v>0</v>
      </c>
      <c r="M127" s="744">
        <f t="shared" si="221"/>
        <v>0</v>
      </c>
      <c r="N127" s="888">
        <f t="shared" si="195"/>
        <v>0</v>
      </c>
      <c r="O127" s="874"/>
      <c r="P127" s="762">
        <v>0</v>
      </c>
      <c r="Q127" s="762">
        <v>0</v>
      </c>
      <c r="R127" s="762">
        <v>0</v>
      </c>
      <c r="S127" s="762">
        <v>0</v>
      </c>
      <c r="T127" s="762">
        <v>0</v>
      </c>
      <c r="U127" s="762">
        <v>0</v>
      </c>
      <c r="V127" s="762">
        <v>0</v>
      </c>
      <c r="W127" s="762">
        <v>0</v>
      </c>
      <c r="X127" s="932">
        <v>0</v>
      </c>
      <c r="Y127" s="744">
        <f t="shared" si="222"/>
        <v>0</v>
      </c>
      <c r="Z127" s="888">
        <f t="shared" si="197"/>
        <v>0</v>
      </c>
      <c r="AA127" s="874"/>
      <c r="AB127" s="762">
        <v>0</v>
      </c>
      <c r="AC127" s="762">
        <v>0</v>
      </c>
      <c r="AD127" s="762">
        <v>0</v>
      </c>
      <c r="AE127" s="762">
        <v>0</v>
      </c>
      <c r="AF127" s="762">
        <v>0</v>
      </c>
      <c r="AG127" s="762">
        <v>0</v>
      </c>
      <c r="AH127" s="762">
        <v>0</v>
      </c>
      <c r="AI127" s="762">
        <v>0</v>
      </c>
      <c r="AJ127" s="932">
        <v>0</v>
      </c>
      <c r="AK127" s="744">
        <f t="shared" si="223"/>
        <v>0</v>
      </c>
      <c r="AL127" s="888">
        <f t="shared" si="199"/>
        <v>0</v>
      </c>
      <c r="AM127" s="874"/>
      <c r="AN127" s="762">
        <v>0</v>
      </c>
      <c r="AO127" s="762">
        <v>0</v>
      </c>
      <c r="AP127" s="762">
        <v>0</v>
      </c>
      <c r="AQ127" s="762">
        <v>0</v>
      </c>
      <c r="AR127" s="762">
        <v>0</v>
      </c>
      <c r="AS127" s="762">
        <v>0</v>
      </c>
      <c r="AT127" s="762">
        <v>0</v>
      </c>
      <c r="AU127" s="762">
        <v>0</v>
      </c>
      <c r="AV127" s="932">
        <v>0</v>
      </c>
      <c r="AW127" s="744">
        <f t="shared" si="224"/>
        <v>0</v>
      </c>
      <c r="AX127" s="888">
        <f t="shared" si="201"/>
        <v>0</v>
      </c>
      <c r="AY127" s="874"/>
      <c r="AZ127" s="762">
        <v>0</v>
      </c>
      <c r="BA127" s="762">
        <v>-200</v>
      </c>
      <c r="BB127" s="762">
        <v>0</v>
      </c>
      <c r="BC127" s="762">
        <v>0</v>
      </c>
      <c r="BD127" s="762">
        <v>0</v>
      </c>
      <c r="BE127" s="762">
        <v>0</v>
      </c>
      <c r="BF127" s="762">
        <v>0</v>
      </c>
      <c r="BG127" s="762">
        <v>0</v>
      </c>
      <c r="BH127" s="932">
        <v>0</v>
      </c>
      <c r="BI127" s="744">
        <f t="shared" si="225"/>
        <v>-200</v>
      </c>
      <c r="BJ127" s="888">
        <f t="shared" si="203"/>
        <v>-4.0327133708644526E-4</v>
      </c>
      <c r="BK127" s="874"/>
      <c r="BL127" s="762">
        <v>0</v>
      </c>
      <c r="BM127" s="762">
        <v>0</v>
      </c>
      <c r="BN127" s="762">
        <v>0</v>
      </c>
      <c r="BO127" s="762">
        <v>0</v>
      </c>
      <c r="BP127" s="762">
        <v>0</v>
      </c>
      <c r="BQ127" s="762">
        <v>0</v>
      </c>
      <c r="BR127" s="762">
        <v>0</v>
      </c>
      <c r="BS127" s="762">
        <v>0</v>
      </c>
      <c r="BT127" s="932">
        <v>0</v>
      </c>
      <c r="BU127" s="744">
        <f t="shared" si="226"/>
        <v>0</v>
      </c>
      <c r="BV127" s="888">
        <f t="shared" si="205"/>
        <v>0</v>
      </c>
      <c r="BW127" s="874"/>
      <c r="BX127" s="762">
        <v>0</v>
      </c>
      <c r="BY127" s="762">
        <v>0</v>
      </c>
      <c r="BZ127" s="762">
        <v>0</v>
      </c>
      <c r="CA127" s="762">
        <v>0</v>
      </c>
      <c r="CB127" s="762">
        <v>0</v>
      </c>
      <c r="CC127" s="762">
        <v>0</v>
      </c>
      <c r="CD127" s="762">
        <v>0</v>
      </c>
      <c r="CE127" s="762">
        <v>0</v>
      </c>
      <c r="CF127" s="932">
        <v>0</v>
      </c>
      <c r="CG127" s="744">
        <f t="shared" si="227"/>
        <v>0</v>
      </c>
      <c r="CH127" s="888">
        <f t="shared" si="207"/>
        <v>0</v>
      </c>
      <c r="CI127" s="874"/>
      <c r="CJ127" s="957">
        <f t="shared" si="208"/>
        <v>0</v>
      </c>
      <c r="CK127" s="965">
        <f t="shared" si="209"/>
        <v>0</v>
      </c>
      <c r="CL127" s="746"/>
      <c r="CM127" s="816">
        <f>-DATOS!D208</f>
        <v>-200</v>
      </c>
      <c r="CN127" s="757">
        <f t="shared" si="212"/>
        <v>-6.5744803982688732E-5</v>
      </c>
      <c r="CO127" s="746"/>
      <c r="CP127" s="744"/>
      <c r="CQ127" s="756">
        <f t="shared" si="131"/>
        <v>0</v>
      </c>
      <c r="CR127" s="874"/>
      <c r="CS127" s="816">
        <v>0</v>
      </c>
      <c r="CT127" s="757"/>
      <c r="CU127" s="874"/>
      <c r="CV127" s="897">
        <f t="shared" si="213"/>
        <v>-200</v>
      </c>
      <c r="CW127" s="902">
        <f t="shared" si="132"/>
        <v>0</v>
      </c>
      <c r="CY127" s="750"/>
    </row>
    <row r="128" spans="1:103" hidden="1" outlineLevel="2">
      <c r="A128" s="734">
        <v>559581</v>
      </c>
      <c r="B128" s="833" t="s">
        <v>501</v>
      </c>
      <c r="C128" s="874"/>
      <c r="D128" s="744">
        <v>-7</v>
      </c>
      <c r="E128" s="744">
        <v>-8</v>
      </c>
      <c r="F128" s="744">
        <v>-3</v>
      </c>
      <c r="G128" s="744">
        <v>-6</v>
      </c>
      <c r="H128" s="744">
        <v>-10</v>
      </c>
      <c r="I128" s="744">
        <v>-3</v>
      </c>
      <c r="J128" s="744">
        <v>-7</v>
      </c>
      <c r="K128" s="744">
        <v>0</v>
      </c>
      <c r="L128" s="932">
        <v>-7</v>
      </c>
      <c r="M128" s="744">
        <f t="shared" si="221"/>
        <v>-51</v>
      </c>
      <c r="N128" s="888">
        <f t="shared" si="195"/>
        <v>-1.0103631562160117E-4</v>
      </c>
      <c r="O128" s="874"/>
      <c r="P128" s="744">
        <v>-4</v>
      </c>
      <c r="Q128" s="744">
        <v>-6</v>
      </c>
      <c r="R128" s="744">
        <v>-4</v>
      </c>
      <c r="S128" s="744">
        <v>-4</v>
      </c>
      <c r="T128" s="744">
        <v>-2</v>
      </c>
      <c r="U128" s="744">
        <v>-5</v>
      </c>
      <c r="V128" s="744">
        <v>-2</v>
      </c>
      <c r="W128" s="744">
        <v>0</v>
      </c>
      <c r="X128" s="932">
        <v>-4</v>
      </c>
      <c r="Y128" s="744">
        <f t="shared" si="222"/>
        <v>-31</v>
      </c>
      <c r="Z128" s="888">
        <f t="shared" si="197"/>
        <v>-5.890378162278018E-5</v>
      </c>
      <c r="AA128" s="874"/>
      <c r="AB128" s="744">
        <v>-7</v>
      </c>
      <c r="AC128" s="744">
        <v>-5</v>
      </c>
      <c r="AD128" s="744">
        <v>-2</v>
      </c>
      <c r="AE128" s="744">
        <v>-3</v>
      </c>
      <c r="AF128" s="744">
        <v>-5</v>
      </c>
      <c r="AG128" s="744">
        <v>-3</v>
      </c>
      <c r="AH128" s="744">
        <v>-6</v>
      </c>
      <c r="AI128" s="744">
        <v>0</v>
      </c>
      <c r="AJ128" s="932">
        <v>-5</v>
      </c>
      <c r="AK128" s="744">
        <f t="shared" si="223"/>
        <v>-36</v>
      </c>
      <c r="AL128" s="888">
        <f t="shared" si="199"/>
        <v>-7.0347536370653346E-5</v>
      </c>
      <c r="AM128" s="874"/>
      <c r="AN128" s="744">
        <v>-6</v>
      </c>
      <c r="AO128" s="744">
        <v>-5</v>
      </c>
      <c r="AP128" s="744">
        <v>-4</v>
      </c>
      <c r="AQ128" s="744">
        <v>-2</v>
      </c>
      <c r="AR128" s="744">
        <v>-2</v>
      </c>
      <c r="AS128" s="744">
        <v>-3</v>
      </c>
      <c r="AT128" s="744">
        <v>-1</v>
      </c>
      <c r="AU128" s="744">
        <v>0</v>
      </c>
      <c r="AV128" s="932">
        <v>-9</v>
      </c>
      <c r="AW128" s="744">
        <f t="shared" si="224"/>
        <v>-32</v>
      </c>
      <c r="AX128" s="888">
        <f t="shared" si="201"/>
        <v>-6.0260929826147219E-5</v>
      </c>
      <c r="AY128" s="874"/>
      <c r="AZ128" s="744">
        <v>-6</v>
      </c>
      <c r="BA128" s="744">
        <v>-3</v>
      </c>
      <c r="BB128" s="744">
        <v>-4</v>
      </c>
      <c r="BC128" s="744">
        <v>-2</v>
      </c>
      <c r="BD128" s="744">
        <v>-4</v>
      </c>
      <c r="BE128" s="744">
        <v>-2</v>
      </c>
      <c r="BF128" s="744">
        <v>-3</v>
      </c>
      <c r="BG128" s="744">
        <v>0</v>
      </c>
      <c r="BH128" s="932">
        <v>-7</v>
      </c>
      <c r="BI128" s="744">
        <f t="shared" si="225"/>
        <v>-31</v>
      </c>
      <c r="BJ128" s="888">
        <f t="shared" si="203"/>
        <v>-6.2507057248399018E-5</v>
      </c>
      <c r="BK128" s="874"/>
      <c r="BL128" s="744">
        <v>-7</v>
      </c>
      <c r="BM128" s="744">
        <v>-5</v>
      </c>
      <c r="BN128" s="744">
        <v>-4</v>
      </c>
      <c r="BO128" s="744">
        <v>-2</v>
      </c>
      <c r="BP128" s="744">
        <v>-2</v>
      </c>
      <c r="BQ128" s="744">
        <v>-4</v>
      </c>
      <c r="BR128" s="744">
        <v>-6</v>
      </c>
      <c r="BS128" s="744">
        <v>0</v>
      </c>
      <c r="BT128" s="932">
        <v>-8</v>
      </c>
      <c r="BU128" s="744">
        <f t="shared" si="226"/>
        <v>-38</v>
      </c>
      <c r="BV128" s="888">
        <f t="shared" si="205"/>
        <v>-7.6447370009294385E-5</v>
      </c>
      <c r="BW128" s="874"/>
      <c r="BX128" s="744">
        <v>-5</v>
      </c>
      <c r="BY128" s="744">
        <v>-4</v>
      </c>
      <c r="BZ128" s="744">
        <v>-5</v>
      </c>
      <c r="CA128" s="744">
        <v>-3</v>
      </c>
      <c r="CB128" s="744">
        <v>-6</v>
      </c>
      <c r="CC128" s="744">
        <v>-1</v>
      </c>
      <c r="CD128" s="744">
        <v>-2</v>
      </c>
      <c r="CE128" s="744">
        <v>0</v>
      </c>
      <c r="CF128" s="932">
        <v>-5</v>
      </c>
      <c r="CG128" s="744">
        <f t="shared" si="227"/>
        <v>-31</v>
      </c>
      <c r="CH128" s="888">
        <f t="shared" si="207"/>
        <v>-6.4584947957032265E-5</v>
      </c>
      <c r="CI128" s="874"/>
      <c r="CJ128" s="957">
        <f t="shared" si="208"/>
        <v>7</v>
      </c>
      <c r="CK128" s="965">
        <f t="shared" si="209"/>
        <v>-0.18421052631578946</v>
      </c>
      <c r="CL128" s="746"/>
      <c r="CM128" s="816">
        <f>-DATOS!D209+3</f>
        <v>-205</v>
      </c>
      <c r="CN128" s="757">
        <f t="shared" si="212"/>
        <v>-6.7388424082255951E-5</v>
      </c>
      <c r="CO128" s="746"/>
      <c r="CP128" s="744">
        <f>-DATOS!F209</f>
        <v>-36</v>
      </c>
      <c r="CQ128" s="756">
        <f t="shared" si="131"/>
        <v>-6.9876251100308332E-5</v>
      </c>
      <c r="CR128" s="874"/>
      <c r="CS128" s="816">
        <f>-DATOS!G209</f>
        <v>-173</v>
      </c>
      <c r="CT128" s="757">
        <f>+CS128/CS$13</f>
        <v>-5.8864910983835118E-5</v>
      </c>
      <c r="CU128" s="874"/>
      <c r="CV128" s="897">
        <f t="shared" si="213"/>
        <v>-32</v>
      </c>
      <c r="CW128" s="902">
        <f t="shared" si="132"/>
        <v>0.18497109826589594</v>
      </c>
      <c r="CY128" s="750"/>
    </row>
    <row r="129" spans="1:103" hidden="1" outlineLevel="2">
      <c r="A129" s="734">
        <v>559595</v>
      </c>
      <c r="B129" s="833" t="s">
        <v>500</v>
      </c>
      <c r="C129" s="874"/>
      <c r="D129" s="762">
        <v>0</v>
      </c>
      <c r="E129" s="762">
        <v>0</v>
      </c>
      <c r="F129" s="762">
        <v>0</v>
      </c>
      <c r="G129" s="762">
        <v>0</v>
      </c>
      <c r="H129" s="762">
        <v>0</v>
      </c>
      <c r="I129" s="762">
        <v>0</v>
      </c>
      <c r="J129" s="762">
        <v>0</v>
      </c>
      <c r="K129" s="762">
        <v>0</v>
      </c>
      <c r="L129" s="932">
        <v>0</v>
      </c>
      <c r="M129" s="744">
        <f t="shared" si="221"/>
        <v>0</v>
      </c>
      <c r="N129" s="888">
        <f t="shared" si="195"/>
        <v>0</v>
      </c>
      <c r="O129" s="874"/>
      <c r="P129" s="762">
        <v>0</v>
      </c>
      <c r="Q129" s="762">
        <v>0</v>
      </c>
      <c r="R129" s="762">
        <v>0</v>
      </c>
      <c r="S129" s="762">
        <v>0</v>
      </c>
      <c r="T129" s="762">
        <v>0</v>
      </c>
      <c r="U129" s="762">
        <v>0</v>
      </c>
      <c r="V129" s="762">
        <v>0</v>
      </c>
      <c r="W129" s="762">
        <v>0</v>
      </c>
      <c r="X129" s="932">
        <v>0</v>
      </c>
      <c r="Y129" s="744">
        <f t="shared" si="222"/>
        <v>0</v>
      </c>
      <c r="Z129" s="888">
        <f t="shared" si="197"/>
        <v>0</v>
      </c>
      <c r="AA129" s="874"/>
      <c r="AB129" s="762">
        <v>0</v>
      </c>
      <c r="AC129" s="762">
        <v>0</v>
      </c>
      <c r="AD129" s="762">
        <v>0</v>
      </c>
      <c r="AE129" s="762">
        <v>0</v>
      </c>
      <c r="AF129" s="762">
        <v>0</v>
      </c>
      <c r="AG129" s="762">
        <v>0</v>
      </c>
      <c r="AH129" s="762">
        <v>0</v>
      </c>
      <c r="AI129" s="762">
        <v>0</v>
      </c>
      <c r="AJ129" s="932">
        <v>0</v>
      </c>
      <c r="AK129" s="744">
        <f t="shared" si="223"/>
        <v>0</v>
      </c>
      <c r="AL129" s="888">
        <f t="shared" si="199"/>
        <v>0</v>
      </c>
      <c r="AM129" s="874"/>
      <c r="AN129" s="762">
        <v>0</v>
      </c>
      <c r="AO129" s="762">
        <v>0</v>
      </c>
      <c r="AP129" s="762">
        <v>0</v>
      </c>
      <c r="AQ129" s="762">
        <v>0</v>
      </c>
      <c r="AR129" s="762">
        <v>0</v>
      </c>
      <c r="AS129" s="762">
        <v>0</v>
      </c>
      <c r="AT129" s="762">
        <v>0</v>
      </c>
      <c r="AU129" s="762">
        <v>0</v>
      </c>
      <c r="AV129" s="932">
        <v>0</v>
      </c>
      <c r="AW129" s="744">
        <f t="shared" si="224"/>
        <v>0</v>
      </c>
      <c r="AX129" s="888">
        <f t="shared" si="201"/>
        <v>0</v>
      </c>
      <c r="AY129" s="874"/>
      <c r="AZ129" s="762">
        <v>-1</v>
      </c>
      <c r="BA129" s="762">
        <v>0</v>
      </c>
      <c r="BB129" s="762">
        <v>0</v>
      </c>
      <c r="BC129" s="762">
        <v>0</v>
      </c>
      <c r="BD129" s="762">
        <v>0</v>
      </c>
      <c r="BE129" s="762">
        <v>0</v>
      </c>
      <c r="BF129" s="762">
        <v>0</v>
      </c>
      <c r="BG129" s="762">
        <v>0</v>
      </c>
      <c r="BH129" s="932">
        <v>0</v>
      </c>
      <c r="BI129" s="744">
        <f t="shared" si="225"/>
        <v>-1</v>
      </c>
      <c r="BJ129" s="888">
        <f t="shared" si="203"/>
        <v>-2.0163566854322263E-6</v>
      </c>
      <c r="BK129" s="874"/>
      <c r="BL129" s="762">
        <v>0</v>
      </c>
      <c r="BM129" s="762">
        <v>-34</v>
      </c>
      <c r="BN129" s="762">
        <v>0</v>
      </c>
      <c r="BO129" s="762">
        <v>0</v>
      </c>
      <c r="BP129" s="762">
        <v>0</v>
      </c>
      <c r="BQ129" s="762">
        <v>0</v>
      </c>
      <c r="BR129" s="762">
        <v>0</v>
      </c>
      <c r="BS129" s="762">
        <v>0</v>
      </c>
      <c r="BT129" s="932">
        <v>0</v>
      </c>
      <c r="BU129" s="744">
        <f t="shared" si="226"/>
        <v>-34</v>
      </c>
      <c r="BV129" s="888">
        <f t="shared" si="205"/>
        <v>-6.8400278429368668E-5</v>
      </c>
      <c r="BW129" s="874"/>
      <c r="BX129" s="762">
        <v>0</v>
      </c>
      <c r="BY129" s="762">
        <v>0</v>
      </c>
      <c r="BZ129" s="762">
        <v>0</v>
      </c>
      <c r="CA129" s="762">
        <v>0</v>
      </c>
      <c r="CB129" s="762">
        <v>0</v>
      </c>
      <c r="CC129" s="762">
        <v>0</v>
      </c>
      <c r="CD129" s="762">
        <v>0</v>
      </c>
      <c r="CE129" s="762">
        <v>0</v>
      </c>
      <c r="CF129" s="932">
        <v>0</v>
      </c>
      <c r="CG129" s="744">
        <f t="shared" si="227"/>
        <v>0</v>
      </c>
      <c r="CH129" s="888">
        <f t="shared" si="207"/>
        <v>0</v>
      </c>
      <c r="CI129" s="874"/>
      <c r="CJ129" s="957">
        <f t="shared" si="208"/>
        <v>34</v>
      </c>
      <c r="CK129" s="965">
        <f t="shared" si="209"/>
        <v>-1</v>
      </c>
      <c r="CL129" s="746"/>
      <c r="CM129" s="816">
        <v>0</v>
      </c>
      <c r="CN129" s="757">
        <f t="shared" si="212"/>
        <v>0</v>
      </c>
      <c r="CO129" s="746"/>
      <c r="CP129" s="744"/>
      <c r="CQ129" s="756">
        <f t="shared" si="131"/>
        <v>0</v>
      </c>
      <c r="CR129" s="874"/>
      <c r="CS129" s="816">
        <f>-46-1</f>
        <v>-47</v>
      </c>
      <c r="CT129" s="757">
        <f>+CS129/CS$13</f>
        <v>-1.5992201249943646E-5</v>
      </c>
      <c r="CU129" s="874"/>
      <c r="CV129" s="897">
        <f t="shared" si="213"/>
        <v>47</v>
      </c>
      <c r="CW129" s="902">
        <f t="shared" si="132"/>
        <v>-1</v>
      </c>
      <c r="CY129" s="750"/>
    </row>
    <row r="130" spans="1:103" hidden="1" outlineLevel="2">
      <c r="A130" s="734">
        <v>559596</v>
      </c>
      <c r="B130" s="833" t="s">
        <v>785</v>
      </c>
      <c r="C130" s="874"/>
      <c r="D130" s="744">
        <v>0</v>
      </c>
      <c r="E130" s="744">
        <v>0</v>
      </c>
      <c r="F130" s="744">
        <v>0</v>
      </c>
      <c r="G130" s="744">
        <v>0</v>
      </c>
      <c r="H130" s="744">
        <v>0</v>
      </c>
      <c r="I130" s="744">
        <v>0</v>
      </c>
      <c r="J130" s="744">
        <v>0</v>
      </c>
      <c r="K130" s="744">
        <v>0</v>
      </c>
      <c r="L130" s="932">
        <v>0</v>
      </c>
      <c r="M130" s="744">
        <f t="shared" si="221"/>
        <v>0</v>
      </c>
      <c r="N130" s="888">
        <f t="shared" si="195"/>
        <v>0</v>
      </c>
      <c r="O130" s="874"/>
      <c r="P130" s="744">
        <v>0</v>
      </c>
      <c r="Q130" s="744">
        <v>0</v>
      </c>
      <c r="R130" s="744">
        <v>0</v>
      </c>
      <c r="S130" s="744">
        <v>0</v>
      </c>
      <c r="T130" s="744">
        <v>0</v>
      </c>
      <c r="U130" s="744">
        <v>0</v>
      </c>
      <c r="V130" s="744">
        <v>0</v>
      </c>
      <c r="W130" s="744">
        <v>0</v>
      </c>
      <c r="X130" s="932">
        <v>0</v>
      </c>
      <c r="Y130" s="744">
        <f t="shared" si="222"/>
        <v>0</v>
      </c>
      <c r="Z130" s="888">
        <f t="shared" si="197"/>
        <v>0</v>
      </c>
      <c r="AA130" s="874"/>
      <c r="AB130" s="744">
        <v>0</v>
      </c>
      <c r="AC130" s="744">
        <v>0</v>
      </c>
      <c r="AD130" s="744">
        <v>0</v>
      </c>
      <c r="AE130" s="744">
        <v>0</v>
      </c>
      <c r="AF130" s="744">
        <v>0</v>
      </c>
      <c r="AG130" s="744">
        <v>0</v>
      </c>
      <c r="AH130" s="744">
        <v>0</v>
      </c>
      <c r="AI130" s="744">
        <v>0</v>
      </c>
      <c r="AJ130" s="932">
        <v>0</v>
      </c>
      <c r="AK130" s="744">
        <f t="shared" si="223"/>
        <v>0</v>
      </c>
      <c r="AL130" s="888">
        <f t="shared" si="199"/>
        <v>0</v>
      </c>
      <c r="AM130" s="874"/>
      <c r="AN130" s="744">
        <v>0</v>
      </c>
      <c r="AO130" s="744">
        <v>0</v>
      </c>
      <c r="AP130" s="744">
        <v>0</v>
      </c>
      <c r="AQ130" s="744">
        <v>0</v>
      </c>
      <c r="AR130" s="744">
        <v>0</v>
      </c>
      <c r="AS130" s="744">
        <v>0</v>
      </c>
      <c r="AT130" s="744">
        <v>0</v>
      </c>
      <c r="AU130" s="744">
        <v>0</v>
      </c>
      <c r="AV130" s="932">
        <v>0</v>
      </c>
      <c r="AW130" s="744">
        <f t="shared" si="224"/>
        <v>0</v>
      </c>
      <c r="AX130" s="888">
        <f t="shared" si="201"/>
        <v>0</v>
      </c>
      <c r="AY130" s="874"/>
      <c r="AZ130" s="744">
        <v>0</v>
      </c>
      <c r="BA130" s="744">
        <v>0</v>
      </c>
      <c r="BB130" s="744">
        <v>0</v>
      </c>
      <c r="BC130" s="744">
        <v>0</v>
      </c>
      <c r="BD130" s="744">
        <v>0</v>
      </c>
      <c r="BE130" s="744">
        <v>0</v>
      </c>
      <c r="BF130" s="744">
        <v>0</v>
      </c>
      <c r="BG130" s="744">
        <v>0</v>
      </c>
      <c r="BH130" s="932">
        <v>0</v>
      </c>
      <c r="BI130" s="744">
        <f t="shared" si="225"/>
        <v>0</v>
      </c>
      <c r="BJ130" s="888">
        <f t="shared" si="203"/>
        <v>0</v>
      </c>
      <c r="BK130" s="874"/>
      <c r="BL130" s="744">
        <v>0</v>
      </c>
      <c r="BM130" s="744">
        <v>0</v>
      </c>
      <c r="BN130" s="744">
        <v>0</v>
      </c>
      <c r="BO130" s="744">
        <v>0</v>
      </c>
      <c r="BP130" s="744">
        <v>0</v>
      </c>
      <c r="BQ130" s="744">
        <v>0</v>
      </c>
      <c r="BR130" s="744">
        <v>0</v>
      </c>
      <c r="BS130" s="744">
        <v>0</v>
      </c>
      <c r="BT130" s="932">
        <v>0</v>
      </c>
      <c r="BU130" s="744">
        <f t="shared" si="226"/>
        <v>0</v>
      </c>
      <c r="BV130" s="888">
        <f t="shared" si="205"/>
        <v>0</v>
      </c>
      <c r="BW130" s="874"/>
      <c r="BX130" s="744">
        <v>0</v>
      </c>
      <c r="BY130" s="744">
        <v>0</v>
      </c>
      <c r="BZ130" s="744">
        <v>0</v>
      </c>
      <c r="CA130" s="744">
        <v>0</v>
      </c>
      <c r="CB130" s="744">
        <v>0</v>
      </c>
      <c r="CC130" s="744">
        <v>0</v>
      </c>
      <c r="CD130" s="744">
        <v>0</v>
      </c>
      <c r="CE130" s="744">
        <v>0</v>
      </c>
      <c r="CF130" s="932">
        <v>0</v>
      </c>
      <c r="CG130" s="744">
        <f t="shared" si="227"/>
        <v>0</v>
      </c>
      <c r="CH130" s="888">
        <f t="shared" si="207"/>
        <v>0</v>
      </c>
      <c r="CI130" s="874"/>
      <c r="CJ130" s="957">
        <f t="shared" si="208"/>
        <v>0</v>
      </c>
      <c r="CK130" s="965">
        <f t="shared" si="209"/>
        <v>0</v>
      </c>
      <c r="CL130" s="746"/>
      <c r="CM130" s="816">
        <v>0</v>
      </c>
      <c r="CN130" s="757">
        <f t="shared" si="212"/>
        <v>0</v>
      </c>
      <c r="CO130" s="746"/>
      <c r="CP130" s="744">
        <v>0</v>
      </c>
      <c r="CQ130" s="756">
        <f t="shared" si="131"/>
        <v>0</v>
      </c>
      <c r="CR130" s="874"/>
      <c r="CS130" s="816">
        <v>0</v>
      </c>
      <c r="CT130" s="757">
        <f>+CS130/CS$13</f>
        <v>0</v>
      </c>
      <c r="CU130" s="874"/>
      <c r="CV130" s="897">
        <f t="shared" si="213"/>
        <v>0</v>
      </c>
      <c r="CW130" s="902">
        <f t="shared" si="132"/>
        <v>0</v>
      </c>
      <c r="CY130" s="750"/>
    </row>
    <row r="131" spans="1:103" hidden="1" outlineLevel="2">
      <c r="A131" s="734"/>
      <c r="B131" s="833" t="s">
        <v>901</v>
      </c>
      <c r="C131" s="874"/>
      <c r="D131" s="744">
        <v>0</v>
      </c>
      <c r="E131" s="744">
        <v>0</v>
      </c>
      <c r="F131" s="744">
        <v>0</v>
      </c>
      <c r="G131" s="744">
        <v>0</v>
      </c>
      <c r="H131" s="744">
        <v>0</v>
      </c>
      <c r="I131" s="744">
        <v>0</v>
      </c>
      <c r="J131" s="744">
        <v>0</v>
      </c>
      <c r="K131" s="744">
        <v>0</v>
      </c>
      <c r="L131" s="932">
        <v>0</v>
      </c>
      <c r="M131" s="744">
        <f t="shared" si="221"/>
        <v>0</v>
      </c>
      <c r="N131" s="888">
        <f t="shared" si="195"/>
        <v>0</v>
      </c>
      <c r="O131" s="874"/>
      <c r="P131" s="744">
        <v>0</v>
      </c>
      <c r="Q131" s="744">
        <v>0</v>
      </c>
      <c r="R131" s="744">
        <v>0</v>
      </c>
      <c r="S131" s="744">
        <v>0</v>
      </c>
      <c r="T131" s="744">
        <v>0</v>
      </c>
      <c r="U131" s="744">
        <v>0</v>
      </c>
      <c r="V131" s="744">
        <v>0</v>
      </c>
      <c r="W131" s="744">
        <v>0</v>
      </c>
      <c r="X131" s="932">
        <v>0</v>
      </c>
      <c r="Y131" s="744">
        <f t="shared" si="222"/>
        <v>0</v>
      </c>
      <c r="Z131" s="888">
        <f t="shared" si="197"/>
        <v>0</v>
      </c>
      <c r="AA131" s="874"/>
      <c r="AB131" s="744">
        <v>0</v>
      </c>
      <c r="AC131" s="744">
        <v>0</v>
      </c>
      <c r="AD131" s="744">
        <v>0</v>
      </c>
      <c r="AE131" s="744">
        <v>0</v>
      </c>
      <c r="AF131" s="744">
        <v>0</v>
      </c>
      <c r="AG131" s="744">
        <v>0</v>
      </c>
      <c r="AH131" s="744">
        <v>0</v>
      </c>
      <c r="AI131" s="744">
        <v>0</v>
      </c>
      <c r="AJ131" s="932">
        <v>0</v>
      </c>
      <c r="AK131" s="744">
        <f t="shared" si="223"/>
        <v>0</v>
      </c>
      <c r="AL131" s="888">
        <f t="shared" si="199"/>
        <v>0</v>
      </c>
      <c r="AM131" s="874"/>
      <c r="AN131" s="744">
        <v>0</v>
      </c>
      <c r="AO131" s="744">
        <v>0</v>
      </c>
      <c r="AP131" s="744">
        <v>0</v>
      </c>
      <c r="AQ131" s="744">
        <v>0</v>
      </c>
      <c r="AR131" s="744">
        <v>0</v>
      </c>
      <c r="AS131" s="744">
        <v>0</v>
      </c>
      <c r="AT131" s="744">
        <v>0</v>
      </c>
      <c r="AU131" s="744">
        <v>0</v>
      </c>
      <c r="AV131" s="932">
        <v>0</v>
      </c>
      <c r="AW131" s="744">
        <f t="shared" si="224"/>
        <v>0</v>
      </c>
      <c r="AX131" s="888">
        <f t="shared" si="201"/>
        <v>0</v>
      </c>
      <c r="AY131" s="874"/>
      <c r="AZ131" s="744">
        <v>0</v>
      </c>
      <c r="BA131" s="744">
        <v>0</v>
      </c>
      <c r="BB131" s="744">
        <v>0</v>
      </c>
      <c r="BC131" s="744">
        <v>0</v>
      </c>
      <c r="BD131" s="744">
        <v>0</v>
      </c>
      <c r="BE131" s="744">
        <v>0</v>
      </c>
      <c r="BF131" s="744">
        <v>0</v>
      </c>
      <c r="BG131" s="744">
        <v>0</v>
      </c>
      <c r="BH131" s="932">
        <v>0</v>
      </c>
      <c r="BI131" s="744">
        <f t="shared" si="225"/>
        <v>0</v>
      </c>
      <c r="BJ131" s="888">
        <f t="shared" si="203"/>
        <v>0</v>
      </c>
      <c r="BK131" s="874"/>
      <c r="BL131" s="744">
        <v>0</v>
      </c>
      <c r="BM131" s="744">
        <v>0</v>
      </c>
      <c r="BN131" s="744">
        <v>0</v>
      </c>
      <c r="BO131" s="744">
        <v>0</v>
      </c>
      <c r="BP131" s="744">
        <v>0</v>
      </c>
      <c r="BQ131" s="744">
        <v>0</v>
      </c>
      <c r="BR131" s="744">
        <v>0</v>
      </c>
      <c r="BS131" s="744">
        <v>0</v>
      </c>
      <c r="BT131" s="932">
        <v>0</v>
      </c>
      <c r="BU131" s="744">
        <f t="shared" si="226"/>
        <v>0</v>
      </c>
      <c r="BV131" s="888">
        <f t="shared" si="205"/>
        <v>0</v>
      </c>
      <c r="BW131" s="874"/>
      <c r="BX131" s="744">
        <v>0</v>
      </c>
      <c r="BY131" s="744">
        <v>0</v>
      </c>
      <c r="BZ131" s="744">
        <v>0</v>
      </c>
      <c r="CA131" s="744">
        <v>0</v>
      </c>
      <c r="CB131" s="744">
        <v>0</v>
      </c>
      <c r="CC131" s="744">
        <v>0</v>
      </c>
      <c r="CD131" s="744">
        <v>0</v>
      </c>
      <c r="CE131" s="744">
        <v>0</v>
      </c>
      <c r="CF131" s="932">
        <v>0</v>
      </c>
      <c r="CG131" s="744">
        <f t="shared" si="227"/>
        <v>0</v>
      </c>
      <c r="CH131" s="888">
        <f t="shared" si="207"/>
        <v>0</v>
      </c>
      <c r="CI131" s="874"/>
      <c r="CJ131" s="957">
        <f t="shared" si="208"/>
        <v>0</v>
      </c>
      <c r="CK131" s="965">
        <f t="shared" si="209"/>
        <v>0</v>
      </c>
      <c r="CL131" s="746"/>
      <c r="CM131" s="816">
        <f>-DATOS!D206</f>
        <v>-118</v>
      </c>
      <c r="CN131" s="757">
        <f t="shared" si="212"/>
        <v>-3.8789434349786353E-5</v>
      </c>
      <c r="CO131" s="746"/>
      <c r="CP131" s="744">
        <f>-+DATOS!F206</f>
        <v>-33</v>
      </c>
      <c r="CQ131" s="756">
        <f t="shared" si="131"/>
        <v>-6.4053230175282634E-5</v>
      </c>
      <c r="CR131" s="874"/>
      <c r="CS131" s="816">
        <f>-+DATOS!G206</f>
        <v>-370</v>
      </c>
      <c r="CT131" s="757">
        <f>+CS131/CS$13</f>
        <v>-1.2589605239317337E-4</v>
      </c>
      <c r="CU131" s="874"/>
      <c r="CV131" s="897">
        <f t="shared" si="213"/>
        <v>252</v>
      </c>
      <c r="CW131" s="902">
        <f t="shared" si="132"/>
        <v>-0.68108108108108112</v>
      </c>
      <c r="CY131" s="750"/>
    </row>
    <row r="132" spans="1:103" hidden="1" outlineLevel="2">
      <c r="A132" s="734"/>
      <c r="B132" s="833" t="s">
        <v>902</v>
      </c>
      <c r="C132" s="874"/>
      <c r="D132" s="744">
        <v>0</v>
      </c>
      <c r="E132" s="744">
        <v>0</v>
      </c>
      <c r="F132" s="744">
        <v>0</v>
      </c>
      <c r="G132" s="744">
        <v>0</v>
      </c>
      <c r="H132" s="744">
        <v>0</v>
      </c>
      <c r="I132" s="744">
        <v>0</v>
      </c>
      <c r="J132" s="744">
        <v>0</v>
      </c>
      <c r="K132" s="744">
        <v>0</v>
      </c>
      <c r="L132" s="932">
        <v>0</v>
      </c>
      <c r="M132" s="744">
        <f t="shared" si="221"/>
        <v>0</v>
      </c>
      <c r="N132" s="888">
        <f t="shared" si="195"/>
        <v>0</v>
      </c>
      <c r="O132" s="874"/>
      <c r="P132" s="744">
        <v>0</v>
      </c>
      <c r="Q132" s="744">
        <v>0</v>
      </c>
      <c r="R132" s="744">
        <v>0</v>
      </c>
      <c r="S132" s="744">
        <v>0</v>
      </c>
      <c r="T132" s="744">
        <v>0</v>
      </c>
      <c r="U132" s="744">
        <v>0</v>
      </c>
      <c r="V132" s="744">
        <v>0</v>
      </c>
      <c r="W132" s="744">
        <v>0</v>
      </c>
      <c r="X132" s="932">
        <v>0</v>
      </c>
      <c r="Y132" s="744">
        <f t="shared" si="222"/>
        <v>0</v>
      </c>
      <c r="Z132" s="888">
        <f t="shared" si="197"/>
        <v>0</v>
      </c>
      <c r="AA132" s="874"/>
      <c r="AB132" s="744">
        <v>0</v>
      </c>
      <c r="AC132" s="744">
        <v>0</v>
      </c>
      <c r="AD132" s="744">
        <v>0</v>
      </c>
      <c r="AE132" s="744">
        <v>0</v>
      </c>
      <c r="AF132" s="744">
        <v>0</v>
      </c>
      <c r="AG132" s="744">
        <v>0</v>
      </c>
      <c r="AH132" s="744">
        <v>0</v>
      </c>
      <c r="AI132" s="744">
        <v>0</v>
      </c>
      <c r="AJ132" s="932">
        <v>0</v>
      </c>
      <c r="AK132" s="744">
        <f t="shared" si="223"/>
        <v>0</v>
      </c>
      <c r="AL132" s="888">
        <f t="shared" si="199"/>
        <v>0</v>
      </c>
      <c r="AM132" s="874"/>
      <c r="AN132" s="744">
        <v>0</v>
      </c>
      <c r="AO132" s="744">
        <v>0</v>
      </c>
      <c r="AP132" s="744">
        <v>0</v>
      </c>
      <c r="AQ132" s="744">
        <v>0</v>
      </c>
      <c r="AR132" s="744">
        <v>0</v>
      </c>
      <c r="AS132" s="744">
        <v>0</v>
      </c>
      <c r="AT132" s="744">
        <v>0</v>
      </c>
      <c r="AU132" s="744">
        <v>0</v>
      </c>
      <c r="AV132" s="932">
        <v>0</v>
      </c>
      <c r="AW132" s="744">
        <f t="shared" si="224"/>
        <v>0</v>
      </c>
      <c r="AX132" s="888">
        <f t="shared" si="201"/>
        <v>0</v>
      </c>
      <c r="AY132" s="874"/>
      <c r="AZ132" s="744">
        <v>0</v>
      </c>
      <c r="BA132" s="744">
        <v>0</v>
      </c>
      <c r="BB132" s="744">
        <v>0</v>
      </c>
      <c r="BC132" s="744">
        <v>0</v>
      </c>
      <c r="BD132" s="744">
        <v>0</v>
      </c>
      <c r="BE132" s="744">
        <v>0</v>
      </c>
      <c r="BF132" s="744">
        <v>0</v>
      </c>
      <c r="BG132" s="744">
        <v>0</v>
      </c>
      <c r="BH132" s="932">
        <v>0</v>
      </c>
      <c r="BI132" s="744">
        <f t="shared" si="225"/>
        <v>0</v>
      </c>
      <c r="BJ132" s="888">
        <f t="shared" si="203"/>
        <v>0</v>
      </c>
      <c r="BK132" s="874"/>
      <c r="BL132" s="744">
        <v>0</v>
      </c>
      <c r="BM132" s="744">
        <v>0</v>
      </c>
      <c r="BN132" s="744">
        <v>0</v>
      </c>
      <c r="BO132" s="744">
        <v>0</v>
      </c>
      <c r="BP132" s="744">
        <v>0</v>
      </c>
      <c r="BQ132" s="744">
        <v>0</v>
      </c>
      <c r="BR132" s="744">
        <v>0</v>
      </c>
      <c r="BS132" s="744">
        <v>0</v>
      </c>
      <c r="BT132" s="932">
        <v>0</v>
      </c>
      <c r="BU132" s="744">
        <f t="shared" si="226"/>
        <v>0</v>
      </c>
      <c r="BV132" s="888">
        <f t="shared" si="205"/>
        <v>0</v>
      </c>
      <c r="BW132" s="874"/>
      <c r="BX132" s="744">
        <v>0</v>
      </c>
      <c r="BY132" s="744">
        <v>0</v>
      </c>
      <c r="BZ132" s="744">
        <v>0</v>
      </c>
      <c r="CA132" s="744">
        <v>0</v>
      </c>
      <c r="CB132" s="744">
        <v>0</v>
      </c>
      <c r="CC132" s="744">
        <v>0</v>
      </c>
      <c r="CD132" s="744">
        <v>0</v>
      </c>
      <c r="CE132" s="744">
        <v>0</v>
      </c>
      <c r="CF132" s="932">
        <v>0</v>
      </c>
      <c r="CG132" s="744">
        <f t="shared" si="227"/>
        <v>0</v>
      </c>
      <c r="CH132" s="888">
        <f t="shared" si="207"/>
        <v>0</v>
      </c>
      <c r="CI132" s="874"/>
      <c r="CJ132" s="957">
        <f t="shared" si="208"/>
        <v>0</v>
      </c>
      <c r="CK132" s="965">
        <f t="shared" si="209"/>
        <v>0</v>
      </c>
      <c r="CL132" s="746"/>
      <c r="CM132" s="816">
        <v>0</v>
      </c>
      <c r="CN132" s="757">
        <f t="shared" si="212"/>
        <v>0</v>
      </c>
      <c r="CO132" s="746"/>
      <c r="CP132" s="744"/>
      <c r="CQ132" s="756">
        <f t="shared" si="131"/>
        <v>0</v>
      </c>
      <c r="CR132" s="874"/>
      <c r="CS132" s="816"/>
      <c r="CT132" s="757"/>
      <c r="CU132" s="874"/>
      <c r="CV132" s="897">
        <f t="shared" si="213"/>
        <v>0</v>
      </c>
      <c r="CW132" s="902">
        <f t="shared" si="132"/>
        <v>0</v>
      </c>
      <c r="CY132" s="750"/>
    </row>
    <row r="133" spans="1:103" hidden="1" outlineLevel="1">
      <c r="A133" s="734"/>
      <c r="B133" s="833"/>
      <c r="C133" s="874"/>
      <c r="D133" s="848"/>
      <c r="E133" s="848"/>
      <c r="F133" s="848"/>
      <c r="G133" s="848"/>
      <c r="H133" s="848"/>
      <c r="I133" s="848"/>
      <c r="J133" s="848"/>
      <c r="K133" s="848"/>
      <c r="L133" s="934"/>
      <c r="M133" s="848"/>
      <c r="N133" s="884"/>
      <c r="O133" s="874"/>
      <c r="P133" s="848"/>
      <c r="Q133" s="848"/>
      <c r="R133" s="848"/>
      <c r="S133" s="848"/>
      <c r="T133" s="848"/>
      <c r="U133" s="848"/>
      <c r="V133" s="848"/>
      <c r="W133" s="848"/>
      <c r="X133" s="934"/>
      <c r="Y133" s="848"/>
      <c r="Z133" s="884"/>
      <c r="AA133" s="874"/>
      <c r="AB133" s="848"/>
      <c r="AC133" s="848"/>
      <c r="AD133" s="848"/>
      <c r="AE133" s="848"/>
      <c r="AF133" s="848"/>
      <c r="AG133" s="848"/>
      <c r="AH133" s="848"/>
      <c r="AI133" s="848"/>
      <c r="AJ133" s="934"/>
      <c r="AK133" s="848"/>
      <c r="AL133" s="884"/>
      <c r="AM133" s="874"/>
      <c r="AN133" s="848"/>
      <c r="AO133" s="848"/>
      <c r="AP133" s="848"/>
      <c r="AQ133" s="848"/>
      <c r="AR133" s="848"/>
      <c r="AS133" s="848"/>
      <c r="AT133" s="848"/>
      <c r="AU133" s="848"/>
      <c r="AV133" s="934"/>
      <c r="AW133" s="848"/>
      <c r="AX133" s="884"/>
      <c r="AY133" s="874"/>
      <c r="AZ133" s="848"/>
      <c r="BA133" s="848"/>
      <c r="BB133" s="848"/>
      <c r="BC133" s="848"/>
      <c r="BD133" s="848"/>
      <c r="BE133" s="848"/>
      <c r="BF133" s="848"/>
      <c r="BG133" s="848"/>
      <c r="BH133" s="934"/>
      <c r="BI133" s="848"/>
      <c r="BJ133" s="884"/>
      <c r="BK133" s="874"/>
      <c r="BL133" s="848"/>
      <c r="BM133" s="848"/>
      <c r="BN133" s="848"/>
      <c r="BO133" s="848"/>
      <c r="BP133" s="848"/>
      <c r="BQ133" s="848"/>
      <c r="BR133" s="848"/>
      <c r="BS133" s="848"/>
      <c r="BT133" s="934"/>
      <c r="BU133" s="848"/>
      <c r="BV133" s="884"/>
      <c r="BW133" s="874"/>
      <c r="BX133" s="848"/>
      <c r="BY133" s="848"/>
      <c r="BZ133" s="848"/>
      <c r="CA133" s="848"/>
      <c r="CB133" s="848"/>
      <c r="CC133" s="848"/>
      <c r="CD133" s="848"/>
      <c r="CE133" s="848"/>
      <c r="CF133" s="934"/>
      <c r="CG133" s="848"/>
      <c r="CH133" s="884"/>
      <c r="CI133" s="874"/>
      <c r="CJ133" s="848"/>
      <c r="CK133" s="884"/>
      <c r="CL133" s="746"/>
      <c r="CM133" s="846"/>
      <c r="CN133" s="843"/>
      <c r="CO133" s="746"/>
      <c r="CP133" s="848"/>
      <c r="CQ133" s="843"/>
      <c r="CR133" s="874"/>
      <c r="CS133" s="846"/>
      <c r="CT133" s="843"/>
      <c r="CU133" s="874"/>
      <c r="CV133" s="848"/>
      <c r="CW133" s="884"/>
      <c r="CY133" s="750"/>
    </row>
    <row r="134" spans="1:103" ht="12" collapsed="1" thickBot="1">
      <c r="A134" s="734"/>
      <c r="B134" s="834" t="s">
        <v>249</v>
      </c>
      <c r="C134" s="875"/>
      <c r="D134" s="776">
        <f t="shared" ref="D134:M134" si="228">+D20+D22+D32+D118+D123</f>
        <v>13586</v>
      </c>
      <c r="E134" s="776">
        <f t="shared" si="228"/>
        <v>8624</v>
      </c>
      <c r="F134" s="776">
        <f t="shared" si="228"/>
        <v>5499</v>
      </c>
      <c r="G134" s="776">
        <f t="shared" si="228"/>
        <v>21202</v>
      </c>
      <c r="H134" s="776">
        <f t="shared" si="228"/>
        <v>-72237</v>
      </c>
      <c r="I134" s="776">
        <f t="shared" si="228"/>
        <v>15098</v>
      </c>
      <c r="J134" s="776">
        <f t="shared" si="228"/>
        <v>10535</v>
      </c>
      <c r="K134" s="776">
        <f t="shared" si="228"/>
        <v>-14789</v>
      </c>
      <c r="L134" s="776">
        <f t="shared" si="228"/>
        <v>4759</v>
      </c>
      <c r="M134" s="776">
        <f t="shared" si="228"/>
        <v>-7723</v>
      </c>
      <c r="N134" s="883">
        <f>+M134/M$13</f>
        <v>-1.5300067951875017E-2</v>
      </c>
      <c r="O134" s="875"/>
      <c r="P134" s="776">
        <f t="shared" ref="P134:Y134" si="229">+P20+P22+P32+P118+P123</f>
        <v>21002</v>
      </c>
      <c r="Q134" s="776">
        <f t="shared" si="229"/>
        <v>-3629</v>
      </c>
      <c r="R134" s="776">
        <f t="shared" si="229"/>
        <v>6295</v>
      </c>
      <c r="S134" s="776">
        <f t="shared" si="229"/>
        <v>9846</v>
      </c>
      <c r="T134" s="776">
        <f t="shared" si="229"/>
        <v>6640</v>
      </c>
      <c r="U134" s="776">
        <f t="shared" si="229"/>
        <v>14043</v>
      </c>
      <c r="V134" s="776">
        <f t="shared" si="229"/>
        <v>7741</v>
      </c>
      <c r="W134" s="776">
        <f t="shared" si="229"/>
        <v>2130</v>
      </c>
      <c r="X134" s="776">
        <f t="shared" si="229"/>
        <v>7953</v>
      </c>
      <c r="Y134" s="776">
        <f t="shared" si="229"/>
        <v>69886</v>
      </c>
      <c r="Z134" s="883">
        <f>+Y134/Y$13</f>
        <v>0.13279192524160052</v>
      </c>
      <c r="AA134" s="875"/>
      <c r="AB134" s="776">
        <f t="shared" ref="AB134:AK134" si="230">+AB20+AB22+AB32+AB118+AB123</f>
        <v>14384</v>
      </c>
      <c r="AC134" s="776">
        <f t="shared" si="230"/>
        <v>-2427</v>
      </c>
      <c r="AD134" s="776">
        <f t="shared" si="230"/>
        <v>6272</v>
      </c>
      <c r="AE134" s="776">
        <f t="shared" si="230"/>
        <v>-1684</v>
      </c>
      <c r="AF134" s="776">
        <f t="shared" si="230"/>
        <v>-20523</v>
      </c>
      <c r="AG134" s="776">
        <f t="shared" si="230"/>
        <v>13185</v>
      </c>
      <c r="AH134" s="776">
        <f t="shared" si="230"/>
        <v>10517</v>
      </c>
      <c r="AI134" s="776">
        <f t="shared" si="230"/>
        <v>-4496</v>
      </c>
      <c r="AJ134" s="776">
        <f t="shared" si="230"/>
        <v>-2411</v>
      </c>
      <c r="AK134" s="776">
        <f t="shared" si="230"/>
        <v>10191</v>
      </c>
      <c r="AL134" s="883">
        <f>+AK134/AK$13</f>
        <v>1.9914215087592453E-2</v>
      </c>
      <c r="AM134" s="875"/>
      <c r="AN134" s="776">
        <f t="shared" ref="AN134:AW134" si="231">+AN20+AN22+AN32+AN118+AN123</f>
        <v>15314</v>
      </c>
      <c r="AO134" s="776">
        <f t="shared" si="231"/>
        <v>5493</v>
      </c>
      <c r="AP134" s="776">
        <f t="shared" si="231"/>
        <v>5866</v>
      </c>
      <c r="AQ134" s="776">
        <f t="shared" si="231"/>
        <v>4020</v>
      </c>
      <c r="AR134" s="776">
        <f t="shared" si="231"/>
        <v>-14398</v>
      </c>
      <c r="AS134" s="776">
        <f t="shared" si="231"/>
        <v>17049</v>
      </c>
      <c r="AT134" s="776">
        <f t="shared" si="231"/>
        <v>11732</v>
      </c>
      <c r="AU134" s="776">
        <f t="shared" si="231"/>
        <v>1714</v>
      </c>
      <c r="AV134" s="776">
        <f t="shared" si="231"/>
        <v>3855</v>
      </c>
      <c r="AW134" s="776">
        <f t="shared" si="231"/>
        <v>49332</v>
      </c>
      <c r="AX134" s="883">
        <f>+AW134/AW$13</f>
        <v>9.28997559432342E-2</v>
      </c>
      <c r="AY134" s="875"/>
      <c r="AZ134" s="776">
        <f t="shared" ref="AZ134:BI134" si="232">+AZ20+AZ22+AZ32+AZ118+AZ123</f>
        <v>9668</v>
      </c>
      <c r="BA134" s="776">
        <f t="shared" si="232"/>
        <v>5029</v>
      </c>
      <c r="BB134" s="776">
        <f t="shared" si="232"/>
        <v>5991</v>
      </c>
      <c r="BC134" s="776">
        <f t="shared" si="232"/>
        <v>-2631</v>
      </c>
      <c r="BD134" s="776">
        <f t="shared" si="232"/>
        <v>-26639</v>
      </c>
      <c r="BE134" s="776">
        <f t="shared" si="232"/>
        <v>12258</v>
      </c>
      <c r="BF134" s="776">
        <f t="shared" si="232"/>
        <v>5650</v>
      </c>
      <c r="BG134" s="776">
        <f t="shared" si="232"/>
        <v>3183</v>
      </c>
      <c r="BH134" s="776">
        <f t="shared" si="232"/>
        <v>-3730</v>
      </c>
      <c r="BI134" s="776">
        <f t="shared" si="232"/>
        <v>8779</v>
      </c>
      <c r="BJ134" s="883">
        <f>+BI134/BI$13</f>
        <v>1.7701595341409512E-2</v>
      </c>
      <c r="BK134" s="875"/>
      <c r="BL134" s="776">
        <f t="shared" ref="BL134:BU134" si="233">+BL20+BL22+BL32+BL118+BL123</f>
        <v>7891</v>
      </c>
      <c r="BM134" s="776">
        <f t="shared" si="233"/>
        <v>1454</v>
      </c>
      <c r="BN134" s="776">
        <f t="shared" si="233"/>
        <v>2743</v>
      </c>
      <c r="BO134" s="776">
        <f t="shared" si="233"/>
        <v>117</v>
      </c>
      <c r="BP134" s="776">
        <f t="shared" si="233"/>
        <v>-35719</v>
      </c>
      <c r="BQ134" s="776">
        <f t="shared" si="233"/>
        <v>12439</v>
      </c>
      <c r="BR134" s="776">
        <f t="shared" si="233"/>
        <v>8741</v>
      </c>
      <c r="BS134" s="776">
        <f t="shared" si="233"/>
        <v>-17357</v>
      </c>
      <c r="BT134" s="776">
        <f t="shared" si="233"/>
        <v>-269</v>
      </c>
      <c r="BU134" s="776">
        <f t="shared" si="233"/>
        <v>-19960</v>
      </c>
      <c r="BV134" s="883">
        <f>+BU134/BU$13</f>
        <v>-4.0154986983829369E-2</v>
      </c>
      <c r="BW134" s="875"/>
      <c r="BX134" s="776">
        <f t="shared" ref="BX134:CG134" si="234">+BX20+BX22+BX32+BX118+BX123</f>
        <v>7764</v>
      </c>
      <c r="BY134" s="776">
        <f t="shared" si="234"/>
        <v>4931</v>
      </c>
      <c r="BZ134" s="776">
        <f t="shared" si="234"/>
        <v>4153</v>
      </c>
      <c r="CA134" s="776">
        <f t="shared" si="234"/>
        <v>-6547</v>
      </c>
      <c r="CB134" s="776">
        <f t="shared" si="234"/>
        <v>-14855</v>
      </c>
      <c r="CC134" s="776">
        <f t="shared" si="234"/>
        <v>9912</v>
      </c>
      <c r="CD134" s="776">
        <f t="shared" si="234"/>
        <v>2655</v>
      </c>
      <c r="CE134" s="776">
        <f t="shared" si="234"/>
        <v>3221</v>
      </c>
      <c r="CF134" s="776">
        <f t="shared" si="234"/>
        <v>-326</v>
      </c>
      <c r="CG134" s="776">
        <f t="shared" si="234"/>
        <v>10908</v>
      </c>
      <c r="CH134" s="883">
        <f>+CG134/CG$13</f>
        <v>2.272556813920348E-2</v>
      </c>
      <c r="CI134" s="875"/>
      <c r="CJ134" s="967">
        <f>+CG134-BU134</f>
        <v>30868</v>
      </c>
      <c r="CK134" s="960">
        <f>IFERROR(+CJ134/BU134,0%)</f>
        <v>-1.5464929859719438</v>
      </c>
      <c r="CL134" s="753"/>
      <c r="CM134" s="777">
        <f>+CM20+CM22+CM32+CM118+CM123</f>
        <v>129138.5</v>
      </c>
      <c r="CN134" s="755">
        <f>+CM134/CM$13</f>
        <v>4.2450926845592249E-2</v>
      </c>
      <c r="CO134" s="753"/>
      <c r="CP134" s="776">
        <f>+CP20+CP22+CP32+CP118+CP123</f>
        <v>7542</v>
      </c>
      <c r="CQ134" s="752">
        <f t="shared" si="131"/>
        <v>1.4639074605514595E-2</v>
      </c>
      <c r="CR134" s="875"/>
      <c r="CS134" s="777">
        <f>+CS20+CS22+CS32+CS118+CS123</f>
        <v>137005.5</v>
      </c>
      <c r="CT134" s="755">
        <f>+CS134/CS$13</f>
        <v>4.6617436773386256E-2</v>
      </c>
      <c r="CU134" s="875"/>
      <c r="CV134" s="909">
        <f>+CM134-CS134</f>
        <v>-7867</v>
      </c>
      <c r="CW134" s="901">
        <f t="shared" si="132"/>
        <v>-5.7421052439500603E-2</v>
      </c>
      <c r="CY134" s="750"/>
    </row>
    <row r="135" spans="1:103" ht="12" thickTop="1">
      <c r="A135" s="734"/>
      <c r="B135" s="833"/>
      <c r="C135" s="874"/>
      <c r="D135" s="848"/>
      <c r="E135" s="848"/>
      <c r="F135" s="848"/>
      <c r="G135" s="848"/>
      <c r="H135" s="848"/>
      <c r="I135" s="848"/>
      <c r="J135" s="848"/>
      <c r="K135" s="848"/>
      <c r="L135" s="934"/>
      <c r="M135" s="848"/>
      <c r="N135" s="884"/>
      <c r="O135" s="874"/>
      <c r="P135" s="848"/>
      <c r="Q135" s="848"/>
      <c r="R135" s="848"/>
      <c r="S135" s="848"/>
      <c r="T135" s="848"/>
      <c r="U135" s="848"/>
      <c r="V135" s="848"/>
      <c r="W135" s="848"/>
      <c r="X135" s="934"/>
      <c r="Y135" s="848"/>
      <c r="Z135" s="884"/>
      <c r="AA135" s="874"/>
      <c r="AB135" s="848"/>
      <c r="AC135" s="848"/>
      <c r="AD135" s="848"/>
      <c r="AE135" s="848"/>
      <c r="AF135" s="848"/>
      <c r="AG135" s="848"/>
      <c r="AH135" s="848"/>
      <c r="AI135" s="848"/>
      <c r="AJ135" s="934"/>
      <c r="AK135" s="848"/>
      <c r="AL135" s="884"/>
      <c r="AM135" s="874"/>
      <c r="AN135" s="848"/>
      <c r="AO135" s="848"/>
      <c r="AP135" s="848"/>
      <c r="AQ135" s="848"/>
      <c r="AR135" s="848"/>
      <c r="AS135" s="848"/>
      <c r="AT135" s="848"/>
      <c r="AU135" s="848"/>
      <c r="AV135" s="934"/>
      <c r="AW135" s="848"/>
      <c r="AX135" s="884"/>
      <c r="AY135" s="874"/>
      <c r="AZ135" s="848"/>
      <c r="BA135" s="848"/>
      <c r="BB135" s="848"/>
      <c r="BC135" s="848"/>
      <c r="BD135" s="848"/>
      <c r="BE135" s="848"/>
      <c r="BF135" s="848"/>
      <c r="BG135" s="848"/>
      <c r="BH135" s="934"/>
      <c r="BI135" s="848"/>
      <c r="BJ135" s="884"/>
      <c r="BK135" s="874"/>
      <c r="BL135" s="848"/>
      <c r="BM135" s="848"/>
      <c r="BN135" s="848"/>
      <c r="BO135" s="848"/>
      <c r="BP135" s="848"/>
      <c r="BQ135" s="848"/>
      <c r="BR135" s="848"/>
      <c r="BS135" s="848"/>
      <c r="BT135" s="934"/>
      <c r="BU135" s="848"/>
      <c r="BV135" s="884"/>
      <c r="BW135" s="874"/>
      <c r="BX135" s="848"/>
      <c r="BY135" s="848"/>
      <c r="BZ135" s="848"/>
      <c r="CA135" s="848"/>
      <c r="CB135" s="848"/>
      <c r="CC135" s="848"/>
      <c r="CD135" s="848"/>
      <c r="CE135" s="848"/>
      <c r="CF135" s="934"/>
      <c r="CG135" s="848"/>
      <c r="CH135" s="884"/>
      <c r="CI135" s="874"/>
      <c r="CJ135" s="848"/>
      <c r="CK135" s="884"/>
      <c r="CL135" s="746"/>
      <c r="CM135" s="848"/>
      <c r="CN135" s="843"/>
      <c r="CO135" s="746"/>
      <c r="CP135" s="848"/>
      <c r="CQ135" s="843"/>
      <c r="CR135" s="874"/>
      <c r="CS135" s="848"/>
      <c r="CT135" s="843"/>
      <c r="CU135" s="874"/>
      <c r="CV135" s="848"/>
      <c r="CW135" s="884"/>
      <c r="CY135" s="750"/>
    </row>
    <row r="136" spans="1:103">
      <c r="A136" s="734"/>
      <c r="B136" s="836" t="s">
        <v>79</v>
      </c>
      <c r="C136" s="879"/>
      <c r="D136" s="938">
        <f>+SUM(D137:D140)</f>
        <v>0.66666666666666663</v>
      </c>
      <c r="E136" s="938">
        <f t="shared" ref="E136:K136" si="235">+SUM(E137:E140)</f>
        <v>0.66666666666666663</v>
      </c>
      <c r="F136" s="938">
        <f t="shared" si="235"/>
        <v>0.66666666666666663</v>
      </c>
      <c r="G136" s="938">
        <f t="shared" si="235"/>
        <v>32.666666666666664</v>
      </c>
      <c r="H136" s="938">
        <f t="shared" si="235"/>
        <v>0.66666666666666663</v>
      </c>
      <c r="I136" s="938">
        <f t="shared" si="235"/>
        <v>0.66666666666666663</v>
      </c>
      <c r="J136" s="938">
        <f t="shared" si="235"/>
        <v>1.6666666666666665</v>
      </c>
      <c r="K136" s="938">
        <f t="shared" si="235"/>
        <v>0.66666666666666663</v>
      </c>
      <c r="L136" s="938">
        <f>+SUM(L137:L140)</f>
        <v>0.66666666666666663</v>
      </c>
      <c r="M136" s="772">
        <f>+SUM(M137:M140)</f>
        <v>39</v>
      </c>
      <c r="N136" s="887">
        <f t="shared" ref="N136:N148" si="236">+M136/M$13</f>
        <v>7.7263064887106778E-5</v>
      </c>
      <c r="O136" s="879"/>
      <c r="P136" s="938">
        <f>+SUM(P137:P140)</f>
        <v>5.8888888888888893</v>
      </c>
      <c r="Q136" s="938">
        <f t="shared" ref="Q136:W136" si="237">+SUM(Q137:Q140)</f>
        <v>5.8888888888888893</v>
      </c>
      <c r="R136" s="938">
        <f t="shared" si="237"/>
        <v>5.8888888888888893</v>
      </c>
      <c r="S136" s="938">
        <f t="shared" si="237"/>
        <v>52.888888888888886</v>
      </c>
      <c r="T136" s="938">
        <f t="shared" si="237"/>
        <v>5.8888888888888893</v>
      </c>
      <c r="U136" s="938">
        <f t="shared" si="237"/>
        <v>5.8888888888888893</v>
      </c>
      <c r="V136" s="938">
        <f t="shared" si="237"/>
        <v>9.8888888888888893</v>
      </c>
      <c r="W136" s="938">
        <f t="shared" si="237"/>
        <v>5.8888888888888893</v>
      </c>
      <c r="X136" s="938">
        <f>+SUM(X137:X140)</f>
        <v>38.888888888888886</v>
      </c>
      <c r="Y136" s="772">
        <f>+SUM(Y137:Y140)</f>
        <v>137</v>
      </c>
      <c r="Z136" s="887">
        <f t="shared" ref="Z136:Z148" si="238">+Y136/Y$13</f>
        <v>2.6031671233293176E-4</v>
      </c>
      <c r="AA136" s="879"/>
      <c r="AB136" s="938">
        <f>+SUM(AB137:AB140)</f>
        <v>3.1111111111111112</v>
      </c>
      <c r="AC136" s="938">
        <f t="shared" ref="AC136:AI136" si="239">+SUM(AC137:AC140)</f>
        <v>9.1111111111111107</v>
      </c>
      <c r="AD136" s="938">
        <f t="shared" si="239"/>
        <v>3.1111111111111112</v>
      </c>
      <c r="AE136" s="938">
        <f t="shared" si="239"/>
        <v>3.1111111111111112</v>
      </c>
      <c r="AF136" s="938">
        <f t="shared" si="239"/>
        <v>3.1111111111111112</v>
      </c>
      <c r="AG136" s="938">
        <f t="shared" si="239"/>
        <v>3.1111111111111112</v>
      </c>
      <c r="AH136" s="938">
        <f t="shared" si="239"/>
        <v>5.1111111111111107</v>
      </c>
      <c r="AI136" s="938">
        <f t="shared" si="239"/>
        <v>3.1111111111111112</v>
      </c>
      <c r="AJ136" s="938">
        <f>+SUM(AJ137:AJ140)</f>
        <v>4.1111111111111107</v>
      </c>
      <c r="AK136" s="772">
        <f>+SUM(AK137:AK140)</f>
        <v>37</v>
      </c>
      <c r="AL136" s="887">
        <f t="shared" ref="AL136:AL148" si="240">+AK136/AK$13</f>
        <v>7.2301634603171496E-5</v>
      </c>
      <c r="AM136" s="879"/>
      <c r="AN136" s="938">
        <f>+SUM(AN137:AN140)</f>
        <v>38.666666666666664</v>
      </c>
      <c r="AO136" s="938">
        <f t="shared" ref="AO136:AU136" si="241">+SUM(AO137:AO140)</f>
        <v>54.666666666666664</v>
      </c>
      <c r="AP136" s="938">
        <f t="shared" si="241"/>
        <v>38.666666666666664</v>
      </c>
      <c r="AQ136" s="938">
        <f t="shared" si="241"/>
        <v>348.66666666666669</v>
      </c>
      <c r="AR136" s="938">
        <f t="shared" si="241"/>
        <v>38.666666666666664</v>
      </c>
      <c r="AS136" s="938">
        <f t="shared" si="241"/>
        <v>38.666666666666664</v>
      </c>
      <c r="AT136" s="938">
        <f t="shared" si="241"/>
        <v>38.666666666666664</v>
      </c>
      <c r="AU136" s="938">
        <f t="shared" si="241"/>
        <v>38.666666666666664</v>
      </c>
      <c r="AV136" s="938">
        <f>+SUM(AV137:AV140)</f>
        <v>39.666666666666664</v>
      </c>
      <c r="AW136" s="772">
        <f>+SUM(AW137:AW140)</f>
        <v>675</v>
      </c>
      <c r="AX136" s="887">
        <f t="shared" ref="AX136:AX148" si="242">+AW136/AW$13</f>
        <v>1.2711289885202928E-3</v>
      </c>
      <c r="AY136" s="879"/>
      <c r="AZ136" s="938">
        <f>+SUM(AZ137:AZ140)</f>
        <v>25.555555555555557</v>
      </c>
      <c r="BA136" s="938">
        <f t="shared" ref="BA136:BG136" si="243">+SUM(BA137:BA140)</f>
        <v>25.555555555555557</v>
      </c>
      <c r="BB136" s="938">
        <f t="shared" si="243"/>
        <v>25.555555555555557</v>
      </c>
      <c r="BC136" s="938">
        <f t="shared" si="243"/>
        <v>252.55555555555554</v>
      </c>
      <c r="BD136" s="938">
        <f t="shared" si="243"/>
        <v>25.555555555555557</v>
      </c>
      <c r="BE136" s="938">
        <f t="shared" si="243"/>
        <v>25.555555555555557</v>
      </c>
      <c r="BF136" s="938">
        <f t="shared" si="243"/>
        <v>38.555555555555557</v>
      </c>
      <c r="BG136" s="938">
        <f t="shared" si="243"/>
        <v>25.555555555555557</v>
      </c>
      <c r="BH136" s="938">
        <f>+SUM(BH137:BH140)</f>
        <v>25.555555555555557</v>
      </c>
      <c r="BI136" s="772">
        <f>+SUM(BI137:BI140)</f>
        <v>470</v>
      </c>
      <c r="BJ136" s="887">
        <f t="shared" ref="BJ136:BJ148" si="244">+BI136/BI$13</f>
        <v>9.4768764215314631E-4</v>
      </c>
      <c r="BK136" s="879"/>
      <c r="BL136" s="938">
        <f>+SUM(BL137:BL140)</f>
        <v>61.333333333333336</v>
      </c>
      <c r="BM136" s="938">
        <f t="shared" ref="BM136:BS136" si="245">+SUM(BM137:BM140)</f>
        <v>61.333333333333336</v>
      </c>
      <c r="BN136" s="938">
        <f t="shared" si="245"/>
        <v>61.333333333333336</v>
      </c>
      <c r="BO136" s="938">
        <f t="shared" si="245"/>
        <v>61.333333333333336</v>
      </c>
      <c r="BP136" s="938">
        <f t="shared" si="245"/>
        <v>61.333333333333336</v>
      </c>
      <c r="BQ136" s="938">
        <f t="shared" si="245"/>
        <v>61.333333333333336</v>
      </c>
      <c r="BR136" s="938">
        <f t="shared" si="245"/>
        <v>61.333333333333336</v>
      </c>
      <c r="BS136" s="938">
        <f t="shared" si="245"/>
        <v>61.333333333333336</v>
      </c>
      <c r="BT136" s="938">
        <f>+SUM(BT137:BT140)</f>
        <v>61.333333333333336</v>
      </c>
      <c r="BU136" s="772">
        <f>+SUM(BU137:BU140)</f>
        <v>552</v>
      </c>
      <c r="BV136" s="887">
        <f t="shared" ref="BV136:BV148" si="246">+BU136/BU$13</f>
        <v>1.11049863802975E-3</v>
      </c>
      <c r="BW136" s="879"/>
      <c r="BX136" s="938">
        <f>+SUM(BX137:BX140)</f>
        <v>0</v>
      </c>
      <c r="BY136" s="938">
        <f t="shared" ref="BY136:CE136" si="247">+SUM(BY137:BY140)</f>
        <v>0</v>
      </c>
      <c r="BZ136" s="938">
        <f t="shared" si="247"/>
        <v>0</v>
      </c>
      <c r="CA136" s="938">
        <f t="shared" si="247"/>
        <v>83</v>
      </c>
      <c r="CB136" s="938">
        <f t="shared" si="247"/>
        <v>0</v>
      </c>
      <c r="CC136" s="938">
        <f t="shared" si="247"/>
        <v>0</v>
      </c>
      <c r="CD136" s="938">
        <f t="shared" si="247"/>
        <v>0</v>
      </c>
      <c r="CE136" s="938">
        <f t="shared" si="247"/>
        <v>0</v>
      </c>
      <c r="CF136" s="938">
        <f>+SUM(CF137:CF140)</f>
        <v>0</v>
      </c>
      <c r="CG136" s="772">
        <f>+SUM(CG137:CG140)</f>
        <v>83</v>
      </c>
      <c r="CH136" s="887">
        <f t="shared" ref="CH136:CH148" si="248">+CG136/CG$13</f>
        <v>1.7292098969140895E-4</v>
      </c>
      <c r="CI136" s="947"/>
      <c r="CJ136" s="966">
        <f t="shared" ref="CJ136:CJ150" si="249">+CG136-BU136</f>
        <v>-469</v>
      </c>
      <c r="CK136" s="964">
        <f t="shared" ref="CK136:CK152" si="250">IFERROR(+CJ136/BU136,0%)</f>
        <v>-0.84963768115942029</v>
      </c>
      <c r="CL136" s="766"/>
      <c r="CM136" s="773">
        <f>+SUM(CM137:CM140)</f>
        <v>1956</v>
      </c>
      <c r="CN136" s="767">
        <f t="shared" ref="CN136:CN149" si="251">+CM136/CM$13</f>
        <v>6.4298418295069581E-4</v>
      </c>
      <c r="CO136" s="766"/>
      <c r="CP136" s="772">
        <f t="shared" ref="CP136" si="252">+SUM(CP137:CP139)</f>
        <v>324.5</v>
      </c>
      <c r="CQ136" s="765">
        <f t="shared" si="131"/>
        <v>6.2985676339027919E-4</v>
      </c>
      <c r="CR136" s="879"/>
      <c r="CS136" s="773">
        <f t="shared" ref="CS136" si="253">+SUM(CS137:CS139)</f>
        <v>1661.5</v>
      </c>
      <c r="CT136" s="767">
        <f t="shared" ref="CT136:CT149" si="254">+CS136/CS$13</f>
        <v>5.6534132716556094E-4</v>
      </c>
      <c r="CU136" s="879"/>
      <c r="CV136" s="908">
        <f t="shared" ref="CV136:CV148" si="255">+CM136-CS136</f>
        <v>294.5</v>
      </c>
      <c r="CW136" s="906">
        <f t="shared" si="132"/>
        <v>0.17724947336743907</v>
      </c>
      <c r="CY136" s="750"/>
    </row>
    <row r="137" spans="1:103" hidden="1" outlineLevel="1">
      <c r="A137" s="749">
        <v>431005</v>
      </c>
      <c r="B137" s="833" t="s">
        <v>80</v>
      </c>
      <c r="C137" s="874"/>
      <c r="D137" s="744">
        <v>0.66666666666666663</v>
      </c>
      <c r="E137" s="744">
        <v>0.66666666666666663</v>
      </c>
      <c r="F137" s="744">
        <v>0.66666666666666663</v>
      </c>
      <c r="G137" s="744">
        <v>0.66666666666666663</v>
      </c>
      <c r="H137" s="744">
        <v>0.66666666666666663</v>
      </c>
      <c r="I137" s="744">
        <v>0.66666666666666663</v>
      </c>
      <c r="J137" s="744">
        <v>0.66666666666666663</v>
      </c>
      <c r="K137" s="744">
        <v>0.66666666666666663</v>
      </c>
      <c r="L137" s="744">
        <v>0.66666666666666663</v>
      </c>
      <c r="M137" s="744">
        <f>SUM(D137:L137)</f>
        <v>6</v>
      </c>
      <c r="N137" s="888">
        <f t="shared" si="236"/>
        <v>1.1886625367247196E-5</v>
      </c>
      <c r="O137" s="874"/>
      <c r="P137" s="744">
        <v>5.8888888888888893</v>
      </c>
      <c r="Q137" s="744">
        <v>5.8888888888888893</v>
      </c>
      <c r="R137" s="744">
        <v>5.8888888888888893</v>
      </c>
      <c r="S137" s="744">
        <v>5.8888888888888893</v>
      </c>
      <c r="T137" s="744">
        <v>5.8888888888888893</v>
      </c>
      <c r="U137" s="744">
        <v>5.8888888888888893</v>
      </c>
      <c r="V137" s="744">
        <v>5.8888888888888893</v>
      </c>
      <c r="W137" s="744">
        <v>5.8888888888888893</v>
      </c>
      <c r="X137" s="744">
        <v>5.8888888888888893</v>
      </c>
      <c r="Y137" s="744">
        <f>SUM(P137:X137)</f>
        <v>53</v>
      </c>
      <c r="Z137" s="888">
        <f t="shared" si="238"/>
        <v>1.007064653550758E-4</v>
      </c>
      <c r="AA137" s="874"/>
      <c r="AB137" s="744">
        <v>3.1111111111111112</v>
      </c>
      <c r="AC137" s="744">
        <v>3.1111111111111112</v>
      </c>
      <c r="AD137" s="744">
        <v>3.1111111111111112</v>
      </c>
      <c r="AE137" s="744">
        <v>3.1111111111111112</v>
      </c>
      <c r="AF137" s="744">
        <v>3.1111111111111112</v>
      </c>
      <c r="AG137" s="744">
        <v>3.1111111111111112</v>
      </c>
      <c r="AH137" s="744">
        <v>3.1111111111111112</v>
      </c>
      <c r="AI137" s="744">
        <v>3.1111111111111112</v>
      </c>
      <c r="AJ137" s="744">
        <v>3.1111111111111112</v>
      </c>
      <c r="AK137" s="744">
        <f>SUM(AB137:AJ137)</f>
        <v>28</v>
      </c>
      <c r="AL137" s="888">
        <f t="shared" si="240"/>
        <v>5.4714750510508163E-5</v>
      </c>
      <c r="AM137" s="874"/>
      <c r="AN137" s="744">
        <v>38.666666666666664</v>
      </c>
      <c r="AO137" s="744">
        <v>38.666666666666664</v>
      </c>
      <c r="AP137" s="744">
        <v>38.666666666666664</v>
      </c>
      <c r="AQ137" s="744">
        <v>38.666666666666664</v>
      </c>
      <c r="AR137" s="744">
        <v>38.666666666666664</v>
      </c>
      <c r="AS137" s="744">
        <v>38.666666666666664</v>
      </c>
      <c r="AT137" s="744">
        <v>38.666666666666664</v>
      </c>
      <c r="AU137" s="744">
        <v>38.666666666666664</v>
      </c>
      <c r="AV137" s="744">
        <v>38.666666666666664</v>
      </c>
      <c r="AW137" s="744">
        <f>SUM(AN137:AV137)</f>
        <v>348</v>
      </c>
      <c r="AX137" s="888">
        <f t="shared" si="242"/>
        <v>6.5533761185935103E-4</v>
      </c>
      <c r="AY137" s="874"/>
      <c r="AZ137" s="744">
        <v>25.555555555555557</v>
      </c>
      <c r="BA137" s="744">
        <v>25.555555555555557</v>
      </c>
      <c r="BB137" s="744">
        <v>25.555555555555557</v>
      </c>
      <c r="BC137" s="744">
        <v>25.555555555555557</v>
      </c>
      <c r="BD137" s="744">
        <v>25.555555555555557</v>
      </c>
      <c r="BE137" s="744">
        <v>25.555555555555557</v>
      </c>
      <c r="BF137" s="744">
        <v>25.555555555555557</v>
      </c>
      <c r="BG137" s="744">
        <v>25.555555555555557</v>
      </c>
      <c r="BH137" s="744">
        <v>25.555555555555557</v>
      </c>
      <c r="BI137" s="744">
        <f>SUM(AZ137:BH137)</f>
        <v>230</v>
      </c>
      <c r="BJ137" s="888">
        <f t="shared" si="244"/>
        <v>4.6376203764941201E-4</v>
      </c>
      <c r="BK137" s="874"/>
      <c r="BL137" s="744">
        <v>61.333333333333336</v>
      </c>
      <c r="BM137" s="744">
        <v>61.333333333333336</v>
      </c>
      <c r="BN137" s="744">
        <v>61.333333333333336</v>
      </c>
      <c r="BO137" s="744">
        <v>61.333333333333336</v>
      </c>
      <c r="BP137" s="744">
        <v>61.333333333333336</v>
      </c>
      <c r="BQ137" s="744">
        <v>61.333333333333336</v>
      </c>
      <c r="BR137" s="744">
        <v>61.333333333333336</v>
      </c>
      <c r="BS137" s="744">
        <v>61.333333333333336</v>
      </c>
      <c r="BT137" s="744">
        <v>61.333333333333336</v>
      </c>
      <c r="BU137" s="744">
        <f>SUM(BL137:BT137)</f>
        <v>552</v>
      </c>
      <c r="BV137" s="888">
        <f t="shared" si="246"/>
        <v>1.11049863802975E-3</v>
      </c>
      <c r="BW137" s="874"/>
      <c r="BX137" s="744">
        <v>0</v>
      </c>
      <c r="BY137" s="744">
        <v>0</v>
      </c>
      <c r="BZ137" s="744">
        <v>0</v>
      </c>
      <c r="CA137" s="744">
        <v>0</v>
      </c>
      <c r="CB137" s="744">
        <v>0</v>
      </c>
      <c r="CC137" s="744">
        <v>0</v>
      </c>
      <c r="CD137" s="744">
        <v>0</v>
      </c>
      <c r="CE137" s="744">
        <v>0</v>
      </c>
      <c r="CF137" s="744">
        <v>0</v>
      </c>
      <c r="CG137" s="744">
        <f>SUM(BX137:CF137)</f>
        <v>0</v>
      </c>
      <c r="CH137" s="888">
        <f t="shared" si="248"/>
        <v>0</v>
      </c>
      <c r="CI137" s="874"/>
      <c r="CJ137" s="957">
        <f t="shared" si="249"/>
        <v>-552</v>
      </c>
      <c r="CK137" s="965">
        <f t="shared" si="250"/>
        <v>-1</v>
      </c>
      <c r="CL137" s="746"/>
      <c r="CM137" s="816">
        <f>+DATOS!D106+DATOS!D97</f>
        <v>1212.5</v>
      </c>
      <c r="CN137" s="757">
        <f t="shared" si="251"/>
        <v>3.9857787414505046E-4</v>
      </c>
      <c r="CO137" s="746"/>
      <c r="CP137" s="744">
        <f>+DATOS!F106</f>
        <v>217</v>
      </c>
      <c r="CQ137" s="756">
        <f t="shared" si="131"/>
        <v>4.2119851357685852E-4</v>
      </c>
      <c r="CR137" s="874"/>
      <c r="CS137" s="816">
        <f>+DATOS!G106+DATOS!G97</f>
        <v>1152.5</v>
      </c>
      <c r="CT137" s="757">
        <f t="shared" si="254"/>
        <v>3.9214919022468193E-4</v>
      </c>
      <c r="CU137" s="874"/>
      <c r="CV137" s="897">
        <f t="shared" si="255"/>
        <v>60</v>
      </c>
      <c r="CW137" s="902">
        <f t="shared" si="132"/>
        <v>5.2060737527114966E-2</v>
      </c>
      <c r="CY137" s="750"/>
    </row>
    <row r="138" spans="1:103" hidden="1" outlineLevel="1">
      <c r="A138" s="749">
        <v>431020</v>
      </c>
      <c r="B138" s="833" t="s">
        <v>81</v>
      </c>
      <c r="C138" s="874"/>
      <c r="D138" s="762">
        <v>0</v>
      </c>
      <c r="E138" s="762">
        <v>0</v>
      </c>
      <c r="F138" s="762">
        <v>0</v>
      </c>
      <c r="G138" s="762">
        <v>0</v>
      </c>
      <c r="H138" s="762">
        <v>0</v>
      </c>
      <c r="I138" s="762">
        <v>0</v>
      </c>
      <c r="J138" s="762">
        <v>0</v>
      </c>
      <c r="K138" s="762">
        <v>0</v>
      </c>
      <c r="L138" s="938">
        <v>0</v>
      </c>
      <c r="M138" s="744">
        <f>SUM(D138:L138)</f>
        <v>0</v>
      </c>
      <c r="N138" s="888">
        <f t="shared" si="236"/>
        <v>0</v>
      </c>
      <c r="O138" s="874"/>
      <c r="P138" s="762">
        <v>0</v>
      </c>
      <c r="Q138" s="762">
        <v>0</v>
      </c>
      <c r="R138" s="762">
        <v>0</v>
      </c>
      <c r="S138" s="762">
        <v>0</v>
      </c>
      <c r="T138" s="762">
        <v>0</v>
      </c>
      <c r="U138" s="762">
        <v>0</v>
      </c>
      <c r="V138" s="762">
        <v>0</v>
      </c>
      <c r="W138" s="762">
        <v>0</v>
      </c>
      <c r="X138" s="938">
        <v>0</v>
      </c>
      <c r="Y138" s="744">
        <f>SUM(P138:X138)</f>
        <v>0</v>
      </c>
      <c r="Z138" s="888">
        <f t="shared" si="238"/>
        <v>0</v>
      </c>
      <c r="AA138" s="874"/>
      <c r="AB138" s="762">
        <v>0</v>
      </c>
      <c r="AC138" s="762">
        <v>0</v>
      </c>
      <c r="AD138" s="762">
        <v>0</v>
      </c>
      <c r="AE138" s="762">
        <v>0</v>
      </c>
      <c r="AF138" s="762">
        <v>0</v>
      </c>
      <c r="AG138" s="762">
        <v>0</v>
      </c>
      <c r="AH138" s="762">
        <v>0</v>
      </c>
      <c r="AI138" s="762">
        <v>0</v>
      </c>
      <c r="AJ138" s="938">
        <v>0</v>
      </c>
      <c r="AK138" s="744">
        <f>SUM(AB138:AJ138)</f>
        <v>0</v>
      </c>
      <c r="AL138" s="888">
        <f t="shared" si="240"/>
        <v>0</v>
      </c>
      <c r="AM138" s="874"/>
      <c r="AN138" s="762">
        <v>0</v>
      </c>
      <c r="AO138" s="762">
        <v>0</v>
      </c>
      <c r="AP138" s="762">
        <v>0</v>
      </c>
      <c r="AQ138" s="762">
        <v>0</v>
      </c>
      <c r="AR138" s="762">
        <v>0</v>
      </c>
      <c r="AS138" s="762">
        <v>0</v>
      </c>
      <c r="AT138" s="762">
        <v>0</v>
      </c>
      <c r="AU138" s="762">
        <v>0</v>
      </c>
      <c r="AV138" s="938">
        <v>0</v>
      </c>
      <c r="AW138" s="744">
        <f>SUM(AN138:AV138)</f>
        <v>0</v>
      </c>
      <c r="AX138" s="888">
        <f t="shared" si="242"/>
        <v>0</v>
      </c>
      <c r="AY138" s="874"/>
      <c r="AZ138" s="762">
        <v>0</v>
      </c>
      <c r="BA138" s="762">
        <v>0</v>
      </c>
      <c r="BB138" s="762">
        <v>0</v>
      </c>
      <c r="BC138" s="762">
        <v>0</v>
      </c>
      <c r="BD138" s="762">
        <v>0</v>
      </c>
      <c r="BE138" s="762">
        <v>0</v>
      </c>
      <c r="BF138" s="762">
        <v>0</v>
      </c>
      <c r="BG138" s="762">
        <v>0</v>
      </c>
      <c r="BH138" s="938">
        <v>0</v>
      </c>
      <c r="BI138" s="744">
        <f>SUM(AZ138:BH138)</f>
        <v>0</v>
      </c>
      <c r="BJ138" s="888">
        <f t="shared" si="244"/>
        <v>0</v>
      </c>
      <c r="BK138" s="874"/>
      <c r="BL138" s="762">
        <v>0</v>
      </c>
      <c r="BM138" s="762">
        <v>0</v>
      </c>
      <c r="BN138" s="762">
        <v>0</v>
      </c>
      <c r="BO138" s="762">
        <v>0</v>
      </c>
      <c r="BP138" s="762">
        <v>0</v>
      </c>
      <c r="BQ138" s="762">
        <v>0</v>
      </c>
      <c r="BR138" s="762">
        <v>0</v>
      </c>
      <c r="BS138" s="762">
        <v>0</v>
      </c>
      <c r="BT138" s="938">
        <v>0</v>
      </c>
      <c r="BU138" s="744">
        <f>SUM(BL138:BT138)</f>
        <v>0</v>
      </c>
      <c r="BV138" s="888">
        <f t="shared" si="246"/>
        <v>0</v>
      </c>
      <c r="BW138" s="874"/>
      <c r="BX138" s="762">
        <v>0</v>
      </c>
      <c r="BY138" s="762">
        <v>0</v>
      </c>
      <c r="BZ138" s="762">
        <v>0</v>
      </c>
      <c r="CA138" s="762">
        <v>0</v>
      </c>
      <c r="CB138" s="762">
        <v>0</v>
      </c>
      <c r="CC138" s="762">
        <v>0</v>
      </c>
      <c r="CD138" s="762">
        <v>0</v>
      </c>
      <c r="CE138" s="762">
        <v>0</v>
      </c>
      <c r="CF138" s="938">
        <v>0</v>
      </c>
      <c r="CG138" s="744">
        <f>SUM(BX138:CF138)</f>
        <v>0</v>
      </c>
      <c r="CH138" s="888">
        <f t="shared" si="248"/>
        <v>0</v>
      </c>
      <c r="CI138" s="874"/>
      <c r="CJ138" s="957">
        <f t="shared" si="249"/>
        <v>0</v>
      </c>
      <c r="CK138" s="965">
        <f t="shared" si="250"/>
        <v>0</v>
      </c>
      <c r="CL138" s="746"/>
      <c r="CM138" s="816">
        <v>0</v>
      </c>
      <c r="CN138" s="757">
        <f t="shared" si="251"/>
        <v>0</v>
      </c>
      <c r="CO138" s="746"/>
      <c r="CP138" s="744"/>
      <c r="CQ138" s="756">
        <f t="shared" si="131"/>
        <v>0</v>
      </c>
      <c r="CR138" s="874"/>
      <c r="CS138" s="816">
        <v>0</v>
      </c>
      <c r="CT138" s="757">
        <f t="shared" si="254"/>
        <v>0</v>
      </c>
      <c r="CU138" s="874"/>
      <c r="CV138" s="897">
        <f t="shared" si="255"/>
        <v>0</v>
      </c>
      <c r="CW138" s="902">
        <f t="shared" si="132"/>
        <v>0</v>
      </c>
      <c r="CY138" s="750"/>
    </row>
    <row r="139" spans="1:103" hidden="1" outlineLevel="1">
      <c r="A139" s="749">
        <v>431040</v>
      </c>
      <c r="B139" s="833" t="s">
        <v>194</v>
      </c>
      <c r="C139" s="874"/>
      <c r="D139" s="762">
        <v>0</v>
      </c>
      <c r="E139" s="762">
        <v>0</v>
      </c>
      <c r="F139" s="762">
        <v>0</v>
      </c>
      <c r="G139" s="762">
        <v>32</v>
      </c>
      <c r="H139" s="762">
        <v>0</v>
      </c>
      <c r="I139" s="762">
        <v>0</v>
      </c>
      <c r="J139" s="762">
        <v>1</v>
      </c>
      <c r="K139" s="762">
        <v>0</v>
      </c>
      <c r="L139" s="932">
        <v>0</v>
      </c>
      <c r="M139" s="744">
        <f>SUM(D139:L139)</f>
        <v>33</v>
      </c>
      <c r="N139" s="888">
        <f t="shared" si="236"/>
        <v>6.5376439519859573E-5</v>
      </c>
      <c r="O139" s="874"/>
      <c r="P139" s="762">
        <v>0</v>
      </c>
      <c r="Q139" s="762">
        <v>0</v>
      </c>
      <c r="R139" s="762">
        <v>0</v>
      </c>
      <c r="S139" s="762">
        <v>47</v>
      </c>
      <c r="T139" s="762">
        <v>0</v>
      </c>
      <c r="U139" s="762">
        <v>0</v>
      </c>
      <c r="V139" s="762">
        <v>4</v>
      </c>
      <c r="W139" s="762">
        <v>0</v>
      </c>
      <c r="X139" s="932">
        <v>33</v>
      </c>
      <c r="Y139" s="744">
        <f>SUM(P139:X139)</f>
        <v>84</v>
      </c>
      <c r="Z139" s="888">
        <f t="shared" si="238"/>
        <v>1.5961024697785597E-4</v>
      </c>
      <c r="AA139" s="874"/>
      <c r="AB139" s="762">
        <v>0</v>
      </c>
      <c r="AC139" s="762">
        <v>6</v>
      </c>
      <c r="AD139" s="762">
        <v>0</v>
      </c>
      <c r="AE139" s="762">
        <v>0</v>
      </c>
      <c r="AF139" s="762">
        <v>0</v>
      </c>
      <c r="AG139" s="762">
        <v>0</v>
      </c>
      <c r="AH139" s="762">
        <v>2</v>
      </c>
      <c r="AI139" s="762">
        <v>0</v>
      </c>
      <c r="AJ139" s="932">
        <v>1</v>
      </c>
      <c r="AK139" s="744">
        <f>SUM(AB139:AJ139)</f>
        <v>9</v>
      </c>
      <c r="AL139" s="888">
        <f t="shared" si="240"/>
        <v>1.7586884092663337E-5</v>
      </c>
      <c r="AM139" s="874"/>
      <c r="AN139" s="762">
        <v>0</v>
      </c>
      <c r="AO139" s="762">
        <v>16</v>
      </c>
      <c r="AP139" s="762">
        <v>0</v>
      </c>
      <c r="AQ139" s="762">
        <v>310</v>
      </c>
      <c r="AR139" s="762">
        <v>0</v>
      </c>
      <c r="AS139" s="762">
        <v>0</v>
      </c>
      <c r="AT139" s="762">
        <v>0</v>
      </c>
      <c r="AU139" s="762">
        <v>0</v>
      </c>
      <c r="AV139" s="932">
        <v>1</v>
      </c>
      <c r="AW139" s="744">
        <f>SUM(AN139:AV139)</f>
        <v>327</v>
      </c>
      <c r="AX139" s="888">
        <f t="shared" si="242"/>
        <v>6.1579137666094188E-4</v>
      </c>
      <c r="AY139" s="874"/>
      <c r="AZ139" s="762">
        <v>0</v>
      </c>
      <c r="BA139" s="762">
        <v>0</v>
      </c>
      <c r="BB139" s="762">
        <v>0</v>
      </c>
      <c r="BC139" s="762">
        <v>227</v>
      </c>
      <c r="BD139" s="762">
        <v>0</v>
      </c>
      <c r="BE139" s="762">
        <v>0</v>
      </c>
      <c r="BF139" s="762">
        <v>13</v>
      </c>
      <c r="BG139" s="762">
        <v>0</v>
      </c>
      <c r="BH139" s="932">
        <v>0</v>
      </c>
      <c r="BI139" s="744">
        <f>SUM(AZ139:BH139)</f>
        <v>240</v>
      </c>
      <c r="BJ139" s="888">
        <f t="shared" si="244"/>
        <v>4.839256045037343E-4</v>
      </c>
      <c r="BK139" s="874"/>
      <c r="BL139" s="762">
        <v>0</v>
      </c>
      <c r="BM139" s="762">
        <v>0</v>
      </c>
      <c r="BN139" s="762">
        <v>0</v>
      </c>
      <c r="BO139" s="762">
        <v>0</v>
      </c>
      <c r="BP139" s="762">
        <v>0</v>
      </c>
      <c r="BQ139" s="762">
        <v>0</v>
      </c>
      <c r="BR139" s="762">
        <v>0</v>
      </c>
      <c r="BS139" s="762">
        <v>0</v>
      </c>
      <c r="BT139" s="932">
        <v>0</v>
      </c>
      <c r="BU139" s="744">
        <f>SUM(BL139:BT139)</f>
        <v>0</v>
      </c>
      <c r="BV139" s="888">
        <f t="shared" si="246"/>
        <v>0</v>
      </c>
      <c r="BW139" s="874"/>
      <c r="BX139" s="762">
        <v>0</v>
      </c>
      <c r="BY139" s="762">
        <v>0</v>
      </c>
      <c r="BZ139" s="762">
        <v>0</v>
      </c>
      <c r="CA139" s="762">
        <v>83</v>
      </c>
      <c r="CB139" s="762">
        <v>0</v>
      </c>
      <c r="CC139" s="762">
        <v>0</v>
      </c>
      <c r="CD139" s="762">
        <v>0</v>
      </c>
      <c r="CE139" s="762">
        <v>0</v>
      </c>
      <c r="CF139" s="932">
        <v>0</v>
      </c>
      <c r="CG139" s="744">
        <f>SUM(BX139:CF139)</f>
        <v>83</v>
      </c>
      <c r="CH139" s="888">
        <f t="shared" si="248"/>
        <v>1.7292098969140895E-4</v>
      </c>
      <c r="CI139" s="874"/>
      <c r="CJ139" s="957">
        <f t="shared" si="249"/>
        <v>83</v>
      </c>
      <c r="CK139" s="965">
        <f t="shared" si="250"/>
        <v>0</v>
      </c>
      <c r="CL139" s="746"/>
      <c r="CM139" s="816">
        <f>+DATOS!D108</f>
        <v>743.5</v>
      </c>
      <c r="CN139" s="757">
        <f t="shared" si="251"/>
        <v>2.4440630880564535E-4</v>
      </c>
      <c r="CO139" s="746"/>
      <c r="CP139" s="744">
        <f>+DATOS!F108</f>
        <v>107.5</v>
      </c>
      <c r="CQ139" s="756">
        <f t="shared" si="131"/>
        <v>2.086582498134207E-4</v>
      </c>
      <c r="CR139" s="874"/>
      <c r="CS139" s="816">
        <f>+DATOS!G108</f>
        <v>509</v>
      </c>
      <c r="CT139" s="757">
        <f t="shared" si="254"/>
        <v>1.7319213694087904E-4</v>
      </c>
      <c r="CU139" s="874"/>
      <c r="CV139" s="897">
        <f t="shared" si="255"/>
        <v>234.5</v>
      </c>
      <c r="CW139" s="902">
        <f t="shared" si="132"/>
        <v>0.46070726915520627</v>
      </c>
      <c r="CY139" s="763"/>
    </row>
    <row r="140" spans="1:103" hidden="1" outlineLevel="1">
      <c r="A140" s="749">
        <v>431045</v>
      </c>
      <c r="B140" s="833" t="s">
        <v>905</v>
      </c>
      <c r="C140" s="874"/>
      <c r="D140" s="744">
        <v>0</v>
      </c>
      <c r="E140" s="744">
        <v>0</v>
      </c>
      <c r="F140" s="744">
        <v>0</v>
      </c>
      <c r="G140" s="744">
        <v>0</v>
      </c>
      <c r="H140" s="744">
        <v>0</v>
      </c>
      <c r="I140" s="744">
        <v>0</v>
      </c>
      <c r="J140" s="744">
        <v>0</v>
      </c>
      <c r="K140" s="744">
        <v>0</v>
      </c>
      <c r="L140" s="938">
        <v>0</v>
      </c>
      <c r="M140" s="744">
        <f>SUM(D140:L140)</f>
        <v>0</v>
      </c>
      <c r="N140" s="888">
        <f t="shared" si="236"/>
        <v>0</v>
      </c>
      <c r="O140" s="874"/>
      <c r="P140" s="744">
        <v>0</v>
      </c>
      <c r="Q140" s="744">
        <v>0</v>
      </c>
      <c r="R140" s="744">
        <v>0</v>
      </c>
      <c r="S140" s="744">
        <v>0</v>
      </c>
      <c r="T140" s="744">
        <v>0</v>
      </c>
      <c r="U140" s="744">
        <v>0</v>
      </c>
      <c r="V140" s="744">
        <v>0</v>
      </c>
      <c r="W140" s="744">
        <v>0</v>
      </c>
      <c r="X140" s="938">
        <v>0</v>
      </c>
      <c r="Y140" s="744">
        <f>SUM(P140:X140)</f>
        <v>0</v>
      </c>
      <c r="Z140" s="888">
        <f t="shared" si="238"/>
        <v>0</v>
      </c>
      <c r="AA140" s="874"/>
      <c r="AB140" s="744">
        <v>0</v>
      </c>
      <c r="AC140" s="744">
        <v>0</v>
      </c>
      <c r="AD140" s="744">
        <v>0</v>
      </c>
      <c r="AE140" s="744">
        <v>0</v>
      </c>
      <c r="AF140" s="744">
        <v>0</v>
      </c>
      <c r="AG140" s="744">
        <v>0</v>
      </c>
      <c r="AH140" s="744">
        <v>0</v>
      </c>
      <c r="AI140" s="744">
        <v>0</v>
      </c>
      <c r="AJ140" s="938">
        <v>0</v>
      </c>
      <c r="AK140" s="744">
        <f>SUM(AB140:AJ140)</f>
        <v>0</v>
      </c>
      <c r="AL140" s="888">
        <f t="shared" si="240"/>
        <v>0</v>
      </c>
      <c r="AM140" s="874"/>
      <c r="AN140" s="744">
        <v>0</v>
      </c>
      <c r="AO140" s="744">
        <v>0</v>
      </c>
      <c r="AP140" s="744">
        <v>0</v>
      </c>
      <c r="AQ140" s="744">
        <v>0</v>
      </c>
      <c r="AR140" s="744">
        <v>0</v>
      </c>
      <c r="AS140" s="744">
        <v>0</v>
      </c>
      <c r="AT140" s="744">
        <v>0</v>
      </c>
      <c r="AU140" s="744">
        <v>0</v>
      </c>
      <c r="AV140" s="938">
        <v>0</v>
      </c>
      <c r="AW140" s="744">
        <f>SUM(AN140:AV140)</f>
        <v>0</v>
      </c>
      <c r="AX140" s="888">
        <f t="shared" si="242"/>
        <v>0</v>
      </c>
      <c r="AY140" s="874"/>
      <c r="AZ140" s="744">
        <v>0</v>
      </c>
      <c r="BA140" s="744">
        <v>0</v>
      </c>
      <c r="BB140" s="744">
        <v>0</v>
      </c>
      <c r="BC140" s="744">
        <v>0</v>
      </c>
      <c r="BD140" s="744">
        <v>0</v>
      </c>
      <c r="BE140" s="744">
        <v>0</v>
      </c>
      <c r="BF140" s="744">
        <v>0</v>
      </c>
      <c r="BG140" s="744">
        <v>0</v>
      </c>
      <c r="BH140" s="938">
        <v>0</v>
      </c>
      <c r="BI140" s="744">
        <f>SUM(AZ140:BH140)</f>
        <v>0</v>
      </c>
      <c r="BJ140" s="888">
        <f t="shared" si="244"/>
        <v>0</v>
      </c>
      <c r="BK140" s="874"/>
      <c r="BL140" s="744">
        <v>0</v>
      </c>
      <c r="BM140" s="744">
        <v>0</v>
      </c>
      <c r="BN140" s="744">
        <v>0</v>
      </c>
      <c r="BO140" s="744">
        <v>0</v>
      </c>
      <c r="BP140" s="744">
        <v>0</v>
      </c>
      <c r="BQ140" s="744">
        <v>0</v>
      </c>
      <c r="BR140" s="744">
        <v>0</v>
      </c>
      <c r="BS140" s="744">
        <v>0</v>
      </c>
      <c r="BT140" s="938">
        <v>0</v>
      </c>
      <c r="BU140" s="744">
        <f>SUM(BL140:BT140)</f>
        <v>0</v>
      </c>
      <c r="BV140" s="888">
        <f t="shared" si="246"/>
        <v>0</v>
      </c>
      <c r="BW140" s="874"/>
      <c r="BX140" s="744">
        <v>0</v>
      </c>
      <c r="BY140" s="744">
        <v>0</v>
      </c>
      <c r="BZ140" s="744">
        <v>0</v>
      </c>
      <c r="CA140" s="744">
        <v>0</v>
      </c>
      <c r="CB140" s="744">
        <v>0</v>
      </c>
      <c r="CC140" s="744">
        <v>0</v>
      </c>
      <c r="CD140" s="744">
        <v>0</v>
      </c>
      <c r="CE140" s="744">
        <v>0</v>
      </c>
      <c r="CF140" s="938">
        <v>0</v>
      </c>
      <c r="CG140" s="744">
        <f>SUM(BX140:CF140)</f>
        <v>0</v>
      </c>
      <c r="CH140" s="888">
        <f t="shared" si="248"/>
        <v>0</v>
      </c>
      <c r="CI140" s="874"/>
      <c r="CJ140" s="957">
        <f t="shared" si="249"/>
        <v>0</v>
      </c>
      <c r="CK140" s="965">
        <f t="shared" si="250"/>
        <v>0</v>
      </c>
      <c r="CL140" s="746"/>
      <c r="CM140" s="816">
        <v>0</v>
      </c>
      <c r="CN140" s="757">
        <f t="shared" si="251"/>
        <v>0</v>
      </c>
      <c r="CO140" s="746"/>
      <c r="CP140" s="744"/>
      <c r="CQ140" s="756">
        <f t="shared" si="131"/>
        <v>0</v>
      </c>
      <c r="CR140" s="874"/>
      <c r="CS140" s="816">
        <v>0</v>
      </c>
      <c r="CT140" s="757">
        <f t="shared" si="254"/>
        <v>0</v>
      </c>
      <c r="CU140" s="874"/>
      <c r="CV140" s="897">
        <f t="shared" si="255"/>
        <v>0</v>
      </c>
      <c r="CW140" s="902">
        <f t="shared" si="132"/>
        <v>0</v>
      </c>
      <c r="CY140" s="763"/>
    </row>
    <row r="141" spans="1:103" collapsed="1">
      <c r="A141" s="749"/>
      <c r="B141" s="836" t="s">
        <v>82</v>
      </c>
      <c r="C141" s="879"/>
      <c r="D141" s="772">
        <f t="shared" ref="D141:M141" si="256">+SUM(D142:D151)</f>
        <v>-1042</v>
      </c>
      <c r="E141" s="772">
        <f t="shared" si="256"/>
        <v>-1140</v>
      </c>
      <c r="F141" s="772">
        <f t="shared" si="256"/>
        <v>-894</v>
      </c>
      <c r="G141" s="772">
        <f t="shared" si="256"/>
        <v>-2209</v>
      </c>
      <c r="H141" s="772">
        <f t="shared" si="256"/>
        <v>-5369</v>
      </c>
      <c r="I141" s="772">
        <f t="shared" si="256"/>
        <v>-1374</v>
      </c>
      <c r="J141" s="772">
        <f t="shared" si="256"/>
        <v>-1123</v>
      </c>
      <c r="K141" s="772">
        <f t="shared" si="256"/>
        <v>0</v>
      </c>
      <c r="L141" s="938">
        <f t="shared" si="256"/>
        <v>-1042</v>
      </c>
      <c r="M141" s="772">
        <f t="shared" si="256"/>
        <v>-14193</v>
      </c>
      <c r="N141" s="887">
        <f t="shared" si="236"/>
        <v>-2.8117812306223244E-2</v>
      </c>
      <c r="O141" s="879"/>
      <c r="P141" s="772">
        <f t="shared" ref="P141:Y141" si="257">+SUM(P142:P151)</f>
        <v>-3167</v>
      </c>
      <c r="Q141" s="772">
        <f t="shared" si="257"/>
        <v>-993</v>
      </c>
      <c r="R141" s="772">
        <f t="shared" si="257"/>
        <v>-824</v>
      </c>
      <c r="S141" s="772">
        <f t="shared" si="257"/>
        <v>-2016</v>
      </c>
      <c r="T141" s="772">
        <f t="shared" si="257"/>
        <v>-1921</v>
      </c>
      <c r="U141" s="772">
        <f t="shared" si="257"/>
        <v>-1228</v>
      </c>
      <c r="V141" s="772">
        <f t="shared" si="257"/>
        <v>-962</v>
      </c>
      <c r="W141" s="772">
        <f t="shared" si="257"/>
        <v>-9</v>
      </c>
      <c r="X141" s="938">
        <f t="shared" si="257"/>
        <v>-909</v>
      </c>
      <c r="Y141" s="772">
        <f t="shared" si="257"/>
        <v>-12029</v>
      </c>
      <c r="Z141" s="887">
        <f t="shared" si="238"/>
        <v>-2.2856567391626541E-2</v>
      </c>
      <c r="AA141" s="879"/>
      <c r="AB141" s="772">
        <f t="shared" ref="AB141:AK141" si="258">+SUM(AB142:AB151)</f>
        <v>-2646</v>
      </c>
      <c r="AC141" s="772">
        <f t="shared" si="258"/>
        <v>-1049</v>
      </c>
      <c r="AD141" s="772">
        <f t="shared" si="258"/>
        <v>-1979</v>
      </c>
      <c r="AE141" s="772">
        <f t="shared" si="258"/>
        <v>-1590</v>
      </c>
      <c r="AF141" s="772">
        <f t="shared" si="258"/>
        <v>-1855</v>
      </c>
      <c r="AG141" s="772">
        <f t="shared" si="258"/>
        <v>-1365</v>
      </c>
      <c r="AH141" s="772">
        <f t="shared" si="258"/>
        <v>-1105</v>
      </c>
      <c r="AI141" s="772">
        <f t="shared" si="258"/>
        <v>0</v>
      </c>
      <c r="AJ141" s="938">
        <f t="shared" si="258"/>
        <v>-833</v>
      </c>
      <c r="AK141" s="772">
        <f t="shared" si="258"/>
        <v>-12422</v>
      </c>
      <c r="AL141" s="887">
        <f t="shared" si="240"/>
        <v>-2.4273808244340445E-2</v>
      </c>
      <c r="AM141" s="879"/>
      <c r="AN141" s="772">
        <f t="shared" ref="AN141:AW141" si="259">+SUM(AN142:AN151)</f>
        <v>-3750</v>
      </c>
      <c r="AO141" s="772">
        <f t="shared" si="259"/>
        <v>-1372</v>
      </c>
      <c r="AP141" s="772">
        <f t="shared" si="259"/>
        <v>-939</v>
      </c>
      <c r="AQ141" s="772">
        <f t="shared" si="259"/>
        <v>-1864</v>
      </c>
      <c r="AR141" s="772">
        <f t="shared" si="259"/>
        <v>-2656</v>
      </c>
      <c r="AS141" s="772">
        <f t="shared" si="259"/>
        <v>-1669</v>
      </c>
      <c r="AT141" s="772">
        <f t="shared" si="259"/>
        <v>-1315</v>
      </c>
      <c r="AU141" s="772">
        <f t="shared" si="259"/>
        <v>-48</v>
      </c>
      <c r="AV141" s="938">
        <f t="shared" si="259"/>
        <v>-1045</v>
      </c>
      <c r="AW141" s="772">
        <f t="shared" si="259"/>
        <v>-14658</v>
      </c>
      <c r="AX141" s="887">
        <f t="shared" si="242"/>
        <v>-2.7603272168489561E-2</v>
      </c>
      <c r="AY141" s="879"/>
      <c r="AZ141" s="772">
        <f t="shared" ref="AZ141:BI141" si="260">+SUM(AZ142:AZ151)</f>
        <v>-3077</v>
      </c>
      <c r="BA141" s="772">
        <f t="shared" si="260"/>
        <v>-952</v>
      </c>
      <c r="BB141" s="772">
        <f t="shared" si="260"/>
        <v>-718</v>
      </c>
      <c r="BC141" s="772">
        <f t="shared" si="260"/>
        <v>-1285</v>
      </c>
      <c r="BD141" s="772">
        <f t="shared" si="260"/>
        <v>-1005</v>
      </c>
      <c r="BE141" s="772">
        <f t="shared" si="260"/>
        <v>-942</v>
      </c>
      <c r="BF141" s="772">
        <f t="shared" si="260"/>
        <v>-730</v>
      </c>
      <c r="BG141" s="772">
        <f t="shared" si="260"/>
        <v>-60</v>
      </c>
      <c r="BH141" s="938">
        <f t="shared" si="260"/>
        <v>-601</v>
      </c>
      <c r="BI141" s="772">
        <f t="shared" si="260"/>
        <v>-9370</v>
      </c>
      <c r="BJ141" s="887">
        <f t="shared" si="244"/>
        <v>-1.8893262142499961E-2</v>
      </c>
      <c r="BK141" s="879"/>
      <c r="BL141" s="772">
        <f t="shared" ref="BL141:BU141" si="261">+SUM(BL142:BL151)</f>
        <v>-5191</v>
      </c>
      <c r="BM141" s="772">
        <f t="shared" si="261"/>
        <v>-960</v>
      </c>
      <c r="BN141" s="772">
        <f t="shared" si="261"/>
        <v>-857</v>
      </c>
      <c r="BO141" s="772">
        <f t="shared" si="261"/>
        <v>-1569</v>
      </c>
      <c r="BP141" s="772">
        <f t="shared" si="261"/>
        <v>-1711</v>
      </c>
      <c r="BQ141" s="772">
        <f t="shared" si="261"/>
        <v>-1312</v>
      </c>
      <c r="BR141" s="772">
        <f t="shared" si="261"/>
        <v>-992</v>
      </c>
      <c r="BS141" s="772">
        <f t="shared" si="261"/>
        <v>-72</v>
      </c>
      <c r="BT141" s="938">
        <f t="shared" si="261"/>
        <v>-825</v>
      </c>
      <c r="BU141" s="772">
        <f t="shared" si="261"/>
        <v>-13489</v>
      </c>
      <c r="BV141" s="887">
        <f t="shared" si="246"/>
        <v>-2.7136804580404527E-2</v>
      </c>
      <c r="BW141" s="879"/>
      <c r="BX141" s="772">
        <f t="shared" ref="BX141:CG141" si="262">+SUM(BX142:BX151)</f>
        <v>-4652</v>
      </c>
      <c r="BY141" s="772">
        <f t="shared" si="262"/>
        <v>-1007</v>
      </c>
      <c r="BZ141" s="772">
        <f t="shared" si="262"/>
        <v>-729</v>
      </c>
      <c r="CA141" s="772">
        <f t="shared" si="262"/>
        <v>-1627</v>
      </c>
      <c r="CB141" s="772">
        <f t="shared" si="262"/>
        <v>-1652</v>
      </c>
      <c r="CC141" s="772">
        <f t="shared" si="262"/>
        <v>-1246</v>
      </c>
      <c r="CD141" s="772">
        <f t="shared" si="262"/>
        <v>-932</v>
      </c>
      <c r="CE141" s="772">
        <f t="shared" si="262"/>
        <v>-72</v>
      </c>
      <c r="CF141" s="938">
        <f t="shared" si="262"/>
        <v>-787</v>
      </c>
      <c r="CG141" s="772">
        <f t="shared" si="262"/>
        <v>-12704</v>
      </c>
      <c r="CH141" s="887">
        <f t="shared" si="248"/>
        <v>-2.6467328349875415E-2</v>
      </c>
      <c r="CI141" s="947"/>
      <c r="CJ141" s="966">
        <f t="shared" si="249"/>
        <v>785</v>
      </c>
      <c r="CK141" s="964">
        <f t="shared" si="250"/>
        <v>-5.8195566758099192E-2</v>
      </c>
      <c r="CL141" s="766"/>
      <c r="CM141" s="773">
        <f>+SUM(CM142:CM151)</f>
        <v>-74667.5</v>
      </c>
      <c r="CN141" s="767">
        <f t="shared" si="251"/>
        <v>-2.4545000756887057E-2</v>
      </c>
      <c r="CO141" s="766"/>
      <c r="CP141" s="772">
        <f t="shared" ref="CP141" si="263">+SUM(CP142:CP151)</f>
        <v>-13190</v>
      </c>
      <c r="CQ141" s="765">
        <f t="shared" si="131"/>
        <v>-2.5601882000362969E-2</v>
      </c>
      <c r="CR141" s="879"/>
      <c r="CS141" s="773">
        <f t="shared" ref="CS141" si="264">+SUM(CS142:CS151)</f>
        <v>-79371</v>
      </c>
      <c r="CT141" s="767">
        <f t="shared" si="254"/>
        <v>-2.7006744795942065E-2</v>
      </c>
      <c r="CU141" s="879"/>
      <c r="CV141" s="908">
        <f t="shared" si="255"/>
        <v>4703.5</v>
      </c>
      <c r="CW141" s="906">
        <f t="shared" si="132"/>
        <v>-5.9259679227929594E-2</v>
      </c>
      <c r="CY141" s="763"/>
    </row>
    <row r="142" spans="1:103" hidden="1" outlineLevel="1">
      <c r="A142" s="749">
        <v>530505</v>
      </c>
      <c r="B142" s="833" t="s">
        <v>83</v>
      </c>
      <c r="C142" s="874"/>
      <c r="D142" s="744">
        <v>-101</v>
      </c>
      <c r="E142" s="744">
        <v>-101</v>
      </c>
      <c r="F142" s="744">
        <v>-101</v>
      </c>
      <c r="G142" s="744">
        <v>-121</v>
      </c>
      <c r="H142" s="744">
        <v>-101</v>
      </c>
      <c r="I142" s="744">
        <v>-101</v>
      </c>
      <c r="J142" s="744">
        <v>-115</v>
      </c>
      <c r="K142" s="744">
        <v>0</v>
      </c>
      <c r="L142" s="932">
        <v>-101</v>
      </c>
      <c r="M142" s="744">
        <f t="shared" ref="M142:M149" si="265">SUM(D142:L142)</f>
        <v>-842</v>
      </c>
      <c r="N142" s="888">
        <f t="shared" si="236"/>
        <v>-1.6680897598703565E-3</v>
      </c>
      <c r="O142" s="874"/>
      <c r="P142" s="744">
        <v>-96</v>
      </c>
      <c r="Q142" s="744">
        <v>-96</v>
      </c>
      <c r="R142" s="744">
        <v>-96</v>
      </c>
      <c r="S142" s="744">
        <v>-128</v>
      </c>
      <c r="T142" s="744">
        <v>-96</v>
      </c>
      <c r="U142" s="744">
        <v>-96</v>
      </c>
      <c r="V142" s="744">
        <v>-103</v>
      </c>
      <c r="W142" s="744">
        <v>-9</v>
      </c>
      <c r="X142" s="932">
        <v>-110</v>
      </c>
      <c r="Y142" s="744">
        <f t="shared" ref="Y142:Y149" si="266">SUM(P142:X142)</f>
        <v>-830</v>
      </c>
      <c r="Z142" s="888">
        <f t="shared" si="238"/>
        <v>-1.5771012499002435E-3</v>
      </c>
      <c r="AA142" s="874"/>
      <c r="AB142" s="744">
        <v>-83</v>
      </c>
      <c r="AC142" s="744">
        <v>-83</v>
      </c>
      <c r="AD142" s="744">
        <v>-83</v>
      </c>
      <c r="AE142" s="744">
        <v>-99</v>
      </c>
      <c r="AF142" s="744">
        <v>-83</v>
      </c>
      <c r="AG142" s="744">
        <v>-83</v>
      </c>
      <c r="AH142" s="744">
        <v>-92</v>
      </c>
      <c r="AI142" s="744">
        <v>0</v>
      </c>
      <c r="AJ142" s="932">
        <v>-93</v>
      </c>
      <c r="AK142" s="744">
        <f t="shared" ref="AK142:AK149" si="267">SUM(AB142:AJ142)</f>
        <v>-699</v>
      </c>
      <c r="AL142" s="888">
        <f t="shared" si="240"/>
        <v>-1.3659146645301858E-3</v>
      </c>
      <c r="AM142" s="874"/>
      <c r="AN142" s="744">
        <v>-113</v>
      </c>
      <c r="AO142" s="744">
        <v>-113</v>
      </c>
      <c r="AP142" s="744">
        <v>-113</v>
      </c>
      <c r="AQ142" s="744">
        <v>-191</v>
      </c>
      <c r="AR142" s="744">
        <v>-113</v>
      </c>
      <c r="AS142" s="744">
        <v>-113</v>
      </c>
      <c r="AT142" s="744">
        <v>-122</v>
      </c>
      <c r="AU142" s="744">
        <v>-48</v>
      </c>
      <c r="AV142" s="932">
        <v>-123</v>
      </c>
      <c r="AW142" s="744">
        <f t="shared" ref="AW142:AW149" si="268">SUM(AN142:AV142)</f>
        <v>-1049</v>
      </c>
      <c r="AX142" s="888">
        <f t="shared" si="242"/>
        <v>-1.9754286058633885E-3</v>
      </c>
      <c r="AY142" s="874"/>
      <c r="AZ142" s="744">
        <v>-70</v>
      </c>
      <c r="BA142" s="744">
        <v>-70</v>
      </c>
      <c r="BB142" s="744">
        <v>-70</v>
      </c>
      <c r="BC142" s="744">
        <v>-216</v>
      </c>
      <c r="BD142" s="744">
        <v>-70</v>
      </c>
      <c r="BE142" s="744">
        <v>-70</v>
      </c>
      <c r="BF142" s="744">
        <v>-76</v>
      </c>
      <c r="BG142" s="744">
        <v>-60</v>
      </c>
      <c r="BH142" s="932">
        <v>-93</v>
      </c>
      <c r="BI142" s="744">
        <f t="shared" ref="BI142:BI149" si="269">SUM(AZ142:BH142)</f>
        <v>-795</v>
      </c>
      <c r="BJ142" s="888">
        <f t="shared" si="244"/>
        <v>-1.6030035649186199E-3</v>
      </c>
      <c r="BK142" s="874"/>
      <c r="BL142" s="744">
        <v>-102</v>
      </c>
      <c r="BM142" s="744">
        <v>-102</v>
      </c>
      <c r="BN142" s="744">
        <v>-102</v>
      </c>
      <c r="BO142" s="744">
        <v>-119</v>
      </c>
      <c r="BP142" s="744">
        <v>-102</v>
      </c>
      <c r="BQ142" s="744">
        <v>-102</v>
      </c>
      <c r="BR142" s="744">
        <v>-99</v>
      </c>
      <c r="BS142" s="744">
        <v>-72</v>
      </c>
      <c r="BT142" s="932">
        <v>-125</v>
      </c>
      <c r="BU142" s="744">
        <f t="shared" ref="BU142:BU149" si="270">SUM(BL142:BT142)</f>
        <v>-925</v>
      </c>
      <c r="BV142" s="888">
        <f t="shared" si="246"/>
        <v>-1.8608899278578239E-3</v>
      </c>
      <c r="BW142" s="874"/>
      <c r="BX142" s="744">
        <v>-89</v>
      </c>
      <c r="BY142" s="744">
        <v>-88</v>
      </c>
      <c r="BZ142" s="744">
        <v>-88</v>
      </c>
      <c r="CA142" s="744">
        <v>-109</v>
      </c>
      <c r="CB142" s="744">
        <v>-88</v>
      </c>
      <c r="CC142" s="744">
        <v>-88</v>
      </c>
      <c r="CD142" s="744">
        <v>-85</v>
      </c>
      <c r="CE142" s="744">
        <v>-72</v>
      </c>
      <c r="CF142" s="932">
        <v>-108</v>
      </c>
      <c r="CG142" s="744">
        <f t="shared" ref="CG142:CG149" si="271">SUM(BX142:CF142)</f>
        <v>-815</v>
      </c>
      <c r="CH142" s="888">
        <f t="shared" si="248"/>
        <v>-1.6979591156445577E-3</v>
      </c>
      <c r="CI142" s="874"/>
      <c r="CJ142" s="957">
        <f t="shared" si="249"/>
        <v>110</v>
      </c>
      <c r="CK142" s="965">
        <f t="shared" si="250"/>
        <v>-0.11891891891891893</v>
      </c>
      <c r="CL142" s="746"/>
      <c r="CM142" s="816">
        <f>-DATOS!D194</f>
        <v>-5118</v>
      </c>
      <c r="CN142" s="757">
        <f t="shared" si="251"/>
        <v>-1.6824095339170047E-3</v>
      </c>
      <c r="CO142" s="746"/>
      <c r="CP142" s="744">
        <f>-DATOS!F194</f>
        <v>-242</v>
      </c>
      <c r="CQ142" s="756">
        <f t="shared" si="131"/>
        <v>-4.6972368795207266E-4</v>
      </c>
      <c r="CR142" s="874"/>
      <c r="CS142" s="816">
        <f>-DATOS!G194</f>
        <v>-2497</v>
      </c>
      <c r="CT142" s="757">
        <f t="shared" si="254"/>
        <v>-8.496282238533889E-4</v>
      </c>
      <c r="CU142" s="874"/>
      <c r="CV142" s="897">
        <f t="shared" si="255"/>
        <v>-2621</v>
      </c>
      <c r="CW142" s="902">
        <f t="shared" si="132"/>
        <v>1.0496595915098117</v>
      </c>
      <c r="CY142" s="750"/>
    </row>
    <row r="143" spans="1:103" hidden="1" outlineLevel="1">
      <c r="A143" s="749">
        <v>530506</v>
      </c>
      <c r="B143" s="833" t="s">
        <v>85</v>
      </c>
      <c r="C143" s="874"/>
      <c r="D143" s="744">
        <v>-328</v>
      </c>
      <c r="E143" s="744">
        <v>-328</v>
      </c>
      <c r="F143" s="744">
        <v>-328</v>
      </c>
      <c r="G143" s="744">
        <v>-328</v>
      </c>
      <c r="H143" s="744">
        <v>-328</v>
      </c>
      <c r="I143" s="744">
        <v>-328</v>
      </c>
      <c r="J143" s="744">
        <v>-328</v>
      </c>
      <c r="K143" s="744">
        <v>0</v>
      </c>
      <c r="L143" s="932">
        <v>-328</v>
      </c>
      <c r="M143" s="744">
        <f t="shared" si="265"/>
        <v>-2624</v>
      </c>
      <c r="N143" s="888">
        <f t="shared" si="236"/>
        <v>-5.1984174939427742E-3</v>
      </c>
      <c r="O143" s="874"/>
      <c r="P143" s="744">
        <v>-329</v>
      </c>
      <c r="Q143" s="744">
        <v>-329</v>
      </c>
      <c r="R143" s="744">
        <v>-329</v>
      </c>
      <c r="S143" s="744">
        <v>-329</v>
      </c>
      <c r="T143" s="744">
        <v>-329</v>
      </c>
      <c r="U143" s="744">
        <v>-329</v>
      </c>
      <c r="V143" s="744">
        <v>-329</v>
      </c>
      <c r="W143" s="744">
        <v>0</v>
      </c>
      <c r="X143" s="932">
        <v>-329</v>
      </c>
      <c r="Y143" s="744">
        <f t="shared" si="266"/>
        <v>-2632</v>
      </c>
      <c r="Z143" s="888">
        <f t="shared" si="238"/>
        <v>-5.0011210719728208E-3</v>
      </c>
      <c r="AA143" s="874"/>
      <c r="AB143" s="744">
        <v>-296</v>
      </c>
      <c r="AC143" s="744">
        <v>-296</v>
      </c>
      <c r="AD143" s="744">
        <v>-296</v>
      </c>
      <c r="AE143" s="744">
        <v>-296</v>
      </c>
      <c r="AF143" s="744">
        <v>-296</v>
      </c>
      <c r="AG143" s="744">
        <v>-296</v>
      </c>
      <c r="AH143" s="744">
        <v>-296</v>
      </c>
      <c r="AI143" s="744">
        <v>0</v>
      </c>
      <c r="AJ143" s="932">
        <v>-296</v>
      </c>
      <c r="AK143" s="744">
        <f t="shared" si="267"/>
        <v>-2368</v>
      </c>
      <c r="AL143" s="888">
        <f t="shared" si="240"/>
        <v>-4.6273046146029758E-3</v>
      </c>
      <c r="AM143" s="874"/>
      <c r="AN143" s="744">
        <v>-351</v>
      </c>
      <c r="AO143" s="744">
        <v>-351</v>
      </c>
      <c r="AP143" s="744">
        <v>-351</v>
      </c>
      <c r="AQ143" s="744">
        <v>-351</v>
      </c>
      <c r="AR143" s="744">
        <v>-351</v>
      </c>
      <c r="AS143" s="744">
        <v>-351</v>
      </c>
      <c r="AT143" s="744">
        <v>-351</v>
      </c>
      <c r="AU143" s="744">
        <v>0</v>
      </c>
      <c r="AV143" s="932">
        <v>-351</v>
      </c>
      <c r="AW143" s="744">
        <f t="shared" si="268"/>
        <v>-2808</v>
      </c>
      <c r="AX143" s="888">
        <f t="shared" si="242"/>
        <v>-5.2878965922444187E-3</v>
      </c>
      <c r="AY143" s="874"/>
      <c r="AZ143" s="744">
        <v>-266</v>
      </c>
      <c r="BA143" s="744">
        <v>-266</v>
      </c>
      <c r="BB143" s="744">
        <v>-266</v>
      </c>
      <c r="BC143" s="744">
        <v>-266</v>
      </c>
      <c r="BD143" s="744">
        <v>-266</v>
      </c>
      <c r="BE143" s="744">
        <v>-266</v>
      </c>
      <c r="BF143" s="744">
        <v>-266</v>
      </c>
      <c r="BG143" s="744">
        <v>0</v>
      </c>
      <c r="BH143" s="932">
        <v>-263</v>
      </c>
      <c r="BI143" s="744">
        <f t="shared" si="269"/>
        <v>-2125</v>
      </c>
      <c r="BJ143" s="888">
        <f t="shared" si="244"/>
        <v>-4.2847579565434809E-3</v>
      </c>
      <c r="BK143" s="874"/>
      <c r="BL143" s="744">
        <v>-368</v>
      </c>
      <c r="BM143" s="744">
        <v>-368</v>
      </c>
      <c r="BN143" s="744">
        <v>-368</v>
      </c>
      <c r="BO143" s="744">
        <v>-368</v>
      </c>
      <c r="BP143" s="744">
        <v>-368</v>
      </c>
      <c r="BQ143" s="744">
        <v>-368</v>
      </c>
      <c r="BR143" s="744">
        <v>-368</v>
      </c>
      <c r="BS143" s="744">
        <v>0</v>
      </c>
      <c r="BT143" s="932">
        <v>-365</v>
      </c>
      <c r="BU143" s="744">
        <f t="shared" si="270"/>
        <v>-2941</v>
      </c>
      <c r="BV143" s="888">
        <f t="shared" si="246"/>
        <v>-5.9166240841403896E-3</v>
      </c>
      <c r="BW143" s="874"/>
      <c r="BX143" s="744">
        <v>-314</v>
      </c>
      <c r="BY143" s="744">
        <v>-314</v>
      </c>
      <c r="BZ143" s="744">
        <v>-314</v>
      </c>
      <c r="CA143" s="744">
        <v>-314</v>
      </c>
      <c r="CB143" s="744">
        <v>-314</v>
      </c>
      <c r="CC143" s="744">
        <v>-314</v>
      </c>
      <c r="CD143" s="744">
        <v>-314</v>
      </c>
      <c r="CE143" s="744">
        <v>0</v>
      </c>
      <c r="CF143" s="932">
        <v>-311</v>
      </c>
      <c r="CG143" s="744">
        <f t="shared" si="271"/>
        <v>-2509</v>
      </c>
      <c r="CH143" s="888">
        <f t="shared" si="248"/>
        <v>-5.2272140136836757E-3</v>
      </c>
      <c r="CI143" s="874"/>
      <c r="CJ143" s="957">
        <f t="shared" si="249"/>
        <v>432</v>
      </c>
      <c r="CK143" s="965">
        <f t="shared" si="250"/>
        <v>-0.14688881332879972</v>
      </c>
      <c r="CL143" s="746"/>
      <c r="CM143" s="816">
        <f>-DATOS!D195</f>
        <v>-15385</v>
      </c>
      <c r="CN143" s="757">
        <f t="shared" si="251"/>
        <v>-5.0574190463683307E-3</v>
      </c>
      <c r="CO143" s="746"/>
      <c r="CP143" s="744">
        <f>-DATOS!F195</f>
        <v>-2457</v>
      </c>
      <c r="CQ143" s="756">
        <f t="shared" si="131"/>
        <v>-4.7690541375960431E-3</v>
      </c>
      <c r="CR143" s="874"/>
      <c r="CS143" s="816">
        <f>-DATOS!G195</f>
        <v>-14603</v>
      </c>
      <c r="CT143" s="757">
        <f t="shared" si="254"/>
        <v>-4.9688109543175969E-3</v>
      </c>
      <c r="CU143" s="874"/>
      <c r="CV143" s="897">
        <f t="shared" si="255"/>
        <v>-782</v>
      </c>
      <c r="CW143" s="902">
        <f t="shared" si="132"/>
        <v>5.3550640279394643E-2</v>
      </c>
      <c r="CY143" s="750"/>
    </row>
    <row r="144" spans="1:103" hidden="1" outlineLevel="1">
      <c r="A144" s="749">
        <v>530515</v>
      </c>
      <c r="B144" s="833" t="s">
        <v>84</v>
      </c>
      <c r="C144" s="874"/>
      <c r="D144" s="744">
        <v>-613</v>
      </c>
      <c r="E144" s="744">
        <v>-689</v>
      </c>
      <c r="F144" s="744">
        <v>-465</v>
      </c>
      <c r="G144" s="744">
        <v>-1006</v>
      </c>
      <c r="H144" s="744">
        <v>-1301</v>
      </c>
      <c r="I144" s="744">
        <v>-945</v>
      </c>
      <c r="J144" s="744">
        <v>-671</v>
      </c>
      <c r="K144" s="744">
        <v>0</v>
      </c>
      <c r="L144" s="932">
        <v>-562</v>
      </c>
      <c r="M144" s="744">
        <f t="shared" si="265"/>
        <v>-6252</v>
      </c>
      <c r="N144" s="888">
        <f t="shared" si="236"/>
        <v>-1.2385863632671579E-2</v>
      </c>
      <c r="O144" s="874"/>
      <c r="P144" s="744">
        <v>-558</v>
      </c>
      <c r="Q144" s="744">
        <v>-568</v>
      </c>
      <c r="R144" s="744">
        <v>-399</v>
      </c>
      <c r="S144" s="744">
        <v>-730</v>
      </c>
      <c r="T144" s="744">
        <v>-1026</v>
      </c>
      <c r="U144" s="744">
        <v>-803</v>
      </c>
      <c r="V144" s="744">
        <v>-530</v>
      </c>
      <c r="W144" s="744">
        <v>0</v>
      </c>
      <c r="X144" s="932">
        <v>-470</v>
      </c>
      <c r="Y144" s="744">
        <f t="shared" si="266"/>
        <v>-5084</v>
      </c>
      <c r="Z144" s="888">
        <f t="shared" si="238"/>
        <v>-9.6602201861359493E-3</v>
      </c>
      <c r="AA144" s="874"/>
      <c r="AB144" s="744">
        <v>-595</v>
      </c>
      <c r="AC144" s="744">
        <v>-670</v>
      </c>
      <c r="AD144" s="744">
        <v>-488</v>
      </c>
      <c r="AE144" s="744">
        <v>-676</v>
      </c>
      <c r="AF144" s="744">
        <v>-1002</v>
      </c>
      <c r="AG144" s="744">
        <v>-986</v>
      </c>
      <c r="AH144" s="744">
        <v>-688</v>
      </c>
      <c r="AI144" s="744">
        <v>0</v>
      </c>
      <c r="AJ144" s="932">
        <v>-421</v>
      </c>
      <c r="AK144" s="744">
        <f t="shared" si="267"/>
        <v>-5526</v>
      </c>
      <c r="AL144" s="888">
        <f t="shared" si="240"/>
        <v>-1.079834683289529E-2</v>
      </c>
      <c r="AM144" s="874"/>
      <c r="AN144" s="744">
        <v>-596</v>
      </c>
      <c r="AO144" s="744">
        <v>-697</v>
      </c>
      <c r="AP144" s="744">
        <v>-475</v>
      </c>
      <c r="AQ144" s="744">
        <v>-640</v>
      </c>
      <c r="AR144" s="744">
        <v>-940</v>
      </c>
      <c r="AS144" s="744">
        <v>-960</v>
      </c>
      <c r="AT144" s="744">
        <v>-685</v>
      </c>
      <c r="AU144" s="744">
        <v>0</v>
      </c>
      <c r="AV144" s="932">
        <v>-461</v>
      </c>
      <c r="AW144" s="744">
        <f t="shared" si="268"/>
        <v>-5454</v>
      </c>
      <c r="AX144" s="888">
        <f t="shared" si="242"/>
        <v>-1.0270722227243966E-2</v>
      </c>
      <c r="AY144" s="874"/>
      <c r="AZ144" s="744">
        <v>-415</v>
      </c>
      <c r="BA144" s="744">
        <v>-617</v>
      </c>
      <c r="BB144" s="744">
        <v>-382</v>
      </c>
      <c r="BC144" s="744">
        <v>-479</v>
      </c>
      <c r="BD144" s="744">
        <v>-773</v>
      </c>
      <c r="BE144" s="744">
        <v>-851</v>
      </c>
      <c r="BF144" s="744">
        <v>-545</v>
      </c>
      <c r="BG144" s="744">
        <v>0</v>
      </c>
      <c r="BH144" s="932">
        <v>-337</v>
      </c>
      <c r="BI144" s="744">
        <f t="shared" si="269"/>
        <v>-4399</v>
      </c>
      <c r="BJ144" s="888">
        <f t="shared" si="244"/>
        <v>-8.8699530592163626E-3</v>
      </c>
      <c r="BK144" s="874"/>
      <c r="BL144" s="744">
        <v>-335</v>
      </c>
      <c r="BM144" s="744">
        <v>-512</v>
      </c>
      <c r="BN144" s="744">
        <v>-344</v>
      </c>
      <c r="BO144" s="744">
        <v>-504</v>
      </c>
      <c r="BP144" s="744">
        <v>-764</v>
      </c>
      <c r="BQ144" s="744">
        <v>-842</v>
      </c>
      <c r="BR144" s="744">
        <v>-525</v>
      </c>
      <c r="BS144" s="744">
        <v>0</v>
      </c>
      <c r="BT144" s="932">
        <v>-304</v>
      </c>
      <c r="BU144" s="744">
        <f t="shared" si="270"/>
        <v>-4130</v>
      </c>
      <c r="BV144" s="888">
        <f t="shared" si="246"/>
        <v>-8.3086220562733123E-3</v>
      </c>
      <c r="BW144" s="874"/>
      <c r="BX144" s="744">
        <v>-358</v>
      </c>
      <c r="BY144" s="744">
        <v>-599</v>
      </c>
      <c r="BZ144" s="744">
        <v>-327</v>
      </c>
      <c r="CA144" s="744">
        <v>-607</v>
      </c>
      <c r="CB144" s="744">
        <v>-780</v>
      </c>
      <c r="CC144" s="744">
        <v>-844</v>
      </c>
      <c r="CD144" s="744">
        <v>-533</v>
      </c>
      <c r="CE144" s="744">
        <v>0</v>
      </c>
      <c r="CF144" s="932">
        <v>-360</v>
      </c>
      <c r="CG144" s="744">
        <f t="shared" si="271"/>
        <v>-4408</v>
      </c>
      <c r="CH144" s="888">
        <f t="shared" si="248"/>
        <v>-9.1835629224063936E-3</v>
      </c>
      <c r="CI144" s="874"/>
      <c r="CJ144" s="957">
        <f t="shared" si="249"/>
        <v>-278</v>
      </c>
      <c r="CK144" s="965">
        <f t="shared" si="250"/>
        <v>6.7312348668280869E-2</v>
      </c>
      <c r="CL144" s="746"/>
      <c r="CM144" s="816">
        <f>-DATOS!D196</f>
        <v>-30140</v>
      </c>
      <c r="CN144" s="757">
        <f t="shared" si="251"/>
        <v>-9.9077419601911916E-3</v>
      </c>
      <c r="CO144" s="746"/>
      <c r="CP144" s="744">
        <f>-DATOS!F196</f>
        <v>-6018</v>
      </c>
      <c r="CQ144" s="756">
        <f t="shared" si="131"/>
        <v>-1.1680979975601542E-2</v>
      </c>
      <c r="CR144" s="874"/>
      <c r="CS144" s="816">
        <f>-DATOS!G196</f>
        <v>-39182</v>
      </c>
      <c r="CT144" s="757">
        <f t="shared" si="254"/>
        <v>-1.3332051688835998E-2</v>
      </c>
      <c r="CU144" s="874"/>
      <c r="CV144" s="897">
        <f t="shared" si="255"/>
        <v>9042</v>
      </c>
      <c r="CW144" s="902">
        <f t="shared" si="132"/>
        <v>-0.23076923076923078</v>
      </c>
      <c r="CY144" s="750"/>
    </row>
    <row r="145" spans="1:103" hidden="1" outlineLevel="1">
      <c r="A145" s="749">
        <v>530516</v>
      </c>
      <c r="B145" s="833" t="s">
        <v>796</v>
      </c>
      <c r="C145" s="874"/>
      <c r="D145" s="744">
        <v>0</v>
      </c>
      <c r="E145" s="744">
        <v>0</v>
      </c>
      <c r="F145" s="744">
        <v>0</v>
      </c>
      <c r="G145" s="744">
        <v>0</v>
      </c>
      <c r="H145" s="744">
        <v>0</v>
      </c>
      <c r="I145" s="744">
        <v>0</v>
      </c>
      <c r="J145" s="744">
        <v>0</v>
      </c>
      <c r="K145" s="744">
        <v>0</v>
      </c>
      <c r="L145" s="932">
        <v>0</v>
      </c>
      <c r="M145" s="744">
        <f t="shared" si="265"/>
        <v>0</v>
      </c>
      <c r="N145" s="888">
        <f t="shared" si="236"/>
        <v>0</v>
      </c>
      <c r="O145" s="874"/>
      <c r="P145" s="744">
        <v>0</v>
      </c>
      <c r="Q145" s="744">
        <v>0</v>
      </c>
      <c r="R145" s="744">
        <v>0</v>
      </c>
      <c r="S145" s="744">
        <v>0</v>
      </c>
      <c r="T145" s="744">
        <v>0</v>
      </c>
      <c r="U145" s="744">
        <v>0</v>
      </c>
      <c r="V145" s="744">
        <v>0</v>
      </c>
      <c r="W145" s="744">
        <v>0</v>
      </c>
      <c r="X145" s="932">
        <v>0</v>
      </c>
      <c r="Y145" s="744">
        <f t="shared" si="266"/>
        <v>0</v>
      </c>
      <c r="Z145" s="888">
        <f t="shared" si="238"/>
        <v>0</v>
      </c>
      <c r="AA145" s="874"/>
      <c r="AB145" s="744">
        <v>0</v>
      </c>
      <c r="AC145" s="744">
        <v>0</v>
      </c>
      <c r="AD145" s="744">
        <v>0</v>
      </c>
      <c r="AE145" s="744">
        <v>0</v>
      </c>
      <c r="AF145" s="744">
        <v>0</v>
      </c>
      <c r="AG145" s="744">
        <v>0</v>
      </c>
      <c r="AH145" s="744">
        <v>0</v>
      </c>
      <c r="AI145" s="744">
        <v>0</v>
      </c>
      <c r="AJ145" s="932">
        <v>0</v>
      </c>
      <c r="AK145" s="744">
        <f t="shared" si="267"/>
        <v>0</v>
      </c>
      <c r="AL145" s="888">
        <f t="shared" si="240"/>
        <v>0</v>
      </c>
      <c r="AM145" s="874"/>
      <c r="AN145" s="744">
        <v>0</v>
      </c>
      <c r="AO145" s="744">
        <v>0</v>
      </c>
      <c r="AP145" s="744">
        <v>0</v>
      </c>
      <c r="AQ145" s="744">
        <v>0</v>
      </c>
      <c r="AR145" s="744">
        <v>0</v>
      </c>
      <c r="AS145" s="744">
        <v>0</v>
      </c>
      <c r="AT145" s="744">
        <v>0</v>
      </c>
      <c r="AU145" s="744">
        <v>0</v>
      </c>
      <c r="AV145" s="932">
        <v>0</v>
      </c>
      <c r="AW145" s="744">
        <f t="shared" si="268"/>
        <v>0</v>
      </c>
      <c r="AX145" s="888">
        <f t="shared" si="242"/>
        <v>0</v>
      </c>
      <c r="AY145" s="874"/>
      <c r="AZ145" s="744">
        <v>0</v>
      </c>
      <c r="BA145" s="744">
        <v>0</v>
      </c>
      <c r="BB145" s="744">
        <v>0</v>
      </c>
      <c r="BC145" s="744">
        <v>0</v>
      </c>
      <c r="BD145" s="744">
        <v>0</v>
      </c>
      <c r="BE145" s="744">
        <v>0</v>
      </c>
      <c r="BF145" s="744">
        <v>0</v>
      </c>
      <c r="BG145" s="744">
        <v>0</v>
      </c>
      <c r="BH145" s="932">
        <v>0</v>
      </c>
      <c r="BI145" s="744">
        <f t="shared" si="269"/>
        <v>0</v>
      </c>
      <c r="BJ145" s="888">
        <f t="shared" si="244"/>
        <v>0</v>
      </c>
      <c r="BK145" s="874"/>
      <c r="BL145" s="744">
        <v>-1142</v>
      </c>
      <c r="BM145" s="744">
        <v>0</v>
      </c>
      <c r="BN145" s="744">
        <v>0</v>
      </c>
      <c r="BO145" s="744">
        <v>0</v>
      </c>
      <c r="BP145" s="744">
        <v>0</v>
      </c>
      <c r="BQ145" s="744">
        <v>0</v>
      </c>
      <c r="BR145" s="744">
        <v>0</v>
      </c>
      <c r="BS145" s="744">
        <v>0</v>
      </c>
      <c r="BT145" s="932">
        <v>0</v>
      </c>
      <c r="BU145" s="744">
        <f t="shared" si="270"/>
        <v>-1142</v>
      </c>
      <c r="BV145" s="888">
        <f t="shared" si="246"/>
        <v>-2.2974446460687944E-3</v>
      </c>
      <c r="BW145" s="874"/>
      <c r="BX145" s="744">
        <v>0</v>
      </c>
      <c r="BY145" s="744">
        <v>0</v>
      </c>
      <c r="BZ145" s="744">
        <v>0</v>
      </c>
      <c r="CA145" s="744">
        <v>0</v>
      </c>
      <c r="CB145" s="744">
        <v>0</v>
      </c>
      <c r="CC145" s="744">
        <v>0</v>
      </c>
      <c r="CD145" s="744">
        <v>0</v>
      </c>
      <c r="CE145" s="744">
        <v>0</v>
      </c>
      <c r="CF145" s="932">
        <v>0</v>
      </c>
      <c r="CG145" s="744">
        <f t="shared" si="271"/>
        <v>0</v>
      </c>
      <c r="CH145" s="888">
        <f t="shared" si="248"/>
        <v>0</v>
      </c>
      <c r="CI145" s="874"/>
      <c r="CJ145" s="957">
        <f t="shared" si="249"/>
        <v>1142</v>
      </c>
      <c r="CK145" s="965">
        <f t="shared" si="250"/>
        <v>-1</v>
      </c>
      <c r="CL145" s="746"/>
      <c r="CM145" s="816"/>
      <c r="CN145" s="757">
        <f t="shared" si="251"/>
        <v>0</v>
      </c>
      <c r="CO145" s="746"/>
      <c r="CP145" s="744">
        <v>0</v>
      </c>
      <c r="CQ145" s="756">
        <f t="shared" si="131"/>
        <v>0</v>
      </c>
      <c r="CR145" s="874"/>
      <c r="CS145" s="816">
        <v>0</v>
      </c>
      <c r="CT145" s="757">
        <f t="shared" si="254"/>
        <v>0</v>
      </c>
      <c r="CU145" s="874"/>
      <c r="CV145" s="897">
        <f t="shared" si="255"/>
        <v>0</v>
      </c>
      <c r="CW145" s="902">
        <f t="shared" si="132"/>
        <v>0</v>
      </c>
      <c r="CY145" s="750"/>
    </row>
    <row r="146" spans="1:103" hidden="1" outlineLevel="1">
      <c r="A146" s="749">
        <v>530520</v>
      </c>
      <c r="B146" s="833" t="s">
        <v>791</v>
      </c>
      <c r="C146" s="874"/>
      <c r="D146" s="744">
        <v>0</v>
      </c>
      <c r="E146" s="744">
        <v>0</v>
      </c>
      <c r="F146" s="744">
        <v>0</v>
      </c>
      <c r="G146" s="744">
        <v>-751</v>
      </c>
      <c r="H146" s="744">
        <v>-3634</v>
      </c>
      <c r="I146" s="744">
        <v>0</v>
      </c>
      <c r="J146" s="744">
        <v>0</v>
      </c>
      <c r="K146" s="744">
        <v>0</v>
      </c>
      <c r="L146" s="932">
        <v>0</v>
      </c>
      <c r="M146" s="744">
        <f t="shared" si="265"/>
        <v>-4385</v>
      </c>
      <c r="N146" s="888">
        <f t="shared" si="236"/>
        <v>-8.6871420392298261E-3</v>
      </c>
      <c r="O146" s="874"/>
      <c r="P146" s="744">
        <v>-2182</v>
      </c>
      <c r="Q146" s="744">
        <v>0</v>
      </c>
      <c r="R146" s="744">
        <v>0</v>
      </c>
      <c r="S146" s="744">
        <v>-827</v>
      </c>
      <c r="T146" s="744">
        <v>-470</v>
      </c>
      <c r="U146" s="744">
        <v>0</v>
      </c>
      <c r="V146" s="744">
        <v>0</v>
      </c>
      <c r="W146" s="744">
        <v>0</v>
      </c>
      <c r="X146" s="932">
        <v>0</v>
      </c>
      <c r="Y146" s="744">
        <f t="shared" si="266"/>
        <v>-3479</v>
      </c>
      <c r="Z146" s="888">
        <f t="shared" si="238"/>
        <v>-6.6105243956662016E-3</v>
      </c>
      <c r="AA146" s="874"/>
      <c r="AB146" s="744">
        <v>-1672</v>
      </c>
      <c r="AC146" s="744">
        <v>0</v>
      </c>
      <c r="AD146" s="744">
        <v>-1107</v>
      </c>
      <c r="AE146" s="744">
        <v>-470</v>
      </c>
      <c r="AF146" s="744">
        <v>-470</v>
      </c>
      <c r="AG146" s="744">
        <v>0</v>
      </c>
      <c r="AH146" s="744">
        <v>0</v>
      </c>
      <c r="AI146" s="744">
        <v>0</v>
      </c>
      <c r="AJ146" s="932">
        <v>0</v>
      </c>
      <c r="AK146" s="744">
        <f t="shared" si="267"/>
        <v>-3719</v>
      </c>
      <c r="AL146" s="888">
        <f t="shared" si="240"/>
        <v>-7.2672913267349953E-3</v>
      </c>
      <c r="AM146" s="874"/>
      <c r="AN146" s="744">
        <v>-2684</v>
      </c>
      <c r="AO146" s="744">
        <v>-205</v>
      </c>
      <c r="AP146" s="744">
        <v>0</v>
      </c>
      <c r="AQ146" s="744">
        <v>-578</v>
      </c>
      <c r="AR146" s="744">
        <v>-1252</v>
      </c>
      <c r="AS146" s="744">
        <v>-245</v>
      </c>
      <c r="AT146" s="744">
        <v>-157</v>
      </c>
      <c r="AU146" s="744">
        <v>0</v>
      </c>
      <c r="AV146" s="932">
        <v>-110</v>
      </c>
      <c r="AW146" s="744">
        <f t="shared" si="268"/>
        <v>-5231</v>
      </c>
      <c r="AX146" s="888">
        <f t="shared" si="242"/>
        <v>-9.8507788725180033E-3</v>
      </c>
      <c r="AY146" s="874"/>
      <c r="AZ146" s="744">
        <v>-2326</v>
      </c>
      <c r="BA146" s="744">
        <v>1</v>
      </c>
      <c r="BB146" s="744">
        <v>0</v>
      </c>
      <c r="BC146" s="744">
        <v>-215</v>
      </c>
      <c r="BD146" s="744">
        <v>104</v>
      </c>
      <c r="BE146" s="744">
        <v>245</v>
      </c>
      <c r="BF146" s="744">
        <v>157</v>
      </c>
      <c r="BG146" s="744">
        <v>0</v>
      </c>
      <c r="BH146" s="932">
        <v>110</v>
      </c>
      <c r="BI146" s="744">
        <f t="shared" si="269"/>
        <v>-1924</v>
      </c>
      <c r="BJ146" s="888">
        <f t="shared" si="244"/>
        <v>-3.8794702627716034E-3</v>
      </c>
      <c r="BK146" s="874"/>
      <c r="BL146" s="744">
        <f>-3168-76</f>
        <v>-3244</v>
      </c>
      <c r="BM146" s="744">
        <v>0</v>
      </c>
      <c r="BN146" s="744">
        <v>0</v>
      </c>
      <c r="BO146" s="744">
        <v>-470</v>
      </c>
      <c r="BP146" s="744">
        <v>-470</v>
      </c>
      <c r="BQ146" s="744">
        <v>0</v>
      </c>
      <c r="BR146" s="744">
        <v>0</v>
      </c>
      <c r="BS146" s="744">
        <v>0</v>
      </c>
      <c r="BT146" s="932">
        <v>0</v>
      </c>
      <c r="BU146" s="744">
        <f t="shared" si="270"/>
        <v>-4184</v>
      </c>
      <c r="BV146" s="888">
        <f t="shared" si="246"/>
        <v>-8.4172577926023093E-3</v>
      </c>
      <c r="BW146" s="874"/>
      <c r="BX146" s="744">
        <v>-3891</v>
      </c>
      <c r="BY146" s="744">
        <v>0</v>
      </c>
      <c r="BZ146" s="744">
        <v>0</v>
      </c>
      <c r="CA146" s="744">
        <v>-470</v>
      </c>
      <c r="CB146" s="744">
        <v>-470</v>
      </c>
      <c r="CC146" s="744">
        <v>0</v>
      </c>
      <c r="CD146" s="744">
        <v>0</v>
      </c>
      <c r="CE146" s="744">
        <v>0</v>
      </c>
      <c r="CF146" s="932">
        <v>0</v>
      </c>
      <c r="CG146" s="744">
        <f t="shared" si="271"/>
        <v>-4831</v>
      </c>
      <c r="CH146" s="888">
        <f t="shared" si="248"/>
        <v>-1.0064834954207189E-2</v>
      </c>
      <c r="CI146" s="874"/>
      <c r="CJ146" s="957">
        <f t="shared" si="249"/>
        <v>-647</v>
      </c>
      <c r="CK146" s="965">
        <f t="shared" si="250"/>
        <v>0.15463671128107073</v>
      </c>
      <c r="CL146" s="746"/>
      <c r="CM146" s="816">
        <f>-DATOS!D197</f>
        <v>-23371</v>
      </c>
      <c r="CN146" s="757">
        <f t="shared" si="251"/>
        <v>-7.6826090693970922E-3</v>
      </c>
      <c r="CO146" s="746"/>
      <c r="CP146" s="744">
        <f>-DATOS!F197</f>
        <v>-4321</v>
      </c>
      <c r="CQ146" s="756">
        <f t="shared" si="131"/>
        <v>-8.3870911390120078E-3</v>
      </c>
      <c r="CR146" s="874"/>
      <c r="CS146" s="816">
        <f>-DATOS!G197</f>
        <v>-22900</v>
      </c>
      <c r="CT146" s="757">
        <f t="shared" si="254"/>
        <v>-7.7919448643342442E-3</v>
      </c>
      <c r="CU146" s="874"/>
      <c r="CV146" s="897">
        <f t="shared" si="255"/>
        <v>-471</v>
      </c>
      <c r="CW146" s="902">
        <f t="shared" si="132"/>
        <v>2.0567685589519651E-2</v>
      </c>
      <c r="CY146" s="750"/>
    </row>
    <row r="147" spans="1:103" hidden="1" outlineLevel="1">
      <c r="A147" s="749">
        <v>530521</v>
      </c>
      <c r="B147" s="833" t="s">
        <v>502</v>
      </c>
      <c r="C147" s="874"/>
      <c r="D147" s="744">
        <v>0</v>
      </c>
      <c r="E147" s="744">
        <v>-1</v>
      </c>
      <c r="F147" s="744">
        <v>0</v>
      </c>
      <c r="G147" s="744">
        <v>0</v>
      </c>
      <c r="H147" s="744">
        <v>-5</v>
      </c>
      <c r="I147" s="744">
        <v>0</v>
      </c>
      <c r="J147" s="744">
        <v>0</v>
      </c>
      <c r="K147" s="744">
        <v>0</v>
      </c>
      <c r="L147" s="932">
        <v>0</v>
      </c>
      <c r="M147" s="744">
        <f t="shared" si="265"/>
        <v>-6</v>
      </c>
      <c r="N147" s="888">
        <f t="shared" si="236"/>
        <v>-1.1886625367247196E-5</v>
      </c>
      <c r="O147" s="874"/>
      <c r="P147" s="744">
        <v>-2</v>
      </c>
      <c r="Q147" s="744">
        <v>0</v>
      </c>
      <c r="R147" s="744">
        <v>0</v>
      </c>
      <c r="S147" s="744">
        <v>0</v>
      </c>
      <c r="T147" s="744">
        <v>0</v>
      </c>
      <c r="U147" s="744">
        <v>0</v>
      </c>
      <c r="V147" s="744">
        <v>0</v>
      </c>
      <c r="W147" s="744">
        <v>0</v>
      </c>
      <c r="X147" s="932">
        <v>0</v>
      </c>
      <c r="Y147" s="744">
        <f t="shared" si="266"/>
        <v>-2</v>
      </c>
      <c r="Z147" s="888">
        <f t="shared" si="238"/>
        <v>-3.8002439756632374E-6</v>
      </c>
      <c r="AA147" s="874"/>
      <c r="AB147" s="744">
        <v>0</v>
      </c>
      <c r="AC147" s="744">
        <v>0</v>
      </c>
      <c r="AD147" s="744">
        <v>0</v>
      </c>
      <c r="AE147" s="744">
        <v>-11</v>
      </c>
      <c r="AF147" s="744">
        <v>-4</v>
      </c>
      <c r="AG147" s="744">
        <v>0</v>
      </c>
      <c r="AH147" s="744">
        <v>0</v>
      </c>
      <c r="AI147" s="744">
        <v>0</v>
      </c>
      <c r="AJ147" s="932">
        <v>0</v>
      </c>
      <c r="AK147" s="744">
        <f t="shared" si="267"/>
        <v>-15</v>
      </c>
      <c r="AL147" s="888">
        <f t="shared" si="240"/>
        <v>-2.9311473487772229E-5</v>
      </c>
      <c r="AM147" s="874"/>
      <c r="AN147" s="744">
        <v>-6</v>
      </c>
      <c r="AO147" s="744">
        <v>-6</v>
      </c>
      <c r="AP147" s="744">
        <v>0</v>
      </c>
      <c r="AQ147" s="744">
        <v>0</v>
      </c>
      <c r="AR147" s="744">
        <v>0</v>
      </c>
      <c r="AS147" s="744">
        <v>0</v>
      </c>
      <c r="AT147" s="744">
        <v>0</v>
      </c>
      <c r="AU147" s="744">
        <v>0</v>
      </c>
      <c r="AV147" s="932">
        <v>0</v>
      </c>
      <c r="AW147" s="744">
        <f t="shared" si="268"/>
        <v>-12</v>
      </c>
      <c r="AX147" s="888">
        <f t="shared" si="242"/>
        <v>-2.2597848684805206E-5</v>
      </c>
      <c r="AY147" s="874"/>
      <c r="AZ147" s="744">
        <v>0</v>
      </c>
      <c r="BA147" s="744">
        <v>0</v>
      </c>
      <c r="BB147" s="744">
        <v>0</v>
      </c>
      <c r="BC147" s="744">
        <v>0</v>
      </c>
      <c r="BD147" s="744">
        <v>0</v>
      </c>
      <c r="BE147" s="744">
        <v>0</v>
      </c>
      <c r="BF147" s="744">
        <v>0</v>
      </c>
      <c r="BG147" s="744">
        <v>0</v>
      </c>
      <c r="BH147" s="932">
        <v>0</v>
      </c>
      <c r="BI147" s="744">
        <f t="shared" si="269"/>
        <v>0</v>
      </c>
      <c r="BJ147" s="888">
        <f t="shared" si="244"/>
        <v>0</v>
      </c>
      <c r="BK147" s="874"/>
      <c r="BL147" s="744">
        <v>0</v>
      </c>
      <c r="BM147" s="744">
        <v>0</v>
      </c>
      <c r="BN147" s="744">
        <v>0</v>
      </c>
      <c r="BO147" s="744">
        <v>0</v>
      </c>
      <c r="BP147" s="744">
        <v>-7</v>
      </c>
      <c r="BQ147" s="744">
        <v>0</v>
      </c>
      <c r="BR147" s="744">
        <v>0</v>
      </c>
      <c r="BS147" s="744">
        <v>0</v>
      </c>
      <c r="BT147" s="932">
        <v>0</v>
      </c>
      <c r="BU147" s="744">
        <f t="shared" si="270"/>
        <v>-7</v>
      </c>
      <c r="BV147" s="888">
        <f t="shared" si="246"/>
        <v>-1.408241026487002E-5</v>
      </c>
      <c r="BW147" s="874"/>
      <c r="BX147" s="744">
        <v>0</v>
      </c>
      <c r="BY147" s="744">
        <v>0</v>
      </c>
      <c r="BZ147" s="744">
        <v>0</v>
      </c>
      <c r="CA147" s="744">
        <v>0</v>
      </c>
      <c r="CB147" s="744">
        <v>0</v>
      </c>
      <c r="CC147" s="744">
        <v>0</v>
      </c>
      <c r="CD147" s="744">
        <v>0</v>
      </c>
      <c r="CE147" s="744">
        <v>0</v>
      </c>
      <c r="CF147" s="932">
        <v>0</v>
      </c>
      <c r="CG147" s="744">
        <f t="shared" si="271"/>
        <v>0</v>
      </c>
      <c r="CH147" s="888">
        <f t="shared" si="248"/>
        <v>0</v>
      </c>
      <c r="CI147" s="874"/>
      <c r="CJ147" s="957">
        <f t="shared" si="249"/>
        <v>7</v>
      </c>
      <c r="CK147" s="965">
        <f t="shared" si="250"/>
        <v>-1</v>
      </c>
      <c r="CL147" s="746"/>
      <c r="CM147" s="816">
        <f>-DATOS!D198</f>
        <v>-38</v>
      </c>
      <c r="CN147" s="757">
        <f t="shared" si="251"/>
        <v>-1.249151275671086E-5</v>
      </c>
      <c r="CO147" s="746"/>
      <c r="CP147" s="744">
        <f>-DATOS!F198</f>
        <v>-103</v>
      </c>
      <c r="CQ147" s="756">
        <f t="shared" si="131"/>
        <v>-1.9992371842588217E-4</v>
      </c>
      <c r="CR147" s="874"/>
      <c r="CS147" s="816">
        <f>-DATOS!G198</f>
        <v>-140</v>
      </c>
      <c r="CT147" s="757">
        <f t="shared" si="254"/>
        <v>-4.7636344148768303E-5</v>
      </c>
      <c r="CU147" s="874"/>
      <c r="CV147" s="897">
        <f t="shared" si="255"/>
        <v>102</v>
      </c>
      <c r="CW147" s="902">
        <f t="shared" ref="CW147:CW168" si="272">+IFERROR(CV147/CS147,0)</f>
        <v>-0.72857142857142854</v>
      </c>
      <c r="CY147" s="750"/>
    </row>
    <row r="148" spans="1:103" hidden="1" outlineLevel="1">
      <c r="A148" s="749">
        <v>530535</v>
      </c>
      <c r="B148" s="833" t="s">
        <v>484</v>
      </c>
      <c r="C148" s="874"/>
      <c r="D148" s="744">
        <v>0</v>
      </c>
      <c r="E148" s="744">
        <v>0</v>
      </c>
      <c r="F148" s="744">
        <v>0</v>
      </c>
      <c r="G148" s="744">
        <v>0</v>
      </c>
      <c r="H148" s="744">
        <v>0</v>
      </c>
      <c r="I148" s="744">
        <v>0</v>
      </c>
      <c r="J148" s="744">
        <v>0</v>
      </c>
      <c r="K148" s="744">
        <v>0</v>
      </c>
      <c r="L148" s="932">
        <v>0</v>
      </c>
      <c r="M148" s="744">
        <f t="shared" si="265"/>
        <v>0</v>
      </c>
      <c r="N148" s="888">
        <f t="shared" si="236"/>
        <v>0</v>
      </c>
      <c r="O148" s="874"/>
      <c r="P148" s="744">
        <v>0</v>
      </c>
      <c r="Q148" s="744">
        <v>0</v>
      </c>
      <c r="R148" s="744">
        <v>0</v>
      </c>
      <c r="S148" s="744">
        <v>0</v>
      </c>
      <c r="T148" s="744">
        <v>0</v>
      </c>
      <c r="U148" s="744">
        <v>0</v>
      </c>
      <c r="V148" s="744">
        <v>0</v>
      </c>
      <c r="W148" s="744">
        <v>0</v>
      </c>
      <c r="X148" s="932">
        <v>0</v>
      </c>
      <c r="Y148" s="744">
        <f t="shared" si="266"/>
        <v>0</v>
      </c>
      <c r="Z148" s="888">
        <f t="shared" si="238"/>
        <v>0</v>
      </c>
      <c r="AA148" s="874"/>
      <c r="AB148" s="744">
        <v>0</v>
      </c>
      <c r="AC148" s="744">
        <v>0</v>
      </c>
      <c r="AD148" s="744">
        <v>0</v>
      </c>
      <c r="AE148" s="744">
        <v>0</v>
      </c>
      <c r="AF148" s="744">
        <v>0</v>
      </c>
      <c r="AG148" s="744">
        <v>0</v>
      </c>
      <c r="AH148" s="744">
        <v>0</v>
      </c>
      <c r="AI148" s="744">
        <v>0</v>
      </c>
      <c r="AJ148" s="932">
        <v>0</v>
      </c>
      <c r="AK148" s="744">
        <f t="shared" si="267"/>
        <v>0</v>
      </c>
      <c r="AL148" s="888">
        <f t="shared" si="240"/>
        <v>0</v>
      </c>
      <c r="AM148" s="874"/>
      <c r="AN148" s="744">
        <v>0</v>
      </c>
      <c r="AO148" s="744">
        <v>0</v>
      </c>
      <c r="AP148" s="744">
        <v>0</v>
      </c>
      <c r="AQ148" s="744">
        <v>0</v>
      </c>
      <c r="AR148" s="744">
        <v>0</v>
      </c>
      <c r="AS148" s="744">
        <v>0</v>
      </c>
      <c r="AT148" s="744">
        <v>0</v>
      </c>
      <c r="AU148" s="744">
        <v>0</v>
      </c>
      <c r="AV148" s="932">
        <v>0</v>
      </c>
      <c r="AW148" s="744">
        <f t="shared" si="268"/>
        <v>0</v>
      </c>
      <c r="AX148" s="888">
        <f t="shared" si="242"/>
        <v>0</v>
      </c>
      <c r="AY148" s="874"/>
      <c r="AZ148" s="744">
        <v>0</v>
      </c>
      <c r="BA148" s="744">
        <v>0</v>
      </c>
      <c r="BB148" s="744">
        <v>0</v>
      </c>
      <c r="BC148" s="744">
        <v>0</v>
      </c>
      <c r="BD148" s="744">
        <v>0</v>
      </c>
      <c r="BE148" s="744">
        <v>0</v>
      </c>
      <c r="BF148" s="744">
        <v>0</v>
      </c>
      <c r="BG148" s="744">
        <v>0</v>
      </c>
      <c r="BH148" s="932">
        <v>0</v>
      </c>
      <c r="BI148" s="744">
        <f t="shared" si="269"/>
        <v>0</v>
      </c>
      <c r="BJ148" s="888">
        <f t="shared" si="244"/>
        <v>0</v>
      </c>
      <c r="BK148" s="874"/>
      <c r="BL148" s="744">
        <v>0</v>
      </c>
      <c r="BM148" s="744">
        <v>0</v>
      </c>
      <c r="BN148" s="744">
        <v>0</v>
      </c>
      <c r="BO148" s="744">
        <v>0</v>
      </c>
      <c r="BP148" s="744">
        <v>0</v>
      </c>
      <c r="BQ148" s="744">
        <v>0</v>
      </c>
      <c r="BR148" s="744">
        <v>0</v>
      </c>
      <c r="BS148" s="744">
        <v>0</v>
      </c>
      <c r="BT148" s="932">
        <v>0</v>
      </c>
      <c r="BU148" s="744">
        <f t="shared" si="270"/>
        <v>0</v>
      </c>
      <c r="BV148" s="888">
        <f t="shared" si="246"/>
        <v>0</v>
      </c>
      <c r="BW148" s="874"/>
      <c r="BX148" s="744">
        <v>0</v>
      </c>
      <c r="BY148" s="744">
        <v>0</v>
      </c>
      <c r="BZ148" s="744">
        <v>0</v>
      </c>
      <c r="CA148" s="744">
        <v>0</v>
      </c>
      <c r="CB148" s="744">
        <v>0</v>
      </c>
      <c r="CC148" s="744">
        <v>0</v>
      </c>
      <c r="CD148" s="744">
        <v>0</v>
      </c>
      <c r="CE148" s="744">
        <v>0</v>
      </c>
      <c r="CF148" s="932">
        <v>0</v>
      </c>
      <c r="CG148" s="744">
        <f t="shared" si="271"/>
        <v>0</v>
      </c>
      <c r="CH148" s="888">
        <f t="shared" si="248"/>
        <v>0</v>
      </c>
      <c r="CI148" s="874"/>
      <c r="CJ148" s="957">
        <f t="shared" si="249"/>
        <v>0</v>
      </c>
      <c r="CK148" s="965">
        <f t="shared" si="250"/>
        <v>0</v>
      </c>
      <c r="CL148" s="746"/>
      <c r="CM148" s="816">
        <f>-DATOS!D199-17.5</f>
        <v>-615.5</v>
      </c>
      <c r="CN148" s="757">
        <f t="shared" si="251"/>
        <v>-2.0232963425672459E-4</v>
      </c>
      <c r="CO148" s="746"/>
      <c r="CP148" s="744">
        <f>-DATOS!F199</f>
        <v>-49</v>
      </c>
      <c r="CQ148" s="756">
        <f t="shared" ref="CQ148:CQ168" si="273">+CP148/CP$13</f>
        <v>-9.5109341775419666E-5</v>
      </c>
      <c r="CR148" s="874"/>
      <c r="CS148" s="816">
        <f>-DATOS!G199</f>
        <v>-49</v>
      </c>
      <c r="CT148" s="757">
        <f t="shared" si="254"/>
        <v>-1.6672720452068906E-5</v>
      </c>
      <c r="CU148" s="874"/>
      <c r="CV148" s="897">
        <f t="shared" si="255"/>
        <v>-566.5</v>
      </c>
      <c r="CW148" s="902">
        <f t="shared" si="272"/>
        <v>11.561224489795919</v>
      </c>
      <c r="CY148" s="750"/>
    </row>
    <row r="149" spans="1:103" hidden="1" outlineLevel="1">
      <c r="A149" s="749">
        <v>531515</v>
      </c>
      <c r="B149" s="833" t="s">
        <v>949</v>
      </c>
      <c r="C149" s="874"/>
      <c r="D149" s="744">
        <v>0</v>
      </c>
      <c r="E149" s="744">
        <v>-21</v>
      </c>
      <c r="F149" s="744">
        <v>0</v>
      </c>
      <c r="G149" s="744">
        <v>-3</v>
      </c>
      <c r="H149" s="744">
        <v>0</v>
      </c>
      <c r="I149" s="744">
        <v>0</v>
      </c>
      <c r="J149" s="744">
        <v>-9</v>
      </c>
      <c r="K149" s="744">
        <v>0</v>
      </c>
      <c r="L149" s="932">
        <v>-51</v>
      </c>
      <c r="M149" s="744">
        <f t="shared" si="265"/>
        <v>-84</v>
      </c>
      <c r="N149" s="888"/>
      <c r="O149" s="874"/>
      <c r="P149" s="744">
        <v>0</v>
      </c>
      <c r="Q149" s="744">
        <v>0</v>
      </c>
      <c r="R149" s="744">
        <v>0</v>
      </c>
      <c r="S149" s="744">
        <v>-2</v>
      </c>
      <c r="T149" s="744">
        <v>0</v>
      </c>
      <c r="U149" s="744">
        <v>0</v>
      </c>
      <c r="V149" s="744">
        <v>0</v>
      </c>
      <c r="W149" s="744">
        <v>0</v>
      </c>
      <c r="X149" s="932">
        <v>0</v>
      </c>
      <c r="Y149" s="744">
        <f t="shared" si="266"/>
        <v>-2</v>
      </c>
      <c r="Z149" s="888"/>
      <c r="AA149" s="874"/>
      <c r="AB149" s="744">
        <v>0</v>
      </c>
      <c r="AC149" s="744">
        <v>0</v>
      </c>
      <c r="AD149" s="744">
        <v>-5</v>
      </c>
      <c r="AE149" s="744">
        <v>-38</v>
      </c>
      <c r="AF149" s="744">
        <v>0</v>
      </c>
      <c r="AG149" s="744">
        <v>0</v>
      </c>
      <c r="AH149" s="744">
        <v>-29</v>
      </c>
      <c r="AI149" s="744">
        <v>0</v>
      </c>
      <c r="AJ149" s="932">
        <v>-23</v>
      </c>
      <c r="AK149" s="744">
        <f t="shared" si="267"/>
        <v>-95</v>
      </c>
      <c r="AL149" s="888"/>
      <c r="AM149" s="874"/>
      <c r="AN149" s="744">
        <v>0</v>
      </c>
      <c r="AO149" s="744">
        <v>0</v>
      </c>
      <c r="AP149" s="744">
        <v>0</v>
      </c>
      <c r="AQ149" s="744">
        <v>-104</v>
      </c>
      <c r="AR149" s="744">
        <v>0</v>
      </c>
      <c r="AS149" s="744">
        <v>0</v>
      </c>
      <c r="AT149" s="744">
        <v>0</v>
      </c>
      <c r="AU149" s="744">
        <v>0</v>
      </c>
      <c r="AV149" s="932">
        <v>0</v>
      </c>
      <c r="AW149" s="744">
        <f t="shared" si="268"/>
        <v>-104</v>
      </c>
      <c r="AX149" s="888"/>
      <c r="AY149" s="874"/>
      <c r="AZ149" s="744">
        <v>0</v>
      </c>
      <c r="BA149" s="744">
        <v>0</v>
      </c>
      <c r="BB149" s="744">
        <v>0</v>
      </c>
      <c r="BC149" s="744">
        <v>-109</v>
      </c>
      <c r="BD149" s="744">
        <v>0</v>
      </c>
      <c r="BE149" s="744">
        <v>0</v>
      </c>
      <c r="BF149" s="744">
        <v>0</v>
      </c>
      <c r="BG149" s="744">
        <v>0</v>
      </c>
      <c r="BH149" s="932">
        <f>-4-14</f>
        <v>-18</v>
      </c>
      <c r="BI149" s="744">
        <f t="shared" si="269"/>
        <v>-127</v>
      </c>
      <c r="BJ149" s="888"/>
      <c r="BK149" s="874"/>
      <c r="BL149" s="744">
        <v>0</v>
      </c>
      <c r="BM149" s="744">
        <v>22</v>
      </c>
      <c r="BN149" s="744">
        <v>-43</v>
      </c>
      <c r="BO149" s="744">
        <v>-108</v>
      </c>
      <c r="BP149" s="744">
        <v>0</v>
      </c>
      <c r="BQ149" s="744">
        <v>0</v>
      </c>
      <c r="BR149" s="744">
        <v>0</v>
      </c>
      <c r="BS149" s="744">
        <v>0</v>
      </c>
      <c r="BT149" s="932">
        <v>-31</v>
      </c>
      <c r="BU149" s="744">
        <f t="shared" si="270"/>
        <v>-160</v>
      </c>
      <c r="BV149" s="888"/>
      <c r="BW149" s="874"/>
      <c r="BX149" s="744">
        <v>0</v>
      </c>
      <c r="BY149" s="744">
        <v>-6</v>
      </c>
      <c r="BZ149" s="744">
        <v>0</v>
      </c>
      <c r="CA149" s="744">
        <v>-127</v>
      </c>
      <c r="CB149" s="744">
        <v>0</v>
      </c>
      <c r="CC149" s="744">
        <v>0</v>
      </c>
      <c r="CD149" s="744">
        <v>0</v>
      </c>
      <c r="CE149" s="744">
        <v>0</v>
      </c>
      <c r="CF149" s="932">
        <v>-8</v>
      </c>
      <c r="CG149" s="744">
        <f t="shared" si="271"/>
        <v>-141</v>
      </c>
      <c r="CH149" s="888"/>
      <c r="CI149" s="874"/>
      <c r="CJ149" s="957">
        <f t="shared" si="249"/>
        <v>19</v>
      </c>
      <c r="CK149" s="965">
        <f t="shared" si="250"/>
        <v>-0.11874999999999999</v>
      </c>
      <c r="CL149" s="746"/>
      <c r="CM149" s="816">
        <f>-DATOS!D200-DATOS!D201</f>
        <v>0</v>
      </c>
      <c r="CN149" s="757">
        <f t="shared" si="251"/>
        <v>0</v>
      </c>
      <c r="CO149" s="746"/>
      <c r="CP149" s="744">
        <f>+DATOS!F200</f>
        <v>0</v>
      </c>
      <c r="CQ149" s="756"/>
      <c r="CR149" s="874"/>
      <c r="CS149" s="816">
        <f>+DATOS!G200</f>
        <v>0</v>
      </c>
      <c r="CT149" s="757">
        <f t="shared" si="254"/>
        <v>0</v>
      </c>
      <c r="CU149" s="874"/>
      <c r="CV149" s="897"/>
      <c r="CW149" s="902"/>
      <c r="CY149" s="750"/>
    </row>
    <row r="150" spans="1:103" hidden="1" outlineLevel="1">
      <c r="A150" s="749"/>
      <c r="B150" s="833"/>
      <c r="C150" s="874"/>
      <c r="D150" s="762"/>
      <c r="E150" s="762"/>
      <c r="F150" s="762"/>
      <c r="G150" s="762"/>
      <c r="H150" s="762"/>
      <c r="I150" s="762"/>
      <c r="J150" s="762"/>
      <c r="K150" s="762"/>
      <c r="L150" s="935"/>
      <c r="M150" s="744"/>
      <c r="N150" s="888"/>
      <c r="O150" s="874"/>
      <c r="P150" s="762"/>
      <c r="Q150" s="762"/>
      <c r="R150" s="762"/>
      <c r="S150" s="762"/>
      <c r="T150" s="762"/>
      <c r="U150" s="762"/>
      <c r="V150" s="762"/>
      <c r="W150" s="762"/>
      <c r="X150" s="935"/>
      <c r="Y150" s="744"/>
      <c r="Z150" s="888"/>
      <c r="AA150" s="874"/>
      <c r="AB150" s="762"/>
      <c r="AC150" s="762"/>
      <c r="AD150" s="762"/>
      <c r="AE150" s="762"/>
      <c r="AF150" s="762"/>
      <c r="AG150" s="762"/>
      <c r="AH150" s="762"/>
      <c r="AI150" s="762"/>
      <c r="AJ150" s="935"/>
      <c r="AK150" s="744"/>
      <c r="AL150" s="888"/>
      <c r="AM150" s="874"/>
      <c r="AN150" s="762"/>
      <c r="AO150" s="762"/>
      <c r="AP150" s="762"/>
      <c r="AQ150" s="762"/>
      <c r="AR150" s="762"/>
      <c r="AS150" s="762"/>
      <c r="AT150" s="762"/>
      <c r="AU150" s="762"/>
      <c r="AV150" s="935"/>
      <c r="AW150" s="744"/>
      <c r="AX150" s="888"/>
      <c r="AY150" s="874"/>
      <c r="AZ150" s="762"/>
      <c r="BA150" s="762"/>
      <c r="BB150" s="762"/>
      <c r="BC150" s="762"/>
      <c r="BD150" s="762"/>
      <c r="BE150" s="762"/>
      <c r="BF150" s="762"/>
      <c r="BG150" s="762"/>
      <c r="BH150" s="935"/>
      <c r="BI150" s="744"/>
      <c r="BJ150" s="888"/>
      <c r="BK150" s="874"/>
      <c r="BL150" s="762"/>
      <c r="BM150" s="762"/>
      <c r="BN150" s="762"/>
      <c r="BO150" s="762"/>
      <c r="BP150" s="762"/>
      <c r="BQ150" s="762"/>
      <c r="BR150" s="762"/>
      <c r="BS150" s="762"/>
      <c r="BT150" s="935"/>
      <c r="BU150" s="744"/>
      <c r="BV150" s="888"/>
      <c r="BW150" s="874"/>
      <c r="BX150" s="762"/>
      <c r="BY150" s="762"/>
      <c r="BZ150" s="762"/>
      <c r="CA150" s="762"/>
      <c r="CB150" s="762"/>
      <c r="CC150" s="762"/>
      <c r="CD150" s="762"/>
      <c r="CE150" s="762"/>
      <c r="CF150" s="935"/>
      <c r="CG150" s="744"/>
      <c r="CH150" s="888"/>
      <c r="CI150" s="874"/>
      <c r="CJ150" s="957">
        <f t="shared" si="249"/>
        <v>0</v>
      </c>
      <c r="CK150" s="965">
        <f t="shared" si="250"/>
        <v>0</v>
      </c>
      <c r="CL150" s="746"/>
      <c r="CM150" s="816"/>
      <c r="CN150" s="757"/>
      <c r="CO150" s="746"/>
      <c r="CP150" s="744"/>
      <c r="CQ150" s="756"/>
      <c r="CR150" s="874"/>
      <c r="CS150" s="816"/>
      <c r="CT150" s="757"/>
      <c r="CU150" s="874"/>
      <c r="CV150" s="897"/>
      <c r="CW150" s="902"/>
      <c r="CY150" s="750"/>
    </row>
    <row r="151" spans="1:103" collapsed="1">
      <c r="A151" s="749"/>
      <c r="B151" s="833"/>
      <c r="C151" s="878"/>
      <c r="D151" s="762"/>
      <c r="E151" s="762"/>
      <c r="F151" s="762"/>
      <c r="G151" s="762"/>
      <c r="H151" s="762"/>
      <c r="I151" s="762"/>
      <c r="J151" s="762"/>
      <c r="K151" s="762"/>
      <c r="L151" s="935"/>
      <c r="M151" s="762"/>
      <c r="N151" s="882"/>
      <c r="O151" s="878"/>
      <c r="P151" s="762"/>
      <c r="Q151" s="762"/>
      <c r="R151" s="762"/>
      <c r="S151" s="762"/>
      <c r="T151" s="762"/>
      <c r="U151" s="762"/>
      <c r="V151" s="762"/>
      <c r="W151" s="762"/>
      <c r="X151" s="935"/>
      <c r="Y151" s="762"/>
      <c r="Z151" s="882"/>
      <c r="AA151" s="878"/>
      <c r="AB151" s="762"/>
      <c r="AC151" s="762"/>
      <c r="AD151" s="762"/>
      <c r="AE151" s="762"/>
      <c r="AF151" s="762"/>
      <c r="AG151" s="762"/>
      <c r="AH151" s="762"/>
      <c r="AI151" s="762"/>
      <c r="AJ151" s="935"/>
      <c r="AK151" s="762"/>
      <c r="AL151" s="882"/>
      <c r="AM151" s="878"/>
      <c r="AN151" s="762"/>
      <c r="AO151" s="762"/>
      <c r="AP151" s="762"/>
      <c r="AQ151" s="762"/>
      <c r="AR151" s="762"/>
      <c r="AS151" s="762"/>
      <c r="AT151" s="762"/>
      <c r="AU151" s="762"/>
      <c r="AV151" s="935"/>
      <c r="AW151" s="762"/>
      <c r="AX151" s="882"/>
      <c r="AY151" s="878"/>
      <c r="AZ151" s="762"/>
      <c r="BA151" s="762"/>
      <c r="BB151" s="762"/>
      <c r="BC151" s="762"/>
      <c r="BD151" s="762"/>
      <c r="BE151" s="762"/>
      <c r="BF151" s="762"/>
      <c r="BG151" s="762"/>
      <c r="BH151" s="935"/>
      <c r="BI151" s="762"/>
      <c r="BJ151" s="882"/>
      <c r="BK151" s="878"/>
      <c r="BL151" s="762"/>
      <c r="BM151" s="762"/>
      <c r="BN151" s="762"/>
      <c r="BO151" s="762"/>
      <c r="BP151" s="762"/>
      <c r="BQ151" s="762"/>
      <c r="BR151" s="762"/>
      <c r="BS151" s="762"/>
      <c r="BT151" s="935"/>
      <c r="BU151" s="762"/>
      <c r="BV151" s="882"/>
      <c r="BW151" s="878"/>
      <c r="BX151" s="762"/>
      <c r="BY151" s="762"/>
      <c r="BZ151" s="762"/>
      <c r="CA151" s="762"/>
      <c r="CB151" s="762"/>
      <c r="CC151" s="762"/>
      <c r="CD151" s="762"/>
      <c r="CE151" s="762"/>
      <c r="CF151" s="935"/>
      <c r="CG151" s="762"/>
      <c r="CH151" s="882"/>
      <c r="CI151" s="878"/>
      <c r="CJ151" s="957"/>
      <c r="CK151" s="965">
        <f t="shared" si="250"/>
        <v>0</v>
      </c>
      <c r="CL151" s="778"/>
      <c r="CM151" s="816"/>
      <c r="CN151" s="747"/>
      <c r="CO151" s="778"/>
      <c r="CP151" s="762"/>
      <c r="CQ151" s="745">
        <f t="shared" si="273"/>
        <v>0</v>
      </c>
      <c r="CR151" s="878"/>
      <c r="CS151" s="816"/>
      <c r="CT151" s="757"/>
      <c r="CU151" s="878"/>
      <c r="CV151" s="904">
        <f>+CM151-CS151</f>
        <v>0</v>
      </c>
      <c r="CW151" s="898">
        <f t="shared" si="272"/>
        <v>0</v>
      </c>
      <c r="CY151" s="750"/>
    </row>
    <row r="152" spans="1:103" ht="12" thickBot="1">
      <c r="A152" s="749"/>
      <c r="B152" s="834" t="s">
        <v>250</v>
      </c>
      <c r="C152" s="875"/>
      <c r="D152" s="751">
        <f>+D134+D136+D141</f>
        <v>12544.666666666666</v>
      </c>
      <c r="E152" s="751">
        <f t="shared" ref="E152:J152" si="274">+E134+E136+E141</f>
        <v>7484.6666666666661</v>
      </c>
      <c r="F152" s="751">
        <f t="shared" si="274"/>
        <v>4605.666666666667</v>
      </c>
      <c r="G152" s="751">
        <f t="shared" si="274"/>
        <v>19025.666666666668</v>
      </c>
      <c r="H152" s="751">
        <f t="shared" si="274"/>
        <v>-77605.333333333328</v>
      </c>
      <c r="I152" s="751">
        <f t="shared" si="274"/>
        <v>13724.666666666666</v>
      </c>
      <c r="J152" s="751">
        <f t="shared" si="274"/>
        <v>9413.6666666666661</v>
      </c>
      <c r="K152" s="751">
        <f>+K134+K136+K141</f>
        <v>-14788.333333333334</v>
      </c>
      <c r="L152" s="933">
        <f>+L134+L136+L141</f>
        <v>3717.666666666667</v>
      </c>
      <c r="M152" s="751">
        <f>+M134+M136+M141</f>
        <v>-21877</v>
      </c>
      <c r="N152" s="883">
        <f>+M152/M$13</f>
        <v>-4.3340617193211153E-2</v>
      </c>
      <c r="O152" s="875"/>
      <c r="P152" s="751">
        <f>+P134+P136+P141</f>
        <v>17840.888888888891</v>
      </c>
      <c r="Q152" s="751">
        <f t="shared" ref="Q152:V152" si="275">+Q134+Q136+Q141</f>
        <v>-4616.1111111111113</v>
      </c>
      <c r="R152" s="751">
        <f t="shared" si="275"/>
        <v>5476.8888888888887</v>
      </c>
      <c r="S152" s="751">
        <f t="shared" si="275"/>
        <v>7882.8888888888887</v>
      </c>
      <c r="T152" s="751">
        <f t="shared" si="275"/>
        <v>4724.8888888888887</v>
      </c>
      <c r="U152" s="751">
        <f t="shared" si="275"/>
        <v>12820.888888888889</v>
      </c>
      <c r="V152" s="751">
        <f t="shared" si="275"/>
        <v>6788.8888888888887</v>
      </c>
      <c r="W152" s="751">
        <f>+W134+W136+W141</f>
        <v>2126.8888888888887</v>
      </c>
      <c r="X152" s="933">
        <f>+X134+X136+X141</f>
        <v>7082.8888888888887</v>
      </c>
      <c r="Y152" s="751">
        <f>+Y134+Y136+Y141</f>
        <v>57994</v>
      </c>
      <c r="Z152" s="883">
        <f>+Y152/Y$13</f>
        <v>0.1101956745623069</v>
      </c>
      <c r="AA152" s="875"/>
      <c r="AB152" s="751">
        <f>+AB134+AB136+AB141</f>
        <v>11741.111111111111</v>
      </c>
      <c r="AC152" s="751">
        <f t="shared" ref="AC152:AH152" si="276">+AC134+AC136+AC141</f>
        <v>-3466.8888888888887</v>
      </c>
      <c r="AD152" s="751">
        <f t="shared" si="276"/>
        <v>4296.1111111111113</v>
      </c>
      <c r="AE152" s="751">
        <f t="shared" si="276"/>
        <v>-3270.8888888888887</v>
      </c>
      <c r="AF152" s="751">
        <f t="shared" si="276"/>
        <v>-22374.888888888891</v>
      </c>
      <c r="AG152" s="751">
        <f t="shared" si="276"/>
        <v>11823.111111111111</v>
      </c>
      <c r="AH152" s="751">
        <f t="shared" si="276"/>
        <v>9417.1111111111113</v>
      </c>
      <c r="AI152" s="751">
        <f>+AI134+AI136+AI141</f>
        <v>-4492.8888888888887</v>
      </c>
      <c r="AJ152" s="933">
        <f>+AJ134+AJ136+AJ141</f>
        <v>-3239.8888888888887</v>
      </c>
      <c r="AK152" s="751">
        <f>+AK134+AK136+AK141</f>
        <v>-2194</v>
      </c>
      <c r="AL152" s="883">
        <f>+AK152/AK$13</f>
        <v>-4.2872915221448182E-3</v>
      </c>
      <c r="AM152" s="875"/>
      <c r="AN152" s="751">
        <f>+AN134+AN136+AN141</f>
        <v>11602.666666666666</v>
      </c>
      <c r="AO152" s="751">
        <f t="shared" ref="AO152:AT152" si="277">+AO134+AO136+AO141</f>
        <v>4175.666666666667</v>
      </c>
      <c r="AP152" s="751">
        <f t="shared" si="277"/>
        <v>4965.666666666667</v>
      </c>
      <c r="AQ152" s="751">
        <f t="shared" si="277"/>
        <v>2504.666666666667</v>
      </c>
      <c r="AR152" s="751">
        <f t="shared" si="277"/>
        <v>-17015.333333333336</v>
      </c>
      <c r="AS152" s="751">
        <f t="shared" si="277"/>
        <v>15418.666666666668</v>
      </c>
      <c r="AT152" s="751">
        <f t="shared" si="277"/>
        <v>10455.666666666666</v>
      </c>
      <c r="AU152" s="751">
        <f>+AU134+AU136+AU141</f>
        <v>1704.6666666666667</v>
      </c>
      <c r="AV152" s="933">
        <f>+AV134+AV136+AV141</f>
        <v>2849.6666666666665</v>
      </c>
      <c r="AW152" s="751">
        <f>+AW134+AW136+AW141</f>
        <v>35349</v>
      </c>
      <c r="AX152" s="883">
        <f>+AW152/AW$13</f>
        <v>6.6567612763264936E-2</v>
      </c>
      <c r="AY152" s="875"/>
      <c r="AZ152" s="751">
        <f>+AZ134+AZ136+AZ141</f>
        <v>6616.5555555555547</v>
      </c>
      <c r="BA152" s="751">
        <f t="shared" ref="BA152:BF152" si="278">+BA134+BA136+BA141</f>
        <v>4102.5555555555557</v>
      </c>
      <c r="BB152" s="751">
        <f t="shared" si="278"/>
        <v>5298.5555555555557</v>
      </c>
      <c r="BC152" s="751">
        <f t="shared" si="278"/>
        <v>-3663.4444444444443</v>
      </c>
      <c r="BD152" s="751">
        <f t="shared" si="278"/>
        <v>-27618.444444444445</v>
      </c>
      <c r="BE152" s="751">
        <f t="shared" si="278"/>
        <v>11341.555555555555</v>
      </c>
      <c r="BF152" s="751">
        <f t="shared" si="278"/>
        <v>4958.5555555555557</v>
      </c>
      <c r="BG152" s="751">
        <f>+BG134+BG136+BG141</f>
        <v>3148.5555555555557</v>
      </c>
      <c r="BH152" s="933">
        <f>+BH134+BH136+BH141</f>
        <v>-4305.4444444444443</v>
      </c>
      <c r="BI152" s="751">
        <f>+BI134+BI136+BI141</f>
        <v>-121</v>
      </c>
      <c r="BJ152" s="883">
        <f>+BI152/BI$13</f>
        <v>-2.4397915893729937E-4</v>
      </c>
      <c r="BK152" s="875"/>
      <c r="BL152" s="751">
        <f>+BL134+BL136+BL141</f>
        <v>2761.333333333333</v>
      </c>
      <c r="BM152" s="751">
        <f t="shared" ref="BM152:BR152" si="279">+BM134+BM136+BM141</f>
        <v>555.33333333333326</v>
      </c>
      <c r="BN152" s="751">
        <f t="shared" si="279"/>
        <v>1947.3333333333335</v>
      </c>
      <c r="BO152" s="751">
        <f t="shared" si="279"/>
        <v>-1390.6666666666667</v>
      </c>
      <c r="BP152" s="751">
        <f t="shared" si="279"/>
        <v>-37368.666666666664</v>
      </c>
      <c r="BQ152" s="751">
        <f t="shared" si="279"/>
        <v>11188.333333333334</v>
      </c>
      <c r="BR152" s="751">
        <f t="shared" si="279"/>
        <v>7810.3333333333339</v>
      </c>
      <c r="BS152" s="751">
        <f>+BS134+BS136+BS141</f>
        <v>-17367.666666666668</v>
      </c>
      <c r="BT152" s="933">
        <f>+BT134+BT136+BT141</f>
        <v>-1032.6666666666667</v>
      </c>
      <c r="BU152" s="751">
        <f>+BU134+BU136+BU141</f>
        <v>-32897</v>
      </c>
      <c r="BV152" s="883">
        <f>+BU152/BU$13</f>
        <v>-6.6181292926204144E-2</v>
      </c>
      <c r="BW152" s="875"/>
      <c r="BX152" s="751">
        <f>+BX134+BX136+BX141</f>
        <v>3112</v>
      </c>
      <c r="BY152" s="751">
        <f t="shared" ref="BY152:CD152" si="280">+BY134+BY136+BY141</f>
        <v>3924</v>
      </c>
      <c r="BZ152" s="751">
        <f t="shared" si="280"/>
        <v>3424</v>
      </c>
      <c r="CA152" s="751">
        <f t="shared" si="280"/>
        <v>-8091</v>
      </c>
      <c r="CB152" s="751">
        <f t="shared" si="280"/>
        <v>-16507</v>
      </c>
      <c r="CC152" s="751">
        <f t="shared" si="280"/>
        <v>8666</v>
      </c>
      <c r="CD152" s="751">
        <f t="shared" si="280"/>
        <v>1723</v>
      </c>
      <c r="CE152" s="751">
        <f>+CE134+CE136+CE141</f>
        <v>3149</v>
      </c>
      <c r="CF152" s="933">
        <f>+CF134+CF136+CF141</f>
        <v>-1113</v>
      </c>
      <c r="CG152" s="751">
        <f>+CG134+CG136+CG141</f>
        <v>-1713</v>
      </c>
      <c r="CH152" s="883">
        <f>+CG152/CG$13</f>
        <v>-3.5688392209805245E-3</v>
      </c>
      <c r="CI152" s="875"/>
      <c r="CJ152" s="959">
        <f>+CG152-BU152</f>
        <v>31184</v>
      </c>
      <c r="CK152" s="960">
        <f t="shared" si="250"/>
        <v>-0.94792838252728218</v>
      </c>
      <c r="CL152" s="753"/>
      <c r="CM152" s="754">
        <f>+CM134+CM136+CM141</f>
        <v>56427</v>
      </c>
      <c r="CN152" s="755">
        <f>+CM152/CM$13</f>
        <v>1.8548910271655887E-2</v>
      </c>
      <c r="CO152" s="753"/>
      <c r="CP152" s="751">
        <f t="shared" ref="CP152" si="281">+CP134+CP136+CP141</f>
        <v>-5323.5</v>
      </c>
      <c r="CQ152" s="752">
        <f t="shared" si="273"/>
        <v>-1.0332950631458095E-2</v>
      </c>
      <c r="CR152" s="875"/>
      <c r="CS152" s="754">
        <f t="shared" ref="CS152" si="282">+CS134+CS136+CS141</f>
        <v>59296</v>
      </c>
      <c r="CT152" s="755">
        <f>+CS152/CS$13</f>
        <v>2.0176033304609754E-2</v>
      </c>
      <c r="CU152" s="875"/>
      <c r="CV152" s="900">
        <f>+CM152-CS152</f>
        <v>-2869</v>
      </c>
      <c r="CW152" s="901">
        <f t="shared" si="272"/>
        <v>-4.83843766864544E-2</v>
      </c>
      <c r="CY152" s="750"/>
    </row>
    <row r="153" spans="1:103" ht="12" thickTop="1">
      <c r="A153" s="734"/>
      <c r="B153" s="836"/>
      <c r="C153" s="875"/>
      <c r="D153" s="842"/>
      <c r="E153" s="842"/>
      <c r="F153" s="842"/>
      <c r="G153" s="842"/>
      <c r="H153" s="842"/>
      <c r="I153" s="842"/>
      <c r="J153" s="842"/>
      <c r="K153" s="842"/>
      <c r="L153" s="936"/>
      <c r="M153" s="842"/>
      <c r="N153" s="886"/>
      <c r="O153" s="875"/>
      <c r="P153" s="842"/>
      <c r="Q153" s="842"/>
      <c r="R153" s="842"/>
      <c r="S153" s="842"/>
      <c r="T153" s="842"/>
      <c r="U153" s="842"/>
      <c r="V153" s="842"/>
      <c r="W153" s="842"/>
      <c r="X153" s="936"/>
      <c r="Y153" s="842"/>
      <c r="Z153" s="886"/>
      <c r="AA153" s="875"/>
      <c r="AB153" s="842"/>
      <c r="AC153" s="842"/>
      <c r="AD153" s="842"/>
      <c r="AE153" s="842"/>
      <c r="AF153" s="842"/>
      <c r="AG153" s="842"/>
      <c r="AH153" s="842"/>
      <c r="AI153" s="842"/>
      <c r="AJ153" s="936"/>
      <c r="AK153" s="842"/>
      <c r="AL153" s="886"/>
      <c r="AM153" s="875"/>
      <c r="AN153" s="842"/>
      <c r="AO153" s="842"/>
      <c r="AP153" s="842"/>
      <c r="AQ153" s="842"/>
      <c r="AR153" s="842"/>
      <c r="AS153" s="842"/>
      <c r="AT153" s="842"/>
      <c r="AU153" s="842"/>
      <c r="AV153" s="936"/>
      <c r="AW153" s="842"/>
      <c r="AX153" s="886"/>
      <c r="AY153" s="875"/>
      <c r="AZ153" s="842"/>
      <c r="BA153" s="842"/>
      <c r="BB153" s="842"/>
      <c r="BC153" s="842"/>
      <c r="BD153" s="842"/>
      <c r="BE153" s="842"/>
      <c r="BF153" s="842"/>
      <c r="BG153" s="842"/>
      <c r="BH153" s="936"/>
      <c r="BI153" s="842"/>
      <c r="BJ153" s="886"/>
      <c r="BK153" s="875"/>
      <c r="BL153" s="842"/>
      <c r="BM153" s="842"/>
      <c r="BN153" s="842"/>
      <c r="BO153" s="842"/>
      <c r="BP153" s="842"/>
      <c r="BQ153" s="842"/>
      <c r="BR153" s="842"/>
      <c r="BS153" s="842"/>
      <c r="BT153" s="936"/>
      <c r="BU153" s="842"/>
      <c r="BV153" s="886"/>
      <c r="BW153" s="875"/>
      <c r="BX153" s="842"/>
      <c r="BY153" s="842"/>
      <c r="BZ153" s="842"/>
      <c r="CA153" s="842"/>
      <c r="CB153" s="842"/>
      <c r="CC153" s="842"/>
      <c r="CD153" s="842"/>
      <c r="CE153" s="842"/>
      <c r="CF153" s="936"/>
      <c r="CG153" s="842"/>
      <c r="CH153" s="886"/>
      <c r="CI153" s="875"/>
      <c r="CJ153" s="842"/>
      <c r="CK153" s="886"/>
      <c r="CL153" s="753"/>
      <c r="CM153" s="842"/>
      <c r="CN153" s="849"/>
      <c r="CO153" s="753"/>
      <c r="CP153" s="842"/>
      <c r="CQ153" s="849"/>
      <c r="CR153" s="875"/>
      <c r="CS153" s="842"/>
      <c r="CT153" s="849"/>
      <c r="CU153" s="875"/>
      <c r="CV153" s="842"/>
      <c r="CW153" s="886"/>
      <c r="CY153" s="750"/>
    </row>
    <row r="154" spans="1:103">
      <c r="A154" s="734"/>
      <c r="B154" s="836" t="s">
        <v>86</v>
      </c>
      <c r="C154" s="879"/>
      <c r="D154" s="758">
        <f>+SUM(D155:D156)</f>
        <v>802</v>
      </c>
      <c r="E154" s="758">
        <f t="shared" ref="E154:L154" si="283">+SUM(E155:E156)</f>
        <v>802</v>
      </c>
      <c r="F154" s="758">
        <f t="shared" si="283"/>
        <v>802</v>
      </c>
      <c r="G154" s="758">
        <f t="shared" si="283"/>
        <v>802</v>
      </c>
      <c r="H154" s="758">
        <f t="shared" si="283"/>
        <v>802</v>
      </c>
      <c r="I154" s="758">
        <f t="shared" si="283"/>
        <v>802</v>
      </c>
      <c r="J154" s="758">
        <f t="shared" si="283"/>
        <v>802</v>
      </c>
      <c r="K154" s="758">
        <f t="shared" si="283"/>
        <v>0</v>
      </c>
      <c r="L154" s="937">
        <f t="shared" si="283"/>
        <v>802</v>
      </c>
      <c r="M154" s="758">
        <f>+SUM(M155:M156)</f>
        <v>6416</v>
      </c>
      <c r="N154" s="887">
        <f>+M154/M$13</f>
        <v>1.2710764726043001E-2</v>
      </c>
      <c r="O154" s="879"/>
      <c r="P154" s="758">
        <f>+SUM(P155:P156)</f>
        <v>-2609</v>
      </c>
      <c r="Q154" s="758">
        <f t="shared" ref="Q154:X154" si="284">+SUM(Q155:Q156)</f>
        <v>-2609</v>
      </c>
      <c r="R154" s="758">
        <f t="shared" si="284"/>
        <v>-2609</v>
      </c>
      <c r="S154" s="758">
        <f t="shared" si="284"/>
        <v>-2609</v>
      </c>
      <c r="T154" s="758">
        <f t="shared" si="284"/>
        <v>-2609</v>
      </c>
      <c r="U154" s="758">
        <f t="shared" si="284"/>
        <v>-2609</v>
      </c>
      <c r="V154" s="758">
        <f t="shared" si="284"/>
        <v>-2609</v>
      </c>
      <c r="W154" s="758">
        <f t="shared" si="284"/>
        <v>0</v>
      </c>
      <c r="X154" s="937">
        <f t="shared" si="284"/>
        <v>-2609</v>
      </c>
      <c r="Y154" s="758">
        <f>+SUM(Y155:Y156)</f>
        <v>-20872</v>
      </c>
      <c r="Z154" s="887">
        <f>+Y154/Y$13</f>
        <v>-3.9659346130021547E-2</v>
      </c>
      <c r="AA154" s="879"/>
      <c r="AB154" s="758">
        <f>+SUM(AB155:AB156)</f>
        <v>0</v>
      </c>
      <c r="AC154" s="758">
        <f t="shared" ref="AC154:AJ154" si="285">+SUM(AC155:AC156)</f>
        <v>0</v>
      </c>
      <c r="AD154" s="758">
        <f t="shared" si="285"/>
        <v>0</v>
      </c>
      <c r="AE154" s="758">
        <f t="shared" si="285"/>
        <v>0</v>
      </c>
      <c r="AF154" s="758">
        <f t="shared" si="285"/>
        <v>0</v>
      </c>
      <c r="AG154" s="758">
        <f t="shared" si="285"/>
        <v>0</v>
      </c>
      <c r="AH154" s="758">
        <f t="shared" si="285"/>
        <v>0</v>
      </c>
      <c r="AI154" s="758">
        <f t="shared" si="285"/>
        <v>0</v>
      </c>
      <c r="AJ154" s="937">
        <f t="shared" si="285"/>
        <v>0</v>
      </c>
      <c r="AK154" s="758">
        <f>+SUM(AK155:AK156)</f>
        <v>0</v>
      </c>
      <c r="AL154" s="887">
        <f>+AK154/AK$13</f>
        <v>0</v>
      </c>
      <c r="AM154" s="879"/>
      <c r="AN154" s="758">
        <f>+SUM(AN155:AN156)</f>
        <v>0</v>
      </c>
      <c r="AO154" s="758">
        <f t="shared" ref="AO154:AV154" si="286">+SUM(AO155:AO156)</f>
        <v>0</v>
      </c>
      <c r="AP154" s="758">
        <f t="shared" si="286"/>
        <v>0</v>
      </c>
      <c r="AQ154" s="758">
        <f t="shared" si="286"/>
        <v>0</v>
      </c>
      <c r="AR154" s="758">
        <f t="shared" si="286"/>
        <v>0</v>
      </c>
      <c r="AS154" s="758">
        <f t="shared" si="286"/>
        <v>0</v>
      </c>
      <c r="AT154" s="758">
        <f t="shared" si="286"/>
        <v>0</v>
      </c>
      <c r="AU154" s="758">
        <f t="shared" si="286"/>
        <v>0</v>
      </c>
      <c r="AV154" s="937">
        <f t="shared" si="286"/>
        <v>0</v>
      </c>
      <c r="AW154" s="758">
        <f>+SUM(AW155:AW156)</f>
        <v>0</v>
      </c>
      <c r="AX154" s="887">
        <f>+AW154/AW$13</f>
        <v>0</v>
      </c>
      <c r="AY154" s="879"/>
      <c r="AZ154" s="758">
        <f>+SUM(AZ155:AZ156)</f>
        <v>-1076</v>
      </c>
      <c r="BA154" s="758">
        <f t="shared" ref="BA154:BH154" si="287">+SUM(BA155:BA156)</f>
        <v>-1076</v>
      </c>
      <c r="BB154" s="758">
        <f t="shared" si="287"/>
        <v>-1076</v>
      </c>
      <c r="BC154" s="758">
        <f t="shared" si="287"/>
        <v>-1076</v>
      </c>
      <c r="BD154" s="758">
        <f t="shared" si="287"/>
        <v>-1076</v>
      </c>
      <c r="BE154" s="758">
        <f t="shared" si="287"/>
        <v>-1076</v>
      </c>
      <c r="BF154" s="758">
        <f t="shared" si="287"/>
        <v>-1076</v>
      </c>
      <c r="BG154" s="758">
        <f t="shared" si="287"/>
        <v>0</v>
      </c>
      <c r="BH154" s="937">
        <f t="shared" si="287"/>
        <v>-1076</v>
      </c>
      <c r="BI154" s="758">
        <f>+SUM(BI155:BI156)</f>
        <v>-8608</v>
      </c>
      <c r="BJ154" s="887">
        <f>+BI154/BI$13</f>
        <v>-1.7356798348200603E-2</v>
      </c>
      <c r="BK154" s="879"/>
      <c r="BL154" s="758">
        <f>+SUM(BL155:BL156)</f>
        <v>1472</v>
      </c>
      <c r="BM154" s="758">
        <f t="shared" ref="BM154:BT154" si="288">+SUM(BM155:BM156)</f>
        <v>1472</v>
      </c>
      <c r="BN154" s="758">
        <f t="shared" si="288"/>
        <v>1472</v>
      </c>
      <c r="BO154" s="758">
        <f t="shared" si="288"/>
        <v>1472</v>
      </c>
      <c r="BP154" s="758">
        <f t="shared" si="288"/>
        <v>1472</v>
      </c>
      <c r="BQ154" s="758">
        <f t="shared" si="288"/>
        <v>1472</v>
      </c>
      <c r="BR154" s="758">
        <f t="shared" si="288"/>
        <v>1472</v>
      </c>
      <c r="BS154" s="758">
        <f t="shared" si="288"/>
        <v>0</v>
      </c>
      <c r="BT154" s="937">
        <f t="shared" si="288"/>
        <v>1472</v>
      </c>
      <c r="BU154" s="758">
        <f>+SUM(BU155:BU156)</f>
        <v>11776</v>
      </c>
      <c r="BV154" s="887">
        <f>+BU154/BU$13</f>
        <v>2.3690637611301336E-2</v>
      </c>
      <c r="BW154" s="879"/>
      <c r="BX154" s="758">
        <f>+SUM(BX155:BX156)</f>
        <v>127.5625</v>
      </c>
      <c r="BY154" s="758">
        <f t="shared" ref="BY154:CF154" si="289">+SUM(BY155:BY156)</f>
        <v>127.5625</v>
      </c>
      <c r="BZ154" s="758">
        <f t="shared" si="289"/>
        <v>127.5625</v>
      </c>
      <c r="CA154" s="758">
        <f t="shared" si="289"/>
        <v>127.5625</v>
      </c>
      <c r="CB154" s="758">
        <f t="shared" si="289"/>
        <v>127.5625</v>
      </c>
      <c r="CC154" s="758">
        <f t="shared" si="289"/>
        <v>127.5625</v>
      </c>
      <c r="CD154" s="758">
        <f t="shared" si="289"/>
        <v>127.5625</v>
      </c>
      <c r="CE154" s="758">
        <f t="shared" si="289"/>
        <v>0</v>
      </c>
      <c r="CF154" s="937">
        <f t="shared" si="289"/>
        <v>127.5625</v>
      </c>
      <c r="CG154" s="758">
        <f>+SUM(CG155:CG156)</f>
        <v>1020.5</v>
      </c>
      <c r="CH154" s="887">
        <f>+CG154/CG$13</f>
        <v>2.1260948190371426E-3</v>
      </c>
      <c r="CI154" s="879"/>
      <c r="CJ154" s="963">
        <f>+CG154-BU154</f>
        <v>-10755.5</v>
      </c>
      <c r="CK154" s="964">
        <f>IFERROR(+CJ154/BU154,0%)</f>
        <v>-0.91334069293478259</v>
      </c>
      <c r="CL154" s="766"/>
      <c r="CM154" s="1039">
        <f>+SUM(CM155:CM156)</f>
        <v>-16683</v>
      </c>
      <c r="CN154" s="767">
        <f>+CM154/CM$13</f>
        <v>-5.4841028242159813E-3</v>
      </c>
      <c r="CO154" s="766"/>
      <c r="CP154" s="758">
        <f t="shared" ref="CP154" si="290">+SUM(CP155:CP156)</f>
        <v>-362</v>
      </c>
      <c r="CQ154" s="765">
        <f t="shared" si="273"/>
        <v>-7.026445249531004E-4</v>
      </c>
      <c r="CR154" s="879"/>
      <c r="CS154" s="760">
        <f t="shared" ref="CS154" si="291">+SUM(CS155:CS156)</f>
        <v>-26671</v>
      </c>
      <c r="CT154" s="767">
        <f>+CS154/CS$13</f>
        <v>-9.0750638199414251E-3</v>
      </c>
      <c r="CU154" s="879"/>
      <c r="CV154" s="905">
        <f>+CM154-CS154</f>
        <v>9988</v>
      </c>
      <c r="CW154" s="906">
        <f t="shared" si="272"/>
        <v>-0.37448914551385398</v>
      </c>
      <c r="CY154" s="750"/>
    </row>
    <row r="155" spans="1:103" hidden="1" outlineLevel="1">
      <c r="A155" s="734">
        <v>5402</v>
      </c>
      <c r="B155" s="833" t="s">
        <v>88</v>
      </c>
      <c r="C155" s="874"/>
      <c r="D155" s="744">
        <v>0</v>
      </c>
      <c r="E155" s="744">
        <v>0</v>
      </c>
      <c r="F155" s="744">
        <v>0</v>
      </c>
      <c r="G155" s="744">
        <v>0</v>
      </c>
      <c r="H155" s="744">
        <v>0</v>
      </c>
      <c r="I155" s="744">
        <v>0</v>
      </c>
      <c r="J155" s="744">
        <v>0</v>
      </c>
      <c r="K155" s="744">
        <v>0</v>
      </c>
      <c r="L155" s="932">
        <v>0</v>
      </c>
      <c r="M155" s="744">
        <f>SUM(D155:L155)</f>
        <v>0</v>
      </c>
      <c r="N155" s="888">
        <f>+M155/M$13</f>
        <v>0</v>
      </c>
      <c r="O155" s="874"/>
      <c r="P155" s="744">
        <v>0</v>
      </c>
      <c r="Q155" s="744">
        <v>0</v>
      </c>
      <c r="R155" s="744">
        <v>0</v>
      </c>
      <c r="S155" s="744">
        <v>0</v>
      </c>
      <c r="T155" s="744">
        <v>0</v>
      </c>
      <c r="U155" s="744">
        <v>0</v>
      </c>
      <c r="V155" s="744">
        <v>0</v>
      </c>
      <c r="W155" s="744">
        <v>0</v>
      </c>
      <c r="X155" s="932">
        <v>0</v>
      </c>
      <c r="Y155" s="744">
        <f>SUM(P155:X155)</f>
        <v>0</v>
      </c>
      <c r="Z155" s="888">
        <f>+Y155/Y$13</f>
        <v>0</v>
      </c>
      <c r="AA155" s="874"/>
      <c r="AB155" s="744">
        <v>0</v>
      </c>
      <c r="AC155" s="744">
        <v>0</v>
      </c>
      <c r="AD155" s="744">
        <v>0</v>
      </c>
      <c r="AE155" s="744">
        <v>0</v>
      </c>
      <c r="AF155" s="744">
        <v>0</v>
      </c>
      <c r="AG155" s="744">
        <v>0</v>
      </c>
      <c r="AH155" s="744">
        <v>0</v>
      </c>
      <c r="AI155" s="744">
        <v>0</v>
      </c>
      <c r="AJ155" s="932">
        <v>0</v>
      </c>
      <c r="AK155" s="744">
        <f>SUM(AB155:AJ155)</f>
        <v>0</v>
      </c>
      <c r="AL155" s="888">
        <f>+AK155/AK$13</f>
        <v>0</v>
      </c>
      <c r="AM155" s="874"/>
      <c r="AN155" s="744">
        <v>0</v>
      </c>
      <c r="AO155" s="744">
        <v>0</v>
      </c>
      <c r="AP155" s="744">
        <v>0</v>
      </c>
      <c r="AQ155" s="744">
        <v>0</v>
      </c>
      <c r="AR155" s="744">
        <v>0</v>
      </c>
      <c r="AS155" s="744">
        <v>0</v>
      </c>
      <c r="AT155" s="744">
        <v>0</v>
      </c>
      <c r="AU155" s="744">
        <v>0</v>
      </c>
      <c r="AV155" s="932">
        <v>0</v>
      </c>
      <c r="AW155" s="744">
        <f>SUM(AN155:AV155)</f>
        <v>0</v>
      </c>
      <c r="AX155" s="888">
        <f>+AW155/AW$13</f>
        <v>0</v>
      </c>
      <c r="AY155" s="874"/>
      <c r="AZ155" s="744">
        <v>0</v>
      </c>
      <c r="BA155" s="744">
        <v>0</v>
      </c>
      <c r="BB155" s="744">
        <v>0</v>
      </c>
      <c r="BC155" s="744">
        <v>0</v>
      </c>
      <c r="BD155" s="744">
        <v>0</v>
      </c>
      <c r="BE155" s="744">
        <v>0</v>
      </c>
      <c r="BF155" s="744">
        <v>0</v>
      </c>
      <c r="BG155" s="744">
        <v>0</v>
      </c>
      <c r="BH155" s="932">
        <v>0</v>
      </c>
      <c r="BI155" s="744">
        <f>SUM(AZ155:BH155)</f>
        <v>0</v>
      </c>
      <c r="BJ155" s="888">
        <f>+BI155/BI$13</f>
        <v>0</v>
      </c>
      <c r="BK155" s="874"/>
      <c r="BL155" s="744">
        <v>0</v>
      </c>
      <c r="BM155" s="744">
        <v>0</v>
      </c>
      <c r="BN155" s="744">
        <v>0</v>
      </c>
      <c r="BO155" s="744">
        <v>0</v>
      </c>
      <c r="BP155" s="744">
        <v>0</v>
      </c>
      <c r="BQ155" s="744">
        <v>0</v>
      </c>
      <c r="BR155" s="744">
        <v>0</v>
      </c>
      <c r="BS155" s="744">
        <v>0</v>
      </c>
      <c r="BT155" s="932">
        <v>0</v>
      </c>
      <c r="BU155" s="744">
        <f>SUM(BL155:BT155)</f>
        <v>0</v>
      </c>
      <c r="BV155" s="888">
        <f>+BU155/BU$13</f>
        <v>0</v>
      </c>
      <c r="BW155" s="874"/>
      <c r="BX155" s="744">
        <v>0</v>
      </c>
      <c r="BY155" s="744">
        <v>0</v>
      </c>
      <c r="BZ155" s="744">
        <v>0</v>
      </c>
      <c r="CA155" s="744">
        <v>0</v>
      </c>
      <c r="CB155" s="744">
        <v>0</v>
      </c>
      <c r="CC155" s="744">
        <v>0</v>
      </c>
      <c r="CD155" s="744">
        <v>0</v>
      </c>
      <c r="CE155" s="744">
        <v>0</v>
      </c>
      <c r="CF155" s="932">
        <v>0</v>
      </c>
      <c r="CG155" s="744">
        <f>SUM(BX155:CF155)</f>
        <v>0</v>
      </c>
      <c r="CH155" s="888">
        <f>+CG155/CG$13</f>
        <v>0</v>
      </c>
      <c r="CI155" s="874"/>
      <c r="CJ155" s="957">
        <f>+CG155-BU155</f>
        <v>0</v>
      </c>
      <c r="CK155" s="965">
        <f>IFERROR(+CJ155/BU155,0%)</f>
        <v>0</v>
      </c>
      <c r="CL155" s="746"/>
      <c r="CM155" s="816">
        <v>0</v>
      </c>
      <c r="CN155" s="757">
        <f t="shared" ref="CN155:CN156" si="292">+CM155/CM$13</f>
        <v>0</v>
      </c>
      <c r="CO155" s="746"/>
      <c r="CP155" s="744">
        <v>0</v>
      </c>
      <c r="CQ155" s="756">
        <f t="shared" si="273"/>
        <v>0</v>
      </c>
      <c r="CR155" s="874"/>
      <c r="CS155" s="816">
        <v>0</v>
      </c>
      <c r="CT155" s="757">
        <f>+CS155/CS$13</f>
        <v>0</v>
      </c>
      <c r="CU155" s="874"/>
      <c r="CV155" s="897">
        <f>+CM155-CS155</f>
        <v>0</v>
      </c>
      <c r="CW155" s="902">
        <f t="shared" si="272"/>
        <v>0</v>
      </c>
      <c r="CY155" s="750"/>
    </row>
    <row r="156" spans="1:103" hidden="1" outlineLevel="1">
      <c r="A156" s="734">
        <v>540505</v>
      </c>
      <c r="B156" s="833" t="s">
        <v>87</v>
      </c>
      <c r="C156" s="874"/>
      <c r="D156" s="744">
        <v>802</v>
      </c>
      <c r="E156" s="744">
        <v>802</v>
      </c>
      <c r="F156" s="744">
        <v>802</v>
      </c>
      <c r="G156" s="744">
        <v>802</v>
      </c>
      <c r="H156" s="744">
        <v>802</v>
      </c>
      <c r="I156" s="744">
        <v>802</v>
      </c>
      <c r="J156" s="744">
        <v>802</v>
      </c>
      <c r="K156" s="744">
        <v>0</v>
      </c>
      <c r="L156" s="744">
        <v>802</v>
      </c>
      <c r="M156" s="744">
        <f>SUM(D156:L156)</f>
        <v>6416</v>
      </c>
      <c r="N156" s="888">
        <f>+M156/M$13</f>
        <v>1.2710764726043001E-2</v>
      </c>
      <c r="O156" s="874"/>
      <c r="P156" s="744">
        <v>-2609</v>
      </c>
      <c r="Q156" s="744">
        <v>-2609</v>
      </c>
      <c r="R156" s="744">
        <v>-2609</v>
      </c>
      <c r="S156" s="744">
        <v>-2609</v>
      </c>
      <c r="T156" s="744">
        <v>-2609</v>
      </c>
      <c r="U156" s="744">
        <v>-2609</v>
      </c>
      <c r="V156" s="744">
        <v>-2609</v>
      </c>
      <c r="W156" s="744">
        <v>0</v>
      </c>
      <c r="X156" s="744">
        <v>-2609</v>
      </c>
      <c r="Y156" s="744">
        <f>SUM(P156:X156)</f>
        <v>-20872</v>
      </c>
      <c r="Z156" s="888">
        <f>+Y156/Y$13</f>
        <v>-3.9659346130021547E-2</v>
      </c>
      <c r="AA156" s="874"/>
      <c r="AB156" s="744">
        <v>0</v>
      </c>
      <c r="AC156" s="744">
        <v>0</v>
      </c>
      <c r="AD156" s="744">
        <v>0</v>
      </c>
      <c r="AE156" s="744">
        <v>0</v>
      </c>
      <c r="AF156" s="744">
        <v>0</v>
      </c>
      <c r="AG156" s="744">
        <v>0</v>
      </c>
      <c r="AH156" s="744">
        <v>0</v>
      </c>
      <c r="AI156" s="744">
        <v>0</v>
      </c>
      <c r="AJ156" s="744">
        <v>0</v>
      </c>
      <c r="AK156" s="744">
        <f>SUM(AB156:AJ156)</f>
        <v>0</v>
      </c>
      <c r="AL156" s="888">
        <f>+AK156/AK$13</f>
        <v>0</v>
      </c>
      <c r="AM156" s="874"/>
      <c r="AN156" s="744">
        <v>0</v>
      </c>
      <c r="AO156" s="744">
        <v>0</v>
      </c>
      <c r="AP156" s="744">
        <v>0</v>
      </c>
      <c r="AQ156" s="744">
        <v>0</v>
      </c>
      <c r="AR156" s="744">
        <v>0</v>
      </c>
      <c r="AS156" s="744">
        <v>0</v>
      </c>
      <c r="AT156" s="744">
        <v>0</v>
      </c>
      <c r="AU156" s="744">
        <v>0</v>
      </c>
      <c r="AV156" s="744">
        <v>0</v>
      </c>
      <c r="AW156" s="744">
        <f>SUM(AN156:AV156)</f>
        <v>0</v>
      </c>
      <c r="AX156" s="888">
        <f>+AW156/AW$13</f>
        <v>0</v>
      </c>
      <c r="AY156" s="874"/>
      <c r="AZ156" s="744">
        <v>-1076</v>
      </c>
      <c r="BA156" s="744">
        <v>-1076</v>
      </c>
      <c r="BB156" s="744">
        <v>-1076</v>
      </c>
      <c r="BC156" s="744">
        <v>-1076</v>
      </c>
      <c r="BD156" s="744">
        <v>-1076</v>
      </c>
      <c r="BE156" s="744">
        <v>-1076</v>
      </c>
      <c r="BF156" s="744">
        <v>-1076</v>
      </c>
      <c r="BG156" s="744">
        <v>0</v>
      </c>
      <c r="BH156" s="744">
        <v>-1076</v>
      </c>
      <c r="BI156" s="744">
        <f>SUM(AZ156:BH156)</f>
        <v>-8608</v>
      </c>
      <c r="BJ156" s="888">
        <f>+BI156/BI$13</f>
        <v>-1.7356798348200603E-2</v>
      </c>
      <c r="BK156" s="874"/>
      <c r="BL156" s="744">
        <v>1472</v>
      </c>
      <c r="BM156" s="744">
        <v>1472</v>
      </c>
      <c r="BN156" s="744">
        <v>1472</v>
      </c>
      <c r="BO156" s="744">
        <v>1472</v>
      </c>
      <c r="BP156" s="744">
        <v>1472</v>
      </c>
      <c r="BQ156" s="744">
        <v>1472</v>
      </c>
      <c r="BR156" s="744">
        <v>1472</v>
      </c>
      <c r="BS156" s="744">
        <v>0</v>
      </c>
      <c r="BT156" s="744">
        <v>1472</v>
      </c>
      <c r="BU156" s="744">
        <f>SUM(BL156:BT156)</f>
        <v>11776</v>
      </c>
      <c r="BV156" s="888">
        <f>+BU156/BU$13</f>
        <v>2.3690637611301336E-2</v>
      </c>
      <c r="BW156" s="874"/>
      <c r="BX156" s="744">
        <v>127.5625</v>
      </c>
      <c r="BY156" s="744">
        <v>127.5625</v>
      </c>
      <c r="BZ156" s="744">
        <v>127.5625</v>
      </c>
      <c r="CA156" s="744">
        <v>127.5625</v>
      </c>
      <c r="CB156" s="744">
        <v>127.5625</v>
      </c>
      <c r="CC156" s="744">
        <v>127.5625</v>
      </c>
      <c r="CD156" s="744">
        <v>127.5625</v>
      </c>
      <c r="CE156" s="744">
        <v>0</v>
      </c>
      <c r="CF156" s="744">
        <v>127.5625</v>
      </c>
      <c r="CG156" s="744">
        <f>SUM(BX156:CF156)</f>
        <v>1020.5</v>
      </c>
      <c r="CH156" s="888">
        <f>+CG156/CG$13</f>
        <v>2.1260948190371426E-3</v>
      </c>
      <c r="CI156" s="874"/>
      <c r="CJ156" s="957">
        <f>+CG156-BU156</f>
        <v>-10755.5</v>
      </c>
      <c r="CK156" s="965">
        <f>IFERROR(+CJ156/BU156,0%)</f>
        <v>-0.91334069293478259</v>
      </c>
      <c r="CL156" s="746"/>
      <c r="CM156" s="816">
        <f>-DATOS!D204</f>
        <v>-16683</v>
      </c>
      <c r="CN156" s="757">
        <f t="shared" si="292"/>
        <v>-5.4841028242159813E-3</v>
      </c>
      <c r="CO156" s="746"/>
      <c r="CP156" s="744">
        <f>+-DATOS!F204</f>
        <v>-362</v>
      </c>
      <c r="CQ156" s="756">
        <f t="shared" si="273"/>
        <v>-7.026445249531004E-4</v>
      </c>
      <c r="CR156" s="874"/>
      <c r="CS156" s="816">
        <f>-+DATOS!G204</f>
        <v>-26671</v>
      </c>
      <c r="CT156" s="757">
        <f>+CS156/CS$13</f>
        <v>-9.0750638199414251E-3</v>
      </c>
      <c r="CU156" s="874"/>
      <c r="CV156" s="897">
        <f>+CM156-CS156</f>
        <v>9988</v>
      </c>
      <c r="CW156" s="902">
        <f t="shared" si="272"/>
        <v>-0.37448914551385398</v>
      </c>
      <c r="CY156" s="750"/>
    </row>
    <row r="157" spans="1:103" collapsed="1">
      <c r="A157" s="734"/>
      <c r="B157" s="833"/>
      <c r="C157" s="878"/>
      <c r="D157" s="762"/>
      <c r="E157" s="762"/>
      <c r="F157" s="762"/>
      <c r="G157" s="762"/>
      <c r="H157" s="762"/>
      <c r="I157" s="762"/>
      <c r="J157" s="762"/>
      <c r="K157" s="762"/>
      <c r="L157" s="935"/>
      <c r="M157" s="762"/>
      <c r="N157" s="882"/>
      <c r="O157" s="878"/>
      <c r="P157" s="762"/>
      <c r="Q157" s="762"/>
      <c r="R157" s="762"/>
      <c r="S157" s="762"/>
      <c r="T157" s="762"/>
      <c r="U157" s="762"/>
      <c r="V157" s="762"/>
      <c r="W157" s="762"/>
      <c r="X157" s="935"/>
      <c r="Y157" s="762"/>
      <c r="Z157" s="882"/>
      <c r="AA157" s="878"/>
      <c r="AB157" s="762"/>
      <c r="AC157" s="762"/>
      <c r="AD157" s="762"/>
      <c r="AE157" s="762"/>
      <c r="AF157" s="762"/>
      <c r="AG157" s="762"/>
      <c r="AH157" s="762"/>
      <c r="AI157" s="762"/>
      <c r="AJ157" s="935"/>
      <c r="AK157" s="762"/>
      <c r="AL157" s="882"/>
      <c r="AM157" s="878"/>
      <c r="AN157" s="762"/>
      <c r="AO157" s="762"/>
      <c r="AP157" s="762"/>
      <c r="AQ157" s="762"/>
      <c r="AR157" s="762"/>
      <c r="AS157" s="762"/>
      <c r="AT157" s="762"/>
      <c r="AU157" s="762"/>
      <c r="AV157" s="935"/>
      <c r="AW157" s="762"/>
      <c r="AX157" s="882"/>
      <c r="AY157" s="878"/>
      <c r="AZ157" s="762"/>
      <c r="BA157" s="762"/>
      <c r="BB157" s="762"/>
      <c r="BC157" s="762"/>
      <c r="BD157" s="762"/>
      <c r="BE157" s="762"/>
      <c r="BF157" s="762"/>
      <c r="BG157" s="762"/>
      <c r="BH157" s="935"/>
      <c r="BI157" s="762"/>
      <c r="BJ157" s="882"/>
      <c r="BK157" s="878"/>
      <c r="BL157" s="762"/>
      <c r="BM157" s="762"/>
      <c r="BN157" s="762"/>
      <c r="BO157" s="762"/>
      <c r="BP157" s="762"/>
      <c r="BQ157" s="762"/>
      <c r="BR157" s="762"/>
      <c r="BS157" s="762"/>
      <c r="BT157" s="935"/>
      <c r="BU157" s="762"/>
      <c r="BV157" s="882"/>
      <c r="BW157" s="878"/>
      <c r="BX157" s="762"/>
      <c r="BY157" s="762"/>
      <c r="BZ157" s="762"/>
      <c r="CA157" s="762"/>
      <c r="CB157" s="762"/>
      <c r="CC157" s="762"/>
      <c r="CD157" s="762"/>
      <c r="CE157" s="762"/>
      <c r="CF157" s="935"/>
      <c r="CG157" s="762"/>
      <c r="CH157" s="882"/>
      <c r="CI157" s="878"/>
      <c r="CJ157" s="962"/>
      <c r="CK157" s="965"/>
      <c r="CL157" s="778"/>
      <c r="CM157" s="764"/>
      <c r="CN157" s="747"/>
      <c r="CO157" s="778"/>
      <c r="CP157" s="762"/>
      <c r="CQ157" s="745"/>
      <c r="CR157" s="878"/>
      <c r="CS157" s="764"/>
      <c r="CT157" s="747"/>
      <c r="CU157" s="878"/>
      <c r="CV157" s="904"/>
      <c r="CW157" s="898"/>
      <c r="CY157" s="750"/>
    </row>
    <row r="158" spans="1:103" ht="12" thickBot="1">
      <c r="A158" s="734"/>
      <c r="B158" s="834" t="s">
        <v>89</v>
      </c>
      <c r="C158" s="875"/>
      <c r="D158" s="751">
        <f>+D152+D154</f>
        <v>13346.666666666666</v>
      </c>
      <c r="E158" s="751">
        <f t="shared" ref="E158:K158" si="293">+E152+E154</f>
        <v>8286.6666666666661</v>
      </c>
      <c r="F158" s="751">
        <f t="shared" si="293"/>
        <v>5407.666666666667</v>
      </c>
      <c r="G158" s="751">
        <f t="shared" si="293"/>
        <v>19827.666666666668</v>
      </c>
      <c r="H158" s="751">
        <f t="shared" si="293"/>
        <v>-76803.333333333328</v>
      </c>
      <c r="I158" s="751">
        <f t="shared" si="293"/>
        <v>14526.666666666666</v>
      </c>
      <c r="J158" s="751">
        <f t="shared" si="293"/>
        <v>10215.666666666666</v>
      </c>
      <c r="K158" s="751">
        <f t="shared" si="293"/>
        <v>-14788.333333333334</v>
      </c>
      <c r="L158" s="933">
        <f>+L152+L154</f>
        <v>4519.666666666667</v>
      </c>
      <c r="M158" s="751">
        <f>+M152+M154</f>
        <v>-15461</v>
      </c>
      <c r="N158" s="883">
        <f>+M158/M$13</f>
        <v>-3.062985246716815E-2</v>
      </c>
      <c r="O158" s="875"/>
      <c r="P158" s="751">
        <f>+P152+P154</f>
        <v>15231.888888888891</v>
      </c>
      <c r="Q158" s="751">
        <f t="shared" ref="Q158:W158" si="294">+Q152+Q154</f>
        <v>-7225.1111111111113</v>
      </c>
      <c r="R158" s="751">
        <f t="shared" si="294"/>
        <v>2867.8888888888887</v>
      </c>
      <c r="S158" s="751">
        <f t="shared" si="294"/>
        <v>5273.8888888888887</v>
      </c>
      <c r="T158" s="751">
        <f t="shared" si="294"/>
        <v>2115.8888888888887</v>
      </c>
      <c r="U158" s="751">
        <f t="shared" si="294"/>
        <v>10211.888888888889</v>
      </c>
      <c r="V158" s="751">
        <f t="shared" si="294"/>
        <v>4179.8888888888887</v>
      </c>
      <c r="W158" s="751">
        <f t="shared" si="294"/>
        <v>2126.8888888888887</v>
      </c>
      <c r="X158" s="933">
        <f>+X152+X154</f>
        <v>4473.8888888888887</v>
      </c>
      <c r="Y158" s="751">
        <f>+Y152+Y154</f>
        <v>37122</v>
      </c>
      <c r="Z158" s="883">
        <f>+Y158/Y$13</f>
        <v>7.0536328432285356E-2</v>
      </c>
      <c r="AA158" s="875"/>
      <c r="AB158" s="751">
        <f>+AB152+AB154</f>
        <v>11741.111111111111</v>
      </c>
      <c r="AC158" s="751">
        <f t="shared" ref="AC158:AI158" si="295">+AC152+AC154</f>
        <v>-3466.8888888888887</v>
      </c>
      <c r="AD158" s="751">
        <f t="shared" si="295"/>
        <v>4296.1111111111113</v>
      </c>
      <c r="AE158" s="751">
        <f t="shared" si="295"/>
        <v>-3270.8888888888887</v>
      </c>
      <c r="AF158" s="751">
        <f t="shared" si="295"/>
        <v>-22374.888888888891</v>
      </c>
      <c r="AG158" s="751">
        <f t="shared" si="295"/>
        <v>11823.111111111111</v>
      </c>
      <c r="AH158" s="751">
        <f t="shared" si="295"/>
        <v>9417.1111111111113</v>
      </c>
      <c r="AI158" s="751">
        <f t="shared" si="295"/>
        <v>-4492.8888888888887</v>
      </c>
      <c r="AJ158" s="933">
        <f>+AJ152+AJ154</f>
        <v>-3239.8888888888887</v>
      </c>
      <c r="AK158" s="751">
        <f>+AK152+AK154</f>
        <v>-2194</v>
      </c>
      <c r="AL158" s="883">
        <f>+AK158/AK$13</f>
        <v>-4.2872915221448182E-3</v>
      </c>
      <c r="AM158" s="875"/>
      <c r="AN158" s="751">
        <f>+AN152+AN154</f>
        <v>11602.666666666666</v>
      </c>
      <c r="AO158" s="751">
        <f t="shared" ref="AO158:AU158" si="296">+AO152+AO154</f>
        <v>4175.666666666667</v>
      </c>
      <c r="AP158" s="751">
        <f t="shared" si="296"/>
        <v>4965.666666666667</v>
      </c>
      <c r="AQ158" s="751">
        <f t="shared" si="296"/>
        <v>2504.666666666667</v>
      </c>
      <c r="AR158" s="751">
        <f t="shared" si="296"/>
        <v>-17015.333333333336</v>
      </c>
      <c r="AS158" s="751">
        <f t="shared" si="296"/>
        <v>15418.666666666668</v>
      </c>
      <c r="AT158" s="751">
        <f t="shared" si="296"/>
        <v>10455.666666666666</v>
      </c>
      <c r="AU158" s="751">
        <f t="shared" si="296"/>
        <v>1704.6666666666667</v>
      </c>
      <c r="AV158" s="933">
        <f>+AV152+AV154</f>
        <v>2849.6666666666665</v>
      </c>
      <c r="AW158" s="751">
        <f>+AW152+AW154</f>
        <v>35349</v>
      </c>
      <c r="AX158" s="883">
        <f>+AW158/AW$13</f>
        <v>6.6567612763264936E-2</v>
      </c>
      <c r="AY158" s="875"/>
      <c r="AZ158" s="751">
        <f>+AZ152+AZ154</f>
        <v>5540.5555555555547</v>
      </c>
      <c r="BA158" s="751">
        <f t="shared" ref="BA158:BG158" si="297">+BA152+BA154</f>
        <v>3026.5555555555557</v>
      </c>
      <c r="BB158" s="751">
        <f t="shared" si="297"/>
        <v>4222.5555555555557</v>
      </c>
      <c r="BC158" s="751">
        <f t="shared" si="297"/>
        <v>-4739.4444444444443</v>
      </c>
      <c r="BD158" s="751">
        <f t="shared" si="297"/>
        <v>-28694.444444444445</v>
      </c>
      <c r="BE158" s="751">
        <f t="shared" si="297"/>
        <v>10265.555555555555</v>
      </c>
      <c r="BF158" s="751">
        <f t="shared" si="297"/>
        <v>3882.5555555555557</v>
      </c>
      <c r="BG158" s="751">
        <f t="shared" si="297"/>
        <v>3148.5555555555557</v>
      </c>
      <c r="BH158" s="933">
        <f>+BH152+BH154</f>
        <v>-5381.4444444444443</v>
      </c>
      <c r="BI158" s="751">
        <f>+BI152+BI154</f>
        <v>-8729</v>
      </c>
      <c r="BJ158" s="883">
        <f>+BI158/BI$13</f>
        <v>-1.7600777507137903E-2</v>
      </c>
      <c r="BK158" s="875"/>
      <c r="BL158" s="751">
        <f>+BL152+BL154</f>
        <v>4233.333333333333</v>
      </c>
      <c r="BM158" s="751">
        <f t="shared" ref="BM158:BS158" si="298">+BM152+BM154</f>
        <v>2027.3333333333333</v>
      </c>
      <c r="BN158" s="751">
        <f t="shared" si="298"/>
        <v>3419.3333333333335</v>
      </c>
      <c r="BO158" s="751">
        <f t="shared" si="298"/>
        <v>81.333333333333258</v>
      </c>
      <c r="BP158" s="751">
        <f t="shared" si="298"/>
        <v>-35896.666666666664</v>
      </c>
      <c r="BQ158" s="751">
        <f t="shared" si="298"/>
        <v>12660.333333333334</v>
      </c>
      <c r="BR158" s="751">
        <f t="shared" si="298"/>
        <v>9282.3333333333339</v>
      </c>
      <c r="BS158" s="751">
        <f t="shared" si="298"/>
        <v>-17367.666666666668</v>
      </c>
      <c r="BT158" s="933">
        <f>+BT152+BT154</f>
        <v>439.33333333333326</v>
      </c>
      <c r="BU158" s="751">
        <f>+BU152+BU154</f>
        <v>-21121</v>
      </c>
      <c r="BV158" s="883">
        <f>+BU158/BU$13</f>
        <v>-4.2490655314902814E-2</v>
      </c>
      <c r="BW158" s="875"/>
      <c r="BX158" s="751">
        <f>+BX152+BX154</f>
        <v>3239.5625</v>
      </c>
      <c r="BY158" s="751">
        <f t="shared" ref="BY158:CE158" si="299">+BY152+BY154</f>
        <v>4051.5625</v>
      </c>
      <c r="BZ158" s="751">
        <f t="shared" si="299"/>
        <v>3551.5625</v>
      </c>
      <c r="CA158" s="751">
        <f t="shared" si="299"/>
        <v>-7963.4375</v>
      </c>
      <c r="CB158" s="751">
        <f t="shared" si="299"/>
        <v>-16379.4375</v>
      </c>
      <c r="CC158" s="751">
        <f t="shared" si="299"/>
        <v>8793.5625</v>
      </c>
      <c r="CD158" s="751">
        <f t="shared" si="299"/>
        <v>1850.5625</v>
      </c>
      <c r="CE158" s="751">
        <f t="shared" si="299"/>
        <v>3149</v>
      </c>
      <c r="CF158" s="933">
        <f>+CF152+CF154</f>
        <v>-985.4375</v>
      </c>
      <c r="CG158" s="751">
        <f>+CG152+CG154</f>
        <v>-692.5</v>
      </c>
      <c r="CH158" s="883">
        <f>+CG158/CG$13</f>
        <v>-1.4427444019433819E-3</v>
      </c>
      <c r="CI158" s="875"/>
      <c r="CJ158" s="959">
        <f>+CG158-BU158</f>
        <v>20428.5</v>
      </c>
      <c r="CK158" s="960">
        <f>IFERROR(+CJ158/BU158,0%)</f>
        <v>-0.96721272667013869</v>
      </c>
      <c r="CL158" s="753"/>
      <c r="CM158" s="754">
        <f>+CM152+CM154</f>
        <v>39744</v>
      </c>
      <c r="CN158" s="755">
        <f>+CM158/CM$13</f>
        <v>1.3064807447439906E-2</v>
      </c>
      <c r="CO158" s="753"/>
      <c r="CP158" s="751">
        <f t="shared" ref="CP158" si="300">+CP152+CP154</f>
        <v>-5685.5</v>
      </c>
      <c r="CQ158" s="752">
        <f t="shared" si="273"/>
        <v>-1.1035595156411195E-2</v>
      </c>
      <c r="CR158" s="875"/>
      <c r="CS158" s="754">
        <f t="shared" ref="CS158" si="301">+CS152+CS154</f>
        <v>32625</v>
      </c>
      <c r="CT158" s="755">
        <f>+CS158/CS$13</f>
        <v>1.1100969484668329E-2</v>
      </c>
      <c r="CU158" s="875"/>
      <c r="CV158" s="900">
        <f>+CM158-CS158</f>
        <v>7119</v>
      </c>
      <c r="CW158" s="901">
        <f t="shared" si="272"/>
        <v>0.21820689655172415</v>
      </c>
      <c r="CY158" s="750"/>
    </row>
    <row r="159" spans="1:103" ht="12" thickTop="1">
      <c r="A159" s="734"/>
      <c r="B159" s="836"/>
      <c r="C159" s="876"/>
      <c r="D159" s="850"/>
      <c r="E159" s="850"/>
      <c r="F159" s="850"/>
      <c r="G159" s="850"/>
      <c r="H159" s="850"/>
      <c r="I159" s="850"/>
      <c r="J159" s="850"/>
      <c r="K159" s="850"/>
      <c r="L159" s="940"/>
      <c r="M159" s="850"/>
      <c r="N159" s="890"/>
      <c r="O159" s="876"/>
      <c r="P159" s="850"/>
      <c r="Q159" s="850"/>
      <c r="R159" s="850"/>
      <c r="S159" s="850"/>
      <c r="T159" s="850"/>
      <c r="U159" s="850"/>
      <c r="V159" s="850"/>
      <c r="W159" s="850"/>
      <c r="X159" s="940"/>
      <c r="Y159" s="850"/>
      <c r="Z159" s="890"/>
      <c r="AA159" s="876"/>
      <c r="AB159" s="850"/>
      <c r="AC159" s="850"/>
      <c r="AD159" s="850"/>
      <c r="AE159" s="850"/>
      <c r="AF159" s="850"/>
      <c r="AG159" s="850"/>
      <c r="AH159" s="850"/>
      <c r="AI159" s="850"/>
      <c r="AJ159" s="940"/>
      <c r="AK159" s="850"/>
      <c r="AL159" s="890"/>
      <c r="AM159" s="876"/>
      <c r="AN159" s="850"/>
      <c r="AO159" s="850"/>
      <c r="AP159" s="850"/>
      <c r="AQ159" s="850"/>
      <c r="AR159" s="850"/>
      <c r="AS159" s="850"/>
      <c r="AT159" s="850"/>
      <c r="AU159" s="850"/>
      <c r="AV159" s="940"/>
      <c r="AW159" s="850"/>
      <c r="AX159" s="890"/>
      <c r="AY159" s="876"/>
      <c r="AZ159" s="850"/>
      <c r="BA159" s="850"/>
      <c r="BB159" s="850"/>
      <c r="BC159" s="850"/>
      <c r="BD159" s="850"/>
      <c r="BE159" s="850"/>
      <c r="BF159" s="850"/>
      <c r="BG159" s="850"/>
      <c r="BH159" s="940"/>
      <c r="BI159" s="850"/>
      <c r="BJ159" s="890"/>
      <c r="BK159" s="876"/>
      <c r="BL159" s="850"/>
      <c r="BM159" s="850"/>
      <c r="BN159" s="850"/>
      <c r="BO159" s="850"/>
      <c r="BP159" s="850"/>
      <c r="BQ159" s="850"/>
      <c r="BR159" s="850"/>
      <c r="BS159" s="850"/>
      <c r="BT159" s="940"/>
      <c r="BU159" s="850"/>
      <c r="BV159" s="890"/>
      <c r="BW159" s="876"/>
      <c r="BX159" s="850"/>
      <c r="BY159" s="850"/>
      <c r="BZ159" s="850"/>
      <c r="CA159" s="850"/>
      <c r="CB159" s="850"/>
      <c r="CC159" s="850"/>
      <c r="CD159" s="850"/>
      <c r="CE159" s="850"/>
      <c r="CF159" s="940"/>
      <c r="CG159" s="850"/>
      <c r="CH159" s="890"/>
      <c r="CI159" s="876"/>
      <c r="CJ159" s="978"/>
      <c r="CK159" s="979"/>
      <c r="CL159" s="779"/>
      <c r="CM159" s="850"/>
      <c r="CN159" s="851"/>
      <c r="CO159" s="779"/>
      <c r="CP159" s="850"/>
      <c r="CQ159" s="851"/>
      <c r="CR159" s="876"/>
      <c r="CS159" s="850"/>
      <c r="CT159" s="851"/>
      <c r="CU159" s="876"/>
      <c r="CV159" s="850"/>
      <c r="CW159" s="890"/>
      <c r="CY159" s="750"/>
    </row>
    <row r="160" spans="1:103" ht="12" thickBot="1">
      <c r="A160" s="749"/>
      <c r="B160" s="839" t="s">
        <v>90</v>
      </c>
      <c r="C160" s="875"/>
      <c r="D160" s="751">
        <f>+D158</f>
        <v>13346.666666666666</v>
      </c>
      <c r="E160" s="751">
        <f t="shared" ref="E160:K160" si="302">+E158</f>
        <v>8286.6666666666661</v>
      </c>
      <c r="F160" s="751">
        <f t="shared" si="302"/>
        <v>5407.666666666667</v>
      </c>
      <c r="G160" s="751">
        <f t="shared" si="302"/>
        <v>19827.666666666668</v>
      </c>
      <c r="H160" s="751">
        <f t="shared" si="302"/>
        <v>-76803.333333333328</v>
      </c>
      <c r="I160" s="751">
        <f t="shared" si="302"/>
        <v>14526.666666666666</v>
      </c>
      <c r="J160" s="751">
        <f t="shared" si="302"/>
        <v>10215.666666666666</v>
      </c>
      <c r="K160" s="751">
        <f t="shared" si="302"/>
        <v>-14788.333333333334</v>
      </c>
      <c r="L160" s="933">
        <f>+L158</f>
        <v>4519.666666666667</v>
      </c>
      <c r="M160" s="751">
        <f>+M158</f>
        <v>-15461</v>
      </c>
      <c r="N160" s="883">
        <f>+M160/M$13</f>
        <v>-3.062985246716815E-2</v>
      </c>
      <c r="O160" s="875"/>
      <c r="P160" s="751">
        <f>+P158</f>
        <v>15231.888888888891</v>
      </c>
      <c r="Q160" s="751">
        <f t="shared" ref="Q160:W160" si="303">+Q158</f>
        <v>-7225.1111111111113</v>
      </c>
      <c r="R160" s="751">
        <f t="shared" si="303"/>
        <v>2867.8888888888887</v>
      </c>
      <c r="S160" s="751">
        <f t="shared" si="303"/>
        <v>5273.8888888888887</v>
      </c>
      <c r="T160" s="751">
        <f t="shared" si="303"/>
        <v>2115.8888888888887</v>
      </c>
      <c r="U160" s="751">
        <f t="shared" si="303"/>
        <v>10211.888888888889</v>
      </c>
      <c r="V160" s="751">
        <f t="shared" si="303"/>
        <v>4179.8888888888887</v>
      </c>
      <c r="W160" s="751">
        <f t="shared" si="303"/>
        <v>2126.8888888888887</v>
      </c>
      <c r="X160" s="933">
        <f>+X158</f>
        <v>4473.8888888888887</v>
      </c>
      <c r="Y160" s="751">
        <f>+Y158</f>
        <v>37122</v>
      </c>
      <c r="Z160" s="883">
        <f>+Y160/Y$13</f>
        <v>7.0536328432285356E-2</v>
      </c>
      <c r="AA160" s="875"/>
      <c r="AB160" s="751">
        <f>+AB158</f>
        <v>11741.111111111111</v>
      </c>
      <c r="AC160" s="751">
        <f t="shared" ref="AC160:AI160" si="304">+AC158</f>
        <v>-3466.8888888888887</v>
      </c>
      <c r="AD160" s="751">
        <f t="shared" si="304"/>
        <v>4296.1111111111113</v>
      </c>
      <c r="AE160" s="751">
        <f t="shared" si="304"/>
        <v>-3270.8888888888887</v>
      </c>
      <c r="AF160" s="751">
        <f t="shared" si="304"/>
        <v>-22374.888888888891</v>
      </c>
      <c r="AG160" s="751">
        <f t="shared" si="304"/>
        <v>11823.111111111111</v>
      </c>
      <c r="AH160" s="751">
        <f t="shared" si="304"/>
        <v>9417.1111111111113</v>
      </c>
      <c r="AI160" s="751">
        <f t="shared" si="304"/>
        <v>-4492.8888888888887</v>
      </c>
      <c r="AJ160" s="933">
        <f>+AJ158</f>
        <v>-3239.8888888888887</v>
      </c>
      <c r="AK160" s="751">
        <f>+AK158</f>
        <v>-2194</v>
      </c>
      <c r="AL160" s="883">
        <f>+AK160/AK$13</f>
        <v>-4.2872915221448182E-3</v>
      </c>
      <c r="AM160" s="875"/>
      <c r="AN160" s="751">
        <f>+AN158</f>
        <v>11602.666666666666</v>
      </c>
      <c r="AO160" s="751">
        <f t="shared" ref="AO160:AU160" si="305">+AO158</f>
        <v>4175.666666666667</v>
      </c>
      <c r="AP160" s="751">
        <f t="shared" si="305"/>
        <v>4965.666666666667</v>
      </c>
      <c r="AQ160" s="751">
        <f t="shared" si="305"/>
        <v>2504.666666666667</v>
      </c>
      <c r="AR160" s="751">
        <f t="shared" si="305"/>
        <v>-17015.333333333336</v>
      </c>
      <c r="AS160" s="751">
        <f t="shared" si="305"/>
        <v>15418.666666666668</v>
      </c>
      <c r="AT160" s="751">
        <f t="shared" si="305"/>
        <v>10455.666666666666</v>
      </c>
      <c r="AU160" s="751">
        <f t="shared" si="305"/>
        <v>1704.6666666666667</v>
      </c>
      <c r="AV160" s="933">
        <f>+AV158</f>
        <v>2849.6666666666665</v>
      </c>
      <c r="AW160" s="751">
        <f>+AW158</f>
        <v>35349</v>
      </c>
      <c r="AX160" s="883">
        <f>+AW160/AW$13</f>
        <v>6.6567612763264936E-2</v>
      </c>
      <c r="AY160" s="875"/>
      <c r="AZ160" s="751">
        <f>+AZ158</f>
        <v>5540.5555555555547</v>
      </c>
      <c r="BA160" s="751">
        <f t="shared" ref="BA160:BG160" si="306">+BA158</f>
        <v>3026.5555555555557</v>
      </c>
      <c r="BB160" s="751">
        <f t="shared" si="306"/>
        <v>4222.5555555555557</v>
      </c>
      <c r="BC160" s="751">
        <f t="shared" si="306"/>
        <v>-4739.4444444444443</v>
      </c>
      <c r="BD160" s="751">
        <f t="shared" si="306"/>
        <v>-28694.444444444445</v>
      </c>
      <c r="BE160" s="751">
        <f t="shared" si="306"/>
        <v>10265.555555555555</v>
      </c>
      <c r="BF160" s="751">
        <f t="shared" si="306"/>
        <v>3882.5555555555557</v>
      </c>
      <c r="BG160" s="751">
        <f t="shared" si="306"/>
        <v>3148.5555555555557</v>
      </c>
      <c r="BH160" s="933">
        <f>+BH158</f>
        <v>-5381.4444444444443</v>
      </c>
      <c r="BI160" s="751">
        <f>+BI158</f>
        <v>-8729</v>
      </c>
      <c r="BJ160" s="883">
        <f>+BI160/BI$13</f>
        <v>-1.7600777507137903E-2</v>
      </c>
      <c r="BK160" s="875"/>
      <c r="BL160" s="751">
        <f>+BL158</f>
        <v>4233.333333333333</v>
      </c>
      <c r="BM160" s="751">
        <f t="shared" ref="BM160:BS160" si="307">+BM158</f>
        <v>2027.3333333333333</v>
      </c>
      <c r="BN160" s="751">
        <f t="shared" si="307"/>
        <v>3419.3333333333335</v>
      </c>
      <c r="BO160" s="751">
        <f t="shared" si="307"/>
        <v>81.333333333333258</v>
      </c>
      <c r="BP160" s="751">
        <f t="shared" si="307"/>
        <v>-35896.666666666664</v>
      </c>
      <c r="BQ160" s="751">
        <f t="shared" si="307"/>
        <v>12660.333333333334</v>
      </c>
      <c r="BR160" s="751">
        <f t="shared" si="307"/>
        <v>9282.3333333333339</v>
      </c>
      <c r="BS160" s="751">
        <f t="shared" si="307"/>
        <v>-17367.666666666668</v>
      </c>
      <c r="BT160" s="933">
        <f>+BT158</f>
        <v>439.33333333333326</v>
      </c>
      <c r="BU160" s="751">
        <f>+BU158</f>
        <v>-21121</v>
      </c>
      <c r="BV160" s="883">
        <f>+BU160/BU$13</f>
        <v>-4.2490655314902814E-2</v>
      </c>
      <c r="BW160" s="875"/>
      <c r="BX160" s="751">
        <f>+BX158</f>
        <v>3239.5625</v>
      </c>
      <c r="BY160" s="751">
        <f t="shared" ref="BY160:CE160" si="308">+BY158</f>
        <v>4051.5625</v>
      </c>
      <c r="BZ160" s="751">
        <f t="shared" si="308"/>
        <v>3551.5625</v>
      </c>
      <c r="CA160" s="751">
        <f t="shared" si="308"/>
        <v>-7963.4375</v>
      </c>
      <c r="CB160" s="751">
        <f t="shared" si="308"/>
        <v>-16379.4375</v>
      </c>
      <c r="CC160" s="751">
        <f t="shared" si="308"/>
        <v>8793.5625</v>
      </c>
      <c r="CD160" s="751">
        <f t="shared" si="308"/>
        <v>1850.5625</v>
      </c>
      <c r="CE160" s="751">
        <f t="shared" si="308"/>
        <v>3149</v>
      </c>
      <c r="CF160" s="933">
        <f>+CF158</f>
        <v>-985.4375</v>
      </c>
      <c r="CG160" s="751">
        <f>+CG158</f>
        <v>-692.5</v>
      </c>
      <c r="CH160" s="883">
        <f>+CG160/CG$13</f>
        <v>-1.4427444019433819E-3</v>
      </c>
      <c r="CI160" s="949"/>
      <c r="CJ160" s="751">
        <f>+CG160-BU160</f>
        <v>20428.5</v>
      </c>
      <c r="CK160" s="883">
        <f>IFERROR(+CJ160/BU160,0%)</f>
        <v>-0.96721272667013869</v>
      </c>
      <c r="CL160" s="753"/>
      <c r="CM160" s="754">
        <f>+CM158</f>
        <v>39744</v>
      </c>
      <c r="CN160" s="755">
        <f>+CM160/CM$13</f>
        <v>1.3064807447439906E-2</v>
      </c>
      <c r="CO160" s="753"/>
      <c r="CP160" s="751">
        <f t="shared" ref="CP160" si="309">+CP158</f>
        <v>-5685.5</v>
      </c>
      <c r="CQ160" s="752">
        <f t="shared" si="273"/>
        <v>-1.1035595156411195E-2</v>
      </c>
      <c r="CR160" s="875"/>
      <c r="CS160" s="754">
        <f t="shared" ref="CS160" si="310">+CS158</f>
        <v>32625</v>
      </c>
      <c r="CT160" s="755">
        <f>+CS160/CS$13</f>
        <v>1.1100969484668329E-2</v>
      </c>
      <c r="CU160" s="875"/>
      <c r="CV160" s="900">
        <f>+CM160-CS160</f>
        <v>7119</v>
      </c>
      <c r="CW160" s="901">
        <f t="shared" si="272"/>
        <v>0.21820689655172415</v>
      </c>
      <c r="CX160" s="1067"/>
      <c r="CY160" s="780"/>
    </row>
    <row r="161" spans="1:103" ht="12" thickBot="1">
      <c r="A161" s="734"/>
      <c r="B161" s="852"/>
      <c r="D161" s="854"/>
      <c r="E161" s="854"/>
      <c r="F161" s="854"/>
      <c r="G161" s="854"/>
      <c r="H161" s="854"/>
      <c r="I161" s="854"/>
      <c r="J161" s="854"/>
      <c r="K161" s="854"/>
      <c r="L161" s="941"/>
      <c r="M161" s="854"/>
      <c r="N161" s="891"/>
      <c r="P161" s="854"/>
      <c r="Q161" s="854"/>
      <c r="R161" s="854"/>
      <c r="S161" s="854"/>
      <c r="T161" s="854"/>
      <c r="U161" s="854"/>
      <c r="V161" s="854"/>
      <c r="W161" s="854"/>
      <c r="X161" s="941"/>
      <c r="Y161" s="854"/>
      <c r="Z161" s="891"/>
      <c r="AB161" s="854"/>
      <c r="AC161" s="854"/>
      <c r="AD161" s="854"/>
      <c r="AE161" s="854"/>
      <c r="AF161" s="854"/>
      <c r="AG161" s="854"/>
      <c r="AH161" s="854"/>
      <c r="AI161" s="854"/>
      <c r="AJ161" s="941"/>
      <c r="AK161" s="854"/>
      <c r="AL161" s="891"/>
      <c r="AN161" s="854"/>
      <c r="AO161" s="854"/>
      <c r="AP161" s="854"/>
      <c r="AQ161" s="854"/>
      <c r="AR161" s="854"/>
      <c r="AS161" s="854"/>
      <c r="AT161" s="854"/>
      <c r="AU161" s="854"/>
      <c r="AV161" s="941"/>
      <c r="AW161" s="854"/>
      <c r="AX161" s="891"/>
      <c r="AZ161" s="854"/>
      <c r="BA161" s="854"/>
      <c r="BB161" s="854"/>
      <c r="BC161" s="854"/>
      <c r="BD161" s="854"/>
      <c r="BE161" s="854"/>
      <c r="BF161" s="854"/>
      <c r="BG161" s="854"/>
      <c r="BH161" s="941"/>
      <c r="BI161" s="854"/>
      <c r="BJ161" s="891"/>
      <c r="BL161" s="854"/>
      <c r="BM161" s="854"/>
      <c r="BN161" s="854"/>
      <c r="BO161" s="854"/>
      <c r="BP161" s="854"/>
      <c r="BQ161" s="854"/>
      <c r="BR161" s="854"/>
      <c r="BS161" s="854"/>
      <c r="BT161" s="941"/>
      <c r="BU161" s="854"/>
      <c r="BV161" s="891"/>
      <c r="BX161" s="854"/>
      <c r="BY161" s="854"/>
      <c r="BZ161" s="854"/>
      <c r="CA161" s="854"/>
      <c r="CB161" s="854"/>
      <c r="CC161" s="854"/>
      <c r="CD161" s="854"/>
      <c r="CE161" s="854"/>
      <c r="CF161" s="941"/>
      <c r="CG161" s="854"/>
      <c r="CH161" s="891"/>
      <c r="CI161" s="735"/>
      <c r="CJ161" s="854"/>
      <c r="CK161" s="891"/>
      <c r="CL161" s="853"/>
      <c r="CM161" s="1008"/>
      <c r="CN161" s="853"/>
      <c r="CO161" s="1009"/>
      <c r="CP161" s="854"/>
      <c r="CS161" s="855"/>
      <c r="CT161" s="853"/>
      <c r="CV161" s="854"/>
      <c r="CW161" s="891"/>
      <c r="CY161" s="750"/>
    </row>
    <row r="162" spans="1:103" s="734" customFormat="1">
      <c r="A162" s="781"/>
      <c r="B162" s="840"/>
      <c r="C162" s="881"/>
      <c r="D162" s="782"/>
      <c r="E162" s="782"/>
      <c r="F162" s="782"/>
      <c r="G162" s="782"/>
      <c r="H162" s="782"/>
      <c r="I162" s="782"/>
      <c r="J162" s="782"/>
      <c r="K162" s="782"/>
      <c r="L162" s="942"/>
      <c r="M162" s="782"/>
      <c r="N162" s="892"/>
      <c r="O162" s="881"/>
      <c r="P162" s="782"/>
      <c r="Q162" s="782"/>
      <c r="R162" s="782"/>
      <c r="S162" s="782"/>
      <c r="T162" s="782"/>
      <c r="U162" s="782"/>
      <c r="V162" s="782"/>
      <c r="W162" s="782"/>
      <c r="X162" s="942"/>
      <c r="Y162" s="782"/>
      <c r="Z162" s="892"/>
      <c r="AA162" s="881"/>
      <c r="AB162" s="782"/>
      <c r="AC162" s="782"/>
      <c r="AD162" s="782"/>
      <c r="AE162" s="782"/>
      <c r="AF162" s="782"/>
      <c r="AG162" s="782"/>
      <c r="AH162" s="782"/>
      <c r="AI162" s="782"/>
      <c r="AJ162" s="942"/>
      <c r="AK162" s="782"/>
      <c r="AL162" s="892"/>
      <c r="AM162" s="881"/>
      <c r="AN162" s="782"/>
      <c r="AO162" s="782"/>
      <c r="AP162" s="782"/>
      <c r="AQ162" s="782"/>
      <c r="AR162" s="782"/>
      <c r="AS162" s="782"/>
      <c r="AT162" s="782"/>
      <c r="AU162" s="782"/>
      <c r="AV162" s="942"/>
      <c r="AW162" s="782"/>
      <c r="AX162" s="892"/>
      <c r="AY162" s="881"/>
      <c r="AZ162" s="782"/>
      <c r="BA162" s="782"/>
      <c r="BB162" s="782"/>
      <c r="BC162" s="782"/>
      <c r="BD162" s="782"/>
      <c r="BE162" s="782"/>
      <c r="BF162" s="782"/>
      <c r="BG162" s="782"/>
      <c r="BH162" s="942"/>
      <c r="BI162" s="782"/>
      <c r="BJ162" s="892"/>
      <c r="BK162" s="881"/>
      <c r="BL162" s="782"/>
      <c r="BM162" s="782"/>
      <c r="BN162" s="782"/>
      <c r="BO162" s="782"/>
      <c r="BP162" s="782"/>
      <c r="BQ162" s="782"/>
      <c r="BR162" s="782"/>
      <c r="BS162" s="782"/>
      <c r="BT162" s="942"/>
      <c r="BU162" s="782"/>
      <c r="BV162" s="892"/>
      <c r="BW162" s="881"/>
      <c r="BX162" s="782"/>
      <c r="BY162" s="782"/>
      <c r="BZ162" s="782"/>
      <c r="CA162" s="782"/>
      <c r="CB162" s="782"/>
      <c r="CC162" s="782"/>
      <c r="CD162" s="782"/>
      <c r="CE162" s="782"/>
      <c r="CF162" s="942"/>
      <c r="CG162" s="782"/>
      <c r="CH162" s="892"/>
      <c r="CI162" s="950"/>
      <c r="CJ162" s="968">
        <f>+CG162-BU162</f>
        <v>0</v>
      </c>
      <c r="CK162" s="969">
        <f>IFERROR(+CJ162/BU162,0%)</f>
        <v>0</v>
      </c>
      <c r="CL162" s="784"/>
      <c r="CM162" s="831"/>
      <c r="CN162" s="785"/>
      <c r="CO162" s="784"/>
      <c r="CP162" s="782"/>
      <c r="CQ162" s="783"/>
      <c r="CR162" s="881"/>
      <c r="CS162" s="831"/>
      <c r="CT162" s="785"/>
      <c r="CU162" s="881"/>
      <c r="CV162" s="910">
        <f>+CM162-CS162</f>
        <v>0</v>
      </c>
      <c r="CW162" s="911">
        <f t="shared" si="272"/>
        <v>0</v>
      </c>
      <c r="CX162" s="735"/>
      <c r="CY162" s="735"/>
    </row>
    <row r="163" spans="1:103" s="734" customFormat="1">
      <c r="A163" s="781"/>
      <c r="B163" s="833" t="s">
        <v>149</v>
      </c>
      <c r="C163" s="881"/>
      <c r="D163" s="1062">
        <f t="shared" ref="D163:M163" si="311">-D92</f>
        <v>0</v>
      </c>
      <c r="E163" s="1062">
        <f t="shared" si="311"/>
        <v>0</v>
      </c>
      <c r="F163" s="1062">
        <f t="shared" si="311"/>
        <v>0</v>
      </c>
      <c r="G163" s="1062">
        <f t="shared" si="311"/>
        <v>445</v>
      </c>
      <c r="H163" s="1062">
        <f t="shared" si="311"/>
        <v>445</v>
      </c>
      <c r="I163" s="1062">
        <f t="shared" si="311"/>
        <v>0</v>
      </c>
      <c r="J163" s="1062">
        <f t="shared" si="311"/>
        <v>0</v>
      </c>
      <c r="K163" s="1062">
        <f t="shared" si="311"/>
        <v>0</v>
      </c>
      <c r="L163" s="1063">
        <f t="shared" si="311"/>
        <v>2</v>
      </c>
      <c r="M163" s="1062">
        <f t="shared" si="311"/>
        <v>892</v>
      </c>
      <c r="N163" s="893">
        <f>+M163/M$13</f>
        <v>1.7671449712640833E-3</v>
      </c>
      <c r="O163" s="881"/>
      <c r="P163" s="1062">
        <f t="shared" ref="P163:Y163" si="312">-P92</f>
        <v>0</v>
      </c>
      <c r="Q163" s="1062">
        <f t="shared" si="312"/>
        <v>0</v>
      </c>
      <c r="R163" s="1062">
        <f t="shared" si="312"/>
        <v>0</v>
      </c>
      <c r="S163" s="1062">
        <f t="shared" si="312"/>
        <v>445</v>
      </c>
      <c r="T163" s="1062">
        <f t="shared" si="312"/>
        <v>445</v>
      </c>
      <c r="U163" s="1062">
        <f t="shared" si="312"/>
        <v>0</v>
      </c>
      <c r="V163" s="1062">
        <f t="shared" si="312"/>
        <v>0</v>
      </c>
      <c r="W163" s="1062">
        <f t="shared" si="312"/>
        <v>0</v>
      </c>
      <c r="X163" s="1063">
        <f t="shared" si="312"/>
        <v>2</v>
      </c>
      <c r="Y163" s="1062">
        <f t="shared" si="312"/>
        <v>892</v>
      </c>
      <c r="Z163" s="893">
        <f>+Y163/Y$13</f>
        <v>1.6949088131458039E-3</v>
      </c>
      <c r="AA163" s="881"/>
      <c r="AB163" s="1062">
        <f t="shared" ref="AB163:AK163" si="313">-AB92</f>
        <v>0</v>
      </c>
      <c r="AC163" s="1062">
        <f t="shared" si="313"/>
        <v>0</v>
      </c>
      <c r="AD163" s="1062">
        <f t="shared" si="313"/>
        <v>0</v>
      </c>
      <c r="AE163" s="1062">
        <f t="shared" si="313"/>
        <v>445</v>
      </c>
      <c r="AF163" s="1062">
        <f t="shared" si="313"/>
        <v>445</v>
      </c>
      <c r="AG163" s="1062">
        <f t="shared" si="313"/>
        <v>0</v>
      </c>
      <c r="AH163" s="1062">
        <f t="shared" si="313"/>
        <v>0</v>
      </c>
      <c r="AI163" s="1062">
        <f t="shared" si="313"/>
        <v>0</v>
      </c>
      <c r="AJ163" s="1063">
        <f t="shared" si="313"/>
        <v>2</v>
      </c>
      <c r="AK163" s="1062">
        <f t="shared" si="313"/>
        <v>892</v>
      </c>
      <c r="AL163" s="893">
        <f>+AK163/AK$13</f>
        <v>1.7430556234061887E-3</v>
      </c>
      <c r="AM163" s="881"/>
      <c r="AN163" s="1062">
        <f t="shared" ref="AN163:AW163" si="314">-AN92</f>
        <v>0</v>
      </c>
      <c r="AO163" s="1062">
        <f t="shared" si="314"/>
        <v>0</v>
      </c>
      <c r="AP163" s="1062">
        <f t="shared" si="314"/>
        <v>0</v>
      </c>
      <c r="AQ163" s="1062">
        <f t="shared" si="314"/>
        <v>457</v>
      </c>
      <c r="AR163" s="1062">
        <f t="shared" si="314"/>
        <v>445</v>
      </c>
      <c r="AS163" s="1062">
        <f t="shared" si="314"/>
        <v>0</v>
      </c>
      <c r="AT163" s="1062">
        <f t="shared" si="314"/>
        <v>0</v>
      </c>
      <c r="AU163" s="1062">
        <f t="shared" si="314"/>
        <v>0</v>
      </c>
      <c r="AV163" s="1063">
        <f t="shared" si="314"/>
        <v>2</v>
      </c>
      <c r="AW163" s="1062">
        <f t="shared" si="314"/>
        <v>904</v>
      </c>
      <c r="AX163" s="893">
        <f>+AW163/AW$13</f>
        <v>1.702371267588659E-3</v>
      </c>
      <c r="AY163" s="881"/>
      <c r="AZ163" s="1062">
        <f>-AZ92</f>
        <v>0</v>
      </c>
      <c r="BA163" s="1062">
        <f t="shared" ref="BA163:BI163" si="315">-BA92</f>
        <v>0</v>
      </c>
      <c r="BB163" s="1062">
        <f t="shared" si="315"/>
        <v>0</v>
      </c>
      <c r="BC163" s="1062">
        <f t="shared" si="315"/>
        <v>457</v>
      </c>
      <c r="BD163" s="1062">
        <f t="shared" si="315"/>
        <v>445</v>
      </c>
      <c r="BE163" s="1062">
        <f t="shared" si="315"/>
        <v>0</v>
      </c>
      <c r="BF163" s="1062">
        <f t="shared" si="315"/>
        <v>0</v>
      </c>
      <c r="BG163" s="1062">
        <f t="shared" si="315"/>
        <v>0</v>
      </c>
      <c r="BH163" s="1063">
        <f t="shared" si="315"/>
        <v>2</v>
      </c>
      <c r="BI163" s="1062">
        <f t="shared" si="315"/>
        <v>904</v>
      </c>
      <c r="BJ163" s="893">
        <f>+BI163/BI$13</f>
        <v>1.8227864436307325E-3</v>
      </c>
      <c r="BK163" s="881"/>
      <c r="BL163" s="1062">
        <f>-BL92</f>
        <v>0</v>
      </c>
      <c r="BM163" s="1062">
        <f t="shared" ref="BM163:BU163" si="316">-BM92</f>
        <v>0</v>
      </c>
      <c r="BN163" s="1062">
        <f t="shared" si="316"/>
        <v>0</v>
      </c>
      <c r="BO163" s="1062">
        <f t="shared" si="316"/>
        <v>457</v>
      </c>
      <c r="BP163" s="1062">
        <f t="shared" si="316"/>
        <v>445</v>
      </c>
      <c r="BQ163" s="1062">
        <f t="shared" si="316"/>
        <v>0</v>
      </c>
      <c r="BR163" s="1062">
        <f t="shared" si="316"/>
        <v>0</v>
      </c>
      <c r="BS163" s="1062">
        <f t="shared" si="316"/>
        <v>0</v>
      </c>
      <c r="BT163" s="1063">
        <f t="shared" si="316"/>
        <v>2</v>
      </c>
      <c r="BU163" s="1062">
        <f t="shared" si="316"/>
        <v>904</v>
      </c>
      <c r="BV163" s="893">
        <f>+BU163/BU$13</f>
        <v>1.8186426970632139E-3</v>
      </c>
      <c r="BW163" s="881"/>
      <c r="BX163" s="1062">
        <f>-BX92</f>
        <v>0</v>
      </c>
      <c r="BY163" s="1062">
        <f t="shared" ref="BY163:CG163" si="317">-BY92</f>
        <v>0</v>
      </c>
      <c r="BZ163" s="1062">
        <f t="shared" si="317"/>
        <v>0</v>
      </c>
      <c r="CA163" s="1062">
        <f t="shared" si="317"/>
        <v>457</v>
      </c>
      <c r="CB163" s="1062">
        <f t="shared" si="317"/>
        <v>445</v>
      </c>
      <c r="CC163" s="1062">
        <f t="shared" si="317"/>
        <v>0</v>
      </c>
      <c r="CD163" s="1062">
        <f t="shared" si="317"/>
        <v>0</v>
      </c>
      <c r="CE163" s="1062">
        <f t="shared" si="317"/>
        <v>0</v>
      </c>
      <c r="CF163" s="1063">
        <f t="shared" si="317"/>
        <v>2</v>
      </c>
      <c r="CG163" s="1062">
        <f t="shared" si="317"/>
        <v>904</v>
      </c>
      <c r="CH163" s="893">
        <f>+CG163/CG$13</f>
        <v>1.8833804178437794E-3</v>
      </c>
      <c r="CI163" s="950"/>
      <c r="CJ163" s="957">
        <f>+CG163-BU163</f>
        <v>0</v>
      </c>
      <c r="CK163" s="970">
        <f>IFERROR(+CJ163/BU163,0%)</f>
        <v>0</v>
      </c>
      <c r="CL163" s="784"/>
      <c r="CM163" s="1015">
        <f>-CM92</f>
        <v>5402</v>
      </c>
      <c r="CN163" s="789">
        <f t="shared" ref="CN163:CN166" si="318">+CM163/CM$13</f>
        <v>1.7757671555724227E-3</v>
      </c>
      <c r="CO163" s="784"/>
      <c r="CP163" s="786">
        <f>-CP92</f>
        <v>890</v>
      </c>
      <c r="CQ163" s="787">
        <f t="shared" si="273"/>
        <v>1.7274962077576225E-3</v>
      </c>
      <c r="CR163" s="881"/>
      <c r="CS163" s="816">
        <f>-CS92</f>
        <v>5481</v>
      </c>
      <c r="CT163" s="789"/>
      <c r="CU163" s="881"/>
      <c r="CV163" s="913"/>
      <c r="CW163" s="912"/>
      <c r="CX163" s="735"/>
      <c r="CY163" s="735"/>
    </row>
    <row r="164" spans="1:103" s="734" customFormat="1">
      <c r="B164" s="833" t="s">
        <v>833</v>
      </c>
      <c r="C164" s="881"/>
      <c r="D164" s="1062">
        <v>0</v>
      </c>
      <c r="E164" s="1062">
        <v>0</v>
      </c>
      <c r="F164" s="1062">
        <v>0</v>
      </c>
      <c r="G164" s="1062">
        <v>0</v>
      </c>
      <c r="H164" s="1062">
        <v>0</v>
      </c>
      <c r="I164" s="1062">
        <v>0</v>
      </c>
      <c r="J164" s="1062">
        <v>0</v>
      </c>
      <c r="K164" s="1062">
        <v>0</v>
      </c>
      <c r="L164" s="1062">
        <v>0</v>
      </c>
      <c r="M164" s="1064">
        <f>SUM(D164:L164)</f>
        <v>0</v>
      </c>
      <c r="N164" s="893">
        <f>+M164/M$13</f>
        <v>0</v>
      </c>
      <c r="O164" s="881"/>
      <c r="P164" s="1062">
        <v>133</v>
      </c>
      <c r="Q164" s="1062">
        <v>133</v>
      </c>
      <c r="R164" s="1062">
        <v>133</v>
      </c>
      <c r="S164" s="1062">
        <v>133</v>
      </c>
      <c r="T164" s="1062">
        <v>133</v>
      </c>
      <c r="U164" s="1062">
        <v>133</v>
      </c>
      <c r="V164" s="1062">
        <v>133</v>
      </c>
      <c r="W164" s="1062">
        <v>133</v>
      </c>
      <c r="X164" s="1062">
        <v>133</v>
      </c>
      <c r="Y164" s="1064">
        <f t="shared" ref="Y164:Y166" si="319">SUM(P164:X164)</f>
        <v>1197</v>
      </c>
      <c r="Z164" s="893">
        <f>+Y164/Y$13</f>
        <v>2.2744460194344478E-3</v>
      </c>
      <c r="AA164" s="881"/>
      <c r="AB164" s="1062">
        <v>454</v>
      </c>
      <c r="AC164" s="1062">
        <v>454</v>
      </c>
      <c r="AD164" s="1062">
        <v>454</v>
      </c>
      <c r="AE164" s="1062">
        <v>454</v>
      </c>
      <c r="AF164" s="1062">
        <v>454</v>
      </c>
      <c r="AG164" s="1062">
        <v>454</v>
      </c>
      <c r="AH164" s="1062">
        <v>454</v>
      </c>
      <c r="AI164" s="1062">
        <v>0</v>
      </c>
      <c r="AJ164" s="1062">
        <v>454</v>
      </c>
      <c r="AK164" s="1064">
        <f t="shared" ref="AK164:AK166" si="320">SUM(AB164:AJ164)</f>
        <v>3632</v>
      </c>
      <c r="AL164" s="893">
        <f>+AK164/AK$13</f>
        <v>7.0972847805059157E-3</v>
      </c>
      <c r="AM164" s="881"/>
      <c r="AN164" s="1062">
        <v>693.3</v>
      </c>
      <c r="AO164" s="1062">
        <v>693.3</v>
      </c>
      <c r="AP164" s="1062">
        <v>693.3</v>
      </c>
      <c r="AQ164" s="1062">
        <v>693.3</v>
      </c>
      <c r="AR164" s="1062">
        <v>693.3</v>
      </c>
      <c r="AS164" s="1062">
        <v>693.3</v>
      </c>
      <c r="AT164" s="1062">
        <v>693.3</v>
      </c>
      <c r="AU164" s="1062">
        <v>0</v>
      </c>
      <c r="AV164" s="1062">
        <v>693.3</v>
      </c>
      <c r="AW164" s="1064">
        <f t="shared" ref="AW164:AW166" si="321">SUM(AN164:AV164)</f>
        <v>5546.4000000000005</v>
      </c>
      <c r="AX164" s="893">
        <f>+AW164/AW$13</f>
        <v>1.0444725662116967E-2</v>
      </c>
      <c r="AY164" s="881"/>
      <c r="AZ164" s="1062">
        <v>836.53599999999994</v>
      </c>
      <c r="BA164" s="1062">
        <v>836.53599999999994</v>
      </c>
      <c r="BB164" s="1062">
        <v>836.53599999999994</v>
      </c>
      <c r="BC164" s="1062">
        <v>836.53599999999994</v>
      </c>
      <c r="BD164" s="1062">
        <v>836.53599999999994</v>
      </c>
      <c r="BE164" s="1062">
        <v>836.53599999999994</v>
      </c>
      <c r="BF164" s="1062">
        <v>836.53599999999994</v>
      </c>
      <c r="BG164" s="1062">
        <v>0</v>
      </c>
      <c r="BH164" s="1062">
        <v>836.53599999999994</v>
      </c>
      <c r="BI164" s="1064">
        <f t="shared" ref="BI164:BI166" si="322">SUM(AZ164:BH164)</f>
        <v>6692.2879999999996</v>
      </c>
      <c r="BJ164" s="893">
        <f>+BI164/BI$13</f>
        <v>1.3494039649637862E-2</v>
      </c>
      <c r="BK164" s="881"/>
      <c r="BL164" s="1062">
        <v>3673.3452499999999</v>
      </c>
      <c r="BM164" s="1062">
        <v>3673.3452499999999</v>
      </c>
      <c r="BN164" s="1062">
        <v>3673.3452499999999</v>
      </c>
      <c r="BO164" s="1062">
        <v>3673.3452499999999</v>
      </c>
      <c r="BP164" s="1062">
        <v>3673.3452499999999</v>
      </c>
      <c r="BQ164" s="1062">
        <v>3673.3452499999999</v>
      </c>
      <c r="BR164" s="1062">
        <v>3673.3452499999999</v>
      </c>
      <c r="BS164" s="1062">
        <v>0</v>
      </c>
      <c r="BT164" s="1062">
        <v>3673.3452499999999</v>
      </c>
      <c r="BU164" s="1064">
        <f t="shared" ref="BU164:BU166" si="323">SUM(BL164:BT164)</f>
        <v>29386.761999999995</v>
      </c>
      <c r="BV164" s="893">
        <f>+BU164/BU$13</f>
        <v>5.9119491262870305E-2</v>
      </c>
      <c r="BW164" s="881"/>
      <c r="BX164" s="1062">
        <v>241.21787499999999</v>
      </c>
      <c r="BY164" s="1062">
        <v>241.21787499999999</v>
      </c>
      <c r="BZ164" s="1062">
        <v>241.21787499999999</v>
      </c>
      <c r="CA164" s="1062">
        <v>241.21787499999999</v>
      </c>
      <c r="CB164" s="1062">
        <v>241.21787499999999</v>
      </c>
      <c r="CC164" s="1062">
        <v>241.21787499999999</v>
      </c>
      <c r="CD164" s="1062">
        <v>241.21787499999999</v>
      </c>
      <c r="CE164" s="1062">
        <v>0</v>
      </c>
      <c r="CF164" s="1062">
        <v>241.21787499999999</v>
      </c>
      <c r="CG164" s="1064">
        <f t="shared" ref="CG164:CG166" si="324">SUM(BX164:CF164)</f>
        <v>1929.7430000000002</v>
      </c>
      <c r="CH164" s="893">
        <f>+CG164/CG$13</f>
        <v>4.020398426627333E-3</v>
      </c>
      <c r="CI164" s="881"/>
      <c r="CJ164" s="957">
        <f>+CG164-BU164</f>
        <v>-27457.018999999997</v>
      </c>
      <c r="CK164" s="970">
        <f>IFERROR(+CJ164/BU164,0%)</f>
        <v>-0.93433291493632409</v>
      </c>
      <c r="CL164" s="784"/>
      <c r="CM164" s="816">
        <f t="shared" ref="CM164:CM166" si="325">+Y164</f>
        <v>1197</v>
      </c>
      <c r="CN164" s="789">
        <f t="shared" si="318"/>
        <v>3.9348265183639206E-4</v>
      </c>
      <c r="CO164" s="784"/>
      <c r="CP164" s="786">
        <v>0</v>
      </c>
      <c r="CQ164" s="787">
        <f t="shared" si="273"/>
        <v>0</v>
      </c>
      <c r="CR164" s="881"/>
      <c r="CS164" s="816">
        <v>0</v>
      </c>
      <c r="CT164" s="789">
        <f>+CS164/$CM$13</f>
        <v>0</v>
      </c>
      <c r="CU164" s="881"/>
      <c r="CV164" s="897">
        <f>+CM164-CS164</f>
        <v>1197</v>
      </c>
      <c r="CW164" s="912">
        <f t="shared" si="272"/>
        <v>0</v>
      </c>
    </row>
    <row r="165" spans="1:103" s="734" customFormat="1">
      <c r="B165" s="833" t="s">
        <v>799</v>
      </c>
      <c r="C165" s="881"/>
      <c r="D165" s="1062">
        <v>1031</v>
      </c>
      <c r="E165" s="1062">
        <v>1031</v>
      </c>
      <c r="F165" s="1062">
        <v>1031</v>
      </c>
      <c r="G165" s="1062">
        <v>1031</v>
      </c>
      <c r="H165" s="1062">
        <v>1031</v>
      </c>
      <c r="I165" s="1062">
        <v>1031</v>
      </c>
      <c r="J165" s="1062">
        <v>1031</v>
      </c>
      <c r="K165" s="1062">
        <v>1031</v>
      </c>
      <c r="L165" s="1062">
        <v>1031</v>
      </c>
      <c r="M165" s="1064">
        <f>SUM(D165:L165)</f>
        <v>9279</v>
      </c>
      <c r="N165" s="893">
        <f>+M165/M$13</f>
        <v>1.838266613044779E-2</v>
      </c>
      <c r="O165" s="881"/>
      <c r="P165" s="1062">
        <v>1031</v>
      </c>
      <c r="Q165" s="1062">
        <v>1031</v>
      </c>
      <c r="R165" s="1062">
        <v>1031</v>
      </c>
      <c r="S165" s="1062">
        <v>1031</v>
      </c>
      <c r="T165" s="1062">
        <v>1031</v>
      </c>
      <c r="U165" s="1062">
        <v>1031</v>
      </c>
      <c r="V165" s="1062">
        <v>1031</v>
      </c>
      <c r="W165" s="1062">
        <v>1031</v>
      </c>
      <c r="X165" s="1062">
        <v>1031</v>
      </c>
      <c r="Y165" s="1064">
        <f t="shared" si="319"/>
        <v>9279</v>
      </c>
      <c r="Z165" s="893">
        <f>+Y165/Y$13</f>
        <v>1.7631231925089592E-2</v>
      </c>
      <c r="AA165" s="881"/>
      <c r="AB165" s="1062">
        <v>1160</v>
      </c>
      <c r="AC165" s="1062">
        <v>1160</v>
      </c>
      <c r="AD165" s="1062">
        <v>1160</v>
      </c>
      <c r="AE165" s="1062">
        <v>1160</v>
      </c>
      <c r="AF165" s="1062">
        <v>1160</v>
      </c>
      <c r="AG165" s="1062">
        <v>1160</v>
      </c>
      <c r="AH165" s="1062">
        <v>1160</v>
      </c>
      <c r="AI165" s="1062">
        <v>0</v>
      </c>
      <c r="AJ165" s="1062">
        <v>1160</v>
      </c>
      <c r="AK165" s="1064">
        <f t="shared" si="320"/>
        <v>9280</v>
      </c>
      <c r="AL165" s="893">
        <f>+AK165/AK$13</f>
        <v>1.813403159776842E-2</v>
      </c>
      <c r="AM165" s="881"/>
      <c r="AN165" s="1062">
        <v>1160</v>
      </c>
      <c r="AO165" s="1062">
        <v>1160</v>
      </c>
      <c r="AP165" s="1062">
        <v>1160</v>
      </c>
      <c r="AQ165" s="1062">
        <v>1160</v>
      </c>
      <c r="AR165" s="1062">
        <v>1160</v>
      </c>
      <c r="AS165" s="1062">
        <v>1160</v>
      </c>
      <c r="AT165" s="1062">
        <v>1160</v>
      </c>
      <c r="AU165" s="1062">
        <v>0</v>
      </c>
      <c r="AV165" s="1062">
        <v>1160</v>
      </c>
      <c r="AW165" s="1064">
        <f t="shared" si="321"/>
        <v>9280</v>
      </c>
      <c r="AX165" s="893">
        <f>+AW165/AW$13</f>
        <v>1.7475669649582692E-2</v>
      </c>
      <c r="AY165" s="881"/>
      <c r="AZ165" s="1062">
        <v>1160</v>
      </c>
      <c r="BA165" s="1062">
        <v>1160</v>
      </c>
      <c r="BB165" s="1062">
        <v>1160</v>
      </c>
      <c r="BC165" s="1062">
        <v>1160</v>
      </c>
      <c r="BD165" s="1062">
        <v>1160</v>
      </c>
      <c r="BE165" s="1062">
        <v>1160</v>
      </c>
      <c r="BF165" s="1062">
        <v>1160</v>
      </c>
      <c r="BG165" s="1062">
        <v>0</v>
      </c>
      <c r="BH165" s="1062">
        <v>1160</v>
      </c>
      <c r="BI165" s="1064">
        <f t="shared" si="322"/>
        <v>9280</v>
      </c>
      <c r="BJ165" s="893">
        <f>+BI165/BI$13</f>
        <v>1.8711790040811058E-2</v>
      </c>
      <c r="BK165" s="881"/>
      <c r="BL165" s="1062">
        <v>1160</v>
      </c>
      <c r="BM165" s="1062">
        <v>1160</v>
      </c>
      <c r="BN165" s="1062">
        <v>1160</v>
      </c>
      <c r="BO165" s="1062">
        <v>1160</v>
      </c>
      <c r="BP165" s="1062">
        <v>1160</v>
      </c>
      <c r="BQ165" s="1062">
        <v>1160</v>
      </c>
      <c r="BR165" s="1062">
        <v>1160</v>
      </c>
      <c r="BS165" s="1062">
        <v>0</v>
      </c>
      <c r="BT165" s="1062">
        <v>1160</v>
      </c>
      <c r="BU165" s="1064">
        <f t="shared" si="323"/>
        <v>9280</v>
      </c>
      <c r="BV165" s="893">
        <f>+BU165/BU$13</f>
        <v>1.8669252465427683E-2</v>
      </c>
      <c r="BW165" s="881"/>
      <c r="BX165" s="1062">
        <v>1160</v>
      </c>
      <c r="BY165" s="1062">
        <v>1160</v>
      </c>
      <c r="BZ165" s="1062">
        <v>1160</v>
      </c>
      <c r="CA165" s="1062">
        <v>1160</v>
      </c>
      <c r="CB165" s="1062">
        <v>1160</v>
      </c>
      <c r="CC165" s="1062">
        <v>1160</v>
      </c>
      <c r="CD165" s="1062">
        <v>1160</v>
      </c>
      <c r="CE165" s="1062">
        <v>0</v>
      </c>
      <c r="CF165" s="1062">
        <v>1160</v>
      </c>
      <c r="CG165" s="1064">
        <f t="shared" si="324"/>
        <v>9280</v>
      </c>
      <c r="CH165" s="893">
        <f>+CG165/CG$13</f>
        <v>1.9333816678750303E-2</v>
      </c>
      <c r="CI165" s="881"/>
      <c r="CJ165" s="957">
        <f>+CG165-BU165</f>
        <v>0</v>
      </c>
      <c r="CK165" s="970">
        <f>IFERROR(+CJ165/BU165,0%)</f>
        <v>0</v>
      </c>
      <c r="CL165" s="784"/>
      <c r="CM165" s="816">
        <f t="shared" si="325"/>
        <v>9279</v>
      </c>
      <c r="CN165" s="789">
        <f t="shared" si="318"/>
        <v>3.0502301807768437E-3</v>
      </c>
      <c r="CO165" s="784"/>
      <c r="CP165" s="786">
        <v>0</v>
      </c>
      <c r="CQ165" s="787">
        <f t="shared" si="273"/>
        <v>0</v>
      </c>
      <c r="CR165" s="881"/>
      <c r="CS165" s="816">
        <v>0</v>
      </c>
      <c r="CT165" s="789">
        <f>+CS165/$CM$13</f>
        <v>0</v>
      </c>
      <c r="CU165" s="881"/>
      <c r="CV165" s="897">
        <f>+CM165-CS165</f>
        <v>9279</v>
      </c>
      <c r="CW165" s="912">
        <f t="shared" si="272"/>
        <v>0</v>
      </c>
    </row>
    <row r="166" spans="1:103" s="734" customFormat="1">
      <c r="B166" s="833" t="s">
        <v>1728</v>
      </c>
      <c r="C166" s="881"/>
      <c r="D166" s="1062"/>
      <c r="E166" s="1062"/>
      <c r="F166" s="1062"/>
      <c r="G166" s="1062"/>
      <c r="H166" s="1062"/>
      <c r="I166" s="1062"/>
      <c r="J166" s="1062"/>
      <c r="K166" s="1062"/>
      <c r="L166" s="1063"/>
      <c r="M166" s="1064">
        <v>-100000</v>
      </c>
      <c r="N166" s="893">
        <f>+M166/M$13</f>
        <v>-0.19811042278745328</v>
      </c>
      <c r="O166" s="881"/>
      <c r="P166" s="1062">
        <f t="shared" ref="P166:X166" si="326">-P23</f>
        <v>0</v>
      </c>
      <c r="Q166" s="1062">
        <f t="shared" si="326"/>
        <v>0</v>
      </c>
      <c r="R166" s="1062">
        <f t="shared" si="326"/>
        <v>0</v>
      </c>
      <c r="S166" s="1062">
        <f t="shared" si="326"/>
        <v>0</v>
      </c>
      <c r="T166" s="1062">
        <f t="shared" si="326"/>
        <v>0</v>
      </c>
      <c r="U166" s="1062">
        <f t="shared" si="326"/>
        <v>0</v>
      </c>
      <c r="V166" s="1062">
        <f t="shared" si="326"/>
        <v>0</v>
      </c>
      <c r="W166" s="1062">
        <f t="shared" si="326"/>
        <v>-2406</v>
      </c>
      <c r="X166" s="1063">
        <f t="shared" si="326"/>
        <v>0</v>
      </c>
      <c r="Y166" s="1064">
        <f t="shared" si="319"/>
        <v>-2406</v>
      </c>
      <c r="Z166" s="893">
        <f>+Y166/Y$13</f>
        <v>-4.5716935027228746E-3</v>
      </c>
      <c r="AA166" s="881"/>
      <c r="AB166" s="1062">
        <f t="shared" ref="AB166:AJ166" si="327">-AB23</f>
        <v>0</v>
      </c>
      <c r="AC166" s="1062">
        <f t="shared" si="327"/>
        <v>0</v>
      </c>
      <c r="AD166" s="1062">
        <f t="shared" si="327"/>
        <v>0</v>
      </c>
      <c r="AE166" s="1062">
        <f t="shared" si="327"/>
        <v>0</v>
      </c>
      <c r="AF166" s="1062">
        <v>298</v>
      </c>
      <c r="AG166" s="1062">
        <v>0</v>
      </c>
      <c r="AH166" s="1062">
        <v>0</v>
      </c>
      <c r="AI166" s="1062">
        <f t="shared" si="327"/>
        <v>0</v>
      </c>
      <c r="AJ166" s="1063">
        <f t="shared" si="327"/>
        <v>0</v>
      </c>
      <c r="AK166" s="1064">
        <f t="shared" si="320"/>
        <v>298</v>
      </c>
      <c r="AL166" s="893">
        <f>+AK166/AK$13</f>
        <v>5.8232127329040833E-4</v>
      </c>
      <c r="AM166" s="881"/>
      <c r="AN166" s="1062">
        <f t="shared" ref="AN166:AQ166" si="328">-AN23</f>
        <v>0</v>
      </c>
      <c r="AO166" s="1062">
        <f t="shared" si="328"/>
        <v>0</v>
      </c>
      <c r="AP166" s="1062">
        <f t="shared" si="328"/>
        <v>0</v>
      </c>
      <c r="AQ166" s="1062">
        <f t="shared" si="328"/>
        <v>0</v>
      </c>
      <c r="AR166" s="1062">
        <v>298</v>
      </c>
      <c r="AS166" s="1062">
        <v>0</v>
      </c>
      <c r="AT166" s="1062">
        <v>0</v>
      </c>
      <c r="AU166" s="1062">
        <f>-AU160</f>
        <v>-1704.6666666666667</v>
      </c>
      <c r="AV166" s="1063">
        <f t="shared" ref="AV166" si="329">-AV23</f>
        <v>0</v>
      </c>
      <c r="AW166" s="1064">
        <f t="shared" si="321"/>
        <v>-1406.6666666666667</v>
      </c>
      <c r="AX166" s="893">
        <f>+AW166/AW$13</f>
        <v>-2.648970040274388E-3</v>
      </c>
      <c r="AY166" s="881"/>
      <c r="AZ166" s="1062">
        <f t="shared" ref="AZ166:BC166" si="330">-AZ23</f>
        <v>0</v>
      </c>
      <c r="BA166" s="1062">
        <f t="shared" si="330"/>
        <v>0</v>
      </c>
      <c r="BB166" s="1062">
        <f t="shared" si="330"/>
        <v>0</v>
      </c>
      <c r="BC166" s="1062">
        <f t="shared" si="330"/>
        <v>0</v>
      </c>
      <c r="BD166" s="1062">
        <v>0</v>
      </c>
      <c r="BE166" s="1062">
        <v>0</v>
      </c>
      <c r="BF166" s="1062">
        <v>0</v>
      </c>
      <c r="BG166" s="1062">
        <f>-BG160</f>
        <v>-3148.5555555555557</v>
      </c>
      <c r="BH166" s="1063">
        <f t="shared" ref="BH166" si="331">-BH23</f>
        <v>0</v>
      </c>
      <c r="BI166" s="1064">
        <f t="shared" si="322"/>
        <v>-3148.5555555555557</v>
      </c>
      <c r="BJ166" s="893">
        <f>+BI166/BI$13</f>
        <v>-6.3486110438992216E-3</v>
      </c>
      <c r="BK166" s="881"/>
      <c r="BL166" s="1062">
        <v>0</v>
      </c>
      <c r="BM166" s="1062">
        <v>0</v>
      </c>
      <c r="BN166" s="1062">
        <v>0</v>
      </c>
      <c r="BO166" s="1062">
        <v>0</v>
      </c>
      <c r="BP166" s="1062">
        <v>0</v>
      </c>
      <c r="BQ166" s="1062">
        <v>0</v>
      </c>
      <c r="BR166" s="1062">
        <v>0</v>
      </c>
      <c r="BS166" s="1062">
        <v>17367.666666666668</v>
      </c>
      <c r="BT166" s="1063">
        <v>0</v>
      </c>
      <c r="BU166" s="1064">
        <f t="shared" si="323"/>
        <v>17367.666666666668</v>
      </c>
      <c r="BV166" s="893">
        <f>+BU166/BU$13</f>
        <v>3.4939801049072509E-2</v>
      </c>
      <c r="BW166" s="881"/>
      <c r="BX166" s="1062">
        <v>0</v>
      </c>
      <c r="BY166" s="1062">
        <v>0</v>
      </c>
      <c r="BZ166" s="1062">
        <v>0</v>
      </c>
      <c r="CA166" s="1062">
        <v>0</v>
      </c>
      <c r="CB166" s="1062">
        <v>0</v>
      </c>
      <c r="CC166" s="1062">
        <v>0</v>
      </c>
      <c r="CD166" s="1062">
        <v>0</v>
      </c>
      <c r="CE166" s="1062">
        <v>-3149</v>
      </c>
      <c r="CF166" s="1063">
        <v>0</v>
      </c>
      <c r="CG166" s="1064">
        <f t="shared" si="324"/>
        <v>-3149</v>
      </c>
      <c r="CH166" s="893">
        <f>+CG166/CG$13</f>
        <v>-6.5605806811836961E-3</v>
      </c>
      <c r="CI166" s="881"/>
      <c r="CJ166" s="957">
        <f>+CG166-BU166</f>
        <v>-20516.666666666668</v>
      </c>
      <c r="CK166" s="970">
        <f>IFERROR(+CJ166/BU166,0%)</f>
        <v>-1.1813139358578202</v>
      </c>
      <c r="CL166" s="784"/>
      <c r="CM166" s="816">
        <f t="shared" si="325"/>
        <v>-2406</v>
      </c>
      <c r="CN166" s="789">
        <f t="shared" si="318"/>
        <v>-7.9090999191174546E-4</v>
      </c>
      <c r="CO166" s="784"/>
      <c r="CP166" s="786">
        <v>0</v>
      </c>
      <c r="CQ166" s="787">
        <f t="shared" si="273"/>
        <v>0</v>
      </c>
      <c r="CR166" s="881"/>
      <c r="CS166" s="816">
        <v>0</v>
      </c>
      <c r="CT166" s="789">
        <f>+CS166/$CM$13</f>
        <v>0</v>
      </c>
      <c r="CU166" s="881"/>
      <c r="CV166" s="897">
        <f>+CM166-CS166</f>
        <v>-2406</v>
      </c>
      <c r="CW166" s="912">
        <f t="shared" si="272"/>
        <v>0</v>
      </c>
    </row>
    <row r="167" spans="1:103" s="734" customFormat="1">
      <c r="B167" s="833"/>
      <c r="C167" s="881"/>
      <c r="D167" s="786"/>
      <c r="E167" s="786"/>
      <c r="F167" s="786"/>
      <c r="G167" s="786"/>
      <c r="H167" s="786"/>
      <c r="I167" s="786"/>
      <c r="J167" s="786"/>
      <c r="K167" s="786"/>
      <c r="L167" s="943"/>
      <c r="M167" s="786"/>
      <c r="N167" s="893"/>
      <c r="O167" s="881"/>
      <c r="P167" s="786"/>
      <c r="Q167" s="786"/>
      <c r="R167" s="786"/>
      <c r="S167" s="786"/>
      <c r="T167" s="786"/>
      <c r="U167" s="786"/>
      <c r="V167" s="786"/>
      <c r="W167" s="786"/>
      <c r="X167" s="943"/>
      <c r="Y167" s="786"/>
      <c r="Z167" s="893"/>
      <c r="AA167" s="881"/>
      <c r="AB167" s="786"/>
      <c r="AC167" s="786"/>
      <c r="AD167" s="786"/>
      <c r="AE167" s="786"/>
      <c r="AF167" s="786"/>
      <c r="AG167" s="786"/>
      <c r="AH167" s="786"/>
      <c r="AI167" s="786"/>
      <c r="AJ167" s="943"/>
      <c r="AK167" s="786"/>
      <c r="AL167" s="893"/>
      <c r="AM167" s="881"/>
      <c r="AN167" s="786"/>
      <c r="AO167" s="786"/>
      <c r="AP167" s="786"/>
      <c r="AQ167" s="786"/>
      <c r="AR167" s="786"/>
      <c r="AS167" s="786"/>
      <c r="AT167" s="786"/>
      <c r="AU167" s="786"/>
      <c r="AV167" s="943"/>
      <c r="AW167" s="786"/>
      <c r="AX167" s="893"/>
      <c r="AY167" s="881"/>
      <c r="AZ167" s="786"/>
      <c r="BA167" s="786"/>
      <c r="BB167" s="786"/>
      <c r="BC167" s="786"/>
      <c r="BD167" s="786"/>
      <c r="BE167" s="786"/>
      <c r="BF167" s="786"/>
      <c r="BG167" s="786"/>
      <c r="BH167" s="943"/>
      <c r="BI167" s="786"/>
      <c r="BJ167" s="893"/>
      <c r="BK167" s="881"/>
      <c r="BL167" s="786"/>
      <c r="BM167" s="786"/>
      <c r="BN167" s="786"/>
      <c r="BO167" s="786"/>
      <c r="BP167" s="786"/>
      <c r="BQ167" s="786"/>
      <c r="BR167" s="786"/>
      <c r="BS167" s="786"/>
      <c r="BT167" s="943"/>
      <c r="BU167" s="786"/>
      <c r="BV167" s="893"/>
      <c r="BW167" s="881"/>
      <c r="BX167" s="786"/>
      <c r="BY167" s="786"/>
      <c r="BZ167" s="786"/>
      <c r="CA167" s="786"/>
      <c r="CB167" s="786"/>
      <c r="CC167" s="786"/>
      <c r="CD167" s="786"/>
      <c r="CE167" s="786"/>
      <c r="CF167" s="943"/>
      <c r="CG167" s="786"/>
      <c r="CH167" s="893"/>
      <c r="CI167" s="881"/>
      <c r="CJ167" s="971"/>
      <c r="CK167" s="970"/>
      <c r="CL167" s="784"/>
      <c r="CM167" s="788"/>
      <c r="CN167" s="789"/>
      <c r="CO167" s="784"/>
      <c r="CP167" s="786"/>
      <c r="CQ167" s="787"/>
      <c r="CR167" s="881"/>
      <c r="CS167" s="788"/>
      <c r="CT167" s="789"/>
      <c r="CU167" s="881"/>
      <c r="CV167" s="913"/>
      <c r="CW167" s="912"/>
    </row>
    <row r="168" spans="1:103" s="739" customFormat="1" ht="12" thickBot="1">
      <c r="A168" s="734"/>
      <c r="B168" s="841" t="s">
        <v>254</v>
      </c>
      <c r="C168" s="1013"/>
      <c r="D168" s="790">
        <f>+D160+D164+D165+D166+D167</f>
        <v>14377.666666666666</v>
      </c>
      <c r="E168" s="790">
        <f t="shared" ref="E168:L168" si="332">+E160+E164+E165+E166+E167</f>
        <v>9317.6666666666661</v>
      </c>
      <c r="F168" s="790">
        <f t="shared" si="332"/>
        <v>6438.666666666667</v>
      </c>
      <c r="G168" s="790">
        <f t="shared" si="332"/>
        <v>20858.666666666668</v>
      </c>
      <c r="H168" s="790">
        <f t="shared" si="332"/>
        <v>-75772.333333333328</v>
      </c>
      <c r="I168" s="790">
        <f t="shared" si="332"/>
        <v>15557.666666666666</v>
      </c>
      <c r="J168" s="790">
        <f t="shared" si="332"/>
        <v>11246.666666666666</v>
      </c>
      <c r="K168" s="790">
        <f t="shared" si="332"/>
        <v>-13757.333333333334</v>
      </c>
      <c r="L168" s="944">
        <f t="shared" si="332"/>
        <v>5550.666666666667</v>
      </c>
      <c r="M168" s="790">
        <f>+M160+M163+M164+M165-M166+M167</f>
        <v>94710</v>
      </c>
      <c r="N168" s="894">
        <f>+M168/M$13</f>
        <v>0.18763038142199701</v>
      </c>
      <c r="O168" s="1013"/>
      <c r="P168" s="790">
        <f>+P160+P164+P165+P166+P167</f>
        <v>16395.888888888891</v>
      </c>
      <c r="Q168" s="790">
        <f t="shared" ref="Q168:X168" si="333">+Q160+Q164+Q165+Q166+Q167</f>
        <v>-6061.1111111111113</v>
      </c>
      <c r="R168" s="790">
        <f t="shared" si="333"/>
        <v>4031.8888888888887</v>
      </c>
      <c r="S168" s="790">
        <f t="shared" si="333"/>
        <v>6437.8888888888887</v>
      </c>
      <c r="T168" s="790">
        <f t="shared" si="333"/>
        <v>3279.8888888888887</v>
      </c>
      <c r="U168" s="790">
        <f t="shared" si="333"/>
        <v>11375.888888888889</v>
      </c>
      <c r="V168" s="790">
        <f t="shared" si="333"/>
        <v>5343.8888888888887</v>
      </c>
      <c r="W168" s="790">
        <f t="shared" si="333"/>
        <v>884.88888888888869</v>
      </c>
      <c r="X168" s="944">
        <f t="shared" si="333"/>
        <v>5637.8888888888887</v>
      </c>
      <c r="Y168" s="790">
        <f>+Y160+Y163+Y164+Y165-Y166+Y167</f>
        <v>50896</v>
      </c>
      <c r="Z168" s="894">
        <f>+Y168/Y$13</f>
        <v>9.6708608692678069E-2</v>
      </c>
      <c r="AA168" s="1013"/>
      <c r="AB168" s="790">
        <f>+AB160+AB164+AB165+AB166+AB167</f>
        <v>13355.111111111111</v>
      </c>
      <c r="AC168" s="790">
        <f t="shared" ref="AC168:AJ168" si="334">+AC160+AC164+AC165+AC166+AC167</f>
        <v>-1852.8888888888887</v>
      </c>
      <c r="AD168" s="790">
        <f t="shared" si="334"/>
        <v>5910.1111111111113</v>
      </c>
      <c r="AE168" s="790">
        <f t="shared" si="334"/>
        <v>-1656.8888888888887</v>
      </c>
      <c r="AF168" s="790">
        <f t="shared" si="334"/>
        <v>-20462.888888888891</v>
      </c>
      <c r="AG168" s="790">
        <f t="shared" si="334"/>
        <v>13437.111111111111</v>
      </c>
      <c r="AH168" s="790">
        <f t="shared" si="334"/>
        <v>11031.111111111111</v>
      </c>
      <c r="AI168" s="790">
        <f t="shared" si="334"/>
        <v>-4492.8888888888887</v>
      </c>
      <c r="AJ168" s="944">
        <f t="shared" si="334"/>
        <v>-1625.8888888888887</v>
      </c>
      <c r="AK168" s="790">
        <f>+AK160+AK163+AK164+AK165-AK166+AK167</f>
        <v>11312</v>
      </c>
      <c r="AL168" s="894">
        <f>+AK168/AK$13</f>
        <v>2.2104759206245297E-2</v>
      </c>
      <c r="AM168" s="1013"/>
      <c r="AN168" s="790">
        <f t="shared" ref="AN168:AU168" si="335">SUM(AN160:AN167)</f>
        <v>13455.966666666665</v>
      </c>
      <c r="AO168" s="790">
        <f t="shared" si="335"/>
        <v>6028.9666666666672</v>
      </c>
      <c r="AP168" s="790">
        <f t="shared" si="335"/>
        <v>6818.9666666666672</v>
      </c>
      <c r="AQ168" s="790">
        <f t="shared" si="335"/>
        <v>4814.9666666666672</v>
      </c>
      <c r="AR168" s="790">
        <f t="shared" si="335"/>
        <v>-14419.033333333336</v>
      </c>
      <c r="AS168" s="790">
        <f t="shared" si="335"/>
        <v>17271.966666666667</v>
      </c>
      <c r="AT168" s="790">
        <f t="shared" si="335"/>
        <v>12308.966666666665</v>
      </c>
      <c r="AU168" s="790">
        <f t="shared" si="335"/>
        <v>0</v>
      </c>
      <c r="AV168" s="944">
        <f>SUM(AV160:AV167)</f>
        <v>4704.9666666666662</v>
      </c>
      <c r="AW168" s="790">
        <f>SUM(AW160:AW167)</f>
        <v>49672.733333333337</v>
      </c>
      <c r="AX168" s="894">
        <f>+AW168/AW$13</f>
        <v>9.3541409302278875E-2</v>
      </c>
      <c r="AY168" s="1013"/>
      <c r="AZ168" s="790">
        <f t="shared" ref="AZ168:BG168" si="336">SUM(AZ160:AZ167)</f>
        <v>7537.0915555555548</v>
      </c>
      <c r="BA168" s="790">
        <f t="shared" si="336"/>
        <v>5023.0915555555557</v>
      </c>
      <c r="BB168" s="790">
        <f t="shared" si="336"/>
        <v>6219.0915555555557</v>
      </c>
      <c r="BC168" s="790">
        <f t="shared" si="336"/>
        <v>-2285.9084444444443</v>
      </c>
      <c r="BD168" s="790">
        <f t="shared" si="336"/>
        <v>-26252.908444444445</v>
      </c>
      <c r="BE168" s="790">
        <f t="shared" si="336"/>
        <v>12262.091555555555</v>
      </c>
      <c r="BF168" s="790">
        <f t="shared" si="336"/>
        <v>5879.0915555555557</v>
      </c>
      <c r="BG168" s="790">
        <f t="shared" si="336"/>
        <v>0</v>
      </c>
      <c r="BH168" s="944">
        <f>SUM(BH160:BH167)</f>
        <v>-3382.9084444444443</v>
      </c>
      <c r="BI168" s="790">
        <f>SUM(BI160:BI167)</f>
        <v>4998.7324444444439</v>
      </c>
      <c r="BJ168" s="894">
        <f>+BI168/BI$13</f>
        <v>1.0079227583042529E-2</v>
      </c>
      <c r="BK168" s="1013"/>
      <c r="BL168" s="790">
        <f t="shared" ref="BL168:BS168" si="337">SUM(BL160:BL167)</f>
        <v>9066.6785833333324</v>
      </c>
      <c r="BM168" s="790">
        <f t="shared" si="337"/>
        <v>6860.6785833333333</v>
      </c>
      <c r="BN168" s="790">
        <f t="shared" si="337"/>
        <v>8252.6785833333342</v>
      </c>
      <c r="BO168" s="790">
        <f t="shared" si="337"/>
        <v>5371.6785833333333</v>
      </c>
      <c r="BP168" s="790">
        <f t="shared" si="337"/>
        <v>-30618.321416666666</v>
      </c>
      <c r="BQ168" s="790">
        <f t="shared" si="337"/>
        <v>17493.678583333334</v>
      </c>
      <c r="BR168" s="790">
        <f t="shared" si="337"/>
        <v>14115.678583333334</v>
      </c>
      <c r="BS168" s="790">
        <f t="shared" si="337"/>
        <v>0</v>
      </c>
      <c r="BT168" s="944">
        <f>SUM(BT160:BT167)</f>
        <v>5274.6785833333333</v>
      </c>
      <c r="BU168" s="790">
        <f>SUM(BU160:BU167)</f>
        <v>35817.428666666659</v>
      </c>
      <c r="BV168" s="894">
        <f>+BU168/BU$13</f>
        <v>7.2056532159530895E-2</v>
      </c>
      <c r="BW168" s="1013"/>
      <c r="BX168" s="790">
        <f t="shared" ref="BX168:CE168" si="338">SUM(BX160:BX167)</f>
        <v>4640.7803750000003</v>
      </c>
      <c r="BY168" s="790">
        <f t="shared" si="338"/>
        <v>5452.7803750000003</v>
      </c>
      <c r="BZ168" s="790">
        <f t="shared" si="338"/>
        <v>4952.7803750000003</v>
      </c>
      <c r="CA168" s="790">
        <f t="shared" si="338"/>
        <v>-6105.2196249999997</v>
      </c>
      <c r="CB168" s="790">
        <f t="shared" si="338"/>
        <v>-14533.219625</v>
      </c>
      <c r="CC168" s="790">
        <f t="shared" si="338"/>
        <v>10194.780375</v>
      </c>
      <c r="CD168" s="790">
        <f t="shared" si="338"/>
        <v>3251.7803749999998</v>
      </c>
      <c r="CE168" s="790">
        <f t="shared" si="338"/>
        <v>0</v>
      </c>
      <c r="CF168" s="944">
        <f>SUM(CF160:CF167)</f>
        <v>417.78037500000005</v>
      </c>
      <c r="CG168" s="790">
        <f>SUM(CG160:CG167)</f>
        <v>8272.2430000000004</v>
      </c>
      <c r="CH168" s="894">
        <f>+CG168/CG$13</f>
        <v>1.7234270440094335E-2</v>
      </c>
      <c r="CI168" s="795"/>
      <c r="CJ168" s="975">
        <f>+CG168-BU168</f>
        <v>-27545.185666666657</v>
      </c>
      <c r="CK168" s="972">
        <f>IFERROR(+CJ168/BU168,0%)</f>
        <v>-0.76904419697501814</v>
      </c>
      <c r="CL168" s="779"/>
      <c r="CM168" s="802">
        <f>+CM160+CM163+CM164+CM165-CM166+CM167</f>
        <v>58028</v>
      </c>
      <c r="CN168" s="792">
        <f>+CM168/$CM$13</f>
        <v>1.907519742753731E-2</v>
      </c>
      <c r="CO168" s="779"/>
      <c r="CP168" s="790">
        <f>+CP160+CP163+CP164+CP165+CP166+CP167</f>
        <v>-4795.5</v>
      </c>
      <c r="CQ168" s="791">
        <f t="shared" si="273"/>
        <v>-9.3080989486535714E-3</v>
      </c>
      <c r="CR168" s="795"/>
      <c r="CS168" s="802">
        <f>+CS160+CS164+CS165+CS166+CS167+CS163</f>
        <v>38106</v>
      </c>
      <c r="CT168" s="792">
        <f>+CS168/$CM$13</f>
        <v>1.2526357502821685E-2</v>
      </c>
      <c r="CU168" s="795"/>
      <c r="CV168" s="914">
        <f>+CM168-CS168</f>
        <v>19922</v>
      </c>
      <c r="CW168" s="915">
        <f t="shared" si="272"/>
        <v>0.52280480764184123</v>
      </c>
      <c r="CX168" s="734"/>
      <c r="CY168" s="734"/>
    </row>
    <row r="169" spans="1:103" s="796" customFormat="1">
      <c r="A169" s="734"/>
      <c r="B169" s="793"/>
      <c r="C169" s="794"/>
      <c r="D169" s="794"/>
      <c r="E169" s="794"/>
      <c r="F169" s="794"/>
      <c r="G169" s="794"/>
      <c r="H169" s="794"/>
      <c r="I169" s="794"/>
      <c r="J169" s="794"/>
      <c r="K169" s="794"/>
      <c r="L169" s="794"/>
      <c r="M169" s="794"/>
      <c r="N169" s="794"/>
      <c r="O169" s="794"/>
      <c r="P169" s="794"/>
      <c r="Q169" s="794"/>
      <c r="R169" s="794"/>
      <c r="S169" s="794"/>
      <c r="T169" s="794"/>
      <c r="U169" s="794"/>
      <c r="V169" s="794"/>
      <c r="W169" s="794"/>
      <c r="X169" s="794"/>
      <c r="Y169" s="794"/>
      <c r="Z169" s="794"/>
      <c r="AA169" s="794"/>
      <c r="AB169" s="794"/>
      <c r="AC169" s="794"/>
      <c r="AD169" s="794"/>
      <c r="AE169" s="794"/>
      <c r="AF169" s="794"/>
      <c r="AG169" s="794"/>
      <c r="AH169" s="794"/>
      <c r="AI169" s="794"/>
      <c r="AJ169" s="794"/>
      <c r="AK169" s="794"/>
      <c r="AL169" s="794"/>
      <c r="AM169" s="794"/>
      <c r="AN169" s="794"/>
      <c r="AO169" s="794"/>
      <c r="AP169" s="794"/>
      <c r="AQ169" s="794"/>
      <c r="AR169" s="794"/>
      <c r="AS169" s="794"/>
      <c r="AT169" s="794"/>
      <c r="AU169" s="794"/>
      <c r="AV169" s="794"/>
      <c r="AW169" s="794"/>
      <c r="AX169" s="794"/>
      <c r="AY169" s="794"/>
      <c r="AZ169" s="794"/>
      <c r="BA169" s="794"/>
      <c r="BB169" s="794"/>
      <c r="BC169" s="794"/>
      <c r="BD169" s="794"/>
      <c r="BE169" s="794"/>
      <c r="BF169" s="794"/>
      <c r="BG169" s="794"/>
      <c r="BH169" s="794"/>
      <c r="BI169" s="794"/>
      <c r="BJ169" s="794"/>
      <c r="BK169" s="794"/>
      <c r="BL169" s="794"/>
      <c r="BM169" s="794"/>
      <c r="BN169" s="794"/>
      <c r="BO169" s="794"/>
      <c r="BP169" s="794"/>
      <c r="BQ169" s="794"/>
      <c r="BR169" s="794"/>
      <c r="BS169" s="794"/>
      <c r="BT169" s="794"/>
      <c r="BU169" s="794"/>
      <c r="BV169" s="794"/>
      <c r="BW169" s="794"/>
      <c r="BX169" s="794"/>
      <c r="BY169" s="794"/>
      <c r="BZ169" s="794"/>
      <c r="CA169" s="794"/>
      <c r="CB169" s="794"/>
      <c r="CC169" s="794"/>
      <c r="CD169" s="794"/>
      <c r="CE169" s="794"/>
      <c r="CF169" s="794"/>
      <c r="CG169" s="794"/>
      <c r="CH169" s="794"/>
      <c r="CI169" s="794"/>
      <c r="CJ169" s="794"/>
      <c r="CK169" s="794"/>
      <c r="CM169" s="739"/>
    </row>
    <row r="170" spans="1:103" s="797" customFormat="1">
      <c r="A170" s="749"/>
      <c r="B170" s="797" t="s">
        <v>405</v>
      </c>
      <c r="C170" s="798"/>
      <c r="D170" s="1004"/>
      <c r="E170" s="1004"/>
      <c r="F170" s="1004"/>
      <c r="G170" s="1004"/>
      <c r="H170" s="1004"/>
      <c r="I170" s="1004"/>
      <c r="J170" s="1004"/>
      <c r="K170" s="1004"/>
      <c r="L170" s="1004"/>
      <c r="M170" s="1004"/>
      <c r="N170" s="798"/>
      <c r="O170" s="798"/>
      <c r="P170" s="1004"/>
      <c r="Q170" s="1004"/>
      <c r="R170" s="1004"/>
      <c r="S170" s="1004"/>
      <c r="T170" s="1004"/>
      <c r="U170" s="1004"/>
      <c r="V170" s="1004"/>
      <c r="W170" s="1004"/>
      <c r="X170" s="1004"/>
      <c r="Y170" s="1004">
        <f>+DATOS!C80</f>
        <v>-692.5</v>
      </c>
      <c r="Z170" s="798"/>
      <c r="AA170" s="798"/>
      <c r="AB170" s="1004"/>
      <c r="AC170" s="1004"/>
      <c r="AD170" s="1004"/>
      <c r="AE170" s="1004"/>
      <c r="AF170" s="1004"/>
      <c r="AG170" s="1004"/>
      <c r="AH170" s="1004"/>
      <c r="AI170" s="1004"/>
      <c r="AJ170" s="1004"/>
      <c r="AK170" s="1004"/>
      <c r="AL170" s="798"/>
      <c r="AM170" s="798"/>
      <c r="AN170" s="1004"/>
      <c r="AO170" s="1004"/>
      <c r="AP170" s="1004"/>
      <c r="AQ170" s="1004"/>
      <c r="AR170" s="1004"/>
      <c r="AS170" s="1004"/>
      <c r="AT170" s="1004"/>
      <c r="AU170" s="1004"/>
      <c r="AV170" s="1004"/>
      <c r="AW170" s="1004"/>
      <c r="AX170" s="798"/>
      <c r="AY170" s="798"/>
      <c r="AZ170" s="1004"/>
      <c r="BA170" s="1004"/>
      <c r="BB170" s="1004"/>
      <c r="BC170" s="1004"/>
      <c r="BD170" s="1004"/>
      <c r="BE170" s="1004"/>
      <c r="BF170" s="1004"/>
      <c r="BG170" s="1004"/>
      <c r="BH170" s="1004"/>
      <c r="BI170" s="1004"/>
      <c r="BJ170" s="798"/>
      <c r="BK170" s="798"/>
      <c r="BL170" s="1004"/>
      <c r="BM170" s="1004"/>
      <c r="BN170" s="1004"/>
      <c r="BO170" s="1004"/>
      <c r="BP170" s="1004"/>
      <c r="BQ170" s="1004"/>
      <c r="BR170" s="1004"/>
      <c r="BS170" s="1004"/>
      <c r="BT170" s="1004"/>
      <c r="BU170" s="1004"/>
      <c r="BV170" s="798"/>
      <c r="BW170" s="798"/>
      <c r="BX170" s="1004"/>
      <c r="BY170" s="1004"/>
      <c r="BZ170" s="1004"/>
      <c r="CA170" s="1004"/>
      <c r="CB170" s="1004"/>
      <c r="CC170" s="1004"/>
      <c r="CD170" s="1004"/>
      <c r="CE170" s="1004"/>
      <c r="CF170" s="1004"/>
      <c r="CG170" s="1004">
        <f>+DATOS!C80</f>
        <v>-692.5</v>
      </c>
      <c r="CH170" s="798"/>
      <c r="CJ170" s="798"/>
      <c r="CK170" s="798"/>
      <c r="CL170" s="800"/>
      <c r="CM170" s="1004">
        <f>+DATOS!C79</f>
        <v>39750</v>
      </c>
      <c r="CN170" s="800"/>
      <c r="CO170" s="799"/>
      <c r="CP170" s="1004">
        <f>+DATOS!E80</f>
        <v>-5686.5</v>
      </c>
      <c r="CQ170" s="1014"/>
      <c r="CR170" s="1014"/>
      <c r="CS170" s="1004">
        <f>+DATOS!E79</f>
        <v>32624</v>
      </c>
    </row>
    <row r="171" spans="1:103" s="952" customFormat="1" ht="15">
      <c r="A171" s="781"/>
      <c r="C171" s="572"/>
      <c r="D171" s="1004"/>
      <c r="E171" s="1004"/>
      <c r="F171" s="1004"/>
      <c r="G171" s="1004"/>
      <c r="H171" s="1004"/>
      <c r="I171" s="1004"/>
      <c r="J171" s="1004"/>
      <c r="K171" s="1004"/>
      <c r="L171" s="1004"/>
      <c r="M171" s="1004"/>
      <c r="N171" s="289"/>
      <c r="O171" s="572"/>
      <c r="P171" s="1004"/>
      <c r="Q171" s="1004"/>
      <c r="R171" s="1004"/>
      <c r="S171" s="1004"/>
      <c r="T171" s="1004"/>
      <c r="U171" s="1004"/>
      <c r="V171" s="1004"/>
      <c r="W171" s="1004"/>
      <c r="X171" s="1004"/>
      <c r="Y171" s="1004">
        <f>+Y170-Y160</f>
        <v>-37814.5</v>
      </c>
      <c r="Z171" s="289"/>
      <c r="AA171" s="572"/>
      <c r="AB171" s="1004"/>
      <c r="AC171" s="1004"/>
      <c r="AD171" s="1004"/>
      <c r="AE171" s="1004"/>
      <c r="AF171" s="1004"/>
      <c r="AG171" s="1004"/>
      <c r="AH171" s="1004"/>
      <c r="AI171" s="1004"/>
      <c r="AJ171" s="1004"/>
      <c r="AK171" s="1004"/>
      <c r="AL171" s="289"/>
      <c r="AM171" s="572"/>
      <c r="AN171" s="1004"/>
      <c r="AO171" s="1004"/>
      <c r="AP171" s="1004"/>
      <c r="AQ171" s="1004"/>
      <c r="AR171" s="1004"/>
      <c r="AS171" s="1004"/>
      <c r="AT171" s="1004"/>
      <c r="AU171" s="1004"/>
      <c r="AV171" s="1004"/>
      <c r="AW171" s="1004"/>
      <c r="AX171" s="289"/>
      <c r="AY171" s="572"/>
      <c r="AZ171" s="1004"/>
      <c r="BA171" s="1004"/>
      <c r="BB171" s="1004"/>
      <c r="BC171" s="1004"/>
      <c r="BD171" s="1004"/>
      <c r="BE171" s="1004"/>
      <c r="BF171" s="1004"/>
      <c r="BG171" s="1004"/>
      <c r="BH171" s="1004"/>
      <c r="BI171" s="1004"/>
      <c r="BJ171" s="289"/>
      <c r="BK171" s="572"/>
      <c r="BL171" s="1004"/>
      <c r="BM171" s="1004"/>
      <c r="BN171" s="1004"/>
      <c r="BO171" s="1004"/>
      <c r="BP171" s="1004"/>
      <c r="BQ171" s="1004"/>
      <c r="BR171" s="1004"/>
      <c r="BS171" s="1004"/>
      <c r="BT171" s="1004"/>
      <c r="BU171" s="1004"/>
      <c r="BV171" s="289"/>
      <c r="BW171" s="572"/>
      <c r="BX171" s="1004"/>
      <c r="BY171" s="1004"/>
      <c r="BZ171" s="1004"/>
      <c r="CA171" s="1004"/>
      <c r="CB171" s="1004"/>
      <c r="CC171" s="1004"/>
      <c r="CD171" s="1004"/>
      <c r="CE171" s="1004"/>
      <c r="CF171" s="1004"/>
      <c r="CG171" s="1004">
        <f>+CG170-CG160</f>
        <v>0</v>
      </c>
      <c r="CH171" s="289"/>
      <c r="CI171" s="572"/>
      <c r="CJ171" s="572"/>
      <c r="CK171" s="572"/>
      <c r="CL171" s="953"/>
      <c r="CM171" s="1004">
        <f>+CM160-CM170</f>
        <v>-6</v>
      </c>
      <c r="CN171" s="953"/>
      <c r="CO171" s="583"/>
      <c r="CP171" s="1004">
        <f>+CP160-CP170</f>
        <v>1</v>
      </c>
      <c r="CQ171" s="1014"/>
      <c r="CR171" s="1014"/>
      <c r="CS171" s="1004">
        <f>+CS160-CS170</f>
        <v>1</v>
      </c>
    </row>
    <row r="172" spans="1:103">
      <c r="A172" s="734"/>
      <c r="C172" s="919"/>
      <c r="D172" s="919"/>
      <c r="E172" s="919"/>
      <c r="F172" s="919"/>
      <c r="G172" s="919"/>
      <c r="H172" s="919"/>
      <c r="I172" s="919"/>
      <c r="J172" s="919"/>
      <c r="K172" s="919"/>
      <c r="L172" s="919"/>
      <c r="M172" s="919"/>
      <c r="N172" s="919"/>
      <c r="O172" s="919"/>
      <c r="P172" s="919"/>
      <c r="Q172" s="919"/>
      <c r="R172" s="919"/>
      <c r="S172" s="919"/>
      <c r="T172" s="919"/>
      <c r="U172" s="919"/>
      <c r="V172" s="919"/>
      <c r="W172" s="919"/>
      <c r="X172" s="919"/>
      <c r="Y172" s="919"/>
      <c r="Z172" s="919"/>
      <c r="AA172" s="919"/>
      <c r="AB172" s="919"/>
      <c r="AC172" s="919"/>
      <c r="AD172" s="919"/>
      <c r="AE172" s="919"/>
      <c r="AF172" s="919"/>
      <c r="AG172" s="919"/>
      <c r="AH172" s="919"/>
      <c r="AI172" s="919"/>
      <c r="AJ172" s="919"/>
      <c r="AK172" s="919"/>
      <c r="AL172" s="919"/>
      <c r="AM172" s="919"/>
      <c r="AN172" s="919"/>
      <c r="AO172" s="919"/>
      <c r="AP172" s="919"/>
      <c r="AQ172" s="919"/>
      <c r="AR172" s="919"/>
      <c r="AS172" s="919"/>
      <c r="AT172" s="919"/>
      <c r="AU172" s="919"/>
      <c r="AV172" s="919"/>
      <c r="AW172" s="919"/>
      <c r="AX172" s="919"/>
      <c r="AY172" s="919"/>
      <c r="AZ172" s="919"/>
      <c r="BA172" s="919"/>
      <c r="BB172" s="919"/>
      <c r="BC172" s="919"/>
      <c r="BD172" s="919"/>
      <c r="BE172" s="919"/>
      <c r="BF172" s="919"/>
      <c r="BG172" s="919"/>
      <c r="BH172" s="919"/>
      <c r="BI172" s="919"/>
      <c r="BJ172" s="919"/>
      <c r="BK172" s="919"/>
      <c r="BL172" s="919"/>
      <c r="BM172" s="919"/>
      <c r="BN172" s="919"/>
      <c r="BO172" s="919"/>
      <c r="BP172" s="919"/>
      <c r="BQ172" s="919"/>
      <c r="BR172" s="919"/>
      <c r="BS172" s="919"/>
      <c r="BT172" s="919"/>
      <c r="BU172" s="919"/>
      <c r="BV172" s="919"/>
      <c r="BW172" s="919"/>
      <c r="BX172" s="919"/>
      <c r="BY172" s="919"/>
      <c r="BZ172" s="919"/>
      <c r="CA172" s="919"/>
      <c r="CB172" s="919"/>
      <c r="CC172" s="919"/>
      <c r="CD172" s="919"/>
      <c r="CE172" s="919"/>
      <c r="CF172" s="919"/>
      <c r="CG172" s="919"/>
      <c r="CH172" s="919"/>
      <c r="CJ172" s="919"/>
      <c r="CK172" s="919"/>
      <c r="CM172" s="801"/>
      <c r="CN172" s="801"/>
    </row>
    <row r="173" spans="1:103">
      <c r="A173" s="734"/>
      <c r="CI173" s="798"/>
      <c r="CJ173" s="919"/>
      <c r="CK173" s="919"/>
      <c r="CM173" s="801"/>
    </row>
  </sheetData>
  <sheetProtection selectLockedCells="1" selectUnlockedCells="1"/>
  <customSheetViews>
    <customSheetView guid="{EA1A954B-E3BC-4BCB-9C9D-ACAC3EBC5AD2}" scale="90" showPageBreaks="1" showGridLines="0" fitToPage="1" printArea="1" hiddenColumns="1" topLeftCell="B1">
      <pane xSplit="1" ySplit="8" topLeftCell="C9" activePane="bottomRight" state="frozen"/>
      <selection pane="bottomRight" activeCell="D9" sqref="D9"/>
      <pageMargins left="0.17" right="0.17" top="0.3" bottom="0.31" header="0.3" footer="0.3"/>
      <pageSetup scale="56" fitToHeight="0" orientation="portrait" r:id="rId1"/>
    </customSheetView>
    <customSheetView guid="{B6DC502A-BFFB-4FBB-BBF2-1962512F02D0}" scale="90" showPageBreaks="1" showGridLines="0" fitToPage="1" printArea="1" hiddenColumns="1" topLeftCell="B1">
      <pane xSplit="1" ySplit="8" topLeftCell="C9" activePane="bottomRight" state="frozen"/>
      <selection pane="bottomRight" activeCell="D9" sqref="D9"/>
      <pageMargins left="0.17" right="0.17" top="0.3" bottom="0.31" header="0.3" footer="0.3"/>
      <pageSetup scale="56" fitToHeight="0" orientation="portrait" r:id="rId2"/>
    </customSheetView>
  </customSheetViews>
  <mergeCells count="6">
    <mergeCell ref="B1:CJ1"/>
    <mergeCell ref="B2:CJ2"/>
    <mergeCell ref="B3:CJ3"/>
    <mergeCell ref="B4:CJ4"/>
    <mergeCell ref="B6:CJ6"/>
    <mergeCell ref="B5:CJ5"/>
  </mergeCells>
  <conditionalFormatting sqref="A121">
    <cfRule type="duplicateValues" dxfId="0" priority="1"/>
  </conditionalFormatting>
  <pageMargins left="0.17" right="0.17" top="0.3" bottom="0.31" header="0.3" footer="0.3"/>
  <pageSetup scale="81" fitToHeight="0" orientation="portrait"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0.59999389629810485"/>
  </sheetPr>
  <dimension ref="B1:U59"/>
  <sheetViews>
    <sheetView showGridLines="0" zoomScale="90" zoomScaleNormal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B1" sqref="B1:J1"/>
    </sheetView>
  </sheetViews>
  <sheetFormatPr baseColWidth="10" defaultColWidth="14.42578125" defaultRowHeight="14.25" outlineLevelRow="1" outlineLevelCol="1"/>
  <cols>
    <col min="1" max="1" width="7.7109375" style="211" customWidth="1"/>
    <col min="2" max="2" width="54" style="211" customWidth="1"/>
    <col min="3" max="8" width="14.28515625" style="211" hidden="1" customWidth="1" outlineLevel="1"/>
    <col min="9" max="9" width="14.28515625" style="211" customWidth="1" collapsed="1"/>
    <col min="10" max="10" width="24.140625" style="211" customWidth="1"/>
    <col min="11" max="11" width="15.140625" style="283" customWidth="1"/>
    <col min="12" max="12" width="11.28515625" style="211" customWidth="1"/>
    <col min="13" max="13" width="14.42578125" style="211" bestFit="1" customWidth="1"/>
    <col min="14" max="14" width="10.7109375" style="211" customWidth="1"/>
    <col min="15" max="15" width="22" style="283" bestFit="1" customWidth="1"/>
    <col min="16" max="16" width="16.85546875" style="211" bestFit="1" customWidth="1"/>
    <col min="17" max="17" width="15.5703125" style="211" bestFit="1" customWidth="1"/>
    <col min="18" max="21" width="10.7109375" style="211" customWidth="1"/>
    <col min="22" max="251" width="14.42578125" style="211"/>
    <col min="252" max="252" width="54" style="211" customWidth="1"/>
    <col min="253" max="253" width="14.28515625" style="211" bestFit="1" customWidth="1"/>
    <col min="254" max="254" width="40.42578125" style="211" bestFit="1" customWidth="1"/>
    <col min="255" max="277" width="10.7109375" style="211" customWidth="1"/>
    <col min="278" max="507" width="14.42578125" style="211"/>
    <col min="508" max="508" width="54" style="211" customWidth="1"/>
    <col min="509" max="509" width="14.28515625" style="211" bestFit="1" customWidth="1"/>
    <col min="510" max="510" width="40.42578125" style="211" bestFit="1" customWidth="1"/>
    <col min="511" max="533" width="10.7109375" style="211" customWidth="1"/>
    <col min="534" max="763" width="14.42578125" style="211"/>
    <col min="764" max="764" width="54" style="211" customWidth="1"/>
    <col min="765" max="765" width="14.28515625" style="211" bestFit="1" customWidth="1"/>
    <col min="766" max="766" width="40.42578125" style="211" bestFit="1" customWidth="1"/>
    <col min="767" max="789" width="10.7109375" style="211" customWidth="1"/>
    <col min="790" max="1019" width="14.42578125" style="211"/>
    <col min="1020" max="1020" width="54" style="211" customWidth="1"/>
    <col min="1021" max="1021" width="14.28515625" style="211" bestFit="1" customWidth="1"/>
    <col min="1022" max="1022" width="40.42578125" style="211" bestFit="1" customWidth="1"/>
    <col min="1023" max="1045" width="10.7109375" style="211" customWidth="1"/>
    <col min="1046" max="1275" width="14.42578125" style="211"/>
    <col min="1276" max="1276" width="54" style="211" customWidth="1"/>
    <col min="1277" max="1277" width="14.28515625" style="211" bestFit="1" customWidth="1"/>
    <col min="1278" max="1278" width="40.42578125" style="211" bestFit="1" customWidth="1"/>
    <col min="1279" max="1301" width="10.7109375" style="211" customWidth="1"/>
    <col min="1302" max="1531" width="14.42578125" style="211"/>
    <col min="1532" max="1532" width="54" style="211" customWidth="1"/>
    <col min="1533" max="1533" width="14.28515625" style="211" bestFit="1" customWidth="1"/>
    <col min="1534" max="1534" width="40.42578125" style="211" bestFit="1" customWidth="1"/>
    <col min="1535" max="1557" width="10.7109375" style="211" customWidth="1"/>
    <col min="1558" max="1787" width="14.42578125" style="211"/>
    <col min="1788" max="1788" width="54" style="211" customWidth="1"/>
    <col min="1789" max="1789" width="14.28515625" style="211" bestFit="1" customWidth="1"/>
    <col min="1790" max="1790" width="40.42578125" style="211" bestFit="1" customWidth="1"/>
    <col min="1791" max="1813" width="10.7109375" style="211" customWidth="1"/>
    <col min="1814" max="2043" width="14.42578125" style="211"/>
    <col min="2044" max="2044" width="54" style="211" customWidth="1"/>
    <col min="2045" max="2045" width="14.28515625" style="211" bestFit="1" customWidth="1"/>
    <col min="2046" max="2046" width="40.42578125" style="211" bestFit="1" customWidth="1"/>
    <col min="2047" max="2069" width="10.7109375" style="211" customWidth="1"/>
    <col min="2070" max="2299" width="14.42578125" style="211"/>
    <col min="2300" max="2300" width="54" style="211" customWidth="1"/>
    <col min="2301" max="2301" width="14.28515625" style="211" bestFit="1" customWidth="1"/>
    <col min="2302" max="2302" width="40.42578125" style="211" bestFit="1" customWidth="1"/>
    <col min="2303" max="2325" width="10.7109375" style="211" customWidth="1"/>
    <col min="2326" max="2555" width="14.42578125" style="211"/>
    <col min="2556" max="2556" width="54" style="211" customWidth="1"/>
    <col min="2557" max="2557" width="14.28515625" style="211" bestFit="1" customWidth="1"/>
    <col min="2558" max="2558" width="40.42578125" style="211" bestFit="1" customWidth="1"/>
    <col min="2559" max="2581" width="10.7109375" style="211" customWidth="1"/>
    <col min="2582" max="2811" width="14.42578125" style="211"/>
    <col min="2812" max="2812" width="54" style="211" customWidth="1"/>
    <col min="2813" max="2813" width="14.28515625" style="211" bestFit="1" customWidth="1"/>
    <col min="2814" max="2814" width="40.42578125" style="211" bestFit="1" customWidth="1"/>
    <col min="2815" max="2837" width="10.7109375" style="211" customWidth="1"/>
    <col min="2838" max="3067" width="14.42578125" style="211"/>
    <col min="3068" max="3068" width="54" style="211" customWidth="1"/>
    <col min="3069" max="3069" width="14.28515625" style="211" bestFit="1" customWidth="1"/>
    <col min="3070" max="3070" width="40.42578125" style="211" bestFit="1" customWidth="1"/>
    <col min="3071" max="3093" width="10.7109375" style="211" customWidth="1"/>
    <col min="3094" max="3323" width="14.42578125" style="211"/>
    <col min="3324" max="3324" width="54" style="211" customWidth="1"/>
    <col min="3325" max="3325" width="14.28515625" style="211" bestFit="1" customWidth="1"/>
    <col min="3326" max="3326" width="40.42578125" style="211" bestFit="1" customWidth="1"/>
    <col min="3327" max="3349" width="10.7109375" style="211" customWidth="1"/>
    <col min="3350" max="3579" width="14.42578125" style="211"/>
    <col min="3580" max="3580" width="54" style="211" customWidth="1"/>
    <col min="3581" max="3581" width="14.28515625" style="211" bestFit="1" customWidth="1"/>
    <col min="3582" max="3582" width="40.42578125" style="211" bestFit="1" customWidth="1"/>
    <col min="3583" max="3605" width="10.7109375" style="211" customWidth="1"/>
    <col min="3606" max="3835" width="14.42578125" style="211"/>
    <col min="3836" max="3836" width="54" style="211" customWidth="1"/>
    <col min="3837" max="3837" width="14.28515625" style="211" bestFit="1" customWidth="1"/>
    <col min="3838" max="3838" width="40.42578125" style="211" bestFit="1" customWidth="1"/>
    <col min="3839" max="3861" width="10.7109375" style="211" customWidth="1"/>
    <col min="3862" max="4091" width="14.42578125" style="211"/>
    <col min="4092" max="4092" width="54" style="211" customWidth="1"/>
    <col min="4093" max="4093" width="14.28515625" style="211" bestFit="1" customWidth="1"/>
    <col min="4094" max="4094" width="40.42578125" style="211" bestFit="1" customWidth="1"/>
    <col min="4095" max="4117" width="10.7109375" style="211" customWidth="1"/>
    <col min="4118" max="4347" width="14.42578125" style="211"/>
    <col min="4348" max="4348" width="54" style="211" customWidth="1"/>
    <col min="4349" max="4349" width="14.28515625" style="211" bestFit="1" customWidth="1"/>
    <col min="4350" max="4350" width="40.42578125" style="211" bestFit="1" customWidth="1"/>
    <col min="4351" max="4373" width="10.7109375" style="211" customWidth="1"/>
    <col min="4374" max="4603" width="14.42578125" style="211"/>
    <col min="4604" max="4604" width="54" style="211" customWidth="1"/>
    <col min="4605" max="4605" width="14.28515625" style="211" bestFit="1" customWidth="1"/>
    <col min="4606" max="4606" width="40.42578125" style="211" bestFit="1" customWidth="1"/>
    <col min="4607" max="4629" width="10.7109375" style="211" customWidth="1"/>
    <col min="4630" max="4859" width="14.42578125" style="211"/>
    <col min="4860" max="4860" width="54" style="211" customWidth="1"/>
    <col min="4861" max="4861" width="14.28515625" style="211" bestFit="1" customWidth="1"/>
    <col min="4862" max="4862" width="40.42578125" style="211" bestFit="1" customWidth="1"/>
    <col min="4863" max="4885" width="10.7109375" style="211" customWidth="1"/>
    <col min="4886" max="5115" width="14.42578125" style="211"/>
    <col min="5116" max="5116" width="54" style="211" customWidth="1"/>
    <col min="5117" max="5117" width="14.28515625" style="211" bestFit="1" customWidth="1"/>
    <col min="5118" max="5118" width="40.42578125" style="211" bestFit="1" customWidth="1"/>
    <col min="5119" max="5141" width="10.7109375" style="211" customWidth="1"/>
    <col min="5142" max="5371" width="14.42578125" style="211"/>
    <col min="5372" max="5372" width="54" style="211" customWidth="1"/>
    <col min="5373" max="5373" width="14.28515625" style="211" bestFit="1" customWidth="1"/>
    <col min="5374" max="5374" width="40.42578125" style="211" bestFit="1" customWidth="1"/>
    <col min="5375" max="5397" width="10.7109375" style="211" customWidth="1"/>
    <col min="5398" max="5627" width="14.42578125" style="211"/>
    <col min="5628" max="5628" width="54" style="211" customWidth="1"/>
    <col min="5629" max="5629" width="14.28515625" style="211" bestFit="1" customWidth="1"/>
    <col min="5630" max="5630" width="40.42578125" style="211" bestFit="1" customWidth="1"/>
    <col min="5631" max="5653" width="10.7109375" style="211" customWidth="1"/>
    <col min="5654" max="5883" width="14.42578125" style="211"/>
    <col min="5884" max="5884" width="54" style="211" customWidth="1"/>
    <col min="5885" max="5885" width="14.28515625" style="211" bestFit="1" customWidth="1"/>
    <col min="5886" max="5886" width="40.42578125" style="211" bestFit="1" customWidth="1"/>
    <col min="5887" max="5909" width="10.7109375" style="211" customWidth="1"/>
    <col min="5910" max="6139" width="14.42578125" style="211"/>
    <col min="6140" max="6140" width="54" style="211" customWidth="1"/>
    <col min="6141" max="6141" width="14.28515625" style="211" bestFit="1" customWidth="1"/>
    <col min="6142" max="6142" width="40.42578125" style="211" bestFit="1" customWidth="1"/>
    <col min="6143" max="6165" width="10.7109375" style="211" customWidth="1"/>
    <col min="6166" max="6395" width="14.42578125" style="211"/>
    <col min="6396" max="6396" width="54" style="211" customWidth="1"/>
    <col min="6397" max="6397" width="14.28515625" style="211" bestFit="1" customWidth="1"/>
    <col min="6398" max="6398" width="40.42578125" style="211" bestFit="1" customWidth="1"/>
    <col min="6399" max="6421" width="10.7109375" style="211" customWidth="1"/>
    <col min="6422" max="6651" width="14.42578125" style="211"/>
    <col min="6652" max="6652" width="54" style="211" customWidth="1"/>
    <col min="6653" max="6653" width="14.28515625" style="211" bestFit="1" customWidth="1"/>
    <col min="6654" max="6654" width="40.42578125" style="211" bestFit="1" customWidth="1"/>
    <col min="6655" max="6677" width="10.7109375" style="211" customWidth="1"/>
    <col min="6678" max="6907" width="14.42578125" style="211"/>
    <col min="6908" max="6908" width="54" style="211" customWidth="1"/>
    <col min="6909" max="6909" width="14.28515625" style="211" bestFit="1" customWidth="1"/>
    <col min="6910" max="6910" width="40.42578125" style="211" bestFit="1" customWidth="1"/>
    <col min="6911" max="6933" width="10.7109375" style="211" customWidth="1"/>
    <col min="6934" max="7163" width="14.42578125" style="211"/>
    <col min="7164" max="7164" width="54" style="211" customWidth="1"/>
    <col min="7165" max="7165" width="14.28515625" style="211" bestFit="1" customWidth="1"/>
    <col min="7166" max="7166" width="40.42578125" style="211" bestFit="1" customWidth="1"/>
    <col min="7167" max="7189" width="10.7109375" style="211" customWidth="1"/>
    <col min="7190" max="7419" width="14.42578125" style="211"/>
    <col min="7420" max="7420" width="54" style="211" customWidth="1"/>
    <col min="7421" max="7421" width="14.28515625" style="211" bestFit="1" customWidth="1"/>
    <col min="7422" max="7422" width="40.42578125" style="211" bestFit="1" customWidth="1"/>
    <col min="7423" max="7445" width="10.7109375" style="211" customWidth="1"/>
    <col min="7446" max="7675" width="14.42578125" style="211"/>
    <col min="7676" max="7676" width="54" style="211" customWidth="1"/>
    <col min="7677" max="7677" width="14.28515625" style="211" bestFit="1" customWidth="1"/>
    <col min="7678" max="7678" width="40.42578125" style="211" bestFit="1" customWidth="1"/>
    <col min="7679" max="7701" width="10.7109375" style="211" customWidth="1"/>
    <col min="7702" max="7931" width="14.42578125" style="211"/>
    <col min="7932" max="7932" width="54" style="211" customWidth="1"/>
    <col min="7933" max="7933" width="14.28515625" style="211" bestFit="1" customWidth="1"/>
    <col min="7934" max="7934" width="40.42578125" style="211" bestFit="1" customWidth="1"/>
    <col min="7935" max="7957" width="10.7109375" style="211" customWidth="1"/>
    <col min="7958" max="8187" width="14.42578125" style="211"/>
    <col min="8188" max="8188" width="54" style="211" customWidth="1"/>
    <col min="8189" max="8189" width="14.28515625" style="211" bestFit="1" customWidth="1"/>
    <col min="8190" max="8190" width="40.42578125" style="211" bestFit="1" customWidth="1"/>
    <col min="8191" max="8213" width="10.7109375" style="211" customWidth="1"/>
    <col min="8214" max="8443" width="14.42578125" style="211"/>
    <col min="8444" max="8444" width="54" style="211" customWidth="1"/>
    <col min="8445" max="8445" width="14.28515625" style="211" bestFit="1" customWidth="1"/>
    <col min="8446" max="8446" width="40.42578125" style="211" bestFit="1" customWidth="1"/>
    <col min="8447" max="8469" width="10.7109375" style="211" customWidth="1"/>
    <col min="8470" max="8699" width="14.42578125" style="211"/>
    <col min="8700" max="8700" width="54" style="211" customWidth="1"/>
    <col min="8701" max="8701" width="14.28515625" style="211" bestFit="1" customWidth="1"/>
    <col min="8702" max="8702" width="40.42578125" style="211" bestFit="1" customWidth="1"/>
    <col min="8703" max="8725" width="10.7109375" style="211" customWidth="1"/>
    <col min="8726" max="8955" width="14.42578125" style="211"/>
    <col min="8956" max="8956" width="54" style="211" customWidth="1"/>
    <col min="8957" max="8957" width="14.28515625" style="211" bestFit="1" customWidth="1"/>
    <col min="8958" max="8958" width="40.42578125" style="211" bestFit="1" customWidth="1"/>
    <col min="8959" max="8981" width="10.7109375" style="211" customWidth="1"/>
    <col min="8982" max="9211" width="14.42578125" style="211"/>
    <col min="9212" max="9212" width="54" style="211" customWidth="1"/>
    <col min="9213" max="9213" width="14.28515625" style="211" bestFit="1" customWidth="1"/>
    <col min="9214" max="9214" width="40.42578125" style="211" bestFit="1" customWidth="1"/>
    <col min="9215" max="9237" width="10.7109375" style="211" customWidth="1"/>
    <col min="9238" max="9467" width="14.42578125" style="211"/>
    <col min="9468" max="9468" width="54" style="211" customWidth="1"/>
    <col min="9469" max="9469" width="14.28515625" style="211" bestFit="1" customWidth="1"/>
    <col min="9470" max="9470" width="40.42578125" style="211" bestFit="1" customWidth="1"/>
    <col min="9471" max="9493" width="10.7109375" style="211" customWidth="1"/>
    <col min="9494" max="9723" width="14.42578125" style="211"/>
    <col min="9724" max="9724" width="54" style="211" customWidth="1"/>
    <col min="9725" max="9725" width="14.28515625" style="211" bestFit="1" customWidth="1"/>
    <col min="9726" max="9726" width="40.42578125" style="211" bestFit="1" customWidth="1"/>
    <col min="9727" max="9749" width="10.7109375" style="211" customWidth="1"/>
    <col min="9750" max="9979" width="14.42578125" style="211"/>
    <col min="9980" max="9980" width="54" style="211" customWidth="1"/>
    <col min="9981" max="9981" width="14.28515625" style="211" bestFit="1" customWidth="1"/>
    <col min="9982" max="9982" width="40.42578125" style="211" bestFit="1" customWidth="1"/>
    <col min="9983" max="10005" width="10.7109375" style="211" customWidth="1"/>
    <col min="10006" max="10235" width="14.42578125" style="211"/>
    <col min="10236" max="10236" width="54" style="211" customWidth="1"/>
    <col min="10237" max="10237" width="14.28515625" style="211" bestFit="1" customWidth="1"/>
    <col min="10238" max="10238" width="40.42578125" style="211" bestFit="1" customWidth="1"/>
    <col min="10239" max="10261" width="10.7109375" style="211" customWidth="1"/>
    <col min="10262" max="10491" width="14.42578125" style="211"/>
    <col min="10492" max="10492" width="54" style="211" customWidth="1"/>
    <col min="10493" max="10493" width="14.28515625" style="211" bestFit="1" customWidth="1"/>
    <col min="10494" max="10494" width="40.42578125" style="211" bestFit="1" customWidth="1"/>
    <col min="10495" max="10517" width="10.7109375" style="211" customWidth="1"/>
    <col min="10518" max="10747" width="14.42578125" style="211"/>
    <col min="10748" max="10748" width="54" style="211" customWidth="1"/>
    <col min="10749" max="10749" width="14.28515625" style="211" bestFit="1" customWidth="1"/>
    <col min="10750" max="10750" width="40.42578125" style="211" bestFit="1" customWidth="1"/>
    <col min="10751" max="10773" width="10.7109375" style="211" customWidth="1"/>
    <col min="10774" max="11003" width="14.42578125" style="211"/>
    <col min="11004" max="11004" width="54" style="211" customWidth="1"/>
    <col min="11005" max="11005" width="14.28515625" style="211" bestFit="1" customWidth="1"/>
    <col min="11006" max="11006" width="40.42578125" style="211" bestFit="1" customWidth="1"/>
    <col min="11007" max="11029" width="10.7109375" style="211" customWidth="1"/>
    <col min="11030" max="11259" width="14.42578125" style="211"/>
    <col min="11260" max="11260" width="54" style="211" customWidth="1"/>
    <col min="11261" max="11261" width="14.28515625" style="211" bestFit="1" customWidth="1"/>
    <col min="11262" max="11262" width="40.42578125" style="211" bestFit="1" customWidth="1"/>
    <col min="11263" max="11285" width="10.7109375" style="211" customWidth="1"/>
    <col min="11286" max="11515" width="14.42578125" style="211"/>
    <col min="11516" max="11516" width="54" style="211" customWidth="1"/>
    <col min="11517" max="11517" width="14.28515625" style="211" bestFit="1" customWidth="1"/>
    <col min="11518" max="11518" width="40.42578125" style="211" bestFit="1" customWidth="1"/>
    <col min="11519" max="11541" width="10.7109375" style="211" customWidth="1"/>
    <col min="11542" max="11771" width="14.42578125" style="211"/>
    <col min="11772" max="11772" width="54" style="211" customWidth="1"/>
    <col min="11773" max="11773" width="14.28515625" style="211" bestFit="1" customWidth="1"/>
    <col min="11774" max="11774" width="40.42578125" style="211" bestFit="1" customWidth="1"/>
    <col min="11775" max="11797" width="10.7109375" style="211" customWidth="1"/>
    <col min="11798" max="12027" width="14.42578125" style="211"/>
    <col min="12028" max="12028" width="54" style="211" customWidth="1"/>
    <col min="12029" max="12029" width="14.28515625" style="211" bestFit="1" customWidth="1"/>
    <col min="12030" max="12030" width="40.42578125" style="211" bestFit="1" customWidth="1"/>
    <col min="12031" max="12053" width="10.7109375" style="211" customWidth="1"/>
    <col min="12054" max="12283" width="14.42578125" style="211"/>
    <col min="12284" max="12284" width="54" style="211" customWidth="1"/>
    <col min="12285" max="12285" width="14.28515625" style="211" bestFit="1" customWidth="1"/>
    <col min="12286" max="12286" width="40.42578125" style="211" bestFit="1" customWidth="1"/>
    <col min="12287" max="12309" width="10.7109375" style="211" customWidth="1"/>
    <col min="12310" max="12539" width="14.42578125" style="211"/>
    <col min="12540" max="12540" width="54" style="211" customWidth="1"/>
    <col min="12541" max="12541" width="14.28515625" style="211" bestFit="1" customWidth="1"/>
    <col min="12542" max="12542" width="40.42578125" style="211" bestFit="1" customWidth="1"/>
    <col min="12543" max="12565" width="10.7109375" style="211" customWidth="1"/>
    <col min="12566" max="12795" width="14.42578125" style="211"/>
    <col min="12796" max="12796" width="54" style="211" customWidth="1"/>
    <col min="12797" max="12797" width="14.28515625" style="211" bestFit="1" customWidth="1"/>
    <col min="12798" max="12798" width="40.42578125" style="211" bestFit="1" customWidth="1"/>
    <col min="12799" max="12821" width="10.7109375" style="211" customWidth="1"/>
    <col min="12822" max="13051" width="14.42578125" style="211"/>
    <col min="13052" max="13052" width="54" style="211" customWidth="1"/>
    <col min="13053" max="13053" width="14.28515625" style="211" bestFit="1" customWidth="1"/>
    <col min="13054" max="13054" width="40.42578125" style="211" bestFit="1" customWidth="1"/>
    <col min="13055" max="13077" width="10.7109375" style="211" customWidth="1"/>
    <col min="13078" max="13307" width="14.42578125" style="211"/>
    <col min="13308" max="13308" width="54" style="211" customWidth="1"/>
    <col min="13309" max="13309" width="14.28515625" style="211" bestFit="1" customWidth="1"/>
    <col min="13310" max="13310" width="40.42578125" style="211" bestFit="1" customWidth="1"/>
    <col min="13311" max="13333" width="10.7109375" style="211" customWidth="1"/>
    <col min="13334" max="13563" width="14.42578125" style="211"/>
    <col min="13564" max="13564" width="54" style="211" customWidth="1"/>
    <col min="13565" max="13565" width="14.28515625" style="211" bestFit="1" customWidth="1"/>
    <col min="13566" max="13566" width="40.42578125" style="211" bestFit="1" customWidth="1"/>
    <col min="13567" max="13589" width="10.7109375" style="211" customWidth="1"/>
    <col min="13590" max="13819" width="14.42578125" style="211"/>
    <col min="13820" max="13820" width="54" style="211" customWidth="1"/>
    <col min="13821" max="13821" width="14.28515625" style="211" bestFit="1" customWidth="1"/>
    <col min="13822" max="13822" width="40.42578125" style="211" bestFit="1" customWidth="1"/>
    <col min="13823" max="13845" width="10.7109375" style="211" customWidth="1"/>
    <col min="13846" max="14075" width="14.42578125" style="211"/>
    <col min="14076" max="14076" width="54" style="211" customWidth="1"/>
    <col min="14077" max="14077" width="14.28515625" style="211" bestFit="1" customWidth="1"/>
    <col min="14078" max="14078" width="40.42578125" style="211" bestFit="1" customWidth="1"/>
    <col min="14079" max="14101" width="10.7109375" style="211" customWidth="1"/>
    <col min="14102" max="14331" width="14.42578125" style="211"/>
    <col min="14332" max="14332" width="54" style="211" customWidth="1"/>
    <col min="14333" max="14333" width="14.28515625" style="211" bestFit="1" customWidth="1"/>
    <col min="14334" max="14334" width="40.42578125" style="211" bestFit="1" customWidth="1"/>
    <col min="14335" max="14357" width="10.7109375" style="211" customWidth="1"/>
    <col min="14358" max="14587" width="14.42578125" style="211"/>
    <col min="14588" max="14588" width="54" style="211" customWidth="1"/>
    <col min="14589" max="14589" width="14.28515625" style="211" bestFit="1" customWidth="1"/>
    <col min="14590" max="14590" width="40.42578125" style="211" bestFit="1" customWidth="1"/>
    <col min="14591" max="14613" width="10.7109375" style="211" customWidth="1"/>
    <col min="14614" max="14843" width="14.42578125" style="211"/>
    <col min="14844" max="14844" width="54" style="211" customWidth="1"/>
    <col min="14845" max="14845" width="14.28515625" style="211" bestFit="1" customWidth="1"/>
    <col min="14846" max="14846" width="40.42578125" style="211" bestFit="1" customWidth="1"/>
    <col min="14847" max="14869" width="10.7109375" style="211" customWidth="1"/>
    <col min="14870" max="15099" width="14.42578125" style="211"/>
    <col min="15100" max="15100" width="54" style="211" customWidth="1"/>
    <col min="15101" max="15101" width="14.28515625" style="211" bestFit="1" customWidth="1"/>
    <col min="15102" max="15102" width="40.42578125" style="211" bestFit="1" customWidth="1"/>
    <col min="15103" max="15125" width="10.7109375" style="211" customWidth="1"/>
    <col min="15126" max="15355" width="14.42578125" style="211"/>
    <col min="15356" max="15356" width="54" style="211" customWidth="1"/>
    <col min="15357" max="15357" width="14.28515625" style="211" bestFit="1" customWidth="1"/>
    <col min="15358" max="15358" width="40.42578125" style="211" bestFit="1" customWidth="1"/>
    <col min="15359" max="15381" width="10.7109375" style="211" customWidth="1"/>
    <col min="15382" max="15611" width="14.42578125" style="211"/>
    <col min="15612" max="15612" width="54" style="211" customWidth="1"/>
    <col min="15613" max="15613" width="14.28515625" style="211" bestFit="1" customWidth="1"/>
    <col min="15614" max="15614" width="40.42578125" style="211" bestFit="1" customWidth="1"/>
    <col min="15615" max="15637" width="10.7109375" style="211" customWidth="1"/>
    <col min="15638" max="15867" width="14.42578125" style="211"/>
    <col min="15868" max="15868" width="54" style="211" customWidth="1"/>
    <col min="15869" max="15869" width="14.28515625" style="211" bestFit="1" customWidth="1"/>
    <col min="15870" max="15870" width="40.42578125" style="211" bestFit="1" customWidth="1"/>
    <col min="15871" max="15893" width="10.7109375" style="211" customWidth="1"/>
    <col min="15894" max="16123" width="14.42578125" style="211"/>
    <col min="16124" max="16124" width="54" style="211" customWidth="1"/>
    <col min="16125" max="16125" width="14.28515625" style="211" bestFit="1" customWidth="1"/>
    <col min="16126" max="16126" width="40.42578125" style="211" bestFit="1" customWidth="1"/>
    <col min="16127" max="16149" width="10.7109375" style="211" customWidth="1"/>
    <col min="16150" max="16384" width="14.42578125" style="211"/>
  </cols>
  <sheetData>
    <row r="1" spans="2:12" ht="15">
      <c r="B1" s="1131" t="str">
        <f>DATOS!H6</f>
        <v>GRUPO DE LOLITA SAS</v>
      </c>
      <c r="C1" s="1132"/>
      <c r="D1" s="1132"/>
      <c r="E1" s="1132"/>
      <c r="F1" s="1132"/>
      <c r="G1" s="1132"/>
      <c r="H1" s="1132"/>
      <c r="I1" s="1132"/>
      <c r="J1" s="1133"/>
    </row>
    <row r="2" spans="2:12" ht="15">
      <c r="B2" s="1134" t="str">
        <f>DATOS!H7</f>
        <v>NIT: 900.307.969-5</v>
      </c>
      <c r="C2" s="1135"/>
      <c r="D2" s="1135"/>
      <c r="E2" s="1135"/>
      <c r="F2" s="1135"/>
      <c r="G2" s="1135"/>
      <c r="H2" s="1135"/>
      <c r="I2" s="1135"/>
      <c r="J2" s="1136"/>
    </row>
    <row r="3" spans="2:12" ht="15">
      <c r="B3" s="1134" t="str">
        <f>DATOS!H10</f>
        <v>2026-06</v>
      </c>
      <c r="C3" s="1135"/>
      <c r="D3" s="1135"/>
      <c r="E3" s="1135"/>
      <c r="F3" s="1135"/>
      <c r="G3" s="1135"/>
      <c r="H3" s="1135"/>
      <c r="I3" s="1135"/>
      <c r="J3" s="1136"/>
    </row>
    <row r="4" spans="2:12" ht="15">
      <c r="B4" s="1134" t="s">
        <v>1503</v>
      </c>
      <c r="C4" s="1135"/>
      <c r="D4" s="1135"/>
      <c r="E4" s="1135"/>
      <c r="F4" s="1135"/>
      <c r="G4" s="1135"/>
      <c r="H4" s="1135"/>
      <c r="I4" s="1135"/>
      <c r="J4" s="1136"/>
    </row>
    <row r="5" spans="2:12" ht="15">
      <c r="B5" s="1134" t="s">
        <v>59</v>
      </c>
      <c r="C5" s="1135"/>
      <c r="D5" s="1135"/>
      <c r="E5" s="1135"/>
      <c r="F5" s="1135"/>
      <c r="G5" s="1135"/>
      <c r="H5" s="1135"/>
      <c r="I5" s="1135"/>
      <c r="J5" s="1136"/>
    </row>
    <row r="6" spans="2:12" ht="15" thickBot="1">
      <c r="B6" s="214"/>
      <c r="J6" s="213"/>
    </row>
    <row r="7" spans="2:12" ht="15">
      <c r="B7" s="252" t="s">
        <v>286</v>
      </c>
      <c r="C7" s="253"/>
      <c r="D7" s="253"/>
      <c r="E7" s="253"/>
      <c r="F7" s="253"/>
      <c r="G7" s="253"/>
      <c r="H7" s="253"/>
      <c r="I7" s="253"/>
      <c r="J7" s="254"/>
    </row>
    <row r="8" spans="2:12">
      <c r="B8" s="214"/>
      <c r="J8" s="255"/>
    </row>
    <row r="9" spans="2:12" ht="30">
      <c r="B9" s="214"/>
      <c r="C9" s="983" t="s">
        <v>1641</v>
      </c>
      <c r="D9" s="983" t="s">
        <v>1642</v>
      </c>
      <c r="E9" s="983" t="s">
        <v>1806</v>
      </c>
      <c r="F9" s="983" t="s">
        <v>1807</v>
      </c>
      <c r="G9" s="983" t="s">
        <v>1816</v>
      </c>
      <c r="H9" s="983" t="s">
        <v>1936</v>
      </c>
      <c r="I9" s="982" t="s">
        <v>178</v>
      </c>
      <c r="J9" s="255"/>
    </row>
    <row r="10" spans="2:12" ht="29.25">
      <c r="B10" s="214" t="s">
        <v>815</v>
      </c>
      <c r="C10" s="984">
        <f>+'2.E.R.I. MES-ACUMULADO'!Y13</f>
        <v>526282</v>
      </c>
      <c r="D10" s="984">
        <f>+'2.E.R.I. MES-ACUMULADO'!AK13</f>
        <v>511745</v>
      </c>
      <c r="E10" s="984">
        <f>+'2.E.R.I. MES-ACUMULADO'!AW13</f>
        <v>531024</v>
      </c>
      <c r="F10" s="984">
        <f>+'2.E.R.I. MES-ACUMULADO'!BI13</f>
        <v>495944</v>
      </c>
      <c r="G10" s="984">
        <f>+'2.E.R.I. MES-ACUMULADO'!BU13</f>
        <v>497074</v>
      </c>
      <c r="H10" s="984">
        <f>+'2.E.R.I. MES-ACUMULADO'!CG13</f>
        <v>479988</v>
      </c>
      <c r="I10" s="984">
        <f>+'2.E.R.I. MES-ACUMULADO'!CM13</f>
        <v>3042065.5</v>
      </c>
      <c r="J10" s="807" t="s">
        <v>816</v>
      </c>
      <c r="K10" s="1005"/>
      <c r="L10" s="1006"/>
    </row>
    <row r="11" spans="2:12" ht="15">
      <c r="B11" s="215" t="s">
        <v>287</v>
      </c>
      <c r="C11" s="984">
        <f>+'2.E.R.I. MES-ACUMULADO'!Y152</f>
        <v>57994</v>
      </c>
      <c r="D11" s="984">
        <f>+'2.E.R.I. MES-ACUMULADO'!AK152</f>
        <v>-2194</v>
      </c>
      <c r="E11" s="984">
        <f>+'2.E.R.I. MES-ACUMULADO'!AW152</f>
        <v>35349</v>
      </c>
      <c r="F11" s="984">
        <f>+'2.E.R.I. MES-ACUMULADO'!BI152</f>
        <v>-121</v>
      </c>
      <c r="G11" s="984">
        <f>+'2.E.R.I. MES-ACUMULADO'!BU152</f>
        <v>-32897</v>
      </c>
      <c r="H11" s="984">
        <f>+'2.E.R.I. MES-ACUMULADO'!CG160</f>
        <v>-692.5</v>
      </c>
      <c r="I11" s="1061">
        <f>+'2.E.R.I. MES-ACUMULADO'!CM152</f>
        <v>56427</v>
      </c>
      <c r="J11" s="806"/>
      <c r="K11" s="1005"/>
      <c r="L11" s="1006"/>
    </row>
    <row r="12" spans="2:12">
      <c r="B12" s="214"/>
      <c r="C12" s="567">
        <f t="shared" ref="C12" si="0">+C11/C10</f>
        <v>0.1101956745623069</v>
      </c>
      <c r="D12" s="567">
        <f t="shared" ref="D12" si="1">+D11/D10</f>
        <v>-4.2872915221448182E-3</v>
      </c>
      <c r="E12" s="567">
        <f t="shared" ref="E12:F12" si="2">+E11/E10</f>
        <v>6.6567612763264936E-2</v>
      </c>
      <c r="F12" s="567">
        <f t="shared" si="2"/>
        <v>-2.4397915893729937E-4</v>
      </c>
      <c r="G12" s="567"/>
      <c r="H12" s="567"/>
      <c r="I12" s="567">
        <f t="shared" ref="I12" si="3">+I11/I10</f>
        <v>1.8548910271655887E-2</v>
      </c>
      <c r="J12" s="256"/>
    </row>
    <row r="13" spans="2:12">
      <c r="B13" s="214" t="s">
        <v>288</v>
      </c>
      <c r="C13" s="570"/>
      <c r="D13" s="570"/>
      <c r="E13" s="570"/>
      <c r="F13" s="570"/>
      <c r="G13" s="570"/>
      <c r="H13" s="570"/>
      <c r="I13" s="570"/>
      <c r="J13" s="1130" t="s">
        <v>289</v>
      </c>
    </row>
    <row r="14" spans="2:12" ht="14.25" customHeight="1">
      <c r="B14" s="214" t="s">
        <v>290</v>
      </c>
      <c r="C14" s="570">
        <v>170</v>
      </c>
      <c r="D14" s="570">
        <v>80</v>
      </c>
      <c r="E14" s="570">
        <v>174</v>
      </c>
      <c r="F14" s="570">
        <v>199</v>
      </c>
      <c r="G14" s="570">
        <f>625-120</f>
        <v>505</v>
      </c>
      <c r="H14" s="570">
        <v>672</v>
      </c>
      <c r="I14" s="570">
        <f t="shared" ref="I14:I20" si="4">SUM(C14:H14)</f>
        <v>1800</v>
      </c>
      <c r="J14" s="1130"/>
    </row>
    <row r="15" spans="2:12" ht="13.5" customHeight="1">
      <c r="B15" s="214" t="s">
        <v>291</v>
      </c>
      <c r="C15" s="570">
        <v>1314</v>
      </c>
      <c r="D15" s="570">
        <v>1183</v>
      </c>
      <c r="E15" s="570">
        <v>1406</v>
      </c>
      <c r="F15" s="570">
        <v>1062</v>
      </c>
      <c r="G15" s="570">
        <v>1470</v>
      </c>
      <c r="H15" s="570">
        <v>1257</v>
      </c>
      <c r="I15" s="570">
        <f t="shared" si="4"/>
        <v>7692</v>
      </c>
      <c r="J15" s="1130"/>
    </row>
    <row r="16" spans="2:12" ht="14.25" customHeight="1">
      <c r="B16" s="334" t="s">
        <v>292</v>
      </c>
      <c r="C16" s="570">
        <v>0</v>
      </c>
      <c r="D16" s="570">
        <v>0</v>
      </c>
      <c r="E16" s="570">
        <v>0</v>
      </c>
      <c r="F16" s="570"/>
      <c r="G16" s="570"/>
      <c r="H16" s="570">
        <v>0</v>
      </c>
      <c r="I16" s="570">
        <f t="shared" si="4"/>
        <v>0</v>
      </c>
      <c r="J16" s="1130"/>
    </row>
    <row r="17" spans="2:21" ht="14.25" customHeight="1">
      <c r="B17" s="214" t="s">
        <v>293</v>
      </c>
      <c r="C17" s="570">
        <v>0</v>
      </c>
      <c r="D17" s="570">
        <v>0</v>
      </c>
      <c r="E17" s="570">
        <v>0</v>
      </c>
      <c r="F17" s="570"/>
      <c r="G17" s="570"/>
      <c r="H17" s="570">
        <v>0</v>
      </c>
      <c r="I17" s="570">
        <f t="shared" si="4"/>
        <v>0</v>
      </c>
      <c r="J17" s="1130"/>
    </row>
    <row r="18" spans="2:21" ht="14.25" customHeight="1">
      <c r="B18" s="214" t="s">
        <v>294</v>
      </c>
      <c r="C18" s="570">
        <v>0</v>
      </c>
      <c r="D18" s="570">
        <v>0</v>
      </c>
      <c r="E18" s="570">
        <v>0</v>
      </c>
      <c r="F18" s="570"/>
      <c r="G18" s="570"/>
      <c r="H18" s="570">
        <v>0</v>
      </c>
      <c r="I18" s="570">
        <f t="shared" si="4"/>
        <v>0</v>
      </c>
      <c r="J18" s="1130"/>
    </row>
    <row r="19" spans="2:21" ht="14.25" customHeight="1">
      <c r="B19" s="214" t="s">
        <v>295</v>
      </c>
      <c r="C19" s="570">
        <v>0</v>
      </c>
      <c r="D19" s="570">
        <v>56</v>
      </c>
      <c r="E19" s="570">
        <v>182</v>
      </c>
      <c r="F19" s="570">
        <v>89</v>
      </c>
      <c r="G19" s="570">
        <v>22</v>
      </c>
      <c r="H19" s="570">
        <v>27</v>
      </c>
      <c r="I19" s="570">
        <f t="shared" si="4"/>
        <v>376</v>
      </c>
      <c r="J19" s="1130"/>
    </row>
    <row r="20" spans="2:21" ht="14.25" customHeight="1">
      <c r="B20" s="214" t="s">
        <v>296</v>
      </c>
      <c r="C20" s="570">
        <v>0</v>
      </c>
      <c r="D20" s="570">
        <v>0</v>
      </c>
      <c r="E20" s="570">
        <v>0</v>
      </c>
      <c r="F20" s="570"/>
      <c r="G20" s="570"/>
      <c r="H20" s="570"/>
      <c r="I20" s="570">
        <f t="shared" si="4"/>
        <v>0</v>
      </c>
      <c r="J20" s="1130"/>
    </row>
    <row r="21" spans="2:21" ht="15">
      <c r="B21" s="214" t="s">
        <v>588</v>
      </c>
      <c r="C21" s="570"/>
      <c r="D21" s="570"/>
      <c r="E21" s="570"/>
      <c r="F21" s="570"/>
      <c r="G21" s="570"/>
      <c r="H21" s="570"/>
      <c r="I21" s="570">
        <f>SUM(C21:H21)</f>
        <v>0</v>
      </c>
      <c r="J21" s="568"/>
      <c r="M21" s="945"/>
    </row>
    <row r="22" spans="2:21">
      <c r="B22" s="334"/>
      <c r="C22" s="830"/>
      <c r="D22" s="830"/>
      <c r="E22" s="830"/>
      <c r="F22" s="830"/>
      <c r="G22" s="830"/>
      <c r="H22" s="830"/>
      <c r="I22" s="830"/>
      <c r="J22" s="218"/>
    </row>
    <row r="23" spans="2:21" ht="15">
      <c r="B23" s="215" t="s">
        <v>297</v>
      </c>
      <c r="C23" s="216">
        <f t="shared" ref="C23:E23" si="5">SUM(C11:C22)-C12</f>
        <v>59478</v>
      </c>
      <c r="D23" s="216">
        <f t="shared" si="5"/>
        <v>-875.00000000000023</v>
      </c>
      <c r="E23" s="216">
        <f t="shared" si="5"/>
        <v>37111</v>
      </c>
      <c r="F23" s="216">
        <f t="shared" ref="F23:H23" si="6">SUM(F11:F22)-F12</f>
        <v>1229</v>
      </c>
      <c r="G23" s="216">
        <f t="shared" ref="G23" si="7">SUM(G11:G22)-G12</f>
        <v>-30900</v>
      </c>
      <c r="H23" s="216">
        <f t="shared" si="6"/>
        <v>1263.5</v>
      </c>
      <c r="I23" s="216">
        <f t="shared" ref="I23" si="8">SUM(I11:I22)-I12</f>
        <v>66295</v>
      </c>
      <c r="J23" s="219"/>
    </row>
    <row r="24" spans="2:21" ht="15">
      <c r="B24" s="215" t="s">
        <v>423</v>
      </c>
      <c r="C24" s="296">
        <v>0</v>
      </c>
      <c r="D24" s="296">
        <v>0</v>
      </c>
      <c r="E24" s="296">
        <v>0</v>
      </c>
      <c r="F24" s="296">
        <v>0</v>
      </c>
      <c r="G24" s="296">
        <v>0</v>
      </c>
      <c r="H24" s="296">
        <v>0</v>
      </c>
      <c r="I24" s="296">
        <v>0</v>
      </c>
      <c r="J24" s="218"/>
    </row>
    <row r="25" spans="2:21" ht="15">
      <c r="B25" s="215"/>
      <c r="C25" s="216"/>
      <c r="D25" s="216"/>
      <c r="E25" s="216"/>
      <c r="F25" s="216"/>
      <c r="G25" s="216"/>
      <c r="H25" s="216"/>
      <c r="I25" s="216"/>
      <c r="J25" s="218"/>
    </row>
    <row r="26" spans="2:21" ht="15">
      <c r="B26" s="813" t="s">
        <v>830</v>
      </c>
      <c r="C26" s="986">
        <f t="shared" ref="C26:E26" si="9">+C59</f>
        <v>3292</v>
      </c>
      <c r="D26" s="986">
        <f t="shared" si="9"/>
        <v>3228</v>
      </c>
      <c r="E26" s="986">
        <f t="shared" si="9"/>
        <v>3021</v>
      </c>
      <c r="F26" s="986">
        <f t="shared" ref="F26:H26" si="10">+F59</f>
        <v>3185</v>
      </c>
      <c r="G26" s="986">
        <f t="shared" ref="G26" si="11">+G59</f>
        <v>2809</v>
      </c>
      <c r="H26" s="986">
        <f t="shared" si="10"/>
        <v>3090</v>
      </c>
      <c r="I26" s="986">
        <f>+K59</f>
        <v>18625</v>
      </c>
      <c r="J26" s="218"/>
    </row>
    <row r="27" spans="2:21" ht="15">
      <c r="B27" s="215"/>
      <c r="C27" s="216"/>
      <c r="D27" s="216"/>
      <c r="E27" s="216"/>
      <c r="F27" s="216"/>
      <c r="G27" s="216"/>
      <c r="H27" s="216"/>
      <c r="I27" s="216"/>
      <c r="J27" s="218"/>
      <c r="M27" s="869">
        <v>222202000</v>
      </c>
      <c r="O27" s="283">
        <f>+M27*0.35</f>
        <v>77770700</v>
      </c>
    </row>
    <row r="28" spans="2:21" ht="15">
      <c r="B28" s="215" t="s">
        <v>424</v>
      </c>
      <c r="C28" s="216">
        <f t="shared" ref="C28:E28" si="12">C23-C24-C26</f>
        <v>56186</v>
      </c>
      <c r="D28" s="216">
        <f t="shared" si="12"/>
        <v>-4103</v>
      </c>
      <c r="E28" s="216">
        <f t="shared" si="12"/>
        <v>34090</v>
      </c>
      <c r="F28" s="216">
        <f t="shared" ref="F28:H28" si="13">F23-F24-F26</f>
        <v>-1956</v>
      </c>
      <c r="G28" s="216">
        <f t="shared" ref="G28" si="14">G23-G24-G26</f>
        <v>-33709</v>
      </c>
      <c r="H28" s="216">
        <f t="shared" si="13"/>
        <v>-1826.5</v>
      </c>
      <c r="I28" s="216">
        <f t="shared" ref="I28" si="15">I23-I24-I26</f>
        <v>47670</v>
      </c>
      <c r="J28" s="218">
        <v>302058</v>
      </c>
      <c r="K28" s="211" t="s">
        <v>1479</v>
      </c>
      <c r="M28" s="869">
        <f>+M27*1.36</f>
        <v>302194720</v>
      </c>
      <c r="N28" s="211" t="s">
        <v>1486</v>
      </c>
      <c r="O28" s="283">
        <f>+M28*0.35</f>
        <v>105768152</v>
      </c>
      <c r="P28" s="945">
        <v>195828000</v>
      </c>
      <c r="Q28" s="1060">
        <f t="shared" ref="Q28:Q29" si="16">+O28-P28</f>
        <v>-90059848</v>
      </c>
    </row>
    <row r="29" spans="2:21">
      <c r="B29" s="220" t="s">
        <v>298</v>
      </c>
      <c r="C29" s="221">
        <f t="shared" ref="C29:E29" si="17">+C28*0.35</f>
        <v>19665.099999999999</v>
      </c>
      <c r="D29" s="221">
        <f t="shared" si="17"/>
        <v>-1436.05</v>
      </c>
      <c r="E29" s="221">
        <f t="shared" si="17"/>
        <v>11931.5</v>
      </c>
      <c r="F29" s="221">
        <f t="shared" ref="F29:H29" si="18">+F28*0.35</f>
        <v>-684.59999999999991</v>
      </c>
      <c r="G29" s="221">
        <f t="shared" ref="G29" si="19">+G28*0.35</f>
        <v>-11798.15</v>
      </c>
      <c r="H29" s="221">
        <f t="shared" si="18"/>
        <v>-639.27499999999998</v>
      </c>
      <c r="I29" s="221">
        <f>+I28*0.35-1</f>
        <v>16683.5</v>
      </c>
      <c r="J29" s="222"/>
      <c r="K29" s="283">
        <f>+I29-DATOS!D202</f>
        <v>0.5</v>
      </c>
      <c r="L29" s="869"/>
      <c r="M29" s="869">
        <f>+M27*1.25</f>
        <v>277752500</v>
      </c>
      <c r="N29" s="211" t="s">
        <v>1487</v>
      </c>
      <c r="O29" s="283">
        <f t="shared" ref="O29:O30" si="20">+M29*0.35</f>
        <v>97213375</v>
      </c>
      <c r="P29" s="945">
        <v>195828000</v>
      </c>
      <c r="Q29" s="1060">
        <f t="shared" si="16"/>
        <v>-98614625</v>
      </c>
    </row>
    <row r="30" spans="2:21">
      <c r="B30" s="214"/>
      <c r="C30" s="217"/>
      <c r="D30" s="217"/>
      <c r="E30" s="217"/>
      <c r="F30" s="217"/>
      <c r="G30" s="217"/>
      <c r="H30" s="217"/>
      <c r="I30" s="217"/>
      <c r="J30" s="218"/>
      <c r="K30" s="1078">
        <f>+K29/8</f>
        <v>6.25E-2</v>
      </c>
      <c r="L30" s="283"/>
      <c r="O30" s="283">
        <f t="shared" si="20"/>
        <v>0</v>
      </c>
    </row>
    <row r="31" spans="2:21" s="297" customFormat="1" ht="18">
      <c r="B31" s="298" t="s">
        <v>299</v>
      </c>
      <c r="C31" s="299">
        <f t="shared" ref="C31:E31" si="21">+C29-C30</f>
        <v>19665.099999999999</v>
      </c>
      <c r="D31" s="299">
        <f t="shared" si="21"/>
        <v>-1436.05</v>
      </c>
      <c r="E31" s="299">
        <f t="shared" si="21"/>
        <v>11931.5</v>
      </c>
      <c r="F31" s="299">
        <f t="shared" ref="F31:H31" si="22">+F29-F30</f>
        <v>-684.59999999999991</v>
      </c>
      <c r="G31" s="299">
        <f t="shared" ref="G31" si="23">+G29-G30</f>
        <v>-11798.15</v>
      </c>
      <c r="H31" s="299">
        <f t="shared" si="22"/>
        <v>-639.27499999999998</v>
      </c>
      <c r="I31" s="299">
        <f t="shared" ref="I31" si="24">+I29-I30</f>
        <v>16683.5</v>
      </c>
      <c r="J31" s="829" t="s">
        <v>300</v>
      </c>
      <c r="K31" s="925"/>
      <c r="L31" s="300"/>
      <c r="M31" s="1040"/>
      <c r="N31" s="300"/>
      <c r="O31" s="925"/>
      <c r="P31" s="300"/>
      <c r="Q31" s="300"/>
      <c r="R31" s="300"/>
      <c r="S31" s="300"/>
      <c r="T31" s="300"/>
      <c r="U31" s="300"/>
    </row>
    <row r="32" spans="2:21">
      <c r="B32" s="214"/>
      <c r="C32" s="217"/>
      <c r="D32" s="217"/>
      <c r="E32" s="217"/>
      <c r="F32" s="217"/>
      <c r="G32" s="217"/>
      <c r="H32" s="217"/>
      <c r="I32" s="217"/>
      <c r="J32" s="218"/>
    </row>
    <row r="33" spans="2:12">
      <c r="B33" s="214" t="s">
        <v>301</v>
      </c>
      <c r="C33" s="223">
        <v>0</v>
      </c>
      <c r="D33" s="223">
        <v>0</v>
      </c>
      <c r="E33" s="223">
        <v>0</v>
      </c>
      <c r="F33" s="223">
        <v>0</v>
      </c>
      <c r="G33" s="223">
        <v>0</v>
      </c>
      <c r="H33" s="223">
        <v>0</v>
      </c>
      <c r="I33" s="223">
        <f t="shared" ref="I33:I37" si="25">SUM(C33:H33)</f>
        <v>0</v>
      </c>
      <c r="J33" s="218"/>
      <c r="L33" s="869"/>
    </row>
    <row r="34" spans="2:12">
      <c r="B34" s="214" t="s">
        <v>302</v>
      </c>
      <c r="C34" s="223"/>
      <c r="D34" s="223"/>
      <c r="E34" s="223"/>
      <c r="F34" s="223"/>
      <c r="G34" s="223"/>
      <c r="H34" s="223"/>
      <c r="I34" s="223">
        <f t="shared" si="25"/>
        <v>0</v>
      </c>
      <c r="J34" s="218"/>
    </row>
    <row r="35" spans="2:12">
      <c r="B35" s="214" t="s">
        <v>303</v>
      </c>
      <c r="C35" s="223">
        <v>3924</v>
      </c>
      <c r="D35" s="223">
        <v>4249</v>
      </c>
      <c r="E35" s="223">
        <v>4427</v>
      </c>
      <c r="F35" s="223">
        <v>4055</v>
      </c>
      <c r="G35" s="223">
        <f>3848-7</f>
        <v>3841</v>
      </c>
      <c r="H35" s="223">
        <v>4062</v>
      </c>
      <c r="I35" s="223">
        <f t="shared" si="25"/>
        <v>24558</v>
      </c>
      <c r="J35" s="218"/>
    </row>
    <row r="36" spans="2:12">
      <c r="B36" s="214" t="s">
        <v>304</v>
      </c>
      <c r="C36" s="223">
        <v>18788</v>
      </c>
      <c r="D36" s="223">
        <v>18117</v>
      </c>
      <c r="E36" s="223">
        <v>5935</v>
      </c>
      <c r="F36" s="223">
        <v>5568</v>
      </c>
      <c r="G36" s="223">
        <v>5603</v>
      </c>
      <c r="H36" s="223">
        <v>5399</v>
      </c>
      <c r="I36" s="223">
        <f t="shared" si="25"/>
        <v>59410</v>
      </c>
      <c r="J36" s="218"/>
    </row>
    <row r="37" spans="2:12">
      <c r="B37" s="214" t="s">
        <v>841</v>
      </c>
      <c r="C37" s="223"/>
      <c r="D37" s="223"/>
      <c r="E37" s="223"/>
      <c r="F37" s="223"/>
      <c r="G37" s="223"/>
      <c r="H37" s="223"/>
      <c r="I37" s="223">
        <f t="shared" si="25"/>
        <v>0</v>
      </c>
      <c r="J37" s="218"/>
    </row>
    <row r="38" spans="2:12">
      <c r="B38" s="214"/>
      <c r="C38" s="567"/>
      <c r="D38" s="567"/>
      <c r="E38" s="567"/>
      <c r="F38" s="567"/>
      <c r="G38" s="567"/>
      <c r="H38" s="567"/>
      <c r="J38" s="213"/>
    </row>
    <row r="39" spans="2:12" ht="15">
      <c r="B39" s="215" t="s">
        <v>305</v>
      </c>
      <c r="C39" s="224">
        <f t="shared" ref="C39:E39" si="26">C31-C33-C35-C36</f>
        <v>-3046.9000000000015</v>
      </c>
      <c r="D39" s="224">
        <f t="shared" si="26"/>
        <v>-23802.05</v>
      </c>
      <c r="E39" s="224">
        <f t="shared" si="26"/>
        <v>1569.5</v>
      </c>
      <c r="F39" s="224">
        <f t="shared" ref="F39:H39" si="27">F31-F33-F35-F36</f>
        <v>-10307.6</v>
      </c>
      <c r="G39" s="224">
        <f t="shared" ref="G39" si="28">G31-G33-G35-G36</f>
        <v>-21242.15</v>
      </c>
      <c r="H39" s="224">
        <f t="shared" si="27"/>
        <v>-10100.275</v>
      </c>
      <c r="I39" s="224">
        <f>I31-I33-I35-I36+I37</f>
        <v>-67284.5</v>
      </c>
      <c r="J39" s="213"/>
    </row>
    <row r="40" spans="2:12" ht="15">
      <c r="B40" s="214"/>
      <c r="C40" s="250" t="str">
        <f t="shared" ref="C40:E40" si="29">+IF(C39&gt;=0,"A PAGAR","A FAVOR")</f>
        <v>A FAVOR</v>
      </c>
      <c r="D40" s="250" t="str">
        <f t="shared" si="29"/>
        <v>A FAVOR</v>
      </c>
      <c r="E40" s="250" t="str">
        <f t="shared" si="29"/>
        <v>A PAGAR</v>
      </c>
      <c r="F40" s="250" t="str">
        <f t="shared" ref="F40:H40" si="30">+IF(F39&gt;=0,"A PAGAR","A FAVOR")</f>
        <v>A FAVOR</v>
      </c>
      <c r="G40" s="250" t="str">
        <f t="shared" ref="G40" si="31">+IF(G39&gt;=0,"A PAGAR","A FAVOR")</f>
        <v>A FAVOR</v>
      </c>
      <c r="H40" s="250" t="str">
        <f t="shared" si="30"/>
        <v>A FAVOR</v>
      </c>
      <c r="I40" s="250" t="str">
        <f t="shared" ref="I40" si="32">+IF(I39&gt;=0,"A PAGAR","A FAVOR")</f>
        <v>A FAVOR</v>
      </c>
      <c r="J40" s="213"/>
    </row>
    <row r="41" spans="2:12" ht="15">
      <c r="B41" s="805" t="s">
        <v>306</v>
      </c>
      <c r="C41" s="251" t="str">
        <f t="shared" ref="C41:E41" si="33">+IF(C39&gt;0,"SI","NO")</f>
        <v>NO</v>
      </c>
      <c r="D41" s="251" t="str">
        <f t="shared" si="33"/>
        <v>NO</v>
      </c>
      <c r="E41" s="251" t="str">
        <f t="shared" si="33"/>
        <v>SI</v>
      </c>
      <c r="F41" s="251" t="str">
        <f t="shared" ref="F41:H41" si="34">+IF(F39&gt;0,"SI","NO")</f>
        <v>NO</v>
      </c>
      <c r="G41" s="251" t="str">
        <f t="shared" ref="G41" si="35">+IF(G39&gt;0,"SI","NO")</f>
        <v>NO</v>
      </c>
      <c r="H41" s="251" t="str">
        <f t="shared" si="34"/>
        <v>NO</v>
      </c>
      <c r="I41" s="251" t="str">
        <f t="shared" ref="I41" si="36">+IF(I39&gt;0,"SI","NO")</f>
        <v>NO</v>
      </c>
      <c r="J41" s="225"/>
    </row>
    <row r="42" spans="2:12">
      <c r="B42" s="214"/>
      <c r="J42" s="213"/>
    </row>
    <row r="43" spans="2:12" ht="15" thickBot="1">
      <c r="B43" s="212"/>
      <c r="C43" s="226"/>
      <c r="D43" s="226"/>
      <c r="E43" s="226"/>
      <c r="F43" s="226"/>
      <c r="G43" s="226"/>
      <c r="H43" s="226"/>
      <c r="I43" s="226"/>
      <c r="J43" s="227"/>
    </row>
    <row r="44" spans="2:12" ht="15" thickBot="1"/>
    <row r="45" spans="2:12" ht="16.5" outlineLevel="1" thickBot="1">
      <c r="B45" s="818" t="s">
        <v>471</v>
      </c>
      <c r="K45" s="211"/>
    </row>
    <row r="46" spans="2:12" ht="15" outlineLevel="1">
      <c r="B46" s="819" t="s">
        <v>835</v>
      </c>
      <c r="J46" s="283"/>
      <c r="K46" s="211"/>
    </row>
    <row r="47" spans="2:12" ht="15" outlineLevel="1">
      <c r="B47" s="820" t="s">
        <v>836</v>
      </c>
      <c r="K47" s="211"/>
    </row>
    <row r="48" spans="2:12" ht="15" outlineLevel="1">
      <c r="B48" s="820" t="s">
        <v>837</v>
      </c>
      <c r="K48" s="211"/>
    </row>
    <row r="49" spans="2:11" ht="15" outlineLevel="1">
      <c r="B49" s="820" t="s">
        <v>838</v>
      </c>
      <c r="K49" s="211"/>
    </row>
    <row r="50" spans="2:11" ht="15" outlineLevel="1">
      <c r="B50" s="820" t="s">
        <v>839</v>
      </c>
      <c r="K50" s="211"/>
    </row>
    <row r="51" spans="2:11" ht="15.75" outlineLevel="1" thickBot="1">
      <c r="B51" s="821" t="s">
        <v>840</v>
      </c>
      <c r="K51" s="211"/>
    </row>
    <row r="52" spans="2:11" outlineLevel="1"/>
    <row r="53" spans="2:11" ht="15" outlineLevel="1" thickBot="1"/>
    <row r="54" spans="2:11" outlineLevel="1">
      <c r="B54" s="822" t="s">
        <v>472</v>
      </c>
      <c r="K54" s="211"/>
    </row>
    <row r="55" spans="2:11" ht="15" outlineLevel="1" thickBot="1">
      <c r="B55" s="823" t="s">
        <v>842</v>
      </c>
      <c r="K55" s="211"/>
    </row>
    <row r="56" spans="2:11" outlineLevel="1"/>
    <row r="57" spans="2:11" ht="15" outlineLevel="1" thickBot="1"/>
    <row r="58" spans="2:11" ht="15" outlineLevel="1">
      <c r="B58" s="827" t="s">
        <v>829</v>
      </c>
      <c r="C58" s="828"/>
      <c r="D58" s="828"/>
      <c r="E58" s="828"/>
      <c r="F58" s="828"/>
      <c r="G58" s="828"/>
      <c r="H58" s="828"/>
      <c r="I58" s="828"/>
      <c r="J58" s="828"/>
      <c r="K58" s="926" t="s">
        <v>247</v>
      </c>
    </row>
    <row r="59" spans="2:11" ht="15" outlineLevel="1" thickBot="1">
      <c r="B59" s="824" t="s">
        <v>831</v>
      </c>
      <c r="C59" s="825">
        <v>3292</v>
      </c>
      <c r="D59" s="825">
        <v>3228</v>
      </c>
      <c r="E59" s="825">
        <v>3021</v>
      </c>
      <c r="F59" s="825">
        <v>3185</v>
      </c>
      <c r="G59" s="825">
        <v>2809</v>
      </c>
      <c r="H59" s="825">
        <v>3090</v>
      </c>
      <c r="I59" s="825"/>
      <c r="J59" s="825">
        <v>0</v>
      </c>
      <c r="K59" s="826">
        <f>SUM(C59:J59)</f>
        <v>18625</v>
      </c>
    </row>
  </sheetData>
  <mergeCells count="6">
    <mergeCell ref="J13:J20"/>
    <mergeCell ref="B1:J1"/>
    <mergeCell ref="B2:J2"/>
    <mergeCell ref="B3:J3"/>
    <mergeCell ref="B4:J4"/>
    <mergeCell ref="B5:J5"/>
  </mergeCells>
  <phoneticPr fontId="339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4">
    <tabColor theme="6" tint="0.59999389629810485"/>
  </sheetPr>
  <dimension ref="A1:W88"/>
  <sheetViews>
    <sheetView showGridLines="0" topLeftCell="A40" zoomScale="75" zoomScaleNormal="75" workbookViewId="0">
      <selection activeCell="Q72" sqref="Q72"/>
    </sheetView>
  </sheetViews>
  <sheetFormatPr baseColWidth="10" defaultRowHeight="12.75"/>
  <cols>
    <col min="1" max="1" width="31.28515625" style="4" customWidth="1"/>
    <col min="2" max="2" width="3.42578125" style="7" customWidth="1"/>
    <col min="3" max="3" width="15.85546875" style="8" bestFit="1" customWidth="1"/>
    <col min="4" max="4" width="9.28515625" style="9" bestFit="1" customWidth="1"/>
    <col min="5" max="5" width="3" style="9" customWidth="1"/>
    <col min="6" max="6" width="15.42578125" style="8" bestFit="1" customWidth="1"/>
    <col min="7" max="7" width="9.28515625" style="11" bestFit="1" customWidth="1"/>
    <col min="8" max="8" width="3" style="11" customWidth="1"/>
    <col min="9" max="9" width="13.7109375" style="11" customWidth="1"/>
    <col min="10" max="10" width="12.7109375" style="11" customWidth="1"/>
    <col min="11" max="11" width="1.28515625" style="1" customWidth="1"/>
    <col min="12" max="12" width="42.28515625" style="1" bestFit="1" customWidth="1"/>
    <col min="13" max="13" width="2.42578125" style="1" customWidth="1"/>
    <col min="14" max="14" width="16" style="72" bestFit="1" customWidth="1"/>
    <col min="15" max="15" width="12" style="10" customWidth="1"/>
    <col min="16" max="16" width="3" style="1" customWidth="1"/>
    <col min="17" max="17" width="14.85546875" style="1" bestFit="1" customWidth="1"/>
    <col min="18" max="18" width="9.28515625" style="10" bestFit="1" customWidth="1"/>
    <col min="19" max="19" width="3.28515625" style="10" customWidth="1"/>
    <col min="20" max="20" width="15.42578125" style="1" bestFit="1" customWidth="1"/>
    <col min="21" max="21" width="14.7109375" style="1" customWidth="1"/>
    <col min="22" max="22" width="11.42578125" style="1"/>
    <col min="23" max="23" width="12.85546875" style="1" bestFit="1" customWidth="1"/>
    <col min="24" max="223" width="11.42578125" style="1"/>
    <col min="224" max="224" width="49.140625" style="1" customWidth="1"/>
    <col min="225" max="225" width="13.85546875" style="1" customWidth="1"/>
    <col min="226" max="226" width="18.28515625" style="1" customWidth="1"/>
    <col min="227" max="227" width="18" style="1" customWidth="1"/>
    <col min="228" max="479" width="11.42578125" style="1"/>
    <col min="480" max="480" width="49.140625" style="1" customWidth="1"/>
    <col min="481" max="481" width="13.85546875" style="1" customWidth="1"/>
    <col min="482" max="482" width="18.28515625" style="1" customWidth="1"/>
    <col min="483" max="483" width="18" style="1" customWidth="1"/>
    <col min="484" max="735" width="11.42578125" style="1"/>
    <col min="736" max="736" width="49.140625" style="1" customWidth="1"/>
    <col min="737" max="737" width="13.85546875" style="1" customWidth="1"/>
    <col min="738" max="738" width="18.28515625" style="1" customWidth="1"/>
    <col min="739" max="739" width="18" style="1" customWidth="1"/>
    <col min="740" max="991" width="11.42578125" style="1"/>
    <col min="992" max="992" width="49.140625" style="1" customWidth="1"/>
    <col min="993" max="993" width="13.85546875" style="1" customWidth="1"/>
    <col min="994" max="994" width="18.28515625" style="1" customWidth="1"/>
    <col min="995" max="995" width="18" style="1" customWidth="1"/>
    <col min="996" max="1247" width="11.42578125" style="1"/>
    <col min="1248" max="1248" width="49.140625" style="1" customWidth="1"/>
    <col min="1249" max="1249" width="13.85546875" style="1" customWidth="1"/>
    <col min="1250" max="1250" width="18.28515625" style="1" customWidth="1"/>
    <col min="1251" max="1251" width="18" style="1" customWidth="1"/>
    <col min="1252" max="1503" width="11.42578125" style="1"/>
    <col min="1504" max="1504" width="49.140625" style="1" customWidth="1"/>
    <col min="1505" max="1505" width="13.85546875" style="1" customWidth="1"/>
    <col min="1506" max="1506" width="18.28515625" style="1" customWidth="1"/>
    <col min="1507" max="1507" width="18" style="1" customWidth="1"/>
    <col min="1508" max="1759" width="11.42578125" style="1"/>
    <col min="1760" max="1760" width="49.140625" style="1" customWidth="1"/>
    <col min="1761" max="1761" width="13.85546875" style="1" customWidth="1"/>
    <col min="1762" max="1762" width="18.28515625" style="1" customWidth="1"/>
    <col min="1763" max="1763" width="18" style="1" customWidth="1"/>
    <col min="1764" max="2015" width="11.42578125" style="1"/>
    <col min="2016" max="2016" width="49.140625" style="1" customWidth="1"/>
    <col min="2017" max="2017" width="13.85546875" style="1" customWidth="1"/>
    <col min="2018" max="2018" width="18.28515625" style="1" customWidth="1"/>
    <col min="2019" max="2019" width="18" style="1" customWidth="1"/>
    <col min="2020" max="2271" width="11.42578125" style="1"/>
    <col min="2272" max="2272" width="49.140625" style="1" customWidth="1"/>
    <col min="2273" max="2273" width="13.85546875" style="1" customWidth="1"/>
    <col min="2274" max="2274" width="18.28515625" style="1" customWidth="1"/>
    <col min="2275" max="2275" width="18" style="1" customWidth="1"/>
    <col min="2276" max="2527" width="11.42578125" style="1"/>
    <col min="2528" max="2528" width="49.140625" style="1" customWidth="1"/>
    <col min="2529" max="2529" width="13.85546875" style="1" customWidth="1"/>
    <col min="2530" max="2530" width="18.28515625" style="1" customWidth="1"/>
    <col min="2531" max="2531" width="18" style="1" customWidth="1"/>
    <col min="2532" max="2783" width="11.42578125" style="1"/>
    <col min="2784" max="2784" width="49.140625" style="1" customWidth="1"/>
    <col min="2785" max="2785" width="13.85546875" style="1" customWidth="1"/>
    <col min="2786" max="2786" width="18.28515625" style="1" customWidth="1"/>
    <col min="2787" max="2787" width="18" style="1" customWidth="1"/>
    <col min="2788" max="3039" width="11.42578125" style="1"/>
    <col min="3040" max="3040" width="49.140625" style="1" customWidth="1"/>
    <col min="3041" max="3041" width="13.85546875" style="1" customWidth="1"/>
    <col min="3042" max="3042" width="18.28515625" style="1" customWidth="1"/>
    <col min="3043" max="3043" width="18" style="1" customWidth="1"/>
    <col min="3044" max="3295" width="11.42578125" style="1"/>
    <col min="3296" max="3296" width="49.140625" style="1" customWidth="1"/>
    <col min="3297" max="3297" width="13.85546875" style="1" customWidth="1"/>
    <col min="3298" max="3298" width="18.28515625" style="1" customWidth="1"/>
    <col min="3299" max="3299" width="18" style="1" customWidth="1"/>
    <col min="3300" max="3551" width="11.42578125" style="1"/>
    <col min="3552" max="3552" width="49.140625" style="1" customWidth="1"/>
    <col min="3553" max="3553" width="13.85546875" style="1" customWidth="1"/>
    <col min="3554" max="3554" width="18.28515625" style="1" customWidth="1"/>
    <col min="3555" max="3555" width="18" style="1" customWidth="1"/>
    <col min="3556" max="3807" width="11.42578125" style="1"/>
    <col min="3808" max="3808" width="49.140625" style="1" customWidth="1"/>
    <col min="3809" max="3809" width="13.85546875" style="1" customWidth="1"/>
    <col min="3810" max="3810" width="18.28515625" style="1" customWidth="1"/>
    <col min="3811" max="3811" width="18" style="1" customWidth="1"/>
    <col min="3812" max="4063" width="11.42578125" style="1"/>
    <col min="4064" max="4064" width="49.140625" style="1" customWidth="1"/>
    <col min="4065" max="4065" width="13.85546875" style="1" customWidth="1"/>
    <col min="4066" max="4066" width="18.28515625" style="1" customWidth="1"/>
    <col min="4067" max="4067" width="18" style="1" customWidth="1"/>
    <col min="4068" max="4319" width="11.42578125" style="1"/>
    <col min="4320" max="4320" width="49.140625" style="1" customWidth="1"/>
    <col min="4321" max="4321" width="13.85546875" style="1" customWidth="1"/>
    <col min="4322" max="4322" width="18.28515625" style="1" customWidth="1"/>
    <col min="4323" max="4323" width="18" style="1" customWidth="1"/>
    <col min="4324" max="4575" width="11.42578125" style="1"/>
    <col min="4576" max="4576" width="49.140625" style="1" customWidth="1"/>
    <col min="4577" max="4577" width="13.85546875" style="1" customWidth="1"/>
    <col min="4578" max="4578" width="18.28515625" style="1" customWidth="1"/>
    <col min="4579" max="4579" width="18" style="1" customWidth="1"/>
    <col min="4580" max="4831" width="11.42578125" style="1"/>
    <col min="4832" max="4832" width="49.140625" style="1" customWidth="1"/>
    <col min="4833" max="4833" width="13.85546875" style="1" customWidth="1"/>
    <col min="4834" max="4834" width="18.28515625" style="1" customWidth="1"/>
    <col min="4835" max="4835" width="18" style="1" customWidth="1"/>
    <col min="4836" max="5087" width="11.42578125" style="1"/>
    <col min="5088" max="5088" width="49.140625" style="1" customWidth="1"/>
    <col min="5089" max="5089" width="13.85546875" style="1" customWidth="1"/>
    <col min="5090" max="5090" width="18.28515625" style="1" customWidth="1"/>
    <col min="5091" max="5091" width="18" style="1" customWidth="1"/>
    <col min="5092" max="5343" width="11.42578125" style="1"/>
    <col min="5344" max="5344" width="49.140625" style="1" customWidth="1"/>
    <col min="5345" max="5345" width="13.85546875" style="1" customWidth="1"/>
    <col min="5346" max="5346" width="18.28515625" style="1" customWidth="1"/>
    <col min="5347" max="5347" width="18" style="1" customWidth="1"/>
    <col min="5348" max="5599" width="11.42578125" style="1"/>
    <col min="5600" max="5600" width="49.140625" style="1" customWidth="1"/>
    <col min="5601" max="5601" width="13.85546875" style="1" customWidth="1"/>
    <col min="5602" max="5602" width="18.28515625" style="1" customWidth="1"/>
    <col min="5603" max="5603" width="18" style="1" customWidth="1"/>
    <col min="5604" max="5855" width="11.42578125" style="1"/>
    <col min="5856" max="5856" width="49.140625" style="1" customWidth="1"/>
    <col min="5857" max="5857" width="13.85546875" style="1" customWidth="1"/>
    <col min="5858" max="5858" width="18.28515625" style="1" customWidth="1"/>
    <col min="5859" max="5859" width="18" style="1" customWidth="1"/>
    <col min="5860" max="6111" width="11.42578125" style="1"/>
    <col min="6112" max="6112" width="49.140625" style="1" customWidth="1"/>
    <col min="6113" max="6113" width="13.85546875" style="1" customWidth="1"/>
    <col min="6114" max="6114" width="18.28515625" style="1" customWidth="1"/>
    <col min="6115" max="6115" width="18" style="1" customWidth="1"/>
    <col min="6116" max="6367" width="11.42578125" style="1"/>
    <col min="6368" max="6368" width="49.140625" style="1" customWidth="1"/>
    <col min="6369" max="6369" width="13.85546875" style="1" customWidth="1"/>
    <col min="6370" max="6370" width="18.28515625" style="1" customWidth="1"/>
    <col min="6371" max="6371" width="18" style="1" customWidth="1"/>
    <col min="6372" max="6623" width="11.42578125" style="1"/>
    <col min="6624" max="6624" width="49.140625" style="1" customWidth="1"/>
    <col min="6625" max="6625" width="13.85546875" style="1" customWidth="1"/>
    <col min="6626" max="6626" width="18.28515625" style="1" customWidth="1"/>
    <col min="6627" max="6627" width="18" style="1" customWidth="1"/>
    <col min="6628" max="6879" width="11.42578125" style="1"/>
    <col min="6880" max="6880" width="49.140625" style="1" customWidth="1"/>
    <col min="6881" max="6881" width="13.85546875" style="1" customWidth="1"/>
    <col min="6882" max="6882" width="18.28515625" style="1" customWidth="1"/>
    <col min="6883" max="6883" width="18" style="1" customWidth="1"/>
    <col min="6884" max="7135" width="11.42578125" style="1"/>
    <col min="7136" max="7136" width="49.140625" style="1" customWidth="1"/>
    <col min="7137" max="7137" width="13.85546875" style="1" customWidth="1"/>
    <col min="7138" max="7138" width="18.28515625" style="1" customWidth="1"/>
    <col min="7139" max="7139" width="18" style="1" customWidth="1"/>
    <col min="7140" max="7391" width="11.42578125" style="1"/>
    <col min="7392" max="7392" width="49.140625" style="1" customWidth="1"/>
    <col min="7393" max="7393" width="13.85546875" style="1" customWidth="1"/>
    <col min="7394" max="7394" width="18.28515625" style="1" customWidth="1"/>
    <col min="7395" max="7395" width="18" style="1" customWidth="1"/>
    <col min="7396" max="7647" width="11.42578125" style="1"/>
    <col min="7648" max="7648" width="49.140625" style="1" customWidth="1"/>
    <col min="7649" max="7649" width="13.85546875" style="1" customWidth="1"/>
    <col min="7650" max="7650" width="18.28515625" style="1" customWidth="1"/>
    <col min="7651" max="7651" width="18" style="1" customWidth="1"/>
    <col min="7652" max="7903" width="11.42578125" style="1"/>
    <col min="7904" max="7904" width="49.140625" style="1" customWidth="1"/>
    <col min="7905" max="7905" width="13.85546875" style="1" customWidth="1"/>
    <col min="7906" max="7906" width="18.28515625" style="1" customWidth="1"/>
    <col min="7907" max="7907" width="18" style="1" customWidth="1"/>
    <col min="7908" max="8159" width="11.42578125" style="1"/>
    <col min="8160" max="8160" width="49.140625" style="1" customWidth="1"/>
    <col min="8161" max="8161" width="13.85546875" style="1" customWidth="1"/>
    <col min="8162" max="8162" width="18.28515625" style="1" customWidth="1"/>
    <col min="8163" max="8163" width="18" style="1" customWidth="1"/>
    <col min="8164" max="8415" width="11.42578125" style="1"/>
    <col min="8416" max="8416" width="49.140625" style="1" customWidth="1"/>
    <col min="8417" max="8417" width="13.85546875" style="1" customWidth="1"/>
    <col min="8418" max="8418" width="18.28515625" style="1" customWidth="1"/>
    <col min="8419" max="8419" width="18" style="1" customWidth="1"/>
    <col min="8420" max="8671" width="11.42578125" style="1"/>
    <col min="8672" max="8672" width="49.140625" style="1" customWidth="1"/>
    <col min="8673" max="8673" width="13.85546875" style="1" customWidth="1"/>
    <col min="8674" max="8674" width="18.28515625" style="1" customWidth="1"/>
    <col min="8675" max="8675" width="18" style="1" customWidth="1"/>
    <col min="8676" max="8927" width="11.42578125" style="1"/>
    <col min="8928" max="8928" width="49.140625" style="1" customWidth="1"/>
    <col min="8929" max="8929" width="13.85546875" style="1" customWidth="1"/>
    <col min="8930" max="8930" width="18.28515625" style="1" customWidth="1"/>
    <col min="8931" max="8931" width="18" style="1" customWidth="1"/>
    <col min="8932" max="9183" width="11.42578125" style="1"/>
    <col min="9184" max="9184" width="49.140625" style="1" customWidth="1"/>
    <col min="9185" max="9185" width="13.85546875" style="1" customWidth="1"/>
    <col min="9186" max="9186" width="18.28515625" style="1" customWidth="1"/>
    <col min="9187" max="9187" width="18" style="1" customWidth="1"/>
    <col min="9188" max="9439" width="11.42578125" style="1"/>
    <col min="9440" max="9440" width="49.140625" style="1" customWidth="1"/>
    <col min="9441" max="9441" width="13.85546875" style="1" customWidth="1"/>
    <col min="9442" max="9442" width="18.28515625" style="1" customWidth="1"/>
    <col min="9443" max="9443" width="18" style="1" customWidth="1"/>
    <col min="9444" max="9695" width="11.42578125" style="1"/>
    <col min="9696" max="9696" width="49.140625" style="1" customWidth="1"/>
    <col min="9697" max="9697" width="13.85546875" style="1" customWidth="1"/>
    <col min="9698" max="9698" width="18.28515625" style="1" customWidth="1"/>
    <col min="9699" max="9699" width="18" style="1" customWidth="1"/>
    <col min="9700" max="9951" width="11.42578125" style="1"/>
    <col min="9952" max="9952" width="49.140625" style="1" customWidth="1"/>
    <col min="9953" max="9953" width="13.85546875" style="1" customWidth="1"/>
    <col min="9954" max="9954" width="18.28515625" style="1" customWidth="1"/>
    <col min="9955" max="9955" width="18" style="1" customWidth="1"/>
    <col min="9956" max="10207" width="11.42578125" style="1"/>
    <col min="10208" max="10208" width="49.140625" style="1" customWidth="1"/>
    <col min="10209" max="10209" width="13.85546875" style="1" customWidth="1"/>
    <col min="10210" max="10210" width="18.28515625" style="1" customWidth="1"/>
    <col min="10211" max="10211" width="18" style="1" customWidth="1"/>
    <col min="10212" max="10463" width="11.42578125" style="1"/>
    <col min="10464" max="10464" width="49.140625" style="1" customWidth="1"/>
    <col min="10465" max="10465" width="13.85546875" style="1" customWidth="1"/>
    <col min="10466" max="10466" width="18.28515625" style="1" customWidth="1"/>
    <col min="10467" max="10467" width="18" style="1" customWidth="1"/>
    <col min="10468" max="10719" width="11.42578125" style="1"/>
    <col min="10720" max="10720" width="49.140625" style="1" customWidth="1"/>
    <col min="10721" max="10721" width="13.85546875" style="1" customWidth="1"/>
    <col min="10722" max="10722" width="18.28515625" style="1" customWidth="1"/>
    <col min="10723" max="10723" width="18" style="1" customWidth="1"/>
    <col min="10724" max="10975" width="11.42578125" style="1"/>
    <col min="10976" max="10976" width="49.140625" style="1" customWidth="1"/>
    <col min="10977" max="10977" width="13.85546875" style="1" customWidth="1"/>
    <col min="10978" max="10978" width="18.28515625" style="1" customWidth="1"/>
    <col min="10979" max="10979" width="18" style="1" customWidth="1"/>
    <col min="10980" max="11231" width="11.42578125" style="1"/>
    <col min="11232" max="11232" width="49.140625" style="1" customWidth="1"/>
    <col min="11233" max="11233" width="13.85546875" style="1" customWidth="1"/>
    <col min="11234" max="11234" width="18.28515625" style="1" customWidth="1"/>
    <col min="11235" max="11235" width="18" style="1" customWidth="1"/>
    <col min="11236" max="11487" width="11.42578125" style="1"/>
    <col min="11488" max="11488" width="49.140625" style="1" customWidth="1"/>
    <col min="11489" max="11489" width="13.85546875" style="1" customWidth="1"/>
    <col min="11490" max="11490" width="18.28515625" style="1" customWidth="1"/>
    <col min="11491" max="11491" width="18" style="1" customWidth="1"/>
    <col min="11492" max="11743" width="11.42578125" style="1"/>
    <col min="11744" max="11744" width="49.140625" style="1" customWidth="1"/>
    <col min="11745" max="11745" width="13.85546875" style="1" customWidth="1"/>
    <col min="11746" max="11746" width="18.28515625" style="1" customWidth="1"/>
    <col min="11747" max="11747" width="18" style="1" customWidth="1"/>
    <col min="11748" max="11999" width="11.42578125" style="1"/>
    <col min="12000" max="12000" width="49.140625" style="1" customWidth="1"/>
    <col min="12001" max="12001" width="13.85546875" style="1" customWidth="1"/>
    <col min="12002" max="12002" width="18.28515625" style="1" customWidth="1"/>
    <col min="12003" max="12003" width="18" style="1" customWidth="1"/>
    <col min="12004" max="12255" width="11.42578125" style="1"/>
    <col min="12256" max="12256" width="49.140625" style="1" customWidth="1"/>
    <col min="12257" max="12257" width="13.85546875" style="1" customWidth="1"/>
    <col min="12258" max="12258" width="18.28515625" style="1" customWidth="1"/>
    <col min="12259" max="12259" width="18" style="1" customWidth="1"/>
    <col min="12260" max="12511" width="11.42578125" style="1"/>
    <col min="12512" max="12512" width="49.140625" style="1" customWidth="1"/>
    <col min="12513" max="12513" width="13.85546875" style="1" customWidth="1"/>
    <col min="12514" max="12514" width="18.28515625" style="1" customWidth="1"/>
    <col min="12515" max="12515" width="18" style="1" customWidth="1"/>
    <col min="12516" max="12767" width="11.42578125" style="1"/>
    <col min="12768" max="12768" width="49.140625" style="1" customWidth="1"/>
    <col min="12769" max="12769" width="13.85546875" style="1" customWidth="1"/>
    <col min="12770" max="12770" width="18.28515625" style="1" customWidth="1"/>
    <col min="12771" max="12771" width="18" style="1" customWidth="1"/>
    <col min="12772" max="13023" width="11.42578125" style="1"/>
    <col min="13024" max="13024" width="49.140625" style="1" customWidth="1"/>
    <col min="13025" max="13025" width="13.85546875" style="1" customWidth="1"/>
    <col min="13026" max="13026" width="18.28515625" style="1" customWidth="1"/>
    <col min="13027" max="13027" width="18" style="1" customWidth="1"/>
    <col min="13028" max="13279" width="11.42578125" style="1"/>
    <col min="13280" max="13280" width="49.140625" style="1" customWidth="1"/>
    <col min="13281" max="13281" width="13.85546875" style="1" customWidth="1"/>
    <col min="13282" max="13282" width="18.28515625" style="1" customWidth="1"/>
    <col min="13283" max="13283" width="18" style="1" customWidth="1"/>
    <col min="13284" max="13535" width="11.42578125" style="1"/>
    <col min="13536" max="13536" width="49.140625" style="1" customWidth="1"/>
    <col min="13537" max="13537" width="13.85546875" style="1" customWidth="1"/>
    <col min="13538" max="13538" width="18.28515625" style="1" customWidth="1"/>
    <col min="13539" max="13539" width="18" style="1" customWidth="1"/>
    <col min="13540" max="13791" width="11.42578125" style="1"/>
    <col min="13792" max="13792" width="49.140625" style="1" customWidth="1"/>
    <col min="13793" max="13793" width="13.85546875" style="1" customWidth="1"/>
    <col min="13794" max="13794" width="18.28515625" style="1" customWidth="1"/>
    <col min="13795" max="13795" width="18" style="1" customWidth="1"/>
    <col min="13796" max="14047" width="11.42578125" style="1"/>
    <col min="14048" max="14048" width="49.140625" style="1" customWidth="1"/>
    <col min="14049" max="14049" width="13.85546875" style="1" customWidth="1"/>
    <col min="14050" max="14050" width="18.28515625" style="1" customWidth="1"/>
    <col min="14051" max="14051" width="18" style="1" customWidth="1"/>
    <col min="14052" max="14303" width="11.42578125" style="1"/>
    <col min="14304" max="14304" width="49.140625" style="1" customWidth="1"/>
    <col min="14305" max="14305" width="13.85546875" style="1" customWidth="1"/>
    <col min="14306" max="14306" width="18.28515625" style="1" customWidth="1"/>
    <col min="14307" max="14307" width="18" style="1" customWidth="1"/>
    <col min="14308" max="14559" width="11.42578125" style="1"/>
    <col min="14560" max="14560" width="49.140625" style="1" customWidth="1"/>
    <col min="14561" max="14561" width="13.85546875" style="1" customWidth="1"/>
    <col min="14562" max="14562" width="18.28515625" style="1" customWidth="1"/>
    <col min="14563" max="14563" width="18" style="1" customWidth="1"/>
    <col min="14564" max="14815" width="11.42578125" style="1"/>
    <col min="14816" max="14816" width="49.140625" style="1" customWidth="1"/>
    <col min="14817" max="14817" width="13.85546875" style="1" customWidth="1"/>
    <col min="14818" max="14818" width="18.28515625" style="1" customWidth="1"/>
    <col min="14819" max="14819" width="18" style="1" customWidth="1"/>
    <col min="14820" max="15071" width="11.42578125" style="1"/>
    <col min="15072" max="15072" width="49.140625" style="1" customWidth="1"/>
    <col min="15073" max="15073" width="13.85546875" style="1" customWidth="1"/>
    <col min="15074" max="15074" width="18.28515625" style="1" customWidth="1"/>
    <col min="15075" max="15075" width="18" style="1" customWidth="1"/>
    <col min="15076" max="15327" width="11.42578125" style="1"/>
    <col min="15328" max="15328" width="49.140625" style="1" customWidth="1"/>
    <col min="15329" max="15329" width="13.85546875" style="1" customWidth="1"/>
    <col min="15330" max="15330" width="18.28515625" style="1" customWidth="1"/>
    <col min="15331" max="15331" width="18" style="1" customWidth="1"/>
    <col min="15332" max="15583" width="11.42578125" style="1"/>
    <col min="15584" max="15584" width="49.140625" style="1" customWidth="1"/>
    <col min="15585" max="15585" width="13.85546875" style="1" customWidth="1"/>
    <col min="15586" max="15586" width="18.28515625" style="1" customWidth="1"/>
    <col min="15587" max="15587" width="18" style="1" customWidth="1"/>
    <col min="15588" max="15839" width="11.42578125" style="1"/>
    <col min="15840" max="15840" width="49.140625" style="1" customWidth="1"/>
    <col min="15841" max="15841" width="13.85546875" style="1" customWidth="1"/>
    <col min="15842" max="15842" width="18.28515625" style="1" customWidth="1"/>
    <col min="15843" max="15843" width="18" style="1" customWidth="1"/>
    <col min="15844" max="16095" width="11.42578125" style="1"/>
    <col min="16096" max="16096" width="49.140625" style="1" customWidth="1"/>
    <col min="16097" max="16097" width="13.85546875" style="1" customWidth="1"/>
    <col min="16098" max="16098" width="18.28515625" style="1" customWidth="1"/>
    <col min="16099" max="16099" width="18" style="1" customWidth="1"/>
    <col min="16100" max="16384" width="11.42578125" style="1"/>
  </cols>
  <sheetData>
    <row r="1" spans="1:22" ht="15" customHeight="1">
      <c r="A1" s="1140"/>
      <c r="B1" s="1141"/>
      <c r="C1" s="1141"/>
      <c r="D1" s="1141"/>
      <c r="E1" s="1141"/>
      <c r="F1" s="1141"/>
      <c r="G1" s="1141"/>
      <c r="H1" s="1141"/>
      <c r="I1" s="1141"/>
      <c r="J1" s="1141"/>
      <c r="K1" s="1141"/>
      <c r="L1" s="1141"/>
      <c r="M1" s="1141"/>
      <c r="N1" s="1141"/>
      <c r="O1" s="1141"/>
      <c r="P1" s="1141"/>
      <c r="Q1" s="1141"/>
      <c r="R1" s="1141"/>
      <c r="S1" s="1141"/>
      <c r="T1" s="1141"/>
      <c r="U1" s="1142"/>
    </row>
    <row r="2" spans="1:22" ht="15.75">
      <c r="A2" s="1147" t="str">
        <f>+DATOS!H6</f>
        <v>GRUPO DE LOLITA SAS</v>
      </c>
      <c r="B2" s="1148"/>
      <c r="C2" s="1148"/>
      <c r="D2" s="1148"/>
      <c r="E2" s="1148"/>
      <c r="F2" s="1148"/>
      <c r="G2" s="1148"/>
      <c r="H2" s="1148"/>
      <c r="I2" s="1148"/>
      <c r="J2" s="1148"/>
      <c r="K2" s="1148"/>
      <c r="L2" s="1148"/>
      <c r="M2" s="1148"/>
      <c r="N2" s="1148"/>
      <c r="O2" s="1148"/>
      <c r="P2" s="1148"/>
      <c r="Q2" s="1148"/>
      <c r="R2" s="1148"/>
      <c r="S2" s="1148"/>
      <c r="T2" s="1148"/>
      <c r="U2" s="1149"/>
    </row>
    <row r="3" spans="1:22" ht="15.75">
      <c r="A3" s="1147" t="str">
        <f>+DATOS!H7</f>
        <v>NIT: 900.307.969-5</v>
      </c>
      <c r="B3" s="1148"/>
      <c r="C3" s="1148"/>
      <c r="D3" s="1148"/>
      <c r="E3" s="1148"/>
      <c r="F3" s="1148"/>
      <c r="G3" s="1148"/>
      <c r="H3" s="1148"/>
      <c r="I3" s="1148"/>
      <c r="J3" s="1148"/>
      <c r="K3" s="1148"/>
      <c r="L3" s="1148"/>
      <c r="M3" s="1148"/>
      <c r="N3" s="1148"/>
      <c r="O3" s="1148"/>
      <c r="P3" s="1148"/>
      <c r="Q3" s="1148"/>
      <c r="R3" s="1148"/>
      <c r="S3" s="1148"/>
      <c r="T3" s="1148"/>
      <c r="U3" s="1149"/>
    </row>
    <row r="4" spans="1:22" ht="15.75">
      <c r="A4" s="1147" t="s">
        <v>264</v>
      </c>
      <c r="B4" s="1148"/>
      <c r="C4" s="1148"/>
      <c r="D4" s="1148"/>
      <c r="E4" s="1148"/>
      <c r="F4" s="1148"/>
      <c r="G4" s="1148"/>
      <c r="H4" s="1148"/>
      <c r="I4" s="1148"/>
      <c r="J4" s="1148"/>
      <c r="K4" s="1148"/>
      <c r="L4" s="1148"/>
      <c r="M4" s="1148"/>
      <c r="N4" s="1148"/>
      <c r="O4" s="1148"/>
      <c r="P4" s="1148"/>
      <c r="Q4" s="1148"/>
      <c r="R4" s="1148"/>
      <c r="S4" s="1148"/>
      <c r="T4" s="1148"/>
      <c r="U4" s="1149"/>
    </row>
    <row r="5" spans="1:22" ht="15.75">
      <c r="A5" s="1147" t="str">
        <f>+DATOS!H8</f>
        <v>A 30 DE JUNIO DE 2026 Y 2025</v>
      </c>
      <c r="B5" s="1148"/>
      <c r="C5" s="1148"/>
      <c r="D5" s="1148"/>
      <c r="E5" s="1148"/>
      <c r="F5" s="1148"/>
      <c r="G5" s="1148"/>
      <c r="H5" s="1148"/>
      <c r="I5" s="1148"/>
      <c r="J5" s="1148"/>
      <c r="K5" s="1148"/>
      <c r="L5" s="1148"/>
      <c r="M5" s="1148"/>
      <c r="N5" s="1148"/>
      <c r="O5" s="1148"/>
      <c r="P5" s="1148"/>
      <c r="Q5" s="1148"/>
      <c r="R5" s="1148"/>
      <c r="S5" s="1148"/>
      <c r="T5" s="1148"/>
      <c r="U5" s="1149"/>
    </row>
    <row r="6" spans="1:22" ht="16.5" thickBot="1">
      <c r="A6" s="1144" t="s">
        <v>0</v>
      </c>
      <c r="B6" s="1145"/>
      <c r="C6" s="1145"/>
      <c r="D6" s="1145"/>
      <c r="E6" s="1145"/>
      <c r="F6" s="1145"/>
      <c r="G6" s="1145"/>
      <c r="H6" s="1145"/>
      <c r="I6" s="1145"/>
      <c r="J6" s="1145"/>
      <c r="K6" s="1145"/>
      <c r="L6" s="1145"/>
      <c r="M6" s="1145"/>
      <c r="N6" s="1145"/>
      <c r="O6" s="1145"/>
      <c r="P6" s="1145"/>
      <c r="Q6" s="1145"/>
      <c r="R6" s="1145"/>
      <c r="S6" s="1145"/>
      <c r="T6" s="1145"/>
      <c r="U6" s="1146"/>
    </row>
    <row r="7" spans="1:22" ht="16.5" thickBot="1">
      <c r="A7" s="559"/>
      <c r="B7" s="560"/>
      <c r="C7" s="560"/>
      <c r="D7" s="560"/>
      <c r="E7" s="560"/>
      <c r="F7" s="560"/>
      <c r="G7" s="560"/>
      <c r="H7" s="560"/>
      <c r="I7" s="560"/>
      <c r="J7" s="560"/>
      <c r="K7" s="560"/>
      <c r="L7" s="560"/>
      <c r="M7" s="560"/>
      <c r="N7" s="560"/>
      <c r="O7" s="560"/>
      <c r="P7" s="560"/>
      <c r="Q7" s="560"/>
      <c r="R7" s="560"/>
      <c r="S7" s="560"/>
      <c r="T7" s="560"/>
      <c r="U7" s="561"/>
    </row>
    <row r="8" spans="1:22" ht="21" customHeight="1">
      <c r="A8" s="429" t="s">
        <v>1</v>
      </c>
      <c r="B8" s="430"/>
      <c r="C8" s="431" t="str">
        <f>+DATOS!H10</f>
        <v>2026-06</v>
      </c>
      <c r="D8" s="432" t="s">
        <v>60</v>
      </c>
      <c r="E8" s="430"/>
      <c r="F8" s="431" t="str">
        <f>+DATOS!H11</f>
        <v>2025-06</v>
      </c>
      <c r="G8" s="431" t="s">
        <v>60</v>
      </c>
      <c r="H8" s="431"/>
      <c r="I8" s="432" t="s">
        <v>99</v>
      </c>
      <c r="J8" s="432" t="s">
        <v>100</v>
      </c>
      <c r="K8" s="433"/>
      <c r="L8" s="434" t="s">
        <v>2</v>
      </c>
      <c r="M8" s="435"/>
      <c r="N8" s="436" t="str">
        <f>+C8</f>
        <v>2026-06</v>
      </c>
      <c r="O8" s="436" t="s">
        <v>60</v>
      </c>
      <c r="P8" s="435"/>
      <c r="Q8" s="436" t="str">
        <f>+F8</f>
        <v>2025-06</v>
      </c>
      <c r="R8" s="436" t="s">
        <v>60</v>
      </c>
      <c r="S8" s="513"/>
      <c r="T8" s="437" t="s">
        <v>99</v>
      </c>
      <c r="U8" s="527" t="s">
        <v>100</v>
      </c>
    </row>
    <row r="9" spans="1:22" ht="4.5" customHeight="1">
      <c r="A9" s="418"/>
      <c r="B9" s="438"/>
      <c r="C9" s="439"/>
      <c r="D9" s="440"/>
      <c r="E9" s="438"/>
      <c r="F9" s="439"/>
      <c r="G9" s="439"/>
      <c r="H9" s="439"/>
      <c r="I9" s="439"/>
      <c r="J9" s="439"/>
      <c r="K9" s="161"/>
      <c r="L9" s="426"/>
      <c r="M9" s="441"/>
      <c r="N9" s="442"/>
      <c r="O9" s="443"/>
      <c r="P9" s="441"/>
      <c r="Q9" s="443"/>
      <c r="R9" s="441"/>
      <c r="S9" s="441"/>
      <c r="T9" s="443"/>
      <c r="U9" s="444"/>
    </row>
    <row r="10" spans="1:22" s="13" customFormat="1" ht="15.75">
      <c r="A10" s="418" t="s">
        <v>56</v>
      </c>
      <c r="B10" s="438"/>
      <c r="C10" s="439"/>
      <c r="D10" s="440"/>
      <c r="E10" s="438"/>
      <c r="F10" s="439"/>
      <c r="G10" s="439"/>
      <c r="H10" s="439"/>
      <c r="I10" s="439"/>
      <c r="J10" s="439"/>
      <c r="K10" s="161"/>
      <c r="L10" s="426" t="s">
        <v>3</v>
      </c>
      <c r="M10" s="441"/>
      <c r="N10" s="445"/>
      <c r="O10" s="446"/>
      <c r="P10" s="441"/>
      <c r="Q10" s="446"/>
      <c r="R10" s="441"/>
      <c r="S10" s="441"/>
      <c r="T10" s="443"/>
      <c r="U10" s="530"/>
    </row>
    <row r="11" spans="1:22" ht="15">
      <c r="A11" s="418" t="s">
        <v>4</v>
      </c>
      <c r="B11" s="447"/>
      <c r="C11" s="448">
        <f>SUM(C12:C15)</f>
        <v>576780</v>
      </c>
      <c r="D11" s="440">
        <f>+C11/$C$75</f>
        <v>0.1665897423603766</v>
      </c>
      <c r="E11" s="438"/>
      <c r="F11" s="448">
        <f>SUM(F12:F15)</f>
        <v>316343</v>
      </c>
      <c r="G11" s="440">
        <f>+F11/$F$75</f>
        <v>0.10733012981346503</v>
      </c>
      <c r="H11" s="440"/>
      <c r="I11" s="420">
        <f>+C11-F11</f>
        <v>260437</v>
      </c>
      <c r="J11" s="440">
        <f>I11/F11</f>
        <v>0.82327410437404969</v>
      </c>
      <c r="K11" s="161"/>
      <c r="L11" s="426" t="s">
        <v>22</v>
      </c>
      <c r="M11" s="441"/>
      <c r="N11" s="449">
        <f>SUM(N12:N13)</f>
        <v>0</v>
      </c>
      <c r="O11" s="450">
        <f>+N11/$N$75</f>
        <v>0</v>
      </c>
      <c r="P11" s="451"/>
      <c r="Q11" s="449">
        <f>SUM(Q12:Q13)</f>
        <v>0</v>
      </c>
      <c r="R11" s="450">
        <f>+Q11/$Q$75</f>
        <v>0</v>
      </c>
      <c r="S11" s="450"/>
      <c r="T11" s="449">
        <f>+N11-Q11</f>
        <v>0</v>
      </c>
      <c r="U11" s="532">
        <f>IFERROR(T11/Q11,0%)</f>
        <v>0</v>
      </c>
    </row>
    <row r="12" spans="1:22" ht="14.25">
      <c r="A12" s="452" t="s">
        <v>5</v>
      </c>
      <c r="B12" s="447"/>
      <c r="C12" s="453">
        <f>DATOS!C6</f>
        <v>462620</v>
      </c>
      <c r="D12" s="454">
        <f>+C12/$C$75</f>
        <v>0.13361723119865013</v>
      </c>
      <c r="E12" s="447"/>
      <c r="F12" s="453">
        <f>+DATOS!E6</f>
        <v>214239</v>
      </c>
      <c r="G12" s="454">
        <f>+F12/$F$75</f>
        <v>7.2687872597487324E-2</v>
      </c>
      <c r="H12" s="454"/>
      <c r="I12" s="453">
        <f>+C12-F12</f>
        <v>248381</v>
      </c>
      <c r="J12" s="454">
        <f>I12/F12</f>
        <v>1.1593640747016183</v>
      </c>
      <c r="K12" s="455"/>
      <c r="L12" s="441" t="s">
        <v>188</v>
      </c>
      <c r="M12" s="441"/>
      <c r="N12" s="456">
        <v>0</v>
      </c>
      <c r="O12" s="457">
        <f>+N12/$N$75</f>
        <v>0</v>
      </c>
      <c r="P12" s="451"/>
      <c r="Q12" s="456">
        <v>0</v>
      </c>
      <c r="R12" s="457">
        <f>+Q12/$Q$75</f>
        <v>0</v>
      </c>
      <c r="S12" s="457"/>
      <c r="T12" s="456">
        <f>+N12-Q12</f>
        <v>0</v>
      </c>
      <c r="U12" s="533">
        <f>IFERROR(T12/Q12,0%)</f>
        <v>0</v>
      </c>
      <c r="V12" s="2"/>
    </row>
    <row r="13" spans="1:22" ht="14.25">
      <c r="A13" s="452" t="s">
        <v>7</v>
      </c>
      <c r="B13" s="447"/>
      <c r="C13" s="453">
        <f>DATOS!C7</f>
        <v>34966</v>
      </c>
      <c r="D13" s="454">
        <f>+C13/$C$75</f>
        <v>1.0099131265600279E-2</v>
      </c>
      <c r="E13" s="447"/>
      <c r="F13" s="453">
        <f>+DATOS!E7</f>
        <v>81216</v>
      </c>
      <c r="G13" s="454">
        <f>+F13/$F$75</f>
        <v>2.7555292271143589E-2</v>
      </c>
      <c r="H13" s="454"/>
      <c r="I13" s="453">
        <f>+C13-F13</f>
        <v>-46250</v>
      </c>
      <c r="J13" s="454">
        <f>I13/F13</f>
        <v>-0.56946907013396375</v>
      </c>
      <c r="K13" s="455"/>
      <c r="L13" s="441" t="s">
        <v>218</v>
      </c>
      <c r="M13" s="451"/>
      <c r="N13" s="458">
        <v>0</v>
      </c>
      <c r="O13" s="459">
        <f>+N13/$N$75</f>
        <v>0</v>
      </c>
      <c r="P13" s="460"/>
      <c r="Q13" s="458">
        <v>0</v>
      </c>
      <c r="R13" s="459">
        <f>+Q13/$Q$75</f>
        <v>0</v>
      </c>
      <c r="S13" s="457"/>
      <c r="T13" s="458">
        <f>+N13-Q13</f>
        <v>0</v>
      </c>
      <c r="U13" s="534">
        <f>IFERROR(T13/Q13,0%)</f>
        <v>0</v>
      </c>
    </row>
    <row r="14" spans="1:22" ht="14.25">
      <c r="A14" s="452" t="s">
        <v>9</v>
      </c>
      <c r="B14" s="447"/>
      <c r="C14" s="453">
        <f>DATOS!C8</f>
        <v>37524</v>
      </c>
      <c r="D14" s="454">
        <f>+C14/$C$75</f>
        <v>1.0837951198603925E-2</v>
      </c>
      <c r="E14" s="447"/>
      <c r="F14" s="453">
        <f>+DATOS!E8</f>
        <v>18936</v>
      </c>
      <c r="G14" s="454">
        <f>+F14/$F$75</f>
        <v>6.4246825064811731E-3</v>
      </c>
      <c r="H14" s="454"/>
      <c r="I14" s="453">
        <f>+C14-F14</f>
        <v>18588</v>
      </c>
      <c r="J14" s="454">
        <f>I14/F14</f>
        <v>0.98162230671736372</v>
      </c>
      <c r="K14" s="455"/>
      <c r="L14" s="441"/>
      <c r="M14" s="451"/>
      <c r="N14" s="461"/>
      <c r="O14" s="457"/>
      <c r="P14" s="441"/>
      <c r="Q14" s="461"/>
      <c r="R14" s="457"/>
      <c r="S14" s="457"/>
      <c r="T14" s="461"/>
      <c r="U14" s="535"/>
    </row>
    <row r="15" spans="1:22" ht="15">
      <c r="A15" s="452" t="s">
        <v>161</v>
      </c>
      <c r="B15" s="447"/>
      <c r="C15" s="462">
        <f>DATOS!C9</f>
        <v>41670</v>
      </c>
      <c r="D15" s="463">
        <f>+C15/$C$75</f>
        <v>1.2035428697522266E-2</v>
      </c>
      <c r="E15" s="447"/>
      <c r="F15" s="462">
        <f>+DATOS!E9</f>
        <v>1952</v>
      </c>
      <c r="G15" s="463">
        <f>+F15/$F$75</f>
        <v>6.6228243835293884E-4</v>
      </c>
      <c r="H15" s="463"/>
      <c r="I15" s="462">
        <f>+C15-F15</f>
        <v>39718</v>
      </c>
      <c r="J15" s="463">
        <f>I15/F15</f>
        <v>20.347336065573771</v>
      </c>
      <c r="K15" s="455"/>
      <c r="L15" s="426"/>
      <c r="M15" s="441"/>
      <c r="N15" s="445"/>
      <c r="O15" s="446"/>
      <c r="P15" s="441"/>
      <c r="Q15" s="446"/>
      <c r="R15" s="441"/>
      <c r="S15" s="441"/>
      <c r="T15" s="464"/>
      <c r="U15" s="536"/>
    </row>
    <row r="16" spans="1:22" ht="15">
      <c r="A16" s="452"/>
      <c r="B16" s="447"/>
      <c r="C16" s="453"/>
      <c r="D16" s="454"/>
      <c r="E16" s="447"/>
      <c r="F16" s="453"/>
      <c r="G16" s="454"/>
      <c r="H16" s="454"/>
      <c r="I16" s="453"/>
      <c r="J16" s="440"/>
      <c r="K16" s="455"/>
      <c r="L16" s="426" t="s">
        <v>6</v>
      </c>
      <c r="M16" s="451"/>
      <c r="N16" s="465">
        <f>SUM(N17:N18)</f>
        <v>527113</v>
      </c>
      <c r="O16" s="466">
        <f>+N16/$N$75</f>
        <v>0.1522445626838746</v>
      </c>
      <c r="P16" s="441"/>
      <c r="Q16" s="465">
        <f>SUM(Q17:Q18)</f>
        <v>204376</v>
      </c>
      <c r="R16" s="466">
        <f>+Q16/$Q$75</f>
        <v>6.9341514150010358E-2</v>
      </c>
      <c r="S16" s="466"/>
      <c r="T16" s="467">
        <f>+N16-Q16</f>
        <v>322737</v>
      </c>
      <c r="U16" s="537">
        <f>IFERROR(T16/Q16,0%)</f>
        <v>1.5791335577562924</v>
      </c>
    </row>
    <row r="17" spans="1:22" ht="15">
      <c r="A17" s="452"/>
      <c r="B17" s="447"/>
      <c r="C17" s="453"/>
      <c r="D17" s="454"/>
      <c r="E17" s="447"/>
      <c r="F17" s="453"/>
      <c r="G17" s="454"/>
      <c r="H17" s="454"/>
      <c r="I17" s="453"/>
      <c r="J17" s="440"/>
      <c r="K17" s="455"/>
      <c r="L17" s="441" t="s">
        <v>8</v>
      </c>
      <c r="M17" s="451"/>
      <c r="N17" s="461">
        <f>+DATOS!C39</f>
        <v>497599</v>
      </c>
      <c r="O17" s="468">
        <f>+N17/$N$75</f>
        <v>0.14372011721762376</v>
      </c>
      <c r="P17" s="451"/>
      <c r="Q17" s="461">
        <f>+DATOS!E38</f>
        <v>198797</v>
      </c>
      <c r="R17" s="468">
        <f>+Q17/$Q$75</f>
        <v>6.7448648512935028E-2</v>
      </c>
      <c r="S17" s="468"/>
      <c r="T17" s="464">
        <f>+N17-Q17</f>
        <v>298802</v>
      </c>
      <c r="U17" s="536">
        <f>IFERROR(T17/Q17,0%)</f>
        <v>1.5030508508679707</v>
      </c>
    </row>
    <row r="18" spans="1:22" ht="15">
      <c r="A18" s="452"/>
      <c r="B18" s="447"/>
      <c r="C18" s="453"/>
      <c r="D18" s="454"/>
      <c r="E18" s="447"/>
      <c r="F18" s="453"/>
      <c r="G18" s="454"/>
      <c r="H18" s="454"/>
      <c r="I18" s="453"/>
      <c r="J18" s="440"/>
      <c r="K18" s="455"/>
      <c r="L18" s="441" t="s">
        <v>596</v>
      </c>
      <c r="M18" s="451"/>
      <c r="N18" s="471">
        <f>+DATOS!C45+DATOS!C44</f>
        <v>29514</v>
      </c>
      <c r="O18" s="459">
        <f>+N18/$N$75</f>
        <v>8.5244454662508334E-3</v>
      </c>
      <c r="P18" s="565"/>
      <c r="Q18" s="471">
        <f>+DATOS!E44+DATOS!E45</f>
        <v>5579</v>
      </c>
      <c r="R18" s="733">
        <f>+Q18/$Q$75</f>
        <v>1.8928656370753309E-3</v>
      </c>
      <c r="S18" s="457"/>
      <c r="T18" s="471">
        <f>+N18-Q18</f>
        <v>23935</v>
      </c>
      <c r="U18" s="538">
        <f>IFERROR(T18/Q18,0%)</f>
        <v>4.2901953755153253</v>
      </c>
    </row>
    <row r="19" spans="1:22" ht="15">
      <c r="A19" s="418" t="s">
        <v>211</v>
      </c>
      <c r="B19" s="438"/>
      <c r="C19" s="448">
        <f>+C20</f>
        <v>0</v>
      </c>
      <c r="D19" s="440">
        <f>+C19/$C$75</f>
        <v>0</v>
      </c>
      <c r="E19" s="438"/>
      <c r="F19" s="448">
        <f>+F20</f>
        <v>0</v>
      </c>
      <c r="G19" s="440">
        <f>+F19/$F$75</f>
        <v>0</v>
      </c>
      <c r="H19" s="440"/>
      <c r="I19" s="448">
        <f>+C19-F19</f>
        <v>0</v>
      </c>
      <c r="J19" s="440">
        <v>0</v>
      </c>
      <c r="K19" s="455"/>
      <c r="L19" s="528"/>
      <c r="M19" s="528"/>
      <c r="N19" s="814"/>
      <c r="O19" s="529"/>
      <c r="P19" s="528"/>
      <c r="Q19" s="528"/>
      <c r="R19" s="529"/>
      <c r="S19" s="529"/>
      <c r="T19" s="528"/>
      <c r="U19" s="528"/>
      <c r="V19" s="815"/>
    </row>
    <row r="20" spans="1:22" ht="14.25">
      <c r="A20" s="452" t="s">
        <v>212</v>
      </c>
      <c r="B20" s="447"/>
      <c r="C20" s="462"/>
      <c r="D20" s="463">
        <f>+C20/$C$75</f>
        <v>0</v>
      </c>
      <c r="E20" s="438"/>
      <c r="F20" s="462">
        <v>0</v>
      </c>
      <c r="G20" s="463">
        <f>+F20/$F$75</f>
        <v>0</v>
      </c>
      <c r="H20" s="463"/>
      <c r="I20" s="462">
        <f>+C20-F20</f>
        <v>0</v>
      </c>
      <c r="J20" s="463">
        <v>0</v>
      </c>
      <c r="K20" s="455"/>
      <c r="L20" s="441"/>
      <c r="M20" s="451"/>
      <c r="N20" s="456"/>
      <c r="O20" s="457"/>
      <c r="P20" s="451"/>
      <c r="Q20" s="456"/>
      <c r="R20" s="457"/>
      <c r="S20" s="457"/>
      <c r="T20" s="464"/>
      <c r="U20" s="536"/>
      <c r="V20" s="2"/>
    </row>
    <row r="21" spans="1:22" ht="15">
      <c r="A21" s="452"/>
      <c r="B21" s="447"/>
      <c r="C21" s="453"/>
      <c r="D21" s="454"/>
      <c r="E21" s="438"/>
      <c r="F21" s="453"/>
      <c r="G21" s="454"/>
      <c r="H21" s="454"/>
      <c r="I21" s="453"/>
      <c r="J21" s="440"/>
      <c r="K21" s="455"/>
      <c r="L21" s="441"/>
      <c r="M21" s="451"/>
      <c r="N21" s="456"/>
      <c r="O21" s="457"/>
      <c r="P21" s="451"/>
      <c r="Q21" s="456"/>
      <c r="R21" s="457"/>
      <c r="S21" s="457"/>
      <c r="T21" s="464"/>
      <c r="U21" s="536"/>
    </row>
    <row r="22" spans="1:22" ht="15">
      <c r="A22" s="452"/>
      <c r="B22" s="447"/>
      <c r="C22" s="453"/>
      <c r="D22" s="454"/>
      <c r="E22" s="438"/>
      <c r="F22" s="453"/>
      <c r="G22" s="454"/>
      <c r="H22" s="454"/>
      <c r="I22" s="453"/>
      <c r="J22" s="440"/>
      <c r="K22" s="455"/>
      <c r="L22" s="426" t="s">
        <v>13</v>
      </c>
      <c r="M22" s="451"/>
      <c r="N22" s="449">
        <f>SUM(N23:N26)</f>
        <v>189200</v>
      </c>
      <c r="O22" s="450">
        <f>+N22/$N$75</f>
        <v>5.464610294147379E-2</v>
      </c>
      <c r="P22" s="451"/>
      <c r="Q22" s="449">
        <f>SUM(Q23:Q26)</f>
        <v>158877</v>
      </c>
      <c r="R22" s="450">
        <f>+Q22/$Q$75</f>
        <v>5.3904429794159769E-2</v>
      </c>
      <c r="S22" s="450"/>
      <c r="T22" s="467">
        <f>+N22-Q22</f>
        <v>30323</v>
      </c>
      <c r="U22" s="537">
        <f>IFERROR(T22/Q22,0%)</f>
        <v>0.19085833695248525</v>
      </c>
    </row>
    <row r="23" spans="1:22" ht="15">
      <c r="A23" s="418" t="s">
        <v>185</v>
      </c>
      <c r="B23" s="438"/>
      <c r="C23" s="448">
        <f>+C24</f>
        <v>194385</v>
      </c>
      <c r="D23" s="440">
        <f>+C23/$C$75</f>
        <v>5.6143671883078138E-2</v>
      </c>
      <c r="E23" s="438"/>
      <c r="F23" s="448">
        <f>+F24</f>
        <v>67882</v>
      </c>
      <c r="G23" s="440">
        <f>+F23/$F$75</f>
        <v>2.3031278934566697E-2</v>
      </c>
      <c r="H23" s="440"/>
      <c r="I23" s="448">
        <f>+C23-F23</f>
        <v>126503</v>
      </c>
      <c r="J23" s="440">
        <f>I23/F23</f>
        <v>1.8635720809640257</v>
      </c>
      <c r="K23" s="472"/>
      <c r="L23" s="441" t="s">
        <v>464</v>
      </c>
      <c r="M23" s="451"/>
      <c r="N23" s="456">
        <f>+DATOS!C52</f>
        <v>14503</v>
      </c>
      <c r="O23" s="468">
        <f>+N23/$N$75</f>
        <v>4.1888606287536706E-3</v>
      </c>
      <c r="P23" s="451"/>
      <c r="Q23" s="456">
        <f>DATOS!E52</f>
        <v>26515</v>
      </c>
      <c r="R23" s="457">
        <f>+Q23/$Q$75</f>
        <v>8.9961162156394336E-3</v>
      </c>
      <c r="S23" s="457"/>
      <c r="T23" s="464">
        <f>+N23-Q23</f>
        <v>-12012</v>
      </c>
      <c r="U23" s="536">
        <f>IFERROR(T23/Q23,0%)</f>
        <v>-0.45302658872336415</v>
      </c>
    </row>
    <row r="24" spans="1:22" ht="14.25">
      <c r="A24" s="452" t="s">
        <v>186</v>
      </c>
      <c r="B24" s="447"/>
      <c r="C24" s="462">
        <f>+DATOS!C32</f>
        <v>194385</v>
      </c>
      <c r="D24" s="463">
        <f>+C24/$C$75</f>
        <v>5.6143671883078138E-2</v>
      </c>
      <c r="E24" s="438"/>
      <c r="F24" s="462">
        <f>+DATOS!E32</f>
        <v>67882</v>
      </c>
      <c r="G24" s="463">
        <f>+F24/$F$75</f>
        <v>2.3031278934566697E-2</v>
      </c>
      <c r="H24" s="463"/>
      <c r="I24" s="462">
        <f>+C24-F24</f>
        <v>126503</v>
      </c>
      <c r="J24" s="463">
        <f>I24/F24</f>
        <v>1.8635720809640257</v>
      </c>
      <c r="K24" s="455"/>
      <c r="L24" s="441" t="s">
        <v>162</v>
      </c>
      <c r="M24" s="451"/>
      <c r="N24" s="456">
        <f>+DATOS!C53+DATOS!C55</f>
        <v>143076</v>
      </c>
      <c r="O24" s="468">
        <f>+N24/$N$75</f>
        <v>4.132423797280288E-2</v>
      </c>
      <c r="P24" s="451"/>
      <c r="Q24" s="456">
        <f>+DATOS!E55+DATOS!E53</f>
        <v>73043</v>
      </c>
      <c r="R24" s="457">
        <f>+Q24/$Q$75</f>
        <v>2.4782323844576699E-2</v>
      </c>
      <c r="S24" s="457"/>
      <c r="T24" s="464">
        <f>+N24-Q24</f>
        <v>70033</v>
      </c>
      <c r="U24" s="536">
        <f>IFERROR(T24/Q24,0%)</f>
        <v>0.95879139684843173</v>
      </c>
    </row>
    <row r="25" spans="1:22" ht="15">
      <c r="A25" s="452"/>
      <c r="B25" s="447"/>
      <c r="C25" s="453"/>
      <c r="D25" s="454"/>
      <c r="E25" s="438"/>
      <c r="F25" s="453"/>
      <c r="G25" s="454"/>
      <c r="H25" s="454"/>
      <c r="I25" s="453"/>
      <c r="J25" s="440"/>
      <c r="K25" s="455"/>
      <c r="L25" s="441" t="s">
        <v>467</v>
      </c>
      <c r="M25" s="451"/>
      <c r="N25" s="456">
        <f>+DATOS!C68</f>
        <v>14938</v>
      </c>
      <c r="O25" s="468">
        <f>+N25/$N$75</f>
        <v>4.3145004531698495E-3</v>
      </c>
      <c r="P25" s="451"/>
      <c r="Q25" s="456">
        <f>DATOS!E68</f>
        <v>32648</v>
      </c>
      <c r="R25" s="457">
        <f>+Q25/$Q$75</f>
        <v>1.1076945208681736E-2</v>
      </c>
      <c r="S25" s="457"/>
      <c r="T25" s="464">
        <f>+N25-Q25</f>
        <v>-17710</v>
      </c>
      <c r="U25" s="536">
        <f>IFERROR(T25/Q25,0%)</f>
        <v>-0.54245283018867929</v>
      </c>
    </row>
    <row r="26" spans="1:22" ht="15">
      <c r="A26" s="452"/>
      <c r="B26" s="473"/>
      <c r="C26" s="453"/>
      <c r="D26" s="454"/>
      <c r="E26" s="447"/>
      <c r="F26" s="453"/>
      <c r="G26" s="454"/>
      <c r="H26" s="454"/>
      <c r="I26" s="453"/>
      <c r="J26" s="440"/>
      <c r="K26" s="455"/>
      <c r="L26" s="475" t="s">
        <v>466</v>
      </c>
      <c r="M26" s="528"/>
      <c r="N26" s="471">
        <f>+DATOS!C48</f>
        <v>16683</v>
      </c>
      <c r="O26" s="459">
        <f>+N26/$N$75</f>
        <v>4.818503886747396E-3</v>
      </c>
      <c r="P26" s="565"/>
      <c r="Q26" s="471">
        <f>+DATOS!E50+DATOS!E49</f>
        <v>26671</v>
      </c>
      <c r="R26" s="459">
        <f>+Q26/$Q$75</f>
        <v>9.0490445252619026E-3</v>
      </c>
      <c r="S26" s="529"/>
      <c r="T26" s="471">
        <f>+N26-Q26</f>
        <v>-9988</v>
      </c>
      <c r="U26" s="538">
        <f>IFERROR(T26/Q26,0%)</f>
        <v>-0.37448914551385398</v>
      </c>
    </row>
    <row r="27" spans="1:22" ht="15">
      <c r="A27" s="418" t="s">
        <v>10</v>
      </c>
      <c r="B27" s="447"/>
      <c r="C27" s="474">
        <f>+SUM(C28:C33)</f>
        <v>437305</v>
      </c>
      <c r="D27" s="440">
        <f t="shared" ref="D27:D32" si="0">+C27/$C$75</f>
        <v>0.12630557107199364</v>
      </c>
      <c r="E27" s="447"/>
      <c r="F27" s="474">
        <f>+SUM(F28:F33)</f>
        <v>232928</v>
      </c>
      <c r="G27" s="440">
        <f t="shared" ref="G27:G32" si="1">+F27/$F$75</f>
        <v>7.9028751947066267E-2</v>
      </c>
      <c r="H27" s="440"/>
      <c r="I27" s="448">
        <f t="shared" ref="I27:I32" si="2">+C27-F27</f>
        <v>204377</v>
      </c>
      <c r="J27" s="440">
        <f>I27/F27</f>
        <v>0.87742564225855202</v>
      </c>
      <c r="K27" s="455"/>
      <c r="L27" s="441"/>
      <c r="M27" s="451"/>
      <c r="N27" s="456"/>
      <c r="O27" s="457"/>
      <c r="P27" s="441"/>
      <c r="Q27" s="456"/>
      <c r="R27" s="457"/>
      <c r="S27" s="457"/>
      <c r="T27" s="464"/>
      <c r="U27" s="536"/>
    </row>
    <row r="28" spans="1:22" ht="15">
      <c r="A28" s="452" t="s">
        <v>11</v>
      </c>
      <c r="B28" s="447"/>
      <c r="C28" s="476">
        <f>DATOS!C11</f>
        <v>21421</v>
      </c>
      <c r="D28" s="454">
        <f t="shared" si="0"/>
        <v>6.1869670777447679E-3</v>
      </c>
      <c r="E28" s="447"/>
      <c r="F28" s="476">
        <f>DATOS!E11</f>
        <v>6032</v>
      </c>
      <c r="G28" s="454">
        <f t="shared" si="1"/>
        <v>2.0465613054021143E-3</v>
      </c>
      <c r="H28" s="454"/>
      <c r="I28" s="453">
        <f t="shared" si="2"/>
        <v>15389</v>
      </c>
      <c r="J28" s="454">
        <f>I28/F28</f>
        <v>2.5512267904509285</v>
      </c>
      <c r="K28" s="455"/>
      <c r="L28" s="426" t="s">
        <v>16</v>
      </c>
      <c r="M28" s="451"/>
      <c r="N28" s="449">
        <f>+SUM(N29:N34)</f>
        <v>77625</v>
      </c>
      <c r="O28" s="450">
        <f t="shared" ref="O28:O34" si="3">+N28/$N$75</f>
        <v>2.2420210046680249E-2</v>
      </c>
      <c r="P28" s="451"/>
      <c r="Q28" s="449">
        <f>+SUM(Q29:Q35)</f>
        <v>79650</v>
      </c>
      <c r="R28" s="450">
        <f t="shared" ref="R28:R34" si="4">+Q28/$Q$75</f>
        <v>2.7023973470702654E-2</v>
      </c>
      <c r="S28" s="450"/>
      <c r="T28" s="467">
        <f t="shared" ref="T28:T34" si="5">+N28-Q28</f>
        <v>-2025</v>
      </c>
      <c r="U28" s="537">
        <f t="shared" ref="U28:U34" si="6">IFERROR(T28/Q28,0%)</f>
        <v>-2.5423728813559324E-2</v>
      </c>
    </row>
    <row r="29" spans="1:22" ht="14.25">
      <c r="A29" s="452" t="s">
        <v>238</v>
      </c>
      <c r="B29" s="438"/>
      <c r="C29" s="804"/>
      <c r="D29" s="454">
        <f t="shared" si="0"/>
        <v>0</v>
      </c>
      <c r="E29" s="447"/>
      <c r="F29" s="804"/>
      <c r="G29" s="454">
        <f t="shared" si="1"/>
        <v>0</v>
      </c>
      <c r="H29" s="454"/>
      <c r="I29" s="453">
        <f t="shared" si="2"/>
        <v>0</v>
      </c>
      <c r="J29" s="454">
        <v>0</v>
      </c>
      <c r="K29" s="455"/>
      <c r="L29" s="441" t="s">
        <v>163</v>
      </c>
      <c r="M29" s="451"/>
      <c r="N29" s="456">
        <f>+DATOS!C57</f>
        <v>0</v>
      </c>
      <c r="O29" s="457">
        <f t="shared" si="3"/>
        <v>0</v>
      </c>
      <c r="P29" s="451"/>
      <c r="Q29" s="456">
        <f>+DATOS!E57</f>
        <v>428</v>
      </c>
      <c r="R29" s="457">
        <f t="shared" si="4"/>
        <v>1.4521356742574684E-4</v>
      </c>
      <c r="S29" s="457"/>
      <c r="T29" s="464">
        <f t="shared" si="5"/>
        <v>-428</v>
      </c>
      <c r="U29" s="536">
        <f t="shared" si="6"/>
        <v>-1</v>
      </c>
    </row>
    <row r="30" spans="1:22" ht="14.25">
      <c r="A30" s="452" t="s">
        <v>12</v>
      </c>
      <c r="B30" s="438"/>
      <c r="C30" s="476">
        <f>DATOS!C13+DATOS!C12</f>
        <v>327590</v>
      </c>
      <c r="D30" s="454">
        <f t="shared" si="0"/>
        <v>9.4616896736772732E-2</v>
      </c>
      <c r="E30" s="447"/>
      <c r="F30" s="476">
        <f>DATOS!E13+DATOS!E12</f>
        <v>184647</v>
      </c>
      <c r="G30" s="454">
        <f t="shared" si="1"/>
        <v>6.2647779402948314E-2</v>
      </c>
      <c r="H30" s="454"/>
      <c r="I30" s="453">
        <f t="shared" si="2"/>
        <v>142943</v>
      </c>
      <c r="J30" s="454">
        <v>0</v>
      </c>
      <c r="K30" s="455"/>
      <c r="L30" s="441" t="s">
        <v>214</v>
      </c>
      <c r="M30" s="451"/>
      <c r="N30" s="456">
        <f>+DATOS!C62+DATOS!C58</f>
        <v>25449</v>
      </c>
      <c r="O30" s="457">
        <f t="shared" si="3"/>
        <v>7.3503629691203309E-3</v>
      </c>
      <c r="P30" s="451"/>
      <c r="Q30" s="456">
        <f>+DATOS!E62+DATOS!E58</f>
        <v>28955</v>
      </c>
      <c r="R30" s="457">
        <f t="shared" si="4"/>
        <v>9.8239692635806071E-3</v>
      </c>
      <c r="S30" s="457"/>
      <c r="T30" s="464">
        <f t="shared" si="5"/>
        <v>-3506</v>
      </c>
      <c r="U30" s="536">
        <f t="shared" si="6"/>
        <v>-0.12108444137454671</v>
      </c>
    </row>
    <row r="31" spans="1:22" ht="14.25">
      <c r="A31" s="452" t="s">
        <v>14</v>
      </c>
      <c r="B31" s="447"/>
      <c r="C31" s="476">
        <f>DATOS!C15</f>
        <v>363</v>
      </c>
      <c r="D31" s="454">
        <f t="shared" si="0"/>
        <v>1.0484426727143228E-4</v>
      </c>
      <c r="E31" s="447"/>
      <c r="F31" s="476">
        <f>DATOS!E15</f>
        <v>1998</v>
      </c>
      <c r="G31" s="454">
        <f t="shared" si="1"/>
        <v>6.7788950401084628E-4</v>
      </c>
      <c r="H31" s="454"/>
      <c r="I31" s="453">
        <f t="shared" si="2"/>
        <v>-1635</v>
      </c>
      <c r="J31" s="454">
        <f>I31/F31</f>
        <v>-0.81831831831831836</v>
      </c>
      <c r="K31" s="455"/>
      <c r="L31" s="441" t="s">
        <v>215</v>
      </c>
      <c r="M31" s="451"/>
      <c r="N31" s="456">
        <f>+DATOS!C63+DATOS!C59</f>
        <v>1493</v>
      </c>
      <c r="O31" s="457">
        <f t="shared" si="3"/>
        <v>4.312189835709322E-4</v>
      </c>
      <c r="P31" s="451"/>
      <c r="Q31" s="456">
        <f>+DATOS!E63</f>
        <v>1946</v>
      </c>
      <c r="R31" s="457">
        <f t="shared" si="4"/>
        <v>6.602467341366901E-4</v>
      </c>
      <c r="S31" s="457"/>
      <c r="T31" s="464">
        <f t="shared" si="5"/>
        <v>-453</v>
      </c>
      <c r="U31" s="536">
        <f t="shared" si="6"/>
        <v>-0.23278520041109968</v>
      </c>
    </row>
    <row r="32" spans="1:22" ht="14.25">
      <c r="A32" s="452" t="s">
        <v>15</v>
      </c>
      <c r="B32" s="447"/>
      <c r="C32" s="476">
        <f>DATOS!C16</f>
        <v>87931</v>
      </c>
      <c r="D32" s="454">
        <f t="shared" si="0"/>
        <v>2.5396862990204716E-2</v>
      </c>
      <c r="E32" s="447"/>
      <c r="F32" s="476">
        <f>DATOS!E16</f>
        <v>40251</v>
      </c>
      <c r="G32" s="454">
        <f t="shared" si="1"/>
        <v>1.3656521734704991E-2</v>
      </c>
      <c r="H32" s="454"/>
      <c r="I32" s="453">
        <f t="shared" si="2"/>
        <v>47680</v>
      </c>
      <c r="J32" s="454">
        <f>I32/F32</f>
        <v>1.1845668430597998</v>
      </c>
      <c r="K32" s="455"/>
      <c r="L32" s="441" t="s">
        <v>217</v>
      </c>
      <c r="M32" s="451"/>
      <c r="N32" s="456">
        <f>+DATOS!C65</f>
        <v>0</v>
      </c>
      <c r="O32" s="457">
        <f t="shared" si="3"/>
        <v>0</v>
      </c>
      <c r="P32" s="451"/>
      <c r="Q32" s="456">
        <f>+DATOS!E65</f>
        <v>-189</v>
      </c>
      <c r="R32" s="457">
        <f t="shared" si="4"/>
        <v>-6.4124682811836801E-5</v>
      </c>
      <c r="S32" s="457"/>
      <c r="T32" s="464">
        <f t="shared" si="5"/>
        <v>189</v>
      </c>
      <c r="U32" s="536">
        <f t="shared" si="6"/>
        <v>-1</v>
      </c>
    </row>
    <row r="33" spans="1:23" ht="14.25">
      <c r="A33" s="452"/>
      <c r="B33" s="447"/>
      <c r="C33" s="477"/>
      <c r="D33" s="463"/>
      <c r="E33" s="447"/>
      <c r="F33" s="477"/>
      <c r="G33" s="463"/>
      <c r="H33" s="463"/>
      <c r="I33" s="462"/>
      <c r="J33" s="463"/>
      <c r="K33" s="478"/>
      <c r="L33" s="441" t="s">
        <v>216</v>
      </c>
      <c r="M33" s="451"/>
      <c r="N33" s="456">
        <f>+DATOS!C61+DATOS!C64</f>
        <v>32694</v>
      </c>
      <c r="O33" s="457">
        <f t="shared" si="3"/>
        <v>9.4429159068104875E-3</v>
      </c>
      <c r="P33" s="451"/>
      <c r="Q33" s="456">
        <f>+DATOS!E61+DATOS!E64</f>
        <v>27114</v>
      </c>
      <c r="R33" s="457">
        <f t="shared" si="4"/>
        <v>9.1993473532282714E-3</v>
      </c>
      <c r="S33" s="457"/>
      <c r="T33" s="464">
        <f t="shared" si="5"/>
        <v>5580</v>
      </c>
      <c r="U33" s="536">
        <f t="shared" si="6"/>
        <v>0.20579774286346536</v>
      </c>
    </row>
    <row r="34" spans="1:23" ht="15">
      <c r="A34" s="452"/>
      <c r="B34" s="447"/>
      <c r="C34" s="476"/>
      <c r="D34" s="454"/>
      <c r="E34" s="447"/>
      <c r="F34" s="476"/>
      <c r="G34" s="454"/>
      <c r="H34" s="454"/>
      <c r="I34" s="453"/>
      <c r="J34" s="440"/>
      <c r="K34" s="472"/>
      <c r="L34" s="441" t="s">
        <v>63</v>
      </c>
      <c r="M34" s="451"/>
      <c r="N34" s="471">
        <f>+DATOS!C66</f>
        <v>17989</v>
      </c>
      <c r="O34" s="459">
        <f t="shared" si="3"/>
        <v>5.1957121871784992E-3</v>
      </c>
      <c r="P34" s="565"/>
      <c r="Q34" s="471">
        <f>+DATOS!E66</f>
        <v>21396</v>
      </c>
      <c r="R34" s="459">
        <f t="shared" si="4"/>
        <v>7.2593212351431758E-3</v>
      </c>
      <c r="S34" s="529"/>
      <c r="T34" s="471">
        <f t="shared" si="5"/>
        <v>-3407</v>
      </c>
      <c r="U34" s="538">
        <f t="shared" si="6"/>
        <v>-0.15923537109740138</v>
      </c>
    </row>
    <row r="35" spans="1:23" ht="15">
      <c r="A35" s="452"/>
      <c r="B35" s="447"/>
      <c r="C35" s="453"/>
      <c r="D35" s="454"/>
      <c r="E35" s="447"/>
      <c r="F35" s="453"/>
      <c r="G35" s="454"/>
      <c r="H35" s="454"/>
      <c r="I35" s="453"/>
      <c r="J35" s="440"/>
      <c r="K35" s="472"/>
      <c r="L35" s="441"/>
      <c r="M35" s="451"/>
      <c r="N35" s="461"/>
      <c r="O35" s="451"/>
      <c r="P35" s="451"/>
      <c r="Q35" s="461"/>
      <c r="R35" s="451"/>
      <c r="S35" s="451"/>
      <c r="T35" s="464"/>
      <c r="U35" s="536"/>
    </row>
    <row r="36" spans="1:23" ht="15">
      <c r="A36" s="418" t="s">
        <v>17</v>
      </c>
      <c r="B36" s="447"/>
      <c r="C36" s="448">
        <f>+SUM(C37:C41)</f>
        <v>78249</v>
      </c>
      <c r="D36" s="440">
        <f>+C36/$C$75</f>
        <v>2.260043820860139E-2</v>
      </c>
      <c r="E36" s="447"/>
      <c r="F36" s="448">
        <f>+SUM(F37:F41)</f>
        <v>81850</v>
      </c>
      <c r="G36" s="440">
        <f>+F36/$F$75</f>
        <v>2.7770398349993876E-2</v>
      </c>
      <c r="H36" s="440"/>
      <c r="I36" s="448">
        <f>+C36-F36</f>
        <v>-3601</v>
      </c>
      <c r="J36" s="440">
        <f>I36/F36</f>
        <v>-4.39951130116066E-2</v>
      </c>
      <c r="K36" s="472"/>
      <c r="L36" s="426" t="s">
        <v>28</v>
      </c>
      <c r="M36" s="441"/>
      <c r="N36" s="449">
        <f>+SUM(N37:N39)</f>
        <v>2323</v>
      </c>
      <c r="O36" s="450">
        <f>+N36/$N$75</f>
        <v>6.7094554510065336E-4</v>
      </c>
      <c r="P36" s="451"/>
      <c r="Q36" s="449">
        <f>+SUM(Q37:Q39)</f>
        <v>3712</v>
      </c>
      <c r="R36" s="450">
        <f>+Q36/$Q$75</f>
        <v>1.2594223417859165E-3</v>
      </c>
      <c r="S36" s="450"/>
      <c r="T36" s="467">
        <f>+N36-Q36</f>
        <v>-1389</v>
      </c>
      <c r="U36" s="537">
        <f>IFERROR(T36/Q36,0%)</f>
        <v>-0.37419181034482757</v>
      </c>
    </row>
    <row r="37" spans="1:23" ht="15">
      <c r="A37" s="452" t="s">
        <v>18</v>
      </c>
      <c r="B37" s="479"/>
      <c r="C37" s="453"/>
      <c r="D37" s="454">
        <f>+C37/$C$75</f>
        <v>0</v>
      </c>
      <c r="E37" s="447"/>
      <c r="F37" s="453"/>
      <c r="G37" s="454">
        <f>+F37/$F$75</f>
        <v>0</v>
      </c>
      <c r="H37" s="454"/>
      <c r="I37" s="453">
        <f>+C37-F37</f>
        <v>0</v>
      </c>
      <c r="J37" s="454">
        <v>0</v>
      </c>
      <c r="K37" s="472"/>
      <c r="L37" s="441" t="s">
        <v>12</v>
      </c>
      <c r="M37" s="441"/>
      <c r="N37" s="456">
        <f>+DATOS!C70</f>
        <v>2323</v>
      </c>
      <c r="O37" s="457">
        <f>+N37/$N$75</f>
        <v>6.7094554510065336E-4</v>
      </c>
      <c r="P37" s="441"/>
      <c r="Q37" s="456">
        <f>+DATOS!E70</f>
        <v>3712</v>
      </c>
      <c r="R37" s="457">
        <f>+Q37/$Q$75</f>
        <v>1.2594223417859165E-3</v>
      </c>
      <c r="S37" s="457"/>
      <c r="T37" s="464">
        <f>+N37-Q37</f>
        <v>-1389</v>
      </c>
      <c r="U37" s="536">
        <f>IFERROR(T37/Q37,0%)</f>
        <v>-0.37419181034482757</v>
      </c>
    </row>
    <row r="38" spans="1:23" ht="15">
      <c r="A38" s="452" t="s">
        <v>19</v>
      </c>
      <c r="B38" s="473"/>
      <c r="C38" s="453"/>
      <c r="D38" s="454">
        <f>+C38/$C$75</f>
        <v>0</v>
      </c>
      <c r="E38" s="479"/>
      <c r="F38" s="453"/>
      <c r="G38" s="454">
        <f>+F38/$F$75</f>
        <v>0</v>
      </c>
      <c r="H38" s="454"/>
      <c r="I38" s="453">
        <f>+C38-F38</f>
        <v>0</v>
      </c>
      <c r="J38" s="454">
        <v>0</v>
      </c>
      <c r="K38" s="455"/>
      <c r="L38" s="441" t="s">
        <v>30</v>
      </c>
      <c r="M38" s="441"/>
      <c r="N38" s="456">
        <v>0</v>
      </c>
      <c r="O38" s="457">
        <f>+N38/$N$75</f>
        <v>0</v>
      </c>
      <c r="P38" s="441"/>
      <c r="Q38" s="456">
        <v>0</v>
      </c>
      <c r="R38" s="457">
        <f>+Q38/$Q$75</f>
        <v>0</v>
      </c>
      <c r="S38" s="457"/>
      <c r="T38" s="464">
        <f>+N38-Q38</f>
        <v>0</v>
      </c>
      <c r="U38" s="536">
        <f>IFERROR(T38/Q38,0%)</f>
        <v>0</v>
      </c>
    </row>
    <row r="39" spans="1:23" ht="15">
      <c r="A39" s="452" t="s">
        <v>21</v>
      </c>
      <c r="B39" s="473"/>
      <c r="C39" s="453">
        <f>+DATOS!C18</f>
        <v>78249</v>
      </c>
      <c r="D39" s="454">
        <f>+C39/$C$75</f>
        <v>2.260043820860139E-2</v>
      </c>
      <c r="E39" s="479"/>
      <c r="F39" s="453">
        <f>+DATOS!E18</f>
        <v>81850</v>
      </c>
      <c r="G39" s="454">
        <f>+F39/$F$75</f>
        <v>2.7770398349993876E-2</v>
      </c>
      <c r="H39" s="454"/>
      <c r="I39" s="453">
        <f>+C39-F39</f>
        <v>-3601</v>
      </c>
      <c r="J39" s="454">
        <f>I39/F39</f>
        <v>-4.39951130116066E-2</v>
      </c>
      <c r="K39" s="161"/>
      <c r="L39" s="441" t="s">
        <v>187</v>
      </c>
      <c r="M39" s="441"/>
      <c r="N39" s="470">
        <v>0</v>
      </c>
      <c r="O39" s="459">
        <f>+N39/$N$75</f>
        <v>0</v>
      </c>
      <c r="P39" s="441"/>
      <c r="Q39" s="470">
        <v>0</v>
      </c>
      <c r="R39" s="459">
        <f>+Q39/$Q$75</f>
        <v>0</v>
      </c>
      <c r="S39" s="457"/>
      <c r="T39" s="471">
        <f>+N39-Q39</f>
        <v>0</v>
      </c>
      <c r="U39" s="538">
        <f>IFERROR(T39/Q39,0%)</f>
        <v>0</v>
      </c>
    </row>
    <row r="40" spans="1:23" ht="16.7" customHeight="1">
      <c r="A40" s="452" t="s">
        <v>555</v>
      </c>
      <c r="B40" s="473"/>
      <c r="C40" s="453">
        <f>+DATOS!C19</f>
        <v>0</v>
      </c>
      <c r="D40" s="454">
        <f>+C40/$C$75</f>
        <v>0</v>
      </c>
      <c r="E40" s="473"/>
      <c r="F40" s="453">
        <f>+DATOS!E19</f>
        <v>0</v>
      </c>
      <c r="G40" s="454">
        <f>+F40/$F$75</f>
        <v>0</v>
      </c>
      <c r="H40" s="454"/>
      <c r="I40" s="453">
        <f>+C40-F40</f>
        <v>0</v>
      </c>
      <c r="J40" s="454">
        <f>+IFERROR(I40/F40,0)</f>
        <v>0</v>
      </c>
      <c r="K40" s="455"/>
      <c r="L40" s="441"/>
      <c r="M40" s="441"/>
      <c r="N40" s="461"/>
      <c r="O40" s="441"/>
      <c r="P40" s="441"/>
      <c r="Q40" s="441"/>
      <c r="R40" s="441"/>
      <c r="S40" s="441"/>
      <c r="T40" s="441"/>
      <c r="U40" s="535"/>
    </row>
    <row r="41" spans="1:23" ht="15">
      <c r="A41" s="452"/>
      <c r="B41" s="473"/>
      <c r="C41" s="462"/>
      <c r="D41" s="463"/>
      <c r="E41" s="473"/>
      <c r="F41" s="462"/>
      <c r="G41" s="463"/>
      <c r="H41" s="463"/>
      <c r="I41" s="462"/>
      <c r="J41" s="520"/>
      <c r="K41" s="455"/>
      <c r="L41" s="441"/>
      <c r="M41" s="441"/>
      <c r="N41" s="461"/>
      <c r="O41" s="441"/>
      <c r="P41" s="441"/>
      <c r="Q41" s="441"/>
      <c r="R41" s="441"/>
      <c r="S41" s="441"/>
      <c r="T41" s="471"/>
      <c r="U41" s="538"/>
    </row>
    <row r="42" spans="1:23" ht="15.75" thickBot="1">
      <c r="A42" s="452"/>
      <c r="B42" s="473"/>
      <c r="C42" s="423"/>
      <c r="D42" s="424"/>
      <c r="E42" s="424"/>
      <c r="F42" s="423"/>
      <c r="G42" s="425"/>
      <c r="H42" s="425"/>
      <c r="I42" s="425"/>
      <c r="J42" s="425"/>
      <c r="K42" s="161"/>
      <c r="L42" s="426" t="s">
        <v>20</v>
      </c>
      <c r="M42" s="451"/>
      <c r="N42" s="427">
        <f>+N28+N22+N16+N36+N11</f>
        <v>796261</v>
      </c>
      <c r="O42" s="482">
        <f>+N42/$N$75</f>
        <v>0.22998182121712929</v>
      </c>
      <c r="P42" s="451"/>
      <c r="Q42" s="428">
        <f>+Q28+Q22+Q16+Q36+Q11</f>
        <v>446615</v>
      </c>
      <c r="R42" s="482">
        <f>+Q42/$Q$75</f>
        <v>0.15152933975665869</v>
      </c>
      <c r="S42" s="466"/>
      <c r="T42" s="483">
        <f t="shared" ref="T42:T48" si="7">+N42-Q42</f>
        <v>349646</v>
      </c>
      <c r="U42" s="531">
        <f>IFERROR(T42/Q42,0%)</f>
        <v>0.78288010926637042</v>
      </c>
    </row>
    <row r="43" spans="1:23" ht="15.75" thickTop="1">
      <c r="A43" s="452"/>
      <c r="B43" s="473"/>
      <c r="C43" s="453"/>
      <c r="D43" s="454"/>
      <c r="E43" s="473"/>
      <c r="F43" s="453"/>
      <c r="G43" s="454"/>
      <c r="H43" s="454"/>
      <c r="I43" s="462"/>
      <c r="J43" s="440"/>
      <c r="K43" s="161"/>
      <c r="L43" s="426"/>
      <c r="M43" s="451"/>
      <c r="N43" s="465"/>
      <c r="O43" s="466"/>
      <c r="P43" s="451"/>
      <c r="Q43" s="484"/>
      <c r="R43" s="466"/>
      <c r="S43" s="466"/>
      <c r="T43" s="464"/>
      <c r="U43" s="536"/>
    </row>
    <row r="44" spans="1:23" ht="15.75" thickBot="1">
      <c r="A44" s="418" t="s">
        <v>23</v>
      </c>
      <c r="B44" s="447"/>
      <c r="C44" s="419">
        <f>+C36+C27+C11+C23+C19</f>
        <v>1286719</v>
      </c>
      <c r="D44" s="480">
        <f>+C44/$C$75</f>
        <v>0.37163942352404977</v>
      </c>
      <c r="E44" s="473"/>
      <c r="F44" s="419">
        <f>+F36+F27+F11+F23+F19</f>
        <v>699003</v>
      </c>
      <c r="G44" s="480">
        <f>+F44/$F$75</f>
        <v>0.23716055904509187</v>
      </c>
      <c r="H44" s="480"/>
      <c r="I44" s="481">
        <f>+C44-F44</f>
        <v>587716</v>
      </c>
      <c r="J44" s="480">
        <f>I44/F44</f>
        <v>0.84079181348291776</v>
      </c>
      <c r="K44" s="161"/>
      <c r="L44" s="426" t="s">
        <v>166</v>
      </c>
      <c r="M44" s="441"/>
      <c r="N44" s="461"/>
      <c r="O44" s="441"/>
      <c r="P44" s="441"/>
      <c r="Q44" s="441"/>
      <c r="R44" s="441"/>
      <c r="S44" s="441"/>
      <c r="T44" s="464"/>
      <c r="U44" s="536"/>
    </row>
    <row r="45" spans="1:23" ht="15.75" thickTop="1">
      <c r="A45" s="418"/>
      <c r="B45" s="447"/>
      <c r="C45" s="420"/>
      <c r="D45" s="440"/>
      <c r="E45" s="473"/>
      <c r="F45" s="420"/>
      <c r="G45" s="440"/>
      <c r="H45" s="440"/>
      <c r="I45" s="453"/>
      <c r="J45" s="440"/>
      <c r="K45" s="161"/>
      <c r="L45" s="426" t="s">
        <v>22</v>
      </c>
      <c r="M45" s="469"/>
      <c r="N45" s="465">
        <f>SUM(N46:N48)</f>
        <v>330754</v>
      </c>
      <c r="O45" s="466">
        <f>+N45/$N$75</f>
        <v>9.553074594241133E-2</v>
      </c>
      <c r="P45" s="451"/>
      <c r="Q45" s="465">
        <f>SUM(Q46:Q48)</f>
        <v>330620</v>
      </c>
      <c r="R45" s="466">
        <f>+Q45/$Q$75</f>
        <v>0.11217408799602901</v>
      </c>
      <c r="S45" s="466"/>
      <c r="T45" s="467">
        <f t="shared" si="7"/>
        <v>134</v>
      </c>
      <c r="U45" s="537">
        <f>IFERROR(T45/Q45,0%)</f>
        <v>4.0529913495856269E-4</v>
      </c>
      <c r="V45" s="3"/>
    </row>
    <row r="46" spans="1:23" s="13" customFormat="1" ht="15.75">
      <c r="A46" s="418" t="s">
        <v>25</v>
      </c>
      <c r="B46" s="485"/>
      <c r="C46" s="486"/>
      <c r="D46" s="487"/>
      <c r="E46" s="487"/>
      <c r="F46" s="486"/>
      <c r="G46" s="486"/>
      <c r="H46" s="486"/>
      <c r="I46" s="453"/>
      <c r="J46" s="440"/>
      <c r="K46" s="161"/>
      <c r="L46" s="441" t="s">
        <v>24</v>
      </c>
      <c r="M46" s="484"/>
      <c r="N46" s="461">
        <f>+DATOS!C35</f>
        <v>269433</v>
      </c>
      <c r="O46" s="468">
        <f>+N46/$N$75</f>
        <v>7.7819574280285991E-2</v>
      </c>
      <c r="P46" s="469"/>
      <c r="Q46" s="461">
        <f>+DATOS!E35</f>
        <v>302914</v>
      </c>
      <c r="R46" s="468">
        <f>+Q46/$Q$75</f>
        <v>0.1027738844934642</v>
      </c>
      <c r="S46" s="468"/>
      <c r="T46" s="464">
        <f t="shared" si="7"/>
        <v>-33481</v>
      </c>
      <c r="U46" s="536">
        <f>IFERROR(T46/Q46,0%)</f>
        <v>-0.11052972130703764</v>
      </c>
    </row>
    <row r="47" spans="1:23" ht="15">
      <c r="A47" s="418"/>
      <c r="B47" s="438"/>
      <c r="C47" s="439"/>
      <c r="D47" s="440"/>
      <c r="E47" s="438"/>
      <c r="F47" s="439"/>
      <c r="G47" s="440"/>
      <c r="H47" s="440"/>
      <c r="I47" s="453"/>
      <c r="J47" s="440"/>
      <c r="K47" s="455"/>
      <c r="L47" s="441" t="s">
        <v>787</v>
      </c>
      <c r="M47" s="484"/>
      <c r="N47" s="461">
        <f>+DATOS!C36</f>
        <v>3420</v>
      </c>
      <c r="O47" s="468">
        <f>+N47/$N$75</f>
        <v>9.8778896437547756E-4</v>
      </c>
      <c r="P47" s="469"/>
      <c r="Q47" s="461">
        <f>+DATOS!E36</f>
        <v>3420</v>
      </c>
      <c r="R47" s="468">
        <f>+Q47/$Q$75</f>
        <v>1.1603514032618089E-3</v>
      </c>
      <c r="S47" s="468"/>
      <c r="T47" s="464">
        <f t="shared" si="7"/>
        <v>0</v>
      </c>
      <c r="U47" s="536">
        <f>IFERROR(T47/Q47,0%)</f>
        <v>0</v>
      </c>
      <c r="W47" s="5"/>
    </row>
    <row r="48" spans="1:23" ht="15">
      <c r="A48" s="418" t="s">
        <v>26</v>
      </c>
      <c r="B48" s="438"/>
      <c r="C48" s="448">
        <f>+C49</f>
        <v>0</v>
      </c>
      <c r="D48" s="440">
        <f>+C48/$C$75</f>
        <v>0</v>
      </c>
      <c r="E48" s="447"/>
      <c r="F48" s="448">
        <f>+F49</f>
        <v>0</v>
      </c>
      <c r="G48" s="440">
        <f>+F48/$F$75</f>
        <v>0</v>
      </c>
      <c r="H48" s="440"/>
      <c r="I48" s="448">
        <f>+C48-F48</f>
        <v>0</v>
      </c>
      <c r="J48" s="440">
        <f>IFERROR(I48/F48,0%)</f>
        <v>0</v>
      </c>
      <c r="K48" s="161"/>
      <c r="L48" s="441" t="s">
        <v>597</v>
      </c>
      <c r="M48" s="484"/>
      <c r="N48" s="470">
        <f>+DATOS!C37</f>
        <v>57901</v>
      </c>
      <c r="O48" s="459">
        <f>+N48/$N$75</f>
        <v>1.6723382697749863E-2</v>
      </c>
      <c r="P48" s="441"/>
      <c r="Q48" s="470">
        <f>+DATOS!E37</f>
        <v>24286</v>
      </c>
      <c r="R48" s="459">
        <f>+Q48/$Q$75</f>
        <v>8.2398520993030092E-3</v>
      </c>
      <c r="S48" s="457"/>
      <c r="T48" s="471">
        <f t="shared" si="7"/>
        <v>33615</v>
      </c>
      <c r="U48" s="538">
        <f>IFERROR(T48/Q48,0%)</f>
        <v>1.3841307749320597</v>
      </c>
      <c r="W48" s="5"/>
    </row>
    <row r="49" spans="1:23" s="6" customFormat="1" ht="15">
      <c r="A49" s="452" t="s">
        <v>265</v>
      </c>
      <c r="B49" s="438"/>
      <c r="C49" s="462">
        <v>0</v>
      </c>
      <c r="D49" s="463">
        <f>+C49/$C$75</f>
        <v>0</v>
      </c>
      <c r="E49" s="438"/>
      <c r="F49" s="462">
        <v>0</v>
      </c>
      <c r="G49" s="463">
        <f>+F49/$F$75</f>
        <v>0</v>
      </c>
      <c r="H49" s="463"/>
      <c r="I49" s="462">
        <f>+C49-F49</f>
        <v>0</v>
      </c>
      <c r="J49" s="463">
        <f>IFERROR(I49/F49,0%)</f>
        <v>0</v>
      </c>
      <c r="K49" s="472"/>
      <c r="L49" s="441"/>
      <c r="M49" s="484"/>
      <c r="N49" s="461"/>
      <c r="O49" s="468"/>
      <c r="P49" s="469"/>
      <c r="Q49" s="461"/>
      <c r="R49" s="468"/>
      <c r="S49" s="468"/>
      <c r="T49" s="464"/>
      <c r="U49" s="536"/>
      <c r="V49" s="1"/>
      <c r="W49" s="1"/>
    </row>
    <row r="50" spans="1:23" ht="15">
      <c r="A50" s="488"/>
      <c r="B50" s="485"/>
      <c r="C50" s="486"/>
      <c r="D50" s="487"/>
      <c r="E50" s="487"/>
      <c r="F50" s="486"/>
      <c r="G50" s="486"/>
      <c r="H50" s="486"/>
      <c r="I50" s="453"/>
      <c r="J50" s="440"/>
      <c r="K50" s="455"/>
      <c r="L50" s="426" t="s">
        <v>28</v>
      </c>
      <c r="M50" s="484"/>
      <c r="N50" s="465">
        <f>SUM(N51:N51)</f>
        <v>0</v>
      </c>
      <c r="O50" s="466">
        <f>+N50/$N$75</f>
        <v>0</v>
      </c>
      <c r="P50" s="451"/>
      <c r="Q50" s="465">
        <f>SUM(Q51:Q51)</f>
        <v>0</v>
      </c>
      <c r="R50" s="466">
        <f>+Q50/$Q$75</f>
        <v>0</v>
      </c>
      <c r="S50" s="466"/>
      <c r="T50" s="467">
        <f>+N50-Q50</f>
        <v>0</v>
      </c>
      <c r="U50" s="537">
        <f>IFERROR(T50/Q50,0%)</f>
        <v>0</v>
      </c>
    </row>
    <row r="51" spans="1:23" ht="14.25">
      <c r="A51" s="488"/>
      <c r="B51" s="486"/>
      <c r="C51" s="486"/>
      <c r="D51" s="487"/>
      <c r="E51" s="487"/>
      <c r="F51" s="486"/>
      <c r="G51" s="486"/>
      <c r="H51" s="486"/>
      <c r="I51" s="453"/>
      <c r="J51" s="454"/>
      <c r="K51" s="455"/>
      <c r="L51" s="441" t="s">
        <v>909</v>
      </c>
      <c r="M51" s="451"/>
      <c r="N51" s="470">
        <v>0</v>
      </c>
      <c r="O51" s="459">
        <f>+N51/$N$75</f>
        <v>0</v>
      </c>
      <c r="P51" s="441"/>
      <c r="Q51" s="470">
        <v>0</v>
      </c>
      <c r="R51" s="459">
        <f>+Q51/$Q$75</f>
        <v>0</v>
      </c>
      <c r="S51" s="468"/>
      <c r="T51" s="471">
        <f>+N51-Q51</f>
        <v>0</v>
      </c>
      <c r="U51" s="538">
        <f>IFERROR(T51/Q51,0%)</f>
        <v>0</v>
      </c>
    </row>
    <row r="52" spans="1:23" ht="15">
      <c r="A52" s="489" t="s">
        <v>27</v>
      </c>
      <c r="B52" s="438"/>
      <c r="C52" s="490">
        <f>+SUM(C53:C59)</f>
        <v>1983687</v>
      </c>
      <c r="D52" s="440">
        <f>+C52/$C$75</f>
        <v>0.57294272730266027</v>
      </c>
      <c r="E52" s="438"/>
      <c r="F52" s="490">
        <f>+SUM(F53:F59)</f>
        <v>2028380</v>
      </c>
      <c r="G52" s="440">
        <f t="shared" ref="G52:G59" si="8">+F52/$F$75</f>
        <v>0.68819695302578587</v>
      </c>
      <c r="H52" s="440"/>
      <c r="I52" s="448">
        <f t="shared" ref="I52:I58" si="9">+C52-F52</f>
        <v>-44693</v>
      </c>
      <c r="J52" s="440">
        <f>I52/F52</f>
        <v>-2.2033839813052781E-2</v>
      </c>
      <c r="K52" s="322"/>
      <c r="L52" s="441"/>
      <c r="M52" s="451"/>
      <c r="N52" s="456"/>
      <c r="O52" s="457"/>
      <c r="P52" s="484"/>
      <c r="Q52" s="456"/>
      <c r="R52" s="457"/>
      <c r="S52" s="457"/>
      <c r="T52" s="464"/>
      <c r="U52" s="536"/>
      <c r="V52" s="6"/>
    </row>
    <row r="53" spans="1:23" ht="15">
      <c r="A53" s="488" t="s">
        <v>239</v>
      </c>
      <c r="B53" s="438"/>
      <c r="C53" s="491">
        <f>+DATOS!C21</f>
        <v>339255</v>
      </c>
      <c r="D53" s="454">
        <f>+C53/$C$75</f>
        <v>9.7986065821404289E-2</v>
      </c>
      <c r="E53" s="438"/>
      <c r="F53" s="491">
        <f>+DATOS!E21</f>
        <v>355856</v>
      </c>
      <c r="G53" s="454">
        <f t="shared" si="8"/>
        <v>0.12073625992957142</v>
      </c>
      <c r="H53" s="454"/>
      <c r="I53" s="453">
        <f t="shared" si="9"/>
        <v>-16601</v>
      </c>
      <c r="J53" s="440"/>
      <c r="K53" s="322"/>
      <c r="L53" s="426" t="s">
        <v>13</v>
      </c>
      <c r="M53" s="441"/>
      <c r="N53" s="449">
        <f>+N54+N55</f>
        <v>4118</v>
      </c>
      <c r="O53" s="450">
        <f>+N53/$N$75</f>
        <v>1.1893903378064961E-3</v>
      </c>
      <c r="P53" s="451"/>
      <c r="Q53" s="449">
        <f>+Q54</f>
        <v>4118</v>
      </c>
      <c r="R53" s="450">
        <f>+Q53/$Q$75</f>
        <v>1.3971716604187512E-3</v>
      </c>
      <c r="S53" s="450"/>
      <c r="T53" s="467">
        <f>+N53-Q53</f>
        <v>0</v>
      </c>
      <c r="U53" s="537">
        <f>IFERROR(T53/Q53,0%)</f>
        <v>0</v>
      </c>
      <c r="V53" s="6"/>
    </row>
    <row r="54" spans="1:23" ht="14.25">
      <c r="A54" s="488" t="s">
        <v>29</v>
      </c>
      <c r="B54" s="438"/>
      <c r="C54" s="491">
        <f>+DATOS!C22</f>
        <v>1286225.5</v>
      </c>
      <c r="D54" s="454">
        <f t="shared" ref="D54:D59" si="10">+C54/$C$75</f>
        <v>0.37149688730945346</v>
      </c>
      <c r="E54" s="438"/>
      <c r="F54" s="491">
        <f>+DATOS!E22</f>
        <v>1286226</v>
      </c>
      <c r="G54" s="454">
        <f t="shared" si="8"/>
        <v>0.43639594854146885</v>
      </c>
      <c r="H54" s="454"/>
      <c r="I54" s="453">
        <f t="shared" si="9"/>
        <v>-0.5</v>
      </c>
      <c r="J54" s="454">
        <v>0</v>
      </c>
      <c r="K54" s="492"/>
      <c r="L54" s="441" t="s">
        <v>48</v>
      </c>
      <c r="M54" s="451"/>
      <c r="N54" s="456">
        <f>+DATOS!C47</f>
        <v>4118</v>
      </c>
      <c r="O54" s="457">
        <f>+N54/$N$75</f>
        <v>1.1893903378064961E-3</v>
      </c>
      <c r="P54" s="441"/>
      <c r="Q54" s="456">
        <f>+DATOS!E47</f>
        <v>4118</v>
      </c>
      <c r="R54" s="457">
        <f>+Q54/$Q$75</f>
        <v>1.3971716604187512E-3</v>
      </c>
      <c r="S54" s="457"/>
      <c r="T54" s="464">
        <f>+N54-Q54</f>
        <v>0</v>
      </c>
      <c r="U54" s="536">
        <f>IFERROR(T54/Q54,0%)</f>
        <v>0</v>
      </c>
      <c r="W54" s="6"/>
    </row>
    <row r="55" spans="1:23" ht="14.25">
      <c r="A55" s="488" t="s">
        <v>31</v>
      </c>
      <c r="B55" s="438"/>
      <c r="C55" s="491">
        <f>+DATOS!C23</f>
        <v>463303</v>
      </c>
      <c r="D55" s="454">
        <f t="shared" si="10"/>
        <v>0.13381450016434265</v>
      </c>
      <c r="E55" s="447"/>
      <c r="F55" s="491">
        <f>+DATOS!E23</f>
        <v>455027</v>
      </c>
      <c r="G55" s="454">
        <f t="shared" si="8"/>
        <v>0.15438339706783952</v>
      </c>
      <c r="H55" s="454"/>
      <c r="I55" s="453">
        <f>+C55-F55</f>
        <v>8276</v>
      </c>
      <c r="J55" s="454">
        <f>I55/F55</f>
        <v>1.8187931705151563E-2</v>
      </c>
      <c r="K55" s="161"/>
      <c r="L55" s="441"/>
      <c r="M55" s="441"/>
      <c r="N55" s="456"/>
      <c r="O55" s="457"/>
      <c r="P55" s="441"/>
      <c r="Q55" s="456"/>
      <c r="R55" s="457"/>
      <c r="S55" s="457"/>
      <c r="T55" s="464"/>
      <c r="U55" s="536"/>
    </row>
    <row r="56" spans="1:23" ht="15.75" thickBot="1">
      <c r="A56" s="488" t="s">
        <v>32</v>
      </c>
      <c r="B56" s="473"/>
      <c r="C56" s="491">
        <f>+DATOS!C24</f>
        <v>210990</v>
      </c>
      <c r="D56" s="454">
        <f t="shared" si="10"/>
        <v>6.0939647249585387E-2</v>
      </c>
      <c r="E56" s="438"/>
      <c r="F56" s="491">
        <f>+DATOS!E24</f>
        <v>210990</v>
      </c>
      <c r="G56" s="454">
        <f t="shared" si="8"/>
        <v>7.1585538764388612E-2</v>
      </c>
      <c r="H56" s="454"/>
      <c r="I56" s="453">
        <f t="shared" si="9"/>
        <v>0</v>
      </c>
      <c r="J56" s="454">
        <v>0</v>
      </c>
      <c r="K56" s="161"/>
      <c r="L56" s="426" t="s">
        <v>33</v>
      </c>
      <c r="M56" s="441"/>
      <c r="N56" s="427">
        <f>+N45+N53+N50</f>
        <v>334872</v>
      </c>
      <c r="O56" s="482">
        <f>+N56/$N$75</f>
        <v>9.6720136280217819E-2</v>
      </c>
      <c r="P56" s="441"/>
      <c r="Q56" s="427">
        <f>+Q45+Q53+Q50</f>
        <v>334738</v>
      </c>
      <c r="R56" s="482">
        <f>+Q56/$Q$75</f>
        <v>0.11357125965644776</v>
      </c>
      <c r="S56" s="466"/>
      <c r="T56" s="483">
        <f>+N56-Q56</f>
        <v>134</v>
      </c>
      <c r="U56" s="531">
        <f>IFERROR(T56/Q56,0%)</f>
        <v>4.0031308067802282E-4</v>
      </c>
    </row>
    <row r="57" spans="1:23" ht="15.75" thickTop="1">
      <c r="A57" s="488" t="s">
        <v>58</v>
      </c>
      <c r="B57" s="447"/>
      <c r="C57" s="491">
        <f>+DATOS!C25</f>
        <v>42702</v>
      </c>
      <c r="D57" s="454">
        <f t="shared" si="10"/>
        <v>1.2333498349930305E-2</v>
      </c>
      <c r="E57" s="473"/>
      <c r="F57" s="491">
        <f>+DATOS!E25</f>
        <v>42702</v>
      </c>
      <c r="G57" s="454">
        <f t="shared" si="8"/>
        <v>1.448810690704262E-2</v>
      </c>
      <c r="H57" s="454"/>
      <c r="I57" s="453">
        <f t="shared" si="9"/>
        <v>0</v>
      </c>
      <c r="J57" s="454">
        <v>0</v>
      </c>
      <c r="K57" s="161"/>
      <c r="L57" s="426"/>
      <c r="M57" s="441"/>
      <c r="N57" s="449"/>
      <c r="O57" s="450"/>
      <c r="P57" s="441"/>
      <c r="Q57" s="426"/>
      <c r="R57" s="450"/>
      <c r="S57" s="450"/>
      <c r="T57" s="493"/>
      <c r="U57" s="539"/>
    </row>
    <row r="58" spans="1:23" ht="15.75" thickBot="1">
      <c r="A58" s="488" t="s">
        <v>34</v>
      </c>
      <c r="B58" s="494"/>
      <c r="C58" s="453"/>
      <c r="D58" s="454">
        <f t="shared" si="10"/>
        <v>0</v>
      </c>
      <c r="E58" s="447"/>
      <c r="F58" s="453"/>
      <c r="G58" s="454">
        <f t="shared" si="8"/>
        <v>0</v>
      </c>
      <c r="H58" s="454"/>
      <c r="I58" s="453">
        <f t="shared" si="9"/>
        <v>0</v>
      </c>
      <c r="J58" s="454">
        <v>0</v>
      </c>
      <c r="K58" s="455"/>
      <c r="L58" s="495" t="s">
        <v>35</v>
      </c>
      <c r="M58" s="441"/>
      <c r="N58" s="427">
        <f>+N56+N42</f>
        <v>1131133</v>
      </c>
      <c r="O58" s="482">
        <f>+N58/$N$75</f>
        <v>0.3267019574973471</v>
      </c>
      <c r="P58" s="441"/>
      <c r="Q58" s="428">
        <f>+Q56+Q42</f>
        <v>781353</v>
      </c>
      <c r="R58" s="482">
        <f>+Q58/$Q$75</f>
        <v>0.26510059941310649</v>
      </c>
      <c r="S58" s="466"/>
      <c r="T58" s="496">
        <f>+N58-Q58</f>
        <v>349780</v>
      </c>
      <c r="U58" s="540">
        <f>IFERROR(T58/Q58,0%)</f>
        <v>0.4476593805872634</v>
      </c>
    </row>
    <row r="59" spans="1:23" ht="15.75" thickTop="1">
      <c r="A59" s="488" t="s">
        <v>36</v>
      </c>
      <c r="B59" s="497"/>
      <c r="C59" s="923">
        <f>+DATOS!C26</f>
        <v>-358788.5</v>
      </c>
      <c r="D59" s="463">
        <f t="shared" si="10"/>
        <v>-0.10362787159205587</v>
      </c>
      <c r="E59" s="494"/>
      <c r="F59" s="462">
        <f>+DATOS!E26</f>
        <v>-322421</v>
      </c>
      <c r="G59" s="463">
        <f t="shared" si="8"/>
        <v>-0.10939229818452505</v>
      </c>
      <c r="H59" s="463"/>
      <c r="I59" s="462">
        <f>+C59-F59</f>
        <v>-36367.5</v>
      </c>
      <c r="J59" s="463">
        <f>I59/F59</f>
        <v>0.112795072281272</v>
      </c>
      <c r="K59" s="455"/>
      <c r="L59" s="161"/>
      <c r="M59" s="492"/>
      <c r="N59" s="498"/>
      <c r="O59" s="499"/>
      <c r="P59" s="322"/>
      <c r="Q59" s="161"/>
      <c r="R59" s="499"/>
      <c r="S59" s="499"/>
      <c r="T59" s="500"/>
      <c r="U59" s="541"/>
    </row>
    <row r="60" spans="1:23" ht="15">
      <c r="A60" s="488"/>
      <c r="B60" s="438"/>
      <c r="C60" s="439"/>
      <c r="D60" s="440"/>
      <c r="E60" s="501"/>
      <c r="F60" s="439"/>
      <c r="G60" s="440"/>
      <c r="H60" s="440"/>
      <c r="I60" s="453"/>
      <c r="J60" s="440"/>
      <c r="K60" s="455"/>
      <c r="L60" s="542" t="s">
        <v>167</v>
      </c>
      <c r="M60" s="494"/>
      <c r="N60" s="494"/>
      <c r="O60" s="494"/>
      <c r="P60" s="494"/>
      <c r="Q60" s="494"/>
      <c r="R60" s="494"/>
      <c r="S60" s="494"/>
      <c r="T60" s="543"/>
      <c r="U60" s="544"/>
    </row>
    <row r="61" spans="1:23" ht="15">
      <c r="A61" s="418" t="s">
        <v>38</v>
      </c>
      <c r="B61" s="438"/>
      <c r="C61" s="448">
        <f>+C62</f>
        <v>184351</v>
      </c>
      <c r="D61" s="440">
        <f>+C61/$C$75</f>
        <v>5.3245579933211599E-2</v>
      </c>
      <c r="E61" s="438"/>
      <c r="F61" s="448">
        <f>+F62</f>
        <v>220000</v>
      </c>
      <c r="G61" s="440">
        <f>+F61/$F$75</f>
        <v>7.4642487929122203E-2</v>
      </c>
      <c r="H61" s="440"/>
      <c r="I61" s="448">
        <f>+C61-F61</f>
        <v>-35649</v>
      </c>
      <c r="J61" s="440">
        <v>0</v>
      </c>
      <c r="K61" s="455"/>
      <c r="L61" s="494" t="s">
        <v>37</v>
      </c>
      <c r="M61" s="494"/>
      <c r="N61" s="545">
        <f>+N62</f>
        <v>1737000</v>
      </c>
      <c r="O61" s="546">
        <f>+N61/$N$75</f>
        <v>0.50169281611701888</v>
      </c>
      <c r="P61" s="494"/>
      <c r="Q61" s="545">
        <f>+Q62</f>
        <v>1737000</v>
      </c>
      <c r="R61" s="546">
        <f>+Q61/$Q$75</f>
        <v>0.589336370604024</v>
      </c>
      <c r="S61" s="547"/>
      <c r="T61" s="545">
        <f>+N61-Q61</f>
        <v>0</v>
      </c>
      <c r="U61" s="548">
        <f>IFERROR(T61/Q61,0%)</f>
        <v>0</v>
      </c>
    </row>
    <row r="62" spans="1:23" ht="14.25">
      <c r="A62" s="452" t="s">
        <v>40</v>
      </c>
      <c r="B62" s="438"/>
      <c r="C62" s="462">
        <f>+DATOS!C27</f>
        <v>184351</v>
      </c>
      <c r="D62" s="463">
        <f>+C62/$C$75</f>
        <v>5.3245579933211599E-2</v>
      </c>
      <c r="E62" s="438"/>
      <c r="F62" s="462">
        <f>+DATOS!E27</f>
        <v>220000</v>
      </c>
      <c r="G62" s="463">
        <f>+F62/$F$75</f>
        <v>7.4642487929122203E-2</v>
      </c>
      <c r="H62" s="463"/>
      <c r="I62" s="462">
        <f>+C62-F62</f>
        <v>-35649</v>
      </c>
      <c r="J62" s="463">
        <v>0</v>
      </c>
      <c r="K62" s="161"/>
      <c r="L62" s="438" t="s">
        <v>39</v>
      </c>
      <c r="M62" s="438"/>
      <c r="N62" s="549">
        <f>+DATOS!C72</f>
        <v>1737000</v>
      </c>
      <c r="O62" s="550">
        <f>+N62/$N$75</f>
        <v>0.50169281611701888</v>
      </c>
      <c r="P62" s="438"/>
      <c r="Q62" s="549">
        <f>+DATOS!E72</f>
        <v>1737000</v>
      </c>
      <c r="R62" s="550">
        <f>+Q62/$Q$75</f>
        <v>0.589336370604024</v>
      </c>
      <c r="S62" s="551"/>
      <c r="T62" s="549">
        <f>+N62-Q62</f>
        <v>0</v>
      </c>
      <c r="U62" s="552">
        <f>IFERROR(T62/Q62,0%)</f>
        <v>0</v>
      </c>
    </row>
    <row r="63" spans="1:23" ht="15">
      <c r="A63" s="452"/>
      <c r="B63" s="447"/>
      <c r="C63" s="453"/>
      <c r="D63" s="454"/>
      <c r="E63" s="447"/>
      <c r="F63" s="453"/>
      <c r="G63" s="454"/>
      <c r="H63" s="454"/>
      <c r="I63" s="453"/>
      <c r="J63" s="440"/>
      <c r="K63" s="455"/>
      <c r="L63" s="494"/>
      <c r="M63" s="494"/>
      <c r="N63" s="543"/>
      <c r="O63" s="547"/>
      <c r="P63" s="494"/>
      <c r="Q63" s="543"/>
      <c r="R63" s="547"/>
      <c r="S63" s="547"/>
      <c r="T63" s="543"/>
      <c r="U63" s="544"/>
      <c r="V63" s="2"/>
    </row>
    <row r="64" spans="1:23" ht="15">
      <c r="A64" s="418" t="s">
        <v>43</v>
      </c>
      <c r="B64" s="447"/>
      <c r="C64" s="448">
        <f>+C65</f>
        <v>7521</v>
      </c>
      <c r="D64" s="440">
        <f>+C64/$C$75</f>
        <v>2.1722692400783531E-3</v>
      </c>
      <c r="E64" s="447"/>
      <c r="F64" s="448">
        <f>+F65</f>
        <v>0</v>
      </c>
      <c r="G64" s="440">
        <f>+F64/$F$75</f>
        <v>0</v>
      </c>
      <c r="H64" s="440"/>
      <c r="I64" s="448">
        <f>+C64-F64</f>
        <v>7521</v>
      </c>
      <c r="J64" s="440">
        <v>0</v>
      </c>
      <c r="K64" s="455"/>
      <c r="L64" s="494" t="s">
        <v>41</v>
      </c>
      <c r="M64" s="494"/>
      <c r="N64" s="543">
        <f>+N65</f>
        <v>89882</v>
      </c>
      <c r="O64" s="547">
        <f>+N64/$N$75</f>
        <v>2.5960364823390841E-2</v>
      </c>
      <c r="P64" s="494"/>
      <c r="Q64" s="543">
        <f>+Q65</f>
        <v>73935</v>
      </c>
      <c r="R64" s="547">
        <f>+Q64/$Q$75</f>
        <v>2.5084965204725685E-2</v>
      </c>
      <c r="S64" s="547"/>
      <c r="T64" s="543">
        <f>+N64-Q64</f>
        <v>15947</v>
      </c>
      <c r="U64" s="544">
        <f>IFERROR(T64/Q64,0%)</f>
        <v>0.21568945695543382</v>
      </c>
    </row>
    <row r="65" spans="1:23" ht="14.25">
      <c r="A65" s="452" t="s">
        <v>44</v>
      </c>
      <c r="B65" s="447"/>
      <c r="C65" s="462">
        <f>+DATOS!C30</f>
        <v>7521</v>
      </c>
      <c r="D65" s="463">
        <f>+C65/$C$75</f>
        <v>2.1722692400783531E-3</v>
      </c>
      <c r="E65" s="447"/>
      <c r="F65" s="462">
        <f>+DATOS!E29</f>
        <v>0</v>
      </c>
      <c r="G65" s="463">
        <f>+F65/$F$75</f>
        <v>0</v>
      </c>
      <c r="H65" s="463"/>
      <c r="I65" s="462">
        <f>+C65-F65</f>
        <v>7521</v>
      </c>
      <c r="J65" s="463">
        <v>0</v>
      </c>
      <c r="K65" s="455"/>
      <c r="L65" s="438" t="s">
        <v>42</v>
      </c>
      <c r="M65" s="438"/>
      <c r="N65" s="549">
        <f>+DATOS!C73</f>
        <v>89882</v>
      </c>
      <c r="O65" s="550">
        <f>+N65/$N$75</f>
        <v>2.5960364823390841E-2</v>
      </c>
      <c r="P65" s="438"/>
      <c r="Q65" s="549">
        <f>+DATOS!E73</f>
        <v>73935</v>
      </c>
      <c r="R65" s="550">
        <f>+Q65/$Q$75</f>
        <v>2.5084965204725685E-2</v>
      </c>
      <c r="S65" s="551"/>
      <c r="T65" s="549">
        <f>+N65-Q65</f>
        <v>15947</v>
      </c>
      <c r="U65" s="552">
        <f>IFERROR(T65/Q65,0%)</f>
        <v>0.21568945695543382</v>
      </c>
    </row>
    <row r="66" spans="1:23" ht="15">
      <c r="A66" s="452"/>
      <c r="B66" s="438"/>
      <c r="C66" s="453"/>
      <c r="D66" s="454"/>
      <c r="E66" s="447"/>
      <c r="F66" s="453"/>
      <c r="G66" s="454"/>
      <c r="H66" s="454"/>
      <c r="I66" s="453"/>
      <c r="J66" s="440"/>
      <c r="K66" s="455"/>
      <c r="L66" s="494"/>
      <c r="M66" s="494"/>
      <c r="N66" s="543"/>
      <c r="O66" s="547"/>
      <c r="P66" s="494"/>
      <c r="Q66" s="543"/>
      <c r="R66" s="547"/>
      <c r="S66" s="547"/>
      <c r="T66" s="543">
        <f>+N66-Q66</f>
        <v>0</v>
      </c>
      <c r="U66" s="544"/>
    </row>
    <row r="67" spans="1:23" ht="15">
      <c r="A67" s="418" t="s">
        <v>47</v>
      </c>
      <c r="B67" s="447"/>
      <c r="C67" s="448">
        <f>+C68</f>
        <v>0</v>
      </c>
      <c r="D67" s="440">
        <f>+C67/$C$75</f>
        <v>0</v>
      </c>
      <c r="E67" s="438"/>
      <c r="F67" s="448">
        <f>+F68</f>
        <v>0</v>
      </c>
      <c r="G67" s="440">
        <f>+F67/$F$75</f>
        <v>0</v>
      </c>
      <c r="H67" s="440"/>
      <c r="I67" s="448">
        <f>+C67-F67</f>
        <v>0</v>
      </c>
      <c r="J67" s="440">
        <v>0</v>
      </c>
      <c r="K67" s="455"/>
      <c r="L67" s="494" t="s">
        <v>45</v>
      </c>
      <c r="M67" s="494"/>
      <c r="N67" s="543">
        <f>+N68</f>
        <v>39744</v>
      </c>
      <c r="O67" s="547">
        <f>+N67/$N$75</f>
        <v>1.1479147543900288E-2</v>
      </c>
      <c r="P67" s="494"/>
      <c r="Q67" s="543">
        <f>+Q68</f>
        <v>32625</v>
      </c>
      <c r="R67" s="547">
        <f>+Q67/$Q$75</f>
        <v>1.1069141675852781E-2</v>
      </c>
      <c r="S67" s="547"/>
      <c r="T67" s="543">
        <f>+N67-Q67</f>
        <v>7119</v>
      </c>
      <c r="U67" s="544">
        <f>IFERROR(T67/Q67,0%)</f>
        <v>0.21820689655172415</v>
      </c>
    </row>
    <row r="68" spans="1:23" ht="15.75">
      <c r="A68" s="452" t="s">
        <v>48</v>
      </c>
      <c r="B68" s="447"/>
      <c r="C68" s="462"/>
      <c r="D68" s="463">
        <f>+C68/$C$75</f>
        <v>0</v>
      </c>
      <c r="E68" s="447"/>
      <c r="F68" s="462"/>
      <c r="G68" s="463">
        <f>+F68/$F$75</f>
        <v>0</v>
      </c>
      <c r="H68" s="463"/>
      <c r="I68" s="462">
        <f>+C68-F68</f>
        <v>0</v>
      </c>
      <c r="J68" s="463">
        <v>0</v>
      </c>
      <c r="K68" s="472"/>
      <c r="L68" s="438" t="s">
        <v>46</v>
      </c>
      <c r="M68" s="438"/>
      <c r="N68" s="549">
        <f>+'2.E.R.I. MES-ACUMULADO'!CM160</f>
        <v>39744</v>
      </c>
      <c r="O68" s="550">
        <f>+N68/$N$75</f>
        <v>1.1479147543900288E-2</v>
      </c>
      <c r="P68" s="438"/>
      <c r="Q68" s="549">
        <f>+'2.E.R.I. MES-ACUMULADO'!CS160</f>
        <v>32625</v>
      </c>
      <c r="R68" s="550">
        <f>+Q68/$Q$75</f>
        <v>1.1069141675852781E-2</v>
      </c>
      <c r="S68" s="551"/>
      <c r="T68" s="549">
        <f>+N68-Q68</f>
        <v>7119</v>
      </c>
      <c r="U68" s="552">
        <f>IFERROR(T68/Q68,0%)</f>
        <v>0.21820689655172415</v>
      </c>
      <c r="V68" s="13"/>
    </row>
    <row r="69" spans="1:23" s="13" customFormat="1" ht="15.75">
      <c r="A69" s="452"/>
      <c r="B69" s="447"/>
      <c r="C69" s="453"/>
      <c r="D69" s="454"/>
      <c r="E69" s="447"/>
      <c r="F69" s="453"/>
      <c r="G69" s="454"/>
      <c r="H69" s="454"/>
      <c r="I69" s="453"/>
      <c r="J69" s="440"/>
      <c r="K69" s="472"/>
      <c r="L69" s="494"/>
      <c r="M69" s="494"/>
      <c r="N69" s="543"/>
      <c r="O69" s="547"/>
      <c r="P69" s="494"/>
      <c r="Q69" s="543"/>
      <c r="R69" s="547"/>
      <c r="S69" s="547"/>
      <c r="T69" s="543"/>
      <c r="U69" s="544"/>
      <c r="V69" s="1"/>
      <c r="W69" s="1"/>
    </row>
    <row r="70" spans="1:23" ht="15">
      <c r="A70" s="488"/>
      <c r="B70" s="447"/>
      <c r="C70" s="502"/>
      <c r="D70" s="454"/>
      <c r="E70" s="447"/>
      <c r="F70" s="502"/>
      <c r="G70" s="454"/>
      <c r="H70" s="454"/>
      <c r="I70" s="462"/>
      <c r="J70" s="440"/>
      <c r="K70" s="472"/>
      <c r="L70" s="494" t="s">
        <v>49</v>
      </c>
      <c r="M70" s="494"/>
      <c r="N70" s="543">
        <f>+N71+N72</f>
        <v>464519</v>
      </c>
      <c r="O70" s="547">
        <f>+N70/$N$75</f>
        <v>0.13416571401834285</v>
      </c>
      <c r="P70" s="494"/>
      <c r="Q70" s="543">
        <f>+Q71+Q72</f>
        <v>322470</v>
      </c>
      <c r="R70" s="547">
        <f>+Q70/$Q$75</f>
        <v>0.10940892310229108</v>
      </c>
      <c r="S70" s="547"/>
      <c r="T70" s="543">
        <f>+N70-Q70</f>
        <v>142049</v>
      </c>
      <c r="U70" s="544">
        <f>IFERROR(T70/Q70,0%)</f>
        <v>0.44050299252643654</v>
      </c>
    </row>
    <row r="71" spans="1:23" ht="15.75" thickBot="1">
      <c r="A71" s="418" t="s">
        <v>52</v>
      </c>
      <c r="B71" s="447"/>
      <c r="C71" s="419">
        <f>+C52+C61+C64+C48+C67</f>
        <v>2175559</v>
      </c>
      <c r="D71" s="480">
        <f>+C71/$C$75</f>
        <v>0.62836057647595023</v>
      </c>
      <c r="E71" s="447"/>
      <c r="F71" s="419">
        <f>+F52+F61+F64+F48+F67</f>
        <v>2248380</v>
      </c>
      <c r="G71" s="480">
        <f>+F71/$F$75</f>
        <v>0.76283944095490819</v>
      </c>
      <c r="H71" s="480"/>
      <c r="I71" s="481">
        <f>+C71-F71</f>
        <v>-72821</v>
      </c>
      <c r="J71" s="480">
        <f>I71/F71</f>
        <v>-3.2388208398936122E-2</v>
      </c>
      <c r="K71" s="472"/>
      <c r="L71" s="438" t="s">
        <v>50</v>
      </c>
      <c r="M71" s="438"/>
      <c r="N71" s="553">
        <f>+DATOS!C76+DATOS!C77</f>
        <v>481555</v>
      </c>
      <c r="O71" s="551">
        <f>+N71/$N$75</f>
        <v>0.13908617390053601</v>
      </c>
      <c r="P71" s="438"/>
      <c r="Q71" s="553">
        <f>+DATOS!E76+DATOS!E77-4</f>
        <v>339506</v>
      </c>
      <c r="R71" s="551">
        <f>+Q71/$Q$75</f>
        <v>0.11518896594029347</v>
      </c>
      <c r="S71" s="551"/>
      <c r="T71" s="553">
        <f>+N71-Q71</f>
        <v>142049</v>
      </c>
      <c r="U71" s="554">
        <f>IFERROR(T71/Q71,0%)</f>
        <v>0.41839908573044365</v>
      </c>
    </row>
    <row r="72" spans="1:23" ht="16.5" thickTop="1">
      <c r="A72" s="418"/>
      <c r="B72" s="447"/>
      <c r="C72" s="420"/>
      <c r="D72" s="440"/>
      <c r="E72" s="447"/>
      <c r="F72" s="420"/>
      <c r="G72" s="440"/>
      <c r="H72" s="440"/>
      <c r="I72" s="453"/>
      <c r="J72" s="440"/>
      <c r="K72" s="472"/>
      <c r="L72" s="438" t="s">
        <v>51</v>
      </c>
      <c r="M72" s="438"/>
      <c r="N72" s="553">
        <f>+DATOS!C78</f>
        <v>-17036</v>
      </c>
      <c r="O72" s="551">
        <f>+N72/$N$75</f>
        <v>-4.9204598821931686E-3</v>
      </c>
      <c r="P72" s="438"/>
      <c r="Q72" s="553">
        <f>+DATOS!E78</f>
        <v>-17036</v>
      </c>
      <c r="R72" s="551">
        <f>+Q72/$Q$75</f>
        <v>-5.7800428380023906E-3</v>
      </c>
      <c r="S72" s="551"/>
      <c r="T72" s="553">
        <f>+N72-Q72</f>
        <v>0</v>
      </c>
      <c r="U72" s="554">
        <f>IFERROR(T72/Q72,0%)</f>
        <v>0</v>
      </c>
      <c r="W72" s="13"/>
    </row>
    <row r="73" spans="1:23" ht="15.75" thickBot="1">
      <c r="A73" s="418"/>
      <c r="B73" s="447"/>
      <c r="C73" s="420"/>
      <c r="D73" s="440"/>
      <c r="E73" s="447"/>
      <c r="F73" s="420"/>
      <c r="G73" s="440"/>
      <c r="H73" s="440"/>
      <c r="I73" s="453"/>
      <c r="J73" s="440"/>
      <c r="K73" s="472"/>
      <c r="L73" s="555" t="s">
        <v>53</v>
      </c>
      <c r="M73" s="494"/>
      <c r="N73" s="556">
        <f>+N61+N64+N67+N70</f>
        <v>2331145</v>
      </c>
      <c r="O73" s="557">
        <f>+N73/$N$75</f>
        <v>0.6732980425026529</v>
      </c>
      <c r="P73" s="494"/>
      <c r="Q73" s="556">
        <f>+Q61+Q64+Q67+Q70</f>
        <v>2166030</v>
      </c>
      <c r="R73" s="557">
        <f>+Q73/$Q$75</f>
        <v>0.73489940058689351</v>
      </c>
      <c r="S73" s="557"/>
      <c r="T73" s="556">
        <f>+N73-Q73</f>
        <v>165115</v>
      </c>
      <c r="U73" s="558">
        <f>IFERROR(T73/Q73,0%)</f>
        <v>7.622932277022941E-2</v>
      </c>
    </row>
    <row r="74" spans="1:23" ht="16.5" thickTop="1" thickBot="1">
      <c r="A74" s="418"/>
      <c r="B74" s="473"/>
      <c r="C74" s="420"/>
      <c r="D74" s="440"/>
      <c r="E74" s="447"/>
      <c r="F74" s="420"/>
      <c r="G74" s="440"/>
      <c r="H74" s="440"/>
      <c r="I74" s="462"/>
      <c r="J74" s="440"/>
      <c r="K74" s="161"/>
      <c r="L74" s="555"/>
      <c r="M74" s="494"/>
      <c r="N74" s="556"/>
      <c r="O74" s="557"/>
      <c r="P74" s="494"/>
      <c r="Q74" s="556"/>
      <c r="R74" s="557"/>
      <c r="S74" s="557"/>
      <c r="T74" s="556"/>
      <c r="U74" s="558"/>
    </row>
    <row r="75" spans="1:23" ht="16.5" thickTop="1" thickBot="1">
      <c r="A75" s="503" t="s">
        <v>54</v>
      </c>
      <c r="B75" s="504"/>
      <c r="C75" s="419">
        <f>+C71+C44</f>
        <v>3462278</v>
      </c>
      <c r="D75" s="480">
        <f>+C75/$C$75</f>
        <v>1</v>
      </c>
      <c r="E75" s="473"/>
      <c r="F75" s="419">
        <f>+F71+F44</f>
        <v>2947383</v>
      </c>
      <c r="G75" s="480">
        <f>+F75/$F$75</f>
        <v>1</v>
      </c>
      <c r="H75" s="480"/>
      <c r="I75" s="481">
        <f>+C75-F75</f>
        <v>514895</v>
      </c>
      <c r="J75" s="480">
        <f>I75/F75</f>
        <v>0.1746956537375699</v>
      </c>
      <c r="K75" s="161"/>
      <c r="L75" s="555" t="s">
        <v>55</v>
      </c>
      <c r="M75" s="494"/>
      <c r="N75" s="556">
        <f>+N73+N58</f>
        <v>3462278</v>
      </c>
      <c r="O75" s="557">
        <f>+N75/$N$75</f>
        <v>1</v>
      </c>
      <c r="P75" s="494"/>
      <c r="Q75" s="556">
        <f>+Q73+Q58</f>
        <v>2947383</v>
      </c>
      <c r="R75" s="557">
        <f>+Q75/$Q$75</f>
        <v>1</v>
      </c>
      <c r="S75" s="557"/>
      <c r="T75" s="556">
        <f>+N75-Q75</f>
        <v>514895</v>
      </c>
      <c r="U75" s="558">
        <f>IFERROR(T75/Q75,0%)</f>
        <v>0.1746956537375699</v>
      </c>
    </row>
    <row r="76" spans="1:23" ht="16.5" thickTop="1" thickBot="1">
      <c r="A76" s="505"/>
      <c r="B76" s="506"/>
      <c r="C76" s="507"/>
      <c r="D76" s="508"/>
      <c r="E76" s="508"/>
      <c r="F76" s="509"/>
      <c r="G76" s="507"/>
      <c r="H76" s="507"/>
      <c r="I76" s="507"/>
      <c r="J76" s="507"/>
      <c r="K76" s="510"/>
      <c r="L76" s="510"/>
      <c r="M76" s="510"/>
      <c r="N76" s="511"/>
      <c r="O76" s="510"/>
      <c r="P76" s="510"/>
      <c r="Q76" s="510"/>
      <c r="R76" s="510"/>
      <c r="S76" s="510"/>
      <c r="T76" s="510"/>
      <c r="U76" s="512"/>
    </row>
    <row r="77" spans="1:23">
      <c r="A77" s="409"/>
      <c r="B77" s="410"/>
      <c r="C77" s="411"/>
      <c r="D77" s="412"/>
      <c r="E77" s="412"/>
      <c r="F77" s="411"/>
      <c r="G77" s="413"/>
      <c r="H77" s="413"/>
      <c r="I77" s="413"/>
      <c r="J77" s="413"/>
      <c r="K77" s="414"/>
      <c r="L77" s="414"/>
      <c r="M77" s="414"/>
      <c r="N77" s="415"/>
      <c r="O77" s="416"/>
      <c r="P77" s="414"/>
      <c r="Q77" s="414"/>
      <c r="R77" s="416"/>
      <c r="S77" s="416"/>
      <c r="T77" s="414"/>
      <c r="U77" s="417"/>
    </row>
    <row r="78" spans="1:23">
      <c r="A78" s="421"/>
      <c r="B78" s="422"/>
      <c r="C78" s="423"/>
      <c r="D78" s="424"/>
      <c r="E78" s="424"/>
      <c r="F78" s="423"/>
      <c r="G78" s="425"/>
      <c r="H78" s="425"/>
      <c r="I78" s="425"/>
      <c r="J78" s="425"/>
      <c r="K78" s="397"/>
      <c r="L78" s="397"/>
      <c r="M78" s="397"/>
      <c r="N78" s="514"/>
      <c r="O78" s="515"/>
      <c r="P78" s="397"/>
      <c r="Q78" s="397"/>
      <c r="R78" s="515"/>
      <c r="S78" s="515"/>
      <c r="T78" s="397"/>
      <c r="U78" s="517"/>
    </row>
    <row r="79" spans="1:23">
      <c r="A79" s="421"/>
      <c r="B79" s="422"/>
      <c r="C79" s="423"/>
      <c r="D79" s="424"/>
      <c r="E79" s="424"/>
      <c r="F79" s="423"/>
      <c r="G79" s="425"/>
      <c r="H79" s="425"/>
      <c r="I79" s="425"/>
      <c r="J79" s="425"/>
      <c r="K79" s="397"/>
      <c r="L79" s="397"/>
      <c r="M79" s="397"/>
      <c r="N79" s="514"/>
      <c r="O79" s="515"/>
      <c r="P79" s="397"/>
      <c r="Q79" s="397"/>
      <c r="R79" s="515"/>
      <c r="S79" s="515"/>
      <c r="T79" s="397"/>
      <c r="U79" s="517"/>
    </row>
    <row r="80" spans="1:23">
      <c r="A80" s="421"/>
      <c r="B80" s="422"/>
      <c r="C80" s="423"/>
      <c r="D80" s="424"/>
      <c r="E80" s="424"/>
      <c r="F80" s="423"/>
      <c r="G80" s="425"/>
      <c r="H80" s="425"/>
      <c r="I80" s="425"/>
      <c r="J80" s="425"/>
      <c r="K80" s="397"/>
      <c r="L80" s="397"/>
      <c r="M80" s="397"/>
      <c r="N80" s="514"/>
      <c r="O80" s="515"/>
      <c r="P80" s="397"/>
      <c r="Q80" s="397"/>
      <c r="R80" s="515"/>
      <c r="S80" s="515"/>
      <c r="T80" s="397"/>
      <c r="U80" s="517"/>
    </row>
    <row r="81" spans="1:21" s="6" customFormat="1">
      <c r="A81" s="1150" t="str">
        <f>DATOS!H12</f>
        <v>MARIO FERNANDO FILEVICH</v>
      </c>
      <c r="B81" s="1150"/>
      <c r="C81" s="1150"/>
      <c r="D81" s="1150"/>
      <c r="E81" s="1150"/>
      <c r="F81" s="422"/>
      <c r="G81" s="729"/>
      <c r="H81" s="729"/>
      <c r="I81" s="1154"/>
      <c r="J81" s="1154"/>
      <c r="K81" s="1154"/>
      <c r="L81" s="1154"/>
      <c r="M81" s="730"/>
      <c r="N81" s="731"/>
      <c r="O81" s="1139" t="str">
        <f>+DATOS!H15</f>
        <v>LUZ AIDA HERNANDEZ GARCIA</v>
      </c>
      <c r="P81" s="1139"/>
      <c r="Q81" s="1139"/>
      <c r="R81" s="1139"/>
      <c r="S81" s="1139"/>
      <c r="T81" s="1139"/>
      <c r="U81" s="517"/>
    </row>
    <row r="82" spans="1:21" ht="14.45" customHeight="1">
      <c r="A82" s="1151" t="str">
        <f>DATOS!H13</f>
        <v>C.E 274.113</v>
      </c>
      <c r="B82" s="1152"/>
      <c r="C82" s="1152"/>
      <c r="D82" s="1152"/>
      <c r="E82" s="1152"/>
      <c r="F82" s="423"/>
      <c r="G82" s="585"/>
      <c r="H82" s="585"/>
      <c r="I82" s="1137"/>
      <c r="J82" s="1137"/>
      <c r="K82" s="1137"/>
      <c r="L82" s="1137"/>
      <c r="M82" s="1137"/>
      <c r="N82" s="585"/>
      <c r="O82" s="1137" t="str">
        <f>+DATOS!H16</f>
        <v>159803-T</v>
      </c>
      <c r="P82" s="1137"/>
      <c r="Q82" s="1137"/>
      <c r="R82" s="1137"/>
      <c r="S82" s="1137"/>
      <c r="T82" s="1137"/>
      <c r="U82" s="518"/>
    </row>
    <row r="83" spans="1:21" ht="15" customHeight="1" thickBot="1">
      <c r="A83" s="1153" t="str">
        <f>DATOS!G12</f>
        <v>Representante Legal</v>
      </c>
      <c r="B83" s="1143"/>
      <c r="C83" s="1143"/>
      <c r="D83" s="1143"/>
      <c r="E83" s="1143"/>
      <c r="F83" s="516"/>
      <c r="G83" s="586"/>
      <c r="H83" s="586"/>
      <c r="I83" s="1138"/>
      <c r="J83" s="1138"/>
      <c r="K83" s="1138"/>
      <c r="L83" s="1138"/>
      <c r="M83" s="586"/>
      <c r="N83" s="586"/>
      <c r="O83" s="1143" t="str">
        <f>+DATOS!G15</f>
        <v>Contador</v>
      </c>
      <c r="P83" s="1143"/>
      <c r="Q83" s="1143"/>
      <c r="R83" s="1143"/>
      <c r="S83" s="1143"/>
      <c r="T83" s="1143"/>
      <c r="U83" s="519"/>
    </row>
    <row r="84" spans="1:21">
      <c r="C84" s="725"/>
      <c r="N84" s="1017">
        <f>C75-N75</f>
        <v>0</v>
      </c>
      <c r="Q84" s="2">
        <f>F75-Q75</f>
        <v>0</v>
      </c>
    </row>
    <row r="88" spans="1:21">
      <c r="C88" s="725"/>
      <c r="F88" s="725"/>
      <c r="N88" s="726"/>
      <c r="Q88" s="726"/>
    </row>
  </sheetData>
  <sheetProtection selectLockedCells="1" selectUnlockedCells="1"/>
  <customSheetViews>
    <customSheetView guid="{EA1A954B-E3BC-4BCB-9C9D-ACAC3EBC5AD2}" scale="90" showPageBreaks="1" showGridLines="0" printArea="1" view="pageBreakPreview" topLeftCell="A16">
      <selection activeCell="B6" sqref="B6:R6"/>
      <pageMargins left="0.19685039370078741" right="0.19685039370078741" top="0.78740157480314965" bottom="0.19685039370078741" header="0.19685039370078741" footer="0.19685039370078741"/>
      <printOptions horizontalCentered="1"/>
      <pageSetup scale="53" orientation="portrait" r:id="rId1"/>
    </customSheetView>
    <customSheetView guid="{B6DC502A-BFFB-4FBB-BBF2-1962512F02D0}" scale="90" showPageBreaks="1" showGridLines="0" printArea="1" view="pageBreakPreview" topLeftCell="A43">
      <selection activeCell="D81" sqref="D81"/>
      <pageMargins left="0.19685039370078741" right="0.19685039370078741" top="0.78740157480314965" bottom="0.19685039370078741" header="0.19685039370078741" footer="0.19685039370078741"/>
      <printOptions horizontalCentered="1"/>
      <pageSetup scale="53" orientation="portrait" r:id="rId2"/>
    </customSheetView>
  </customSheetViews>
  <mergeCells count="15">
    <mergeCell ref="I82:M82"/>
    <mergeCell ref="I83:L83"/>
    <mergeCell ref="O81:T81"/>
    <mergeCell ref="A1:U1"/>
    <mergeCell ref="O82:T82"/>
    <mergeCell ref="O83:T83"/>
    <mergeCell ref="A6:U6"/>
    <mergeCell ref="A2:U2"/>
    <mergeCell ref="A3:U3"/>
    <mergeCell ref="A4:U4"/>
    <mergeCell ref="A5:U5"/>
    <mergeCell ref="A81:E81"/>
    <mergeCell ref="A82:E82"/>
    <mergeCell ref="A83:E83"/>
    <mergeCell ref="I81:L81"/>
  </mergeCells>
  <printOptions horizontalCentered="1"/>
  <pageMargins left="0.19685039370078741" right="0.19685039370078741" top="0.78740157480314965" bottom="0.19685039370078741" header="0.19685039370078741" footer="0.19685039370078741"/>
  <pageSetup scale="50" orientation="portrait"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0.59999389629810485"/>
  </sheetPr>
  <dimension ref="A1:I43"/>
  <sheetViews>
    <sheetView showGridLines="0" topLeftCell="A16" workbookViewId="0">
      <selection activeCell="B43" sqref="B43"/>
    </sheetView>
  </sheetViews>
  <sheetFormatPr baseColWidth="10" defaultColWidth="11.42578125" defaultRowHeight="14.25"/>
  <cols>
    <col min="1" max="1" width="71.7109375" style="176" customWidth="1"/>
    <col min="2" max="2" width="33.140625" style="176" customWidth="1"/>
    <col min="3" max="3" width="24.28515625" style="176" customWidth="1"/>
    <col min="4" max="4" width="41.85546875" style="176" customWidth="1"/>
    <col min="5" max="5" width="31.28515625" style="176" bestFit="1" customWidth="1"/>
    <col min="6" max="16384" width="11.42578125" style="176"/>
  </cols>
  <sheetData>
    <row r="1" spans="1:9" ht="15.75">
      <c r="A1" s="1155" t="str">
        <f>+DATOS!H6</f>
        <v>GRUPO DE LOLITA SAS</v>
      </c>
      <c r="B1" s="1156"/>
      <c r="C1" s="1157"/>
    </row>
    <row r="2" spans="1:9" ht="15.75">
      <c r="A2" s="1158" t="str">
        <f>+DATOS!H7</f>
        <v>NIT: 900.307.969-5</v>
      </c>
      <c r="B2" s="1159"/>
      <c r="C2" s="1160"/>
    </row>
    <row r="3" spans="1:9" ht="15.75">
      <c r="A3" s="1158" t="s">
        <v>159</v>
      </c>
      <c r="B3" s="1159"/>
      <c r="C3" s="1160"/>
    </row>
    <row r="4" spans="1:9" ht="15.75">
      <c r="A4" s="1158" t="str">
        <f>+DATOS!H8</f>
        <v>A 30 DE JUNIO DE 2026 Y 2025</v>
      </c>
      <c r="B4" s="1159"/>
      <c r="C4" s="1160"/>
    </row>
    <row r="5" spans="1:9">
      <c r="A5" s="177" t="s">
        <v>147</v>
      </c>
      <c r="B5" s="178" t="str">
        <f>DATOS!H10</f>
        <v>2026-06</v>
      </c>
      <c r="C5" s="178" t="str">
        <f>DATOS!H11</f>
        <v>2025-06</v>
      </c>
    </row>
    <row r="6" spans="1:9">
      <c r="A6" s="179" t="s">
        <v>158</v>
      </c>
      <c r="B6" s="179">
        <f>'2.E.R.I. MES-ACUMULADO'!CM134</f>
        <v>129138.5</v>
      </c>
      <c r="C6" s="179">
        <f>'2.E.R.I. MES-ACUMULADO'!CP134</f>
        <v>7542</v>
      </c>
      <c r="D6" s="274"/>
    </row>
    <row r="7" spans="1:9" s="269" customFormat="1" ht="15">
      <c r="A7" s="270" t="s">
        <v>156</v>
      </c>
      <c r="B7" s="270">
        <f>'2.E.R.I. MES-ACUMULADO'!CM158</f>
        <v>39744</v>
      </c>
      <c r="C7" s="270">
        <f>'2.E.R.I. MES-ACUMULADO'!CP158</f>
        <v>-5685.5</v>
      </c>
      <c r="I7" s="176"/>
    </row>
    <row r="8" spans="1:9">
      <c r="A8" s="179" t="s">
        <v>157</v>
      </c>
      <c r="B8" s="179">
        <f>'2.E.R.I. MES-ACUMULADO'!CM32+'2.E.R.I. MES-ACUMULADO'!CM119+'2.E.R.I. MES-ACUMULADO'!CM123+'2.E.R.I. MES-ACUMULADO'!CM141</f>
        <v>-1764949.5</v>
      </c>
      <c r="C8" s="179">
        <f>'2.E.R.I. MES-ACUMULADO'!CP32+'2.E.R.I. MES-ACUMULADO'!CP119+'2.E.R.I. MES-ACUMULADO'!CP123+'2.E.R.I. MES-ACUMULADO'!CP141</f>
        <v>-300972.5</v>
      </c>
    </row>
    <row r="9" spans="1:9">
      <c r="A9" s="179" t="s">
        <v>266</v>
      </c>
      <c r="B9" s="179">
        <f>('4.ESF=BALANCE'!C28+'4.ESF=BALANCE'!C32+'4.ESF=BALANCE'!C33)</f>
        <v>109352</v>
      </c>
      <c r="C9" s="179">
        <f>('4.ESF=BALANCE'!F28+'4.ESF=BALANCE'!F32+'4.ESF=BALANCE'!F33)</f>
        <v>46283</v>
      </c>
    </row>
    <row r="10" spans="1:9">
      <c r="A10" s="179" t="s">
        <v>267</v>
      </c>
      <c r="B10" s="179">
        <f>'4.ESF=BALANCE'!C36</f>
        <v>78249</v>
      </c>
      <c r="C10" s="179">
        <f>'4.ESF=BALANCE'!F36</f>
        <v>81850</v>
      </c>
    </row>
    <row r="11" spans="1:9">
      <c r="A11" s="179" t="s">
        <v>201</v>
      </c>
      <c r="B11" s="180">
        <f>+B8/'2.E.R.I. MES-ACUMULADO'!CM13</f>
        <v>-0.58018129458422252</v>
      </c>
      <c r="C11" s="180">
        <f>+C8/'2.E.R.I. MES-ACUMULADO'!CS13</f>
        <v>-0.10240878278082263</v>
      </c>
    </row>
    <row r="12" spans="1:9">
      <c r="A12" s="179" t="s">
        <v>200</v>
      </c>
      <c r="B12" s="180">
        <f>('2.E.R.I. MES-ACUMULADO'!CM16+'2.E.R.I. MES-ACUMULADO'!CM33+'2.E.R.I. MES-ACUMULADO'!CM39+'2.E.R.I. MES-ACUMULADO'!CM120+'2.E.R.I. MES-ACUMULADO'!CM122)/'2.E.R.I. MES-ACUMULADO'!CM13</f>
        <v>-0.17352897233803807</v>
      </c>
      <c r="C12" s="180">
        <f>('2.E.R.I. MES-ACUMULADO'!CP16+'2.E.R.I. MES-ACUMULADO'!CP33+'2.E.R.I. MES-ACUMULADO'!CP39+'2.E.R.I. MES-ACUMULADO'!CP120+'2.E.R.I. MES-ACUMULADO'!CP122)/'2.E.R.I. MES-ACUMULADO'!CP13</f>
        <v>-1.9422686295423201E-2</v>
      </c>
    </row>
    <row r="13" spans="1:9">
      <c r="A13" s="177" t="s">
        <v>152</v>
      </c>
      <c r="B13" s="178" t="str">
        <f>+B5</f>
        <v>2026-06</v>
      </c>
      <c r="C13" s="178" t="str">
        <f>+C5</f>
        <v>2025-06</v>
      </c>
    </row>
    <row r="14" spans="1:9">
      <c r="A14" s="179" t="s">
        <v>202</v>
      </c>
      <c r="B14" s="179">
        <f>'4.ESF=BALANCE'!C44-'4.ESF=BALANCE'!N42</f>
        <v>490458</v>
      </c>
      <c r="C14" s="179">
        <f>'4.ESF=BALANCE'!F44-'4.ESF=BALANCE'!Q42</f>
        <v>252388</v>
      </c>
    </row>
    <row r="15" spans="1:9">
      <c r="A15" s="179" t="s">
        <v>198</v>
      </c>
      <c r="B15" s="181">
        <f>'4.ESF=BALANCE'!C44/'4.ESF=BALANCE'!N42</f>
        <v>1.6159513023995902</v>
      </c>
      <c r="C15" s="181">
        <f>'4.ESF=BALANCE'!F44/'4.ESF=BALANCE'!Q42</f>
        <v>1.5651131287574309</v>
      </c>
    </row>
    <row r="16" spans="1:9" ht="7.5" customHeight="1">
      <c r="A16" s="182"/>
      <c r="B16" s="183"/>
      <c r="C16" s="184"/>
    </row>
    <row r="17" spans="1:3">
      <c r="A17" s="177" t="s">
        <v>153</v>
      </c>
      <c r="B17" s="178" t="str">
        <f>+B13</f>
        <v>2026-06</v>
      </c>
      <c r="C17" s="178" t="str">
        <f>+C13</f>
        <v>2025-06</v>
      </c>
    </row>
    <row r="18" spans="1:3">
      <c r="A18" s="179" t="s">
        <v>199</v>
      </c>
      <c r="B18" s="185">
        <f>'4.ESF=BALANCE'!N58/'4.ESF=BALANCE'!C75</f>
        <v>0.3267019574973471</v>
      </c>
      <c r="C18" s="185">
        <f>'4.ESF=BALANCE'!Q58/'4.ESF=BALANCE'!F75</f>
        <v>0.26510059941310649</v>
      </c>
    </row>
    <row r="19" spans="1:3">
      <c r="A19" s="179" t="s">
        <v>203</v>
      </c>
      <c r="B19" s="185">
        <f>'4.ESF=BALANCE'!N42/'4.ESF=BALANCE'!N58</f>
        <v>0.70394993338537559</v>
      </c>
      <c r="C19" s="185">
        <f>'4.ESF=BALANCE'!Q42/'4.ESF=BALANCE'!Q58</f>
        <v>0.57159184133163887</v>
      </c>
    </row>
    <row r="20" spans="1:3" ht="9.4" customHeight="1">
      <c r="A20" s="186"/>
      <c r="B20" s="187"/>
      <c r="C20" s="188"/>
    </row>
    <row r="21" spans="1:3">
      <c r="A21" s="177" t="s">
        <v>154</v>
      </c>
      <c r="B21" s="178" t="str">
        <f>+B13</f>
        <v>2026-06</v>
      </c>
      <c r="C21" s="178" t="str">
        <f>+C13</f>
        <v>2025-06</v>
      </c>
    </row>
    <row r="22" spans="1:3">
      <c r="A22" s="189" t="s">
        <v>268</v>
      </c>
      <c r="B22" s="179">
        <f>'4.ESF=BALANCE'!C28+'4.ESF=BALANCE'!C32+'4.ESF=BALANCE'!C33</f>
        <v>109352</v>
      </c>
      <c r="C22" s="179">
        <f>'4.ESF=BALANCE'!F28+'4.ESF=BALANCE'!F32+'4.ESF=BALANCE'!F33</f>
        <v>46283</v>
      </c>
    </row>
    <row r="23" spans="1:3">
      <c r="A23" s="189" t="s">
        <v>272</v>
      </c>
      <c r="B23" s="190">
        <f>'2.E.R.I. MES-ACUMULADO'!CM13/'5.INDICADORES'!B22</f>
        <v>27.819020228253713</v>
      </c>
      <c r="C23" s="190">
        <f>'2.E.R.I. MES-ACUMULADO'!CP13/'5.INDICADORES'!C22</f>
        <v>11.131441349955708</v>
      </c>
    </row>
    <row r="24" spans="1:3">
      <c r="A24" s="191" t="s">
        <v>270</v>
      </c>
      <c r="B24" s="192">
        <f>((365/B23)/12)*DATOS!H9</f>
        <v>6.5602597971674168</v>
      </c>
      <c r="C24" s="193">
        <f>((365/C23)/12)*DATOS!H9</f>
        <v>16.395001712938654</v>
      </c>
    </row>
    <row r="25" spans="1:3" ht="9.4" customHeight="1">
      <c r="A25" s="186"/>
      <c r="B25" s="187"/>
      <c r="C25" s="188"/>
    </row>
    <row r="26" spans="1:3">
      <c r="A26" s="194" t="s">
        <v>273</v>
      </c>
      <c r="B26" s="179">
        <f>'4.ESF=BALANCE'!N16</f>
        <v>527113</v>
      </c>
      <c r="C26" s="179">
        <f>'4.ESF=BALANCE'!Q16</f>
        <v>204376</v>
      </c>
    </row>
    <row r="27" spans="1:3">
      <c r="A27" s="195" t="s">
        <v>271</v>
      </c>
      <c r="B27" s="196">
        <f>'2.E.R.I. MES-ACUMULADO'!CM13/'5.INDICADORES'!B26</f>
        <v>5.7711828393532318</v>
      </c>
      <c r="C27" s="196">
        <f>'2.E.R.I. MES-ACUMULADO'!CP13/'5.INDICADORES'!C26</f>
        <v>2.520826809410107</v>
      </c>
    </row>
    <row r="28" spans="1:3">
      <c r="A28" s="191" t="s">
        <v>269</v>
      </c>
      <c r="B28" s="197">
        <f>((365/B27)/12)*DATOS!H9</f>
        <v>31.622633536325893</v>
      </c>
      <c r="C28" s="193">
        <f>((365/C27)/12)*DATOS!H9</f>
        <v>72.396881578193955</v>
      </c>
    </row>
    <row r="29" spans="1:3">
      <c r="A29" s="179"/>
      <c r="B29" s="198"/>
      <c r="C29" s="198"/>
    </row>
    <row r="30" spans="1:3">
      <c r="A30" s="177" t="s">
        <v>155</v>
      </c>
      <c r="B30" s="178" t="str">
        <f>+B21</f>
        <v>2026-06</v>
      </c>
      <c r="C30" s="178" t="str">
        <f>+C21</f>
        <v>2025-06</v>
      </c>
    </row>
    <row r="31" spans="1:3">
      <c r="A31" s="179" t="s">
        <v>204</v>
      </c>
      <c r="B31" s="199"/>
      <c r="C31" s="199"/>
    </row>
    <row r="32" spans="1:3">
      <c r="A32" s="179" t="s">
        <v>205</v>
      </c>
      <c r="B32" s="199">
        <f>+'2.E.R.I. MES-ACUMULADO'!CN134</f>
        <v>4.2450926845592249E-2</v>
      </c>
      <c r="C32" s="199">
        <f>+'2.E.R.I. MES-ACUMULADO'!CT134</f>
        <v>4.6617436773386256E-2</v>
      </c>
    </row>
    <row r="33" spans="1:6">
      <c r="A33" s="179" t="s">
        <v>206</v>
      </c>
      <c r="B33" s="199">
        <f>+'2.E.R.I. MES-ACUMULADO'!CN152</f>
        <v>1.8548910271655887E-2</v>
      </c>
      <c r="C33" s="199">
        <f>+'2.E.R.I. MES-ACUMULADO'!CT152</f>
        <v>2.0176033304609754E-2</v>
      </c>
    </row>
    <row r="34" spans="1:6">
      <c r="A34" s="179" t="s">
        <v>207</v>
      </c>
      <c r="B34" s="199">
        <f>'2.E.R.I. MES-ACUMULADO'!CM168/'4.ESF=BALANCE'!N73</f>
        <v>2.4892488455244097E-2</v>
      </c>
      <c r="C34" s="199">
        <f>'2.E.R.I. MES-ACUMULADO'!CP168/'4.ESF=BALANCE'!Q73</f>
        <v>-2.2139582554258253E-3</v>
      </c>
    </row>
    <row r="35" spans="1:6">
      <c r="A35" s="162" t="s">
        <v>274</v>
      </c>
      <c r="B35" s="163" t="str">
        <f>+B5</f>
        <v>2026-06</v>
      </c>
      <c r="C35" s="164" t="str">
        <f>+C5</f>
        <v>2025-06</v>
      </c>
      <c r="D35" s="165" t="s">
        <v>275</v>
      </c>
      <c r="E35" s="166" t="s">
        <v>229</v>
      </c>
    </row>
    <row r="36" spans="1:6" ht="20.45" customHeight="1">
      <c r="A36" s="1161" t="s">
        <v>276</v>
      </c>
      <c r="B36" s="167" t="s">
        <v>1543</v>
      </c>
      <c r="C36" s="167" t="s">
        <v>1541</v>
      </c>
      <c r="D36" s="1163" t="s">
        <v>277</v>
      </c>
      <c r="E36" s="1165" t="str">
        <f>IF(B37&lt;0,"Existe detrimento patrimonial","No existe detrimento patrimonial")</f>
        <v>No existe detrimento patrimonial</v>
      </c>
    </row>
    <row r="37" spans="1:6" ht="20.45" customHeight="1">
      <c r="A37" s="1162"/>
      <c r="B37" s="168">
        <f>'4.ESF=BALANCE'!N73</f>
        <v>2331145</v>
      </c>
      <c r="C37" s="168">
        <f>+'4.ESF=BALANCE'!Q73</f>
        <v>2166030</v>
      </c>
      <c r="D37" s="1164"/>
      <c r="E37" s="1166"/>
      <c r="F37" s="200"/>
    </row>
    <row r="38" spans="1:6" ht="20.45" customHeight="1">
      <c r="A38" s="1167" t="s">
        <v>278</v>
      </c>
      <c r="B38" s="169" t="s">
        <v>1544</v>
      </c>
      <c r="C38" s="169" t="s">
        <v>890</v>
      </c>
      <c r="D38" s="1169" t="s">
        <v>279</v>
      </c>
      <c r="E38" s="1171" t="str">
        <f>IF(C39-B39&lt;0,"Existe detrimento patrimonial","No existe detrimento patrimonial")</f>
        <v>No existe detrimento patrimonial</v>
      </c>
    </row>
    <row r="39" spans="1:6" ht="20.45" customHeight="1">
      <c r="A39" s="1168"/>
      <c r="B39" s="170">
        <f>IF('2.E.R.I. MES-ACUMULADO'!CM168&lt;0,'2.E.R.I. MES-ACUMULADO'!#REF!,0)</f>
        <v>0</v>
      </c>
      <c r="C39" s="170">
        <v>0</v>
      </c>
      <c r="D39" s="1170"/>
      <c r="E39" s="1172"/>
      <c r="F39" s="201"/>
    </row>
    <row r="40" spans="1:6" ht="20.45" customHeight="1">
      <c r="A40" s="1173" t="s">
        <v>280</v>
      </c>
      <c r="B40" s="171" t="s">
        <v>1545</v>
      </c>
      <c r="C40" s="172" t="s">
        <v>1542</v>
      </c>
      <c r="D40" s="1163" t="s">
        <v>281</v>
      </c>
      <c r="E40" s="1175" t="str">
        <f>IF(B41&lt;0.5,"Existe riesgo de insolvencia ","No existe riesgo de insolvencia")</f>
        <v xml:space="preserve">Existe riesgo de insolvencia </v>
      </c>
      <c r="F40" s="202"/>
    </row>
    <row r="41" spans="1:6" ht="20.45" customHeight="1">
      <c r="A41" s="1174"/>
      <c r="B41" s="173">
        <f>(('4.ESF=BALANCE'!C28+'4.ESF=BALANCE'!C36)-'4.ESF=BALANCE'!N16)/'4.ESF=BALANCE'!N42</f>
        <v>-0.53681267825499424</v>
      </c>
      <c r="C41" s="173">
        <f>((743039+503838)-886391)/1283133</f>
        <v>0.28094203796488748</v>
      </c>
      <c r="D41" s="1164"/>
      <c r="E41" s="1176"/>
    </row>
    <row r="42" spans="1:6" ht="20.45" customHeight="1">
      <c r="A42" s="1177" t="s">
        <v>282</v>
      </c>
      <c r="B42" s="174" t="s">
        <v>560</v>
      </c>
      <c r="C42" s="174" t="s">
        <v>283</v>
      </c>
      <c r="D42" s="1169" t="s">
        <v>284</v>
      </c>
      <c r="E42" s="1178" t="str">
        <f>IF(B43&lt;C43,"Existe riesgo de insolvencia","No existe riesgo de insolvencia")</f>
        <v>Existe riesgo de insolvencia</v>
      </c>
    </row>
    <row r="43" spans="1:6" ht="20.45" customHeight="1">
      <c r="A43" s="1177"/>
      <c r="B43" s="203">
        <f>('2.E.R.I. MES-ACUMULADO'!CM156-'2.E.R.I. MES-ACUMULADO'!CM134)/'4.ESF=BALANCE'!C75</f>
        <v>-4.2117213002537637E-2</v>
      </c>
      <c r="C43" s="175">
        <f>'4.ESF=BALANCE'!N58/'4.ESF=BALANCE'!C75</f>
        <v>0.3267019574973471</v>
      </c>
      <c r="D43" s="1170"/>
      <c r="E43" s="1179"/>
    </row>
  </sheetData>
  <mergeCells count="16">
    <mergeCell ref="A40:A41"/>
    <mergeCell ref="D40:D41"/>
    <mergeCell ref="E40:E41"/>
    <mergeCell ref="A42:A43"/>
    <mergeCell ref="D42:D43"/>
    <mergeCell ref="E42:E43"/>
    <mergeCell ref="D36:D37"/>
    <mergeCell ref="E36:E37"/>
    <mergeCell ref="A38:A39"/>
    <mergeCell ref="D38:D39"/>
    <mergeCell ref="E38:E39"/>
    <mergeCell ref="A1:C1"/>
    <mergeCell ref="A2:C2"/>
    <mergeCell ref="A3:C3"/>
    <mergeCell ref="A4:C4"/>
    <mergeCell ref="A36:A37"/>
  </mergeCells>
  <pageMargins left="0.7" right="0.7" top="0.75" bottom="0.75" header="0.3" footer="0.3"/>
  <pageSetup paperSize="9" orientation="portrait" r:id="rId1"/>
  <ignoredErrors>
    <ignoredError sqref="B5 C5 C14 C13 C17 C21 C24 C28 C30 B30 B28 B26 B24 B22 B21 B19 B17 B18 B15 B14 B13 B16 B20 B25 B29" unlocked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 tint="0.59999389629810485"/>
  </sheetPr>
  <dimension ref="A1:K3112"/>
  <sheetViews>
    <sheetView showGridLines="0" workbookViewId="0">
      <pane xSplit="1" ySplit="3" topLeftCell="B2984" activePane="bottomRight" state="frozen"/>
      <selection pane="topRight" activeCell="C1" sqref="C1"/>
      <selection pane="bottomLeft" activeCell="A4" sqref="A4"/>
      <selection pane="bottomRight" sqref="A1:I3112"/>
    </sheetView>
  </sheetViews>
  <sheetFormatPr baseColWidth="10" defaultColWidth="11.42578125" defaultRowHeight="13.9" customHeight="1"/>
  <cols>
    <col min="1" max="1" width="12.28515625" style="997" bestFit="1" customWidth="1"/>
    <col min="2" max="2" width="8" style="997" customWidth="1"/>
    <col min="3" max="3" width="31" style="997" bestFit="1" customWidth="1"/>
    <col min="4" max="4" width="13.140625" style="997" bestFit="1" customWidth="1"/>
    <col min="5" max="5" width="31.42578125" style="997" bestFit="1" customWidth="1"/>
    <col min="6" max="6" width="13" style="1041" bestFit="1" customWidth="1"/>
    <col min="7" max="8" width="12.42578125" style="1041" bestFit="1" customWidth="1"/>
    <col min="9" max="9" width="13" style="1041" bestFit="1" customWidth="1"/>
    <col min="10" max="10" width="11.7109375" style="996" bestFit="1" customWidth="1"/>
    <col min="11" max="11" width="11.42578125" style="995"/>
    <col min="12" max="12" width="15.28515625" style="995" bestFit="1" customWidth="1"/>
    <col min="13" max="16384" width="11.42578125" style="995"/>
  </cols>
  <sheetData>
    <row r="1" spans="1:11" ht="15">
      <c r="A1" s="1180" t="s">
        <v>688</v>
      </c>
      <c r="B1" s="1181"/>
      <c r="C1" s="1181"/>
      <c r="D1" s="1181"/>
      <c r="E1" s="1181"/>
      <c r="F1" s="1181"/>
      <c r="G1" s="1181"/>
      <c r="H1" s="1181"/>
      <c r="I1" s="1181"/>
    </row>
    <row r="2" spans="1:11" ht="15">
      <c r="A2" s="1182" t="s">
        <v>1878</v>
      </c>
      <c r="B2" s="1183"/>
      <c r="C2" s="1183"/>
      <c r="D2" s="1183"/>
      <c r="E2" s="1183"/>
      <c r="F2" s="1183"/>
      <c r="G2" s="1183"/>
      <c r="H2" s="1183"/>
      <c r="I2" s="1183"/>
    </row>
    <row r="3" spans="1:11" ht="12.75">
      <c r="A3" s="1052" t="s">
        <v>307</v>
      </c>
      <c r="B3" s="1052" t="s">
        <v>1465</v>
      </c>
      <c r="C3" s="1052" t="s">
        <v>308</v>
      </c>
      <c r="D3" s="1052" t="s">
        <v>92</v>
      </c>
      <c r="E3" s="1052" t="s">
        <v>1031</v>
      </c>
      <c r="F3" s="1053" t="s">
        <v>309</v>
      </c>
      <c r="G3" s="1053" t="s">
        <v>310</v>
      </c>
      <c r="H3" s="1053" t="s">
        <v>311</v>
      </c>
      <c r="I3" s="1053" t="s">
        <v>312</v>
      </c>
      <c r="J3" s="1016" t="s">
        <v>1417</v>
      </c>
      <c r="K3" s="1016" t="s">
        <v>1501</v>
      </c>
    </row>
    <row r="4" spans="1:11" ht="12.75">
      <c r="A4" s="1054">
        <v>1</v>
      </c>
      <c r="B4" s="1055" t="s">
        <v>893</v>
      </c>
      <c r="C4" s="1055" t="s">
        <v>101</v>
      </c>
      <c r="D4" s="1055" t="s">
        <v>893</v>
      </c>
      <c r="E4" s="1055" t="s">
        <v>893</v>
      </c>
      <c r="F4" s="1056">
        <v>3356563</v>
      </c>
      <c r="G4" s="1056">
        <v>1601375</v>
      </c>
      <c r="H4" s="1056">
        <v>1495658</v>
      </c>
      <c r="I4" s="1056">
        <v>3462280</v>
      </c>
      <c r="K4" s="1037">
        <f>+LEN(A4)</f>
        <v>1</v>
      </c>
    </row>
    <row r="5" spans="1:11" ht="12.75">
      <c r="A5" s="1054">
        <v>11</v>
      </c>
      <c r="B5" s="1055" t="s">
        <v>893</v>
      </c>
      <c r="C5" s="1055" t="s">
        <v>102</v>
      </c>
      <c r="D5" s="1055" t="s">
        <v>893</v>
      </c>
      <c r="E5" s="1055" t="s">
        <v>893</v>
      </c>
      <c r="F5" s="1056">
        <v>548467</v>
      </c>
      <c r="G5" s="1056">
        <v>1283530</v>
      </c>
      <c r="H5" s="1056">
        <v>1255216</v>
      </c>
      <c r="I5" s="1056">
        <v>576782</v>
      </c>
      <c r="K5" s="1037">
        <f t="shared" ref="K5:K68" si="0">+LEN(A5)</f>
        <v>2</v>
      </c>
    </row>
    <row r="6" spans="1:11" ht="12.75">
      <c r="A6" s="1054">
        <v>1105</v>
      </c>
      <c r="B6" s="1055" t="s">
        <v>893</v>
      </c>
      <c r="C6" s="1055" t="s">
        <v>103</v>
      </c>
      <c r="D6" s="1055" t="s">
        <v>893</v>
      </c>
      <c r="E6" s="1055" t="s">
        <v>893</v>
      </c>
      <c r="F6" s="1056">
        <v>464480</v>
      </c>
      <c r="G6" s="1056">
        <v>574973</v>
      </c>
      <c r="H6" s="1056">
        <v>576833</v>
      </c>
      <c r="I6" s="1056">
        <v>462620</v>
      </c>
      <c r="K6" s="1037">
        <f t="shared" si="0"/>
        <v>4</v>
      </c>
    </row>
    <row r="7" spans="1:11" ht="12.75">
      <c r="A7" s="1054">
        <v>110505</v>
      </c>
      <c r="B7" s="1055" t="s">
        <v>893</v>
      </c>
      <c r="C7" s="1055" t="s">
        <v>313</v>
      </c>
      <c r="D7" s="1055" t="s">
        <v>893</v>
      </c>
      <c r="E7" s="1055" t="s">
        <v>893</v>
      </c>
      <c r="F7" s="1056">
        <v>459080</v>
      </c>
      <c r="G7" s="1056">
        <v>574973</v>
      </c>
      <c r="H7" s="1056">
        <v>576833</v>
      </c>
      <c r="I7" s="1056">
        <v>457220</v>
      </c>
      <c r="K7" s="1037">
        <f t="shared" si="0"/>
        <v>6</v>
      </c>
    </row>
    <row r="8" spans="1:11" ht="12.75">
      <c r="A8" s="1054">
        <v>11050503</v>
      </c>
      <c r="B8" s="1055" t="s">
        <v>1489</v>
      </c>
      <c r="C8" s="1055" t="s">
        <v>800</v>
      </c>
      <c r="D8" s="1055" t="s">
        <v>893</v>
      </c>
      <c r="E8" s="1055" t="s">
        <v>893</v>
      </c>
      <c r="F8" s="1056">
        <v>0</v>
      </c>
      <c r="G8" s="1056">
        <v>43126</v>
      </c>
      <c r="H8" s="1056">
        <v>43126</v>
      </c>
      <c r="I8" s="1056">
        <v>0</v>
      </c>
      <c r="K8" s="1037">
        <f t="shared" si="0"/>
        <v>8</v>
      </c>
    </row>
    <row r="9" spans="1:11" ht="12.75">
      <c r="A9" s="1054">
        <v>11050504</v>
      </c>
      <c r="B9" s="1055" t="s">
        <v>1489</v>
      </c>
      <c r="C9" s="1055" t="s">
        <v>801</v>
      </c>
      <c r="D9" s="1055" t="s">
        <v>893</v>
      </c>
      <c r="E9" s="1055" t="s">
        <v>893</v>
      </c>
      <c r="F9" s="1056">
        <v>0</v>
      </c>
      <c r="G9" s="1056">
        <v>67961</v>
      </c>
      <c r="H9" s="1056">
        <v>67961</v>
      </c>
      <c r="I9" s="1056">
        <v>0</v>
      </c>
      <c r="K9" s="1037">
        <f t="shared" si="0"/>
        <v>8</v>
      </c>
    </row>
    <row r="10" spans="1:11" ht="12.75">
      <c r="A10" s="1054">
        <v>11050505</v>
      </c>
      <c r="B10" s="1055" t="s">
        <v>893</v>
      </c>
      <c r="C10" s="1055" t="s">
        <v>313</v>
      </c>
      <c r="D10" s="1055" t="s">
        <v>893</v>
      </c>
      <c r="E10" s="1055" t="s">
        <v>893</v>
      </c>
      <c r="F10" s="1056">
        <v>0</v>
      </c>
      <c r="G10" s="1056">
        <v>172376</v>
      </c>
      <c r="H10" s="1056">
        <v>172376</v>
      </c>
      <c r="I10" s="1056">
        <v>0</v>
      </c>
      <c r="K10" s="1037">
        <f t="shared" si="0"/>
        <v>8</v>
      </c>
    </row>
    <row r="11" spans="1:11" ht="12.75">
      <c r="A11" s="1054">
        <v>11050508</v>
      </c>
      <c r="B11" s="1055" t="s">
        <v>1489</v>
      </c>
      <c r="C11" s="1055" t="s">
        <v>803</v>
      </c>
      <c r="D11" s="1055" t="s">
        <v>893</v>
      </c>
      <c r="E11" s="1055" t="s">
        <v>893</v>
      </c>
      <c r="F11" s="1056">
        <v>0</v>
      </c>
      <c r="G11" s="1056">
        <v>71493</v>
      </c>
      <c r="H11" s="1056">
        <v>71493</v>
      </c>
      <c r="I11" s="1056">
        <v>0</v>
      </c>
      <c r="K11" s="1037">
        <f t="shared" si="0"/>
        <v>8</v>
      </c>
    </row>
    <row r="12" spans="1:11" ht="12.75">
      <c r="A12" s="1054">
        <v>11050509</v>
      </c>
      <c r="B12" s="1055" t="s">
        <v>1489</v>
      </c>
      <c r="C12" s="1055" t="s">
        <v>804</v>
      </c>
      <c r="D12" s="1055" t="s">
        <v>893</v>
      </c>
      <c r="E12" s="1055" t="s">
        <v>893</v>
      </c>
      <c r="F12" s="1056">
        <v>0</v>
      </c>
      <c r="G12" s="1056">
        <v>97506</v>
      </c>
      <c r="H12" s="1056">
        <v>97506</v>
      </c>
      <c r="I12" s="1056">
        <v>0</v>
      </c>
      <c r="K12" s="1037">
        <f t="shared" si="0"/>
        <v>8</v>
      </c>
    </row>
    <row r="13" spans="1:11" ht="12.75">
      <c r="A13" s="1054">
        <v>11050511</v>
      </c>
      <c r="B13" s="1055" t="s">
        <v>1489</v>
      </c>
      <c r="C13" s="1055" t="s">
        <v>805</v>
      </c>
      <c r="D13" s="1055" t="s">
        <v>893</v>
      </c>
      <c r="E13" s="1055" t="s">
        <v>893</v>
      </c>
      <c r="F13" s="1056">
        <v>0</v>
      </c>
      <c r="G13" s="1056">
        <v>66617</v>
      </c>
      <c r="H13" s="1056">
        <v>66617</v>
      </c>
      <c r="I13" s="1056">
        <v>0</v>
      </c>
      <c r="K13" s="1037">
        <f t="shared" si="0"/>
        <v>8</v>
      </c>
    </row>
    <row r="14" spans="1:11" ht="12.75">
      <c r="A14" s="1054">
        <v>11050512</v>
      </c>
      <c r="B14" s="1055" t="s">
        <v>1489</v>
      </c>
      <c r="C14" s="1055" t="s">
        <v>876</v>
      </c>
      <c r="D14" s="1055" t="s">
        <v>893</v>
      </c>
      <c r="E14" s="1055" t="s">
        <v>893</v>
      </c>
      <c r="F14" s="1056">
        <v>458780</v>
      </c>
      <c r="G14" s="1056">
        <v>1324</v>
      </c>
      <c r="H14" s="1056">
        <v>3183</v>
      </c>
      <c r="I14" s="1056">
        <v>456921</v>
      </c>
      <c r="K14" s="1037">
        <f t="shared" si="0"/>
        <v>8</v>
      </c>
    </row>
    <row r="15" spans="1:11" ht="12.75">
      <c r="A15" s="1054">
        <v>11050513</v>
      </c>
      <c r="B15" s="1055" t="s">
        <v>1489</v>
      </c>
      <c r="C15" s="1055" t="s">
        <v>980</v>
      </c>
      <c r="D15" s="1055" t="s">
        <v>893</v>
      </c>
      <c r="E15" s="1055" t="s">
        <v>893</v>
      </c>
      <c r="F15" s="1056">
        <v>300</v>
      </c>
      <c r="G15" s="1056">
        <v>54516</v>
      </c>
      <c r="H15" s="1056">
        <v>54517</v>
      </c>
      <c r="I15" s="1056">
        <v>300</v>
      </c>
      <c r="J15" s="1045"/>
      <c r="K15" s="1037">
        <f t="shared" si="0"/>
        <v>8</v>
      </c>
    </row>
    <row r="16" spans="1:11" ht="12.75">
      <c r="A16" s="1054">
        <v>11050520</v>
      </c>
      <c r="B16" s="1055" t="s">
        <v>1489</v>
      </c>
      <c r="C16" s="1055" t="s">
        <v>1546</v>
      </c>
      <c r="D16" s="1055" t="s">
        <v>893</v>
      </c>
      <c r="E16" s="1055" t="s">
        <v>893</v>
      </c>
      <c r="F16" s="1056">
        <v>0</v>
      </c>
      <c r="G16" s="1056">
        <v>53</v>
      </c>
      <c r="H16" s="1056">
        <v>53</v>
      </c>
      <c r="I16" s="1056">
        <v>0</v>
      </c>
      <c r="K16" s="1037">
        <f t="shared" si="0"/>
        <v>8</v>
      </c>
    </row>
    <row r="17" spans="1:11" ht="12.75">
      <c r="A17" s="1054">
        <v>11050520</v>
      </c>
      <c r="B17" s="1055" t="s">
        <v>1489</v>
      </c>
      <c r="C17" s="1055" t="s">
        <v>1546</v>
      </c>
      <c r="D17" s="1055" t="s">
        <v>1034</v>
      </c>
      <c r="E17" s="1055" t="s">
        <v>504</v>
      </c>
      <c r="F17" s="1056">
        <v>311</v>
      </c>
      <c r="G17" s="1056">
        <v>0</v>
      </c>
      <c r="H17" s="1056">
        <v>0</v>
      </c>
      <c r="I17" s="1056">
        <v>311</v>
      </c>
      <c r="K17" s="1037">
        <f t="shared" si="0"/>
        <v>8</v>
      </c>
    </row>
    <row r="18" spans="1:11" ht="12.75">
      <c r="A18" s="1054">
        <v>11050520</v>
      </c>
      <c r="B18" s="1055" t="s">
        <v>1489</v>
      </c>
      <c r="C18" s="1055" t="s">
        <v>1546</v>
      </c>
      <c r="D18" s="1055" t="s">
        <v>1035</v>
      </c>
      <c r="E18" s="1055" t="s">
        <v>573</v>
      </c>
      <c r="F18" s="1056">
        <v>-378</v>
      </c>
      <c r="G18" s="1056">
        <v>53</v>
      </c>
      <c r="H18" s="1056">
        <v>53</v>
      </c>
      <c r="I18" s="1056">
        <v>-378</v>
      </c>
      <c r="K18" s="1037">
        <f t="shared" si="0"/>
        <v>8</v>
      </c>
    </row>
    <row r="19" spans="1:11" ht="12.75">
      <c r="A19" s="1054">
        <v>11050520</v>
      </c>
      <c r="B19" s="1055" t="s">
        <v>1489</v>
      </c>
      <c r="C19" s="1055" t="s">
        <v>1546</v>
      </c>
      <c r="D19" s="1055" t="s">
        <v>1038</v>
      </c>
      <c r="E19" s="1055" t="s">
        <v>505</v>
      </c>
      <c r="F19" s="1056">
        <v>67</v>
      </c>
      <c r="G19" s="1056">
        <v>0</v>
      </c>
      <c r="H19" s="1056">
        <v>0</v>
      </c>
      <c r="I19" s="1056">
        <v>67</v>
      </c>
      <c r="K19" s="1037">
        <f t="shared" si="0"/>
        <v>8</v>
      </c>
    </row>
    <row r="20" spans="1:11" ht="12.75">
      <c r="A20" s="1054">
        <v>110510</v>
      </c>
      <c r="B20" s="1055" t="s">
        <v>893</v>
      </c>
      <c r="C20" s="1055" t="s">
        <v>689</v>
      </c>
      <c r="D20" s="1055" t="s">
        <v>893</v>
      </c>
      <c r="E20" s="1055" t="s">
        <v>893</v>
      </c>
      <c r="F20" s="1056">
        <v>5400</v>
      </c>
      <c r="G20" s="1056">
        <v>0</v>
      </c>
      <c r="H20" s="1056">
        <v>0</v>
      </c>
      <c r="I20" s="1056">
        <v>5400</v>
      </c>
      <c r="K20" s="1037">
        <f t="shared" si="0"/>
        <v>6</v>
      </c>
    </row>
    <row r="21" spans="1:11" ht="12.75">
      <c r="A21" s="1054">
        <v>11051001</v>
      </c>
      <c r="B21" s="1055" t="s">
        <v>893</v>
      </c>
      <c r="C21" s="1055" t="s">
        <v>689</v>
      </c>
      <c r="D21" s="1055" t="s">
        <v>893</v>
      </c>
      <c r="E21" s="1055" t="s">
        <v>893</v>
      </c>
      <c r="F21" s="1056">
        <v>3900</v>
      </c>
      <c r="G21" s="1056">
        <v>0</v>
      </c>
      <c r="H21" s="1056">
        <v>0</v>
      </c>
      <c r="I21" s="1056">
        <v>3900</v>
      </c>
      <c r="K21" s="1037">
        <f t="shared" si="0"/>
        <v>8</v>
      </c>
    </row>
    <row r="22" spans="1:11" ht="12.75">
      <c r="A22" s="1054">
        <v>11051003</v>
      </c>
      <c r="B22" s="1055" t="s">
        <v>1489</v>
      </c>
      <c r="C22" s="1055" t="s">
        <v>800</v>
      </c>
      <c r="D22" s="1055" t="s">
        <v>893</v>
      </c>
      <c r="E22" s="1055" t="s">
        <v>893</v>
      </c>
      <c r="F22" s="1056">
        <v>300</v>
      </c>
      <c r="G22" s="1056">
        <v>0</v>
      </c>
      <c r="H22" s="1056">
        <v>0</v>
      </c>
      <c r="I22" s="1056">
        <v>300</v>
      </c>
      <c r="K22" s="1037">
        <f t="shared" si="0"/>
        <v>8</v>
      </c>
    </row>
    <row r="23" spans="1:11" ht="12.75">
      <c r="A23" s="1054">
        <v>11051004</v>
      </c>
      <c r="B23" s="1055" t="s">
        <v>1489</v>
      </c>
      <c r="C23" s="1055" t="s">
        <v>801</v>
      </c>
      <c r="D23" s="1055" t="s">
        <v>893</v>
      </c>
      <c r="E23" s="1055" t="s">
        <v>893</v>
      </c>
      <c r="F23" s="1056">
        <v>300</v>
      </c>
      <c r="G23" s="1056">
        <v>0</v>
      </c>
      <c r="H23" s="1056">
        <v>0</v>
      </c>
      <c r="I23" s="1056">
        <v>300</v>
      </c>
      <c r="K23" s="1037">
        <f t="shared" si="0"/>
        <v>8</v>
      </c>
    </row>
    <row r="24" spans="1:11" ht="12.75">
      <c r="A24" s="1054">
        <v>11051008</v>
      </c>
      <c r="B24" s="1055" t="s">
        <v>1489</v>
      </c>
      <c r="C24" s="1055" t="s">
        <v>803</v>
      </c>
      <c r="D24" s="1055" t="s">
        <v>893</v>
      </c>
      <c r="E24" s="1055" t="s">
        <v>893</v>
      </c>
      <c r="F24" s="1056">
        <v>300</v>
      </c>
      <c r="G24" s="1056">
        <v>0</v>
      </c>
      <c r="H24" s="1056">
        <v>0</v>
      </c>
      <c r="I24" s="1056">
        <v>300</v>
      </c>
      <c r="K24" s="1037">
        <f t="shared" si="0"/>
        <v>8</v>
      </c>
    </row>
    <row r="25" spans="1:11" ht="12.75">
      <c r="A25" s="1054">
        <v>11051009</v>
      </c>
      <c r="B25" s="1055" t="s">
        <v>1489</v>
      </c>
      <c r="C25" s="1055" t="s">
        <v>804</v>
      </c>
      <c r="D25" s="1055" t="s">
        <v>893</v>
      </c>
      <c r="E25" s="1055" t="s">
        <v>893</v>
      </c>
      <c r="F25" s="1056">
        <v>300</v>
      </c>
      <c r="G25" s="1056">
        <v>0</v>
      </c>
      <c r="H25" s="1056">
        <v>0</v>
      </c>
      <c r="I25" s="1056">
        <v>300</v>
      </c>
      <c r="K25" s="1037">
        <f t="shared" si="0"/>
        <v>8</v>
      </c>
    </row>
    <row r="26" spans="1:11" ht="12.75">
      <c r="A26" s="1054">
        <v>11051011</v>
      </c>
      <c r="B26" s="1055" t="s">
        <v>1489</v>
      </c>
      <c r="C26" s="1055" t="s">
        <v>805</v>
      </c>
      <c r="D26" s="1055" t="s">
        <v>893</v>
      </c>
      <c r="E26" s="1055" t="s">
        <v>893</v>
      </c>
      <c r="F26" s="1056">
        <v>300</v>
      </c>
      <c r="G26" s="1056">
        <v>0</v>
      </c>
      <c r="H26" s="1056">
        <v>0</v>
      </c>
      <c r="I26" s="1056">
        <v>300</v>
      </c>
      <c r="K26" s="1037">
        <f t="shared" si="0"/>
        <v>8</v>
      </c>
    </row>
    <row r="27" spans="1:11" ht="12.75">
      <c r="A27" s="1054">
        <v>1110</v>
      </c>
      <c r="B27" s="1055" t="s">
        <v>893</v>
      </c>
      <c r="C27" s="1055" t="s">
        <v>104</v>
      </c>
      <c r="D27" s="1055" t="s">
        <v>893</v>
      </c>
      <c r="E27" s="1055" t="s">
        <v>893</v>
      </c>
      <c r="F27" s="1056">
        <v>47677</v>
      </c>
      <c r="G27" s="1056">
        <v>559330</v>
      </c>
      <c r="H27" s="1056">
        <v>572040</v>
      </c>
      <c r="I27" s="1056">
        <v>34966</v>
      </c>
      <c r="K27" s="1037">
        <f t="shared" si="0"/>
        <v>4</v>
      </c>
    </row>
    <row r="28" spans="1:11" ht="12.75">
      <c r="A28" s="1054">
        <v>111005</v>
      </c>
      <c r="B28" s="1055" t="s">
        <v>893</v>
      </c>
      <c r="C28" s="1055" t="s">
        <v>314</v>
      </c>
      <c r="D28" s="1055" t="s">
        <v>893</v>
      </c>
      <c r="E28" s="1055" t="s">
        <v>893</v>
      </c>
      <c r="F28" s="1056">
        <v>47677</v>
      </c>
      <c r="G28" s="1056">
        <v>559330</v>
      </c>
      <c r="H28" s="1056">
        <v>572040</v>
      </c>
      <c r="I28" s="1056">
        <v>34966</v>
      </c>
      <c r="K28" s="1037">
        <f t="shared" si="0"/>
        <v>6</v>
      </c>
    </row>
    <row r="29" spans="1:11" ht="12.75">
      <c r="A29" s="1054">
        <v>11100505</v>
      </c>
      <c r="B29" s="1055" t="s">
        <v>1489</v>
      </c>
      <c r="C29" s="1055" t="s">
        <v>641</v>
      </c>
      <c r="D29" s="1055" t="s">
        <v>893</v>
      </c>
      <c r="E29" s="1055" t="s">
        <v>893</v>
      </c>
      <c r="F29" s="1056">
        <v>3517</v>
      </c>
      <c r="G29" s="1056">
        <v>26891</v>
      </c>
      <c r="H29" s="1056">
        <v>29542</v>
      </c>
      <c r="I29" s="1056">
        <v>867</v>
      </c>
      <c r="K29" s="1037">
        <f t="shared" si="0"/>
        <v>8</v>
      </c>
    </row>
    <row r="30" spans="1:11" ht="12.75">
      <c r="A30" s="1054">
        <v>11100520</v>
      </c>
      <c r="B30" s="1055" t="s">
        <v>1489</v>
      </c>
      <c r="C30" s="1055" t="s">
        <v>643</v>
      </c>
      <c r="D30" s="1055" t="s">
        <v>893</v>
      </c>
      <c r="E30" s="1055" t="s">
        <v>893</v>
      </c>
      <c r="F30" s="1056">
        <v>36</v>
      </c>
      <c r="G30" s="1056">
        <v>0</v>
      </c>
      <c r="H30" s="1056">
        <v>0</v>
      </c>
      <c r="I30" s="1056">
        <v>36</v>
      </c>
      <c r="K30" s="1037">
        <f t="shared" si="0"/>
        <v>8</v>
      </c>
    </row>
    <row r="31" spans="1:11" ht="12.75">
      <c r="A31" s="1054">
        <v>11100522</v>
      </c>
      <c r="B31" s="1055" t="s">
        <v>1489</v>
      </c>
      <c r="C31" s="1055" t="s">
        <v>644</v>
      </c>
      <c r="D31" s="1055" t="s">
        <v>893</v>
      </c>
      <c r="E31" s="1055" t="s">
        <v>893</v>
      </c>
      <c r="F31" s="1056">
        <v>730</v>
      </c>
      <c r="G31" s="1056">
        <v>0</v>
      </c>
      <c r="H31" s="1056">
        <v>0</v>
      </c>
      <c r="I31" s="1056">
        <v>730</v>
      </c>
      <c r="K31" s="1037">
        <f t="shared" si="0"/>
        <v>8</v>
      </c>
    </row>
    <row r="32" spans="1:11" ht="12.75">
      <c r="A32" s="1054">
        <v>11100524</v>
      </c>
      <c r="B32" s="1055" t="s">
        <v>1489</v>
      </c>
      <c r="C32" s="1055" t="s">
        <v>645</v>
      </c>
      <c r="D32" s="1055" t="s">
        <v>893</v>
      </c>
      <c r="E32" s="1055" t="s">
        <v>893</v>
      </c>
      <c r="F32" s="1056">
        <v>94</v>
      </c>
      <c r="G32" s="1056">
        <v>0</v>
      </c>
      <c r="H32" s="1056">
        <v>0</v>
      </c>
      <c r="I32" s="1056">
        <v>94</v>
      </c>
      <c r="K32" s="1037">
        <f t="shared" si="0"/>
        <v>8</v>
      </c>
    </row>
    <row r="33" spans="1:11" ht="12.75">
      <c r="A33" s="1054">
        <v>11100528</v>
      </c>
      <c r="B33" s="1055" t="s">
        <v>1489</v>
      </c>
      <c r="C33" s="1055" t="s">
        <v>646</v>
      </c>
      <c r="D33" s="1055" t="s">
        <v>893</v>
      </c>
      <c r="E33" s="1055" t="s">
        <v>893</v>
      </c>
      <c r="F33" s="1056">
        <v>2502</v>
      </c>
      <c r="G33" s="1056">
        <v>0</v>
      </c>
      <c r="H33" s="1056">
        <v>0</v>
      </c>
      <c r="I33" s="1056">
        <v>2502</v>
      </c>
      <c r="K33" s="1037">
        <f t="shared" si="0"/>
        <v>8</v>
      </c>
    </row>
    <row r="34" spans="1:11" ht="12.75">
      <c r="A34" s="1054">
        <v>11100529</v>
      </c>
      <c r="B34" s="1055" t="s">
        <v>1489</v>
      </c>
      <c r="C34" s="1055" t="s">
        <v>647</v>
      </c>
      <c r="D34" s="1055" t="s">
        <v>893</v>
      </c>
      <c r="E34" s="1055" t="s">
        <v>893</v>
      </c>
      <c r="F34" s="1056">
        <v>17</v>
      </c>
      <c r="G34" s="1056">
        <v>0</v>
      </c>
      <c r="H34" s="1056">
        <v>0</v>
      </c>
      <c r="I34" s="1056">
        <v>17</v>
      </c>
      <c r="K34" s="1037">
        <f t="shared" si="0"/>
        <v>8</v>
      </c>
    </row>
    <row r="35" spans="1:11" ht="12.75">
      <c r="A35" s="1054">
        <v>11100599</v>
      </c>
      <c r="B35" s="1055" t="s">
        <v>893</v>
      </c>
      <c r="C35" s="1055" t="s">
        <v>648</v>
      </c>
      <c r="D35" s="1055" t="s">
        <v>893</v>
      </c>
      <c r="E35" s="1055" t="s">
        <v>893</v>
      </c>
      <c r="F35" s="1056">
        <v>40781</v>
      </c>
      <c r="G35" s="1056">
        <v>532438</v>
      </c>
      <c r="H35" s="1056">
        <v>542498</v>
      </c>
      <c r="I35" s="1056">
        <v>30721</v>
      </c>
      <c r="K35" s="1037">
        <f t="shared" si="0"/>
        <v>8</v>
      </c>
    </row>
    <row r="36" spans="1:11" ht="12.75">
      <c r="A36" s="1054">
        <v>1120</v>
      </c>
      <c r="B36" s="1055" t="s">
        <v>893</v>
      </c>
      <c r="C36" s="1055" t="s">
        <v>690</v>
      </c>
      <c r="D36" s="1055" t="s">
        <v>893</v>
      </c>
      <c r="E36" s="1055" t="s">
        <v>893</v>
      </c>
      <c r="F36" s="1056">
        <v>23777</v>
      </c>
      <c r="G36" s="1056">
        <v>120091</v>
      </c>
      <c r="H36" s="1056">
        <v>106344</v>
      </c>
      <c r="I36" s="1056">
        <v>37524</v>
      </c>
      <c r="K36" s="1037">
        <f t="shared" si="0"/>
        <v>4</v>
      </c>
    </row>
    <row r="37" spans="1:11" ht="12.75">
      <c r="A37" s="1054">
        <v>112005</v>
      </c>
      <c r="B37" s="1055" t="s">
        <v>893</v>
      </c>
      <c r="C37" s="1055" t="s">
        <v>104</v>
      </c>
      <c r="D37" s="1055" t="s">
        <v>893</v>
      </c>
      <c r="E37" s="1055" t="s">
        <v>893</v>
      </c>
      <c r="F37" s="1056">
        <v>23777</v>
      </c>
      <c r="G37" s="1056">
        <v>120091</v>
      </c>
      <c r="H37" s="1056">
        <v>106344</v>
      </c>
      <c r="I37" s="1056">
        <v>37524</v>
      </c>
      <c r="K37" s="1037">
        <f t="shared" si="0"/>
        <v>6</v>
      </c>
    </row>
    <row r="38" spans="1:11" ht="12.75">
      <c r="A38" s="1054">
        <v>11200501</v>
      </c>
      <c r="B38" s="1055" t="s">
        <v>1489</v>
      </c>
      <c r="C38" s="1055" t="s">
        <v>691</v>
      </c>
      <c r="D38" s="1055" t="s">
        <v>893</v>
      </c>
      <c r="E38" s="1055" t="s">
        <v>893</v>
      </c>
      <c r="F38" s="1056">
        <v>10</v>
      </c>
      <c r="G38" s="1056">
        <v>0</v>
      </c>
      <c r="H38" s="1056">
        <v>0</v>
      </c>
      <c r="I38" s="1056">
        <v>10</v>
      </c>
      <c r="K38" s="1037">
        <f t="shared" si="0"/>
        <v>8</v>
      </c>
    </row>
    <row r="39" spans="1:11" ht="12.75">
      <c r="A39" s="1054">
        <v>11200513</v>
      </c>
      <c r="B39" s="1055" t="s">
        <v>1489</v>
      </c>
      <c r="C39" s="1055" t="s">
        <v>651</v>
      </c>
      <c r="D39" s="1055" t="s">
        <v>893</v>
      </c>
      <c r="E39" s="1055" t="s">
        <v>893</v>
      </c>
      <c r="F39" s="1056">
        <v>23767</v>
      </c>
      <c r="G39" s="1056">
        <v>120091</v>
      </c>
      <c r="H39" s="1056">
        <v>106344</v>
      </c>
      <c r="I39" s="1056">
        <v>37515</v>
      </c>
      <c r="K39" s="1037">
        <f t="shared" si="0"/>
        <v>8</v>
      </c>
    </row>
    <row r="40" spans="1:11" ht="12.75">
      <c r="A40" s="1054">
        <v>1130</v>
      </c>
      <c r="B40" s="1055" t="s">
        <v>893</v>
      </c>
      <c r="C40" s="1055" t="s">
        <v>692</v>
      </c>
      <c r="D40" s="1055" t="s">
        <v>893</v>
      </c>
      <c r="E40" s="1055" t="s">
        <v>893</v>
      </c>
      <c r="F40" s="1056">
        <v>12533</v>
      </c>
      <c r="G40" s="1056">
        <v>29137</v>
      </c>
      <c r="H40" s="1056">
        <v>0</v>
      </c>
      <c r="I40" s="1056">
        <v>41670</v>
      </c>
      <c r="K40" s="1037">
        <f t="shared" si="0"/>
        <v>4</v>
      </c>
    </row>
    <row r="41" spans="1:11" ht="12.75">
      <c r="A41" s="1054">
        <v>113040</v>
      </c>
      <c r="B41" s="1055" t="s">
        <v>1489</v>
      </c>
      <c r="C41" s="1055" t="s">
        <v>503</v>
      </c>
      <c r="D41" s="1055" t="s">
        <v>893</v>
      </c>
      <c r="E41" s="1055" t="s">
        <v>893</v>
      </c>
      <c r="F41" s="1056">
        <v>12533</v>
      </c>
      <c r="G41" s="1056">
        <v>29137</v>
      </c>
      <c r="H41" s="1056">
        <v>0</v>
      </c>
      <c r="I41" s="1056">
        <v>41670</v>
      </c>
      <c r="K41" s="1037">
        <f t="shared" si="0"/>
        <v>6</v>
      </c>
    </row>
    <row r="42" spans="1:11" ht="12.75">
      <c r="A42" s="1054">
        <v>11304001</v>
      </c>
      <c r="B42" s="1055" t="s">
        <v>1489</v>
      </c>
      <c r="C42" s="1055" t="s">
        <v>693</v>
      </c>
      <c r="D42" s="1055" t="s">
        <v>893</v>
      </c>
      <c r="E42" s="1055" t="s">
        <v>893</v>
      </c>
      <c r="F42" s="1056">
        <v>417</v>
      </c>
      <c r="G42" s="1056">
        <v>4</v>
      </c>
      <c r="H42" s="1056">
        <v>0</v>
      </c>
      <c r="I42" s="1056">
        <v>420</v>
      </c>
      <c r="K42" s="1037">
        <f t="shared" si="0"/>
        <v>8</v>
      </c>
    </row>
    <row r="43" spans="1:11" ht="12.75">
      <c r="A43" s="1054">
        <v>11304002</v>
      </c>
      <c r="B43" s="1055" t="s">
        <v>1489</v>
      </c>
      <c r="C43" s="1055" t="s">
        <v>694</v>
      </c>
      <c r="D43" s="1055" t="s">
        <v>893</v>
      </c>
      <c r="E43" s="1055" t="s">
        <v>893</v>
      </c>
      <c r="F43" s="1056">
        <v>12117</v>
      </c>
      <c r="G43" s="1056">
        <v>29133</v>
      </c>
      <c r="H43" s="1056">
        <v>0</v>
      </c>
      <c r="I43" s="1056">
        <v>41250</v>
      </c>
      <c r="K43" s="1037">
        <f t="shared" si="0"/>
        <v>8</v>
      </c>
    </row>
    <row r="44" spans="1:11" ht="12.75">
      <c r="A44" s="1054">
        <v>13</v>
      </c>
      <c r="B44" s="1055" t="s">
        <v>893</v>
      </c>
      <c r="C44" s="1055" t="s">
        <v>315</v>
      </c>
      <c r="D44" s="1055" t="s">
        <v>893</v>
      </c>
      <c r="E44" s="1055" t="s">
        <v>893</v>
      </c>
      <c r="F44" s="1056">
        <v>392796</v>
      </c>
      <c r="G44" s="1056">
        <v>72927</v>
      </c>
      <c r="H44" s="1056">
        <v>28419</v>
      </c>
      <c r="I44" s="1056">
        <v>437304</v>
      </c>
      <c r="K44" s="1037">
        <f t="shared" si="0"/>
        <v>2</v>
      </c>
    </row>
    <row r="45" spans="1:11" ht="12.75">
      <c r="A45" s="1054">
        <v>1305</v>
      </c>
      <c r="B45" s="1055" t="s">
        <v>893</v>
      </c>
      <c r="C45" s="1055" t="s">
        <v>106</v>
      </c>
      <c r="D45" s="1055" t="s">
        <v>893</v>
      </c>
      <c r="E45" s="1055" t="s">
        <v>893</v>
      </c>
      <c r="F45" s="1056">
        <v>29295</v>
      </c>
      <c r="G45" s="1056">
        <v>4039</v>
      </c>
      <c r="H45" s="1056">
        <v>11914</v>
      </c>
      <c r="I45" s="1056">
        <v>21421</v>
      </c>
      <c r="K45" s="1037">
        <f t="shared" si="0"/>
        <v>4</v>
      </c>
    </row>
    <row r="46" spans="1:11" ht="12.75">
      <c r="A46" s="1054">
        <v>130505</v>
      </c>
      <c r="B46" s="1055" t="s">
        <v>893</v>
      </c>
      <c r="C46" s="1055" t="s">
        <v>316</v>
      </c>
      <c r="D46" s="1055" t="s">
        <v>893</v>
      </c>
      <c r="E46" s="1055" t="s">
        <v>893</v>
      </c>
      <c r="F46" s="1056">
        <v>29295</v>
      </c>
      <c r="G46" s="1056">
        <v>4039</v>
      </c>
      <c r="H46" s="1056">
        <v>11914</v>
      </c>
      <c r="I46" s="1056">
        <v>21421</v>
      </c>
      <c r="K46" s="1037">
        <f t="shared" si="0"/>
        <v>6</v>
      </c>
    </row>
    <row r="47" spans="1:11" ht="12.75">
      <c r="A47" s="1054">
        <v>13050501</v>
      </c>
      <c r="B47" s="1055" t="s">
        <v>893</v>
      </c>
      <c r="C47" s="1055" t="s">
        <v>317</v>
      </c>
      <c r="D47" s="1055" t="s">
        <v>893</v>
      </c>
      <c r="E47" s="1055" t="s">
        <v>893</v>
      </c>
      <c r="F47" s="1056">
        <v>29295</v>
      </c>
      <c r="G47" s="1056">
        <v>4039</v>
      </c>
      <c r="H47" s="1056">
        <v>11914</v>
      </c>
      <c r="I47" s="1056">
        <v>21421</v>
      </c>
      <c r="K47" s="1037">
        <f t="shared" si="0"/>
        <v>8</v>
      </c>
    </row>
    <row r="48" spans="1:11" ht="12.75">
      <c r="A48" s="1054">
        <v>13050501</v>
      </c>
      <c r="B48" s="1055" t="s">
        <v>893</v>
      </c>
      <c r="C48" s="1055" t="s">
        <v>317</v>
      </c>
      <c r="D48" s="1055" t="s">
        <v>1066</v>
      </c>
      <c r="E48" s="1055" t="s">
        <v>662</v>
      </c>
      <c r="F48" s="1056">
        <v>476</v>
      </c>
      <c r="G48" s="1056">
        <v>0</v>
      </c>
      <c r="H48" s="1056">
        <v>0</v>
      </c>
      <c r="I48" s="1056">
        <v>476</v>
      </c>
      <c r="K48" s="1037">
        <f t="shared" si="0"/>
        <v>8</v>
      </c>
    </row>
    <row r="49" spans="1:11" ht="12.75">
      <c r="A49" s="1054">
        <v>13050501</v>
      </c>
      <c r="B49" s="1055" t="s">
        <v>893</v>
      </c>
      <c r="C49" s="1055" t="s">
        <v>317</v>
      </c>
      <c r="D49" s="1055" t="s">
        <v>1034</v>
      </c>
      <c r="E49" s="1055" t="s">
        <v>504</v>
      </c>
      <c r="F49" s="1056">
        <v>1950</v>
      </c>
      <c r="G49" s="1056">
        <v>0</v>
      </c>
      <c r="H49" s="1056">
        <v>0</v>
      </c>
      <c r="I49" s="1056">
        <v>1950</v>
      </c>
      <c r="K49" s="1037">
        <f t="shared" si="0"/>
        <v>8</v>
      </c>
    </row>
    <row r="50" spans="1:11" ht="12.75">
      <c r="A50" s="1054">
        <v>13050501</v>
      </c>
      <c r="B50" s="1055" t="s">
        <v>893</v>
      </c>
      <c r="C50" s="1055" t="s">
        <v>317</v>
      </c>
      <c r="D50" s="1055" t="s">
        <v>1035</v>
      </c>
      <c r="E50" s="1055" t="s">
        <v>573</v>
      </c>
      <c r="F50" s="1056">
        <v>1061</v>
      </c>
      <c r="G50" s="1056">
        <v>2698</v>
      </c>
      <c r="H50" s="1056">
        <v>2692</v>
      </c>
      <c r="I50" s="1056">
        <v>1067</v>
      </c>
      <c r="K50" s="1037">
        <f t="shared" si="0"/>
        <v>8</v>
      </c>
    </row>
    <row r="51" spans="1:11" ht="12.75">
      <c r="A51" s="1054">
        <v>13050501</v>
      </c>
      <c r="B51" s="1055" t="s">
        <v>893</v>
      </c>
      <c r="C51" s="1055" t="s">
        <v>317</v>
      </c>
      <c r="D51" s="1055" t="s">
        <v>1296</v>
      </c>
      <c r="E51" s="1055" t="s">
        <v>1297</v>
      </c>
      <c r="F51" s="1056">
        <v>161</v>
      </c>
      <c r="G51" s="1056">
        <v>45</v>
      </c>
      <c r="H51" s="1056">
        <v>0</v>
      </c>
      <c r="I51" s="1056">
        <v>206</v>
      </c>
      <c r="K51" s="1037">
        <f t="shared" si="0"/>
        <v>8</v>
      </c>
    </row>
    <row r="52" spans="1:11" ht="12.75">
      <c r="A52" s="1054">
        <v>13050501</v>
      </c>
      <c r="B52" s="1055" t="s">
        <v>893</v>
      </c>
      <c r="C52" s="1055" t="s">
        <v>317</v>
      </c>
      <c r="D52" s="1055" t="s">
        <v>1038</v>
      </c>
      <c r="E52" s="1055" t="s">
        <v>505</v>
      </c>
      <c r="F52" s="1056">
        <v>77</v>
      </c>
      <c r="G52" s="1056">
        <v>111</v>
      </c>
      <c r="H52" s="1056">
        <v>188</v>
      </c>
      <c r="I52" s="1056">
        <v>0</v>
      </c>
      <c r="K52" s="1037">
        <f t="shared" si="0"/>
        <v>8</v>
      </c>
    </row>
    <row r="53" spans="1:11" ht="12.75">
      <c r="A53" s="1054">
        <v>13050501</v>
      </c>
      <c r="B53" s="1055" t="s">
        <v>893</v>
      </c>
      <c r="C53" s="1055" t="s">
        <v>317</v>
      </c>
      <c r="D53" s="1055" t="s">
        <v>1062</v>
      </c>
      <c r="E53" s="1055" t="s">
        <v>510</v>
      </c>
      <c r="F53" s="1056">
        <v>25569</v>
      </c>
      <c r="G53" s="1056">
        <v>1034</v>
      </c>
      <c r="H53" s="1056">
        <v>9033</v>
      </c>
      <c r="I53" s="1056">
        <v>17570</v>
      </c>
      <c r="K53" s="1037">
        <f t="shared" si="0"/>
        <v>8</v>
      </c>
    </row>
    <row r="54" spans="1:11" ht="12.75">
      <c r="A54" s="1054">
        <v>13050501</v>
      </c>
      <c r="B54" s="1055" t="s">
        <v>893</v>
      </c>
      <c r="C54" s="1055" t="s">
        <v>317</v>
      </c>
      <c r="D54" s="1055" t="s">
        <v>1374</v>
      </c>
      <c r="E54" s="1055" t="s">
        <v>1375</v>
      </c>
      <c r="F54" s="1056">
        <v>0</v>
      </c>
      <c r="G54" s="1056">
        <v>150</v>
      </c>
      <c r="H54" s="1056">
        <v>0</v>
      </c>
      <c r="I54" s="1056">
        <v>150</v>
      </c>
      <c r="K54" s="1037">
        <f t="shared" si="0"/>
        <v>8</v>
      </c>
    </row>
    <row r="55" spans="1:11" ht="12.75">
      <c r="A55" s="1054">
        <v>13050502</v>
      </c>
      <c r="B55" s="1055" t="s">
        <v>1489</v>
      </c>
      <c r="C55" s="1055" t="s">
        <v>465</v>
      </c>
      <c r="D55" s="1055" t="s">
        <v>893</v>
      </c>
      <c r="E55" s="1055" t="s">
        <v>893</v>
      </c>
      <c r="F55" s="1056">
        <v>0</v>
      </c>
      <c r="G55" s="1056">
        <v>0</v>
      </c>
      <c r="H55" s="1056">
        <v>0</v>
      </c>
      <c r="I55" s="1056">
        <v>0</v>
      </c>
      <c r="K55" s="1037">
        <f t="shared" si="0"/>
        <v>8</v>
      </c>
    </row>
    <row r="56" spans="1:11" ht="12.75">
      <c r="A56" s="1054">
        <v>1325</v>
      </c>
      <c r="B56" s="1055" t="s">
        <v>893</v>
      </c>
      <c r="C56" s="1055" t="s">
        <v>319</v>
      </c>
      <c r="D56" s="1055" t="s">
        <v>893</v>
      </c>
      <c r="E56" s="1055" t="s">
        <v>893</v>
      </c>
      <c r="F56" s="1056">
        <v>0</v>
      </c>
      <c r="G56" s="1056">
        <v>0</v>
      </c>
      <c r="H56" s="1056">
        <v>0</v>
      </c>
      <c r="I56" s="1056">
        <v>0</v>
      </c>
      <c r="K56" s="1037">
        <f t="shared" si="0"/>
        <v>4</v>
      </c>
    </row>
    <row r="57" spans="1:11" ht="12.75">
      <c r="A57" s="1054">
        <v>132510</v>
      </c>
      <c r="B57" s="1055" t="s">
        <v>893</v>
      </c>
      <c r="C57" s="1055" t="s">
        <v>320</v>
      </c>
      <c r="D57" s="1055" t="s">
        <v>893</v>
      </c>
      <c r="E57" s="1055" t="s">
        <v>893</v>
      </c>
      <c r="F57" s="1056">
        <v>0</v>
      </c>
      <c r="G57" s="1056">
        <v>0</v>
      </c>
      <c r="H57" s="1056">
        <v>0</v>
      </c>
      <c r="I57" s="1056">
        <v>0</v>
      </c>
      <c r="K57" s="1037">
        <f t="shared" si="0"/>
        <v>6</v>
      </c>
    </row>
    <row r="58" spans="1:11" ht="12.75">
      <c r="A58" s="1054">
        <v>13251005</v>
      </c>
      <c r="B58" s="1055" t="s">
        <v>893</v>
      </c>
      <c r="C58" s="1055" t="s">
        <v>320</v>
      </c>
      <c r="D58" s="1055" t="s">
        <v>893</v>
      </c>
      <c r="E58" s="1055" t="s">
        <v>893</v>
      </c>
      <c r="F58" s="1056">
        <v>0</v>
      </c>
      <c r="G58" s="1056">
        <v>0</v>
      </c>
      <c r="H58" s="1056">
        <v>0</v>
      </c>
      <c r="I58" s="1056">
        <v>0</v>
      </c>
      <c r="K58" s="1037">
        <f t="shared" si="0"/>
        <v>8</v>
      </c>
    </row>
    <row r="59" spans="1:11" ht="12.75">
      <c r="A59" s="1054">
        <v>1330</v>
      </c>
      <c r="B59" s="1055" t="s">
        <v>893</v>
      </c>
      <c r="C59" s="1055" t="s">
        <v>321</v>
      </c>
      <c r="D59" s="1055" t="s">
        <v>893</v>
      </c>
      <c r="E59" s="1055" t="s">
        <v>893</v>
      </c>
      <c r="F59" s="1056">
        <v>310013</v>
      </c>
      <c r="G59" s="1056">
        <v>18353</v>
      </c>
      <c r="H59" s="1056">
        <v>775</v>
      </c>
      <c r="I59" s="1056">
        <v>327590</v>
      </c>
      <c r="K59" s="1037">
        <f t="shared" si="0"/>
        <v>4</v>
      </c>
    </row>
    <row r="60" spans="1:11" ht="12.75">
      <c r="A60" s="1054">
        <v>133005</v>
      </c>
      <c r="B60" s="1055" t="s">
        <v>893</v>
      </c>
      <c r="C60" s="1055" t="s">
        <v>506</v>
      </c>
      <c r="D60" s="1055" t="s">
        <v>893</v>
      </c>
      <c r="E60" s="1055" t="s">
        <v>893</v>
      </c>
      <c r="F60" s="1056">
        <v>10073</v>
      </c>
      <c r="G60" s="1056">
        <v>8041</v>
      </c>
      <c r="H60" s="1056">
        <v>775</v>
      </c>
      <c r="I60" s="1056">
        <v>17339</v>
      </c>
      <c r="K60" s="1037">
        <f t="shared" si="0"/>
        <v>6</v>
      </c>
    </row>
    <row r="61" spans="1:11" ht="12.75">
      <c r="A61" s="1054">
        <v>13300501</v>
      </c>
      <c r="B61" s="1055" t="s">
        <v>1489</v>
      </c>
      <c r="C61" s="1055" t="s">
        <v>506</v>
      </c>
      <c r="D61" s="1055" t="s">
        <v>893</v>
      </c>
      <c r="E61" s="1055" t="s">
        <v>893</v>
      </c>
      <c r="F61" s="1056">
        <v>10073</v>
      </c>
      <c r="G61" s="1056">
        <v>8041</v>
      </c>
      <c r="H61" s="1056">
        <v>775</v>
      </c>
      <c r="I61" s="1056">
        <v>17339</v>
      </c>
      <c r="K61" s="1037">
        <f t="shared" si="0"/>
        <v>8</v>
      </c>
    </row>
    <row r="62" spans="1:11" ht="12.75">
      <c r="A62" s="1054">
        <v>13300501</v>
      </c>
      <c r="B62" s="1055" t="s">
        <v>1489</v>
      </c>
      <c r="C62" s="1055" t="s">
        <v>506</v>
      </c>
      <c r="D62" s="1055" t="s">
        <v>1032</v>
      </c>
      <c r="E62" s="1055" t="s">
        <v>508</v>
      </c>
      <c r="F62" s="1056">
        <v>0</v>
      </c>
      <c r="G62" s="1056">
        <v>3482</v>
      </c>
      <c r="H62" s="1056">
        <v>0</v>
      </c>
      <c r="I62" s="1056">
        <v>3482</v>
      </c>
      <c r="K62" s="1037">
        <f t="shared" si="0"/>
        <v>8</v>
      </c>
    </row>
    <row r="63" spans="1:11" ht="12.75">
      <c r="A63" s="1054">
        <v>13300501</v>
      </c>
      <c r="B63" s="1055" t="s">
        <v>1489</v>
      </c>
      <c r="C63" s="1055" t="s">
        <v>506</v>
      </c>
      <c r="D63" s="1055" t="s">
        <v>1730</v>
      </c>
      <c r="E63" s="1055" t="s">
        <v>1731</v>
      </c>
      <c r="F63" s="1056">
        <v>1796</v>
      </c>
      <c r="G63" s="1056">
        <v>0</v>
      </c>
      <c r="H63" s="1056">
        <v>0</v>
      </c>
      <c r="I63" s="1056">
        <v>1796</v>
      </c>
      <c r="K63" s="1037">
        <f t="shared" si="0"/>
        <v>8</v>
      </c>
    </row>
    <row r="64" spans="1:11" ht="12.75">
      <c r="A64" s="1054">
        <v>13300501</v>
      </c>
      <c r="B64" s="1055" t="s">
        <v>1489</v>
      </c>
      <c r="C64" s="1055" t="s">
        <v>506</v>
      </c>
      <c r="D64" s="1055" t="s">
        <v>1185</v>
      </c>
      <c r="E64" s="1055" t="s">
        <v>1017</v>
      </c>
      <c r="F64" s="1056">
        <v>0</v>
      </c>
      <c r="G64" s="1056">
        <v>740</v>
      </c>
      <c r="H64" s="1056">
        <v>0</v>
      </c>
      <c r="I64" s="1056">
        <v>740</v>
      </c>
      <c r="K64" s="1037">
        <f t="shared" si="0"/>
        <v>8</v>
      </c>
    </row>
    <row r="65" spans="1:11" ht="12.75">
      <c r="A65" s="1054">
        <v>13300501</v>
      </c>
      <c r="B65" s="1055" t="s">
        <v>1489</v>
      </c>
      <c r="C65" s="1055" t="s">
        <v>506</v>
      </c>
      <c r="D65" s="1055" t="s">
        <v>1817</v>
      </c>
      <c r="E65" s="1055" t="s">
        <v>1818</v>
      </c>
      <c r="F65" s="1056">
        <v>297</v>
      </c>
      <c r="G65" s="1056">
        <v>0</v>
      </c>
      <c r="H65" s="1056">
        <v>297</v>
      </c>
      <c r="I65" s="1056">
        <v>0</v>
      </c>
      <c r="K65" s="1037">
        <f t="shared" si="0"/>
        <v>8</v>
      </c>
    </row>
    <row r="66" spans="1:11" ht="12.75">
      <c r="A66" s="1054">
        <v>13300501</v>
      </c>
      <c r="B66" s="1055" t="s">
        <v>1489</v>
      </c>
      <c r="C66" s="1055" t="s">
        <v>506</v>
      </c>
      <c r="D66" s="1055" t="s">
        <v>1295</v>
      </c>
      <c r="E66" s="1055" t="s">
        <v>963</v>
      </c>
      <c r="F66" s="1056">
        <v>7502</v>
      </c>
      <c r="G66" s="1056">
        <v>0</v>
      </c>
      <c r="H66" s="1056">
        <v>0</v>
      </c>
      <c r="I66" s="1056">
        <v>7502</v>
      </c>
      <c r="K66" s="1037">
        <f t="shared" si="0"/>
        <v>8</v>
      </c>
    </row>
    <row r="67" spans="1:11" ht="12.75">
      <c r="A67" s="1054">
        <v>13300501</v>
      </c>
      <c r="B67" s="1055" t="s">
        <v>1489</v>
      </c>
      <c r="C67" s="1055" t="s">
        <v>506</v>
      </c>
      <c r="D67" s="1055" t="s">
        <v>1109</v>
      </c>
      <c r="E67" s="1055" t="s">
        <v>1110</v>
      </c>
      <c r="F67" s="1056">
        <v>478</v>
      </c>
      <c r="G67" s="1056">
        <v>3819</v>
      </c>
      <c r="H67" s="1056">
        <v>478</v>
      </c>
      <c r="I67" s="1056">
        <v>3819</v>
      </c>
      <c r="K67" s="1037">
        <f t="shared" si="0"/>
        <v>8</v>
      </c>
    </row>
    <row r="68" spans="1:11" ht="12.75">
      <c r="A68" s="1054">
        <v>13300502</v>
      </c>
      <c r="B68" s="1055" t="s">
        <v>1489</v>
      </c>
      <c r="C68" s="1055" t="s">
        <v>507</v>
      </c>
      <c r="D68" s="1055" t="s">
        <v>893</v>
      </c>
      <c r="E68" s="1055" t="s">
        <v>893</v>
      </c>
      <c r="F68" s="1056">
        <v>0</v>
      </c>
      <c r="G68" s="1056">
        <v>0</v>
      </c>
      <c r="H68" s="1056">
        <v>0</v>
      </c>
      <c r="I68" s="1056">
        <v>0</v>
      </c>
      <c r="K68" s="1037">
        <f t="shared" si="0"/>
        <v>8</v>
      </c>
    </row>
    <row r="69" spans="1:11" ht="12.75">
      <c r="A69" s="1054">
        <v>133010</v>
      </c>
      <c r="B69" s="1055" t="s">
        <v>1489</v>
      </c>
      <c r="C69" s="1055" t="s">
        <v>574</v>
      </c>
      <c r="D69" s="1055" t="s">
        <v>893</v>
      </c>
      <c r="E69" s="1055" t="s">
        <v>893</v>
      </c>
      <c r="F69" s="1056">
        <v>299939</v>
      </c>
      <c r="G69" s="1056">
        <v>10312</v>
      </c>
      <c r="H69" s="1056">
        <v>0</v>
      </c>
      <c r="I69" s="1056">
        <v>310251</v>
      </c>
      <c r="K69" s="1037">
        <f t="shared" ref="K69:K132" si="1">+LEN(A69)</f>
        <v>6</v>
      </c>
    </row>
    <row r="70" spans="1:11" ht="12.75">
      <c r="A70" s="1054">
        <v>13301001</v>
      </c>
      <c r="B70" s="1055" t="s">
        <v>1489</v>
      </c>
      <c r="C70" s="1055" t="s">
        <v>574</v>
      </c>
      <c r="D70" s="1055" t="s">
        <v>893</v>
      </c>
      <c r="E70" s="1055" t="s">
        <v>893</v>
      </c>
      <c r="F70" s="1056">
        <v>299939</v>
      </c>
      <c r="G70" s="1056">
        <v>10312</v>
      </c>
      <c r="H70" s="1056">
        <v>0</v>
      </c>
      <c r="I70" s="1056">
        <v>310251</v>
      </c>
      <c r="K70" s="1037">
        <f t="shared" si="1"/>
        <v>8</v>
      </c>
    </row>
    <row r="71" spans="1:11" ht="12.75">
      <c r="A71" s="1054">
        <v>13301001</v>
      </c>
      <c r="B71" s="1055" t="s">
        <v>1489</v>
      </c>
      <c r="C71" s="1055" t="s">
        <v>574</v>
      </c>
      <c r="D71" s="1055" t="s">
        <v>1063</v>
      </c>
      <c r="E71" s="1055" t="s">
        <v>1017</v>
      </c>
      <c r="F71" s="1056">
        <v>2691</v>
      </c>
      <c r="G71" s="1056">
        <v>0</v>
      </c>
      <c r="H71" s="1056">
        <v>0</v>
      </c>
      <c r="I71" s="1056">
        <v>2691</v>
      </c>
      <c r="K71" s="1037">
        <f t="shared" si="1"/>
        <v>8</v>
      </c>
    </row>
    <row r="72" spans="1:11" ht="12.75">
      <c r="A72" s="1054">
        <v>13301001</v>
      </c>
      <c r="B72" s="1055" t="s">
        <v>1489</v>
      </c>
      <c r="C72" s="1055" t="s">
        <v>574</v>
      </c>
      <c r="D72" s="1055" t="s">
        <v>1055</v>
      </c>
      <c r="E72" s="1055" t="s">
        <v>817</v>
      </c>
      <c r="F72" s="1056">
        <v>27460</v>
      </c>
      <c r="G72" s="1056">
        <v>0</v>
      </c>
      <c r="H72" s="1056">
        <v>0</v>
      </c>
      <c r="I72" s="1056">
        <v>27460</v>
      </c>
      <c r="K72" s="1037">
        <f t="shared" si="1"/>
        <v>8</v>
      </c>
    </row>
    <row r="73" spans="1:11" ht="12.75">
      <c r="A73" s="1054">
        <v>13301001</v>
      </c>
      <c r="B73" s="1055" t="s">
        <v>1489</v>
      </c>
      <c r="C73" s="1055" t="s">
        <v>574</v>
      </c>
      <c r="D73" s="1055" t="s">
        <v>1246</v>
      </c>
      <c r="E73" s="1055" t="s">
        <v>743</v>
      </c>
      <c r="F73" s="1056">
        <v>12483</v>
      </c>
      <c r="G73" s="1056">
        <v>0</v>
      </c>
      <c r="H73" s="1056">
        <v>0</v>
      </c>
      <c r="I73" s="1056">
        <v>12483</v>
      </c>
      <c r="K73" s="1037">
        <f t="shared" si="1"/>
        <v>8</v>
      </c>
    </row>
    <row r="74" spans="1:11" ht="12.75">
      <c r="A74" s="1054">
        <v>13301001</v>
      </c>
      <c r="B74" s="1055" t="s">
        <v>1489</v>
      </c>
      <c r="C74" s="1055" t="s">
        <v>574</v>
      </c>
      <c r="D74" s="1055" t="s">
        <v>1064</v>
      </c>
      <c r="E74" s="1055" t="s">
        <v>1065</v>
      </c>
      <c r="F74" s="1056">
        <v>2922</v>
      </c>
      <c r="G74" s="1056">
        <v>0</v>
      </c>
      <c r="H74" s="1056">
        <v>0</v>
      </c>
      <c r="I74" s="1056">
        <v>2922</v>
      </c>
      <c r="K74" s="1037">
        <f t="shared" si="1"/>
        <v>8</v>
      </c>
    </row>
    <row r="75" spans="1:11" ht="12.75">
      <c r="A75" s="1054">
        <v>13301001</v>
      </c>
      <c r="B75" s="1055" t="s">
        <v>1489</v>
      </c>
      <c r="C75" s="1055" t="s">
        <v>574</v>
      </c>
      <c r="D75" s="1055" t="s">
        <v>1032</v>
      </c>
      <c r="E75" s="1055" t="s">
        <v>508</v>
      </c>
      <c r="F75" s="1056">
        <v>18357</v>
      </c>
      <c r="G75" s="1056">
        <v>0</v>
      </c>
      <c r="H75" s="1056">
        <v>0</v>
      </c>
      <c r="I75" s="1056">
        <v>18357</v>
      </c>
      <c r="K75" s="1037">
        <f t="shared" si="1"/>
        <v>8</v>
      </c>
    </row>
    <row r="76" spans="1:11" ht="12.75">
      <c r="A76" s="1054">
        <v>13301001</v>
      </c>
      <c r="B76" s="1055" t="s">
        <v>1489</v>
      </c>
      <c r="C76" s="1055" t="s">
        <v>574</v>
      </c>
      <c r="D76" s="1055" t="s">
        <v>1176</v>
      </c>
      <c r="E76" s="1055" t="s">
        <v>910</v>
      </c>
      <c r="F76" s="1056">
        <v>41261</v>
      </c>
      <c r="G76" s="1056">
        <v>0</v>
      </c>
      <c r="H76" s="1056">
        <v>0</v>
      </c>
      <c r="I76" s="1056">
        <v>41261</v>
      </c>
      <c r="K76" s="1037">
        <f t="shared" si="1"/>
        <v>8</v>
      </c>
    </row>
    <row r="77" spans="1:11" ht="12.75">
      <c r="A77" s="1054">
        <v>13301001</v>
      </c>
      <c r="B77" s="1055" t="s">
        <v>1489</v>
      </c>
      <c r="C77" s="1055" t="s">
        <v>574</v>
      </c>
      <c r="D77" s="1055" t="s">
        <v>1185</v>
      </c>
      <c r="E77" s="1055" t="s">
        <v>1017</v>
      </c>
      <c r="F77" s="1056">
        <v>28432</v>
      </c>
      <c r="G77" s="1056">
        <v>5166</v>
      </c>
      <c r="H77" s="1056">
        <v>0</v>
      </c>
      <c r="I77" s="1056">
        <v>33598</v>
      </c>
      <c r="K77" s="1037">
        <f t="shared" si="1"/>
        <v>8</v>
      </c>
    </row>
    <row r="78" spans="1:11" ht="12.75">
      <c r="A78" s="1054">
        <v>13301001</v>
      </c>
      <c r="B78" s="1055" t="s">
        <v>1489</v>
      </c>
      <c r="C78" s="1055" t="s">
        <v>574</v>
      </c>
      <c r="D78" s="1055" t="s">
        <v>1207</v>
      </c>
      <c r="E78" s="1055" t="s">
        <v>1028</v>
      </c>
      <c r="F78" s="1056">
        <v>3596</v>
      </c>
      <c r="G78" s="1056">
        <v>0</v>
      </c>
      <c r="H78" s="1056">
        <v>0</v>
      </c>
      <c r="I78" s="1056">
        <v>3596</v>
      </c>
      <c r="K78" s="1037">
        <f t="shared" si="1"/>
        <v>8</v>
      </c>
    </row>
    <row r="79" spans="1:11" ht="12.75">
      <c r="A79" s="1054">
        <v>13301001</v>
      </c>
      <c r="B79" s="1055" t="s">
        <v>1489</v>
      </c>
      <c r="C79" s="1055" t="s">
        <v>574</v>
      </c>
      <c r="D79" s="1055" t="s">
        <v>1039</v>
      </c>
      <c r="E79" s="1055" t="s">
        <v>681</v>
      </c>
      <c r="F79" s="1056">
        <v>0</v>
      </c>
      <c r="G79" s="1056">
        <v>0</v>
      </c>
      <c r="H79" s="1056">
        <v>0</v>
      </c>
      <c r="I79" s="1056">
        <v>0</v>
      </c>
      <c r="K79" s="1037">
        <f t="shared" si="1"/>
        <v>8</v>
      </c>
    </row>
    <row r="80" spans="1:11" ht="12.75">
      <c r="A80" s="1054">
        <v>13301001</v>
      </c>
      <c r="B80" s="1055" t="s">
        <v>1489</v>
      </c>
      <c r="C80" s="1055" t="s">
        <v>574</v>
      </c>
      <c r="D80" s="1055" t="s">
        <v>1056</v>
      </c>
      <c r="E80" s="1055" t="s">
        <v>448</v>
      </c>
      <c r="F80" s="1056">
        <v>42273</v>
      </c>
      <c r="G80" s="1056">
        <v>1608</v>
      </c>
      <c r="H80" s="1056">
        <v>0</v>
      </c>
      <c r="I80" s="1056">
        <v>43881</v>
      </c>
      <c r="K80" s="1037">
        <f t="shared" si="1"/>
        <v>8</v>
      </c>
    </row>
    <row r="81" spans="1:11" ht="12.75">
      <c r="A81" s="1054">
        <v>13301001</v>
      </c>
      <c r="B81" s="1055" t="s">
        <v>1489</v>
      </c>
      <c r="C81" s="1055" t="s">
        <v>574</v>
      </c>
      <c r="D81" s="1055" t="s">
        <v>1057</v>
      </c>
      <c r="E81" s="1055" t="s">
        <v>818</v>
      </c>
      <c r="F81" s="1056">
        <v>65764</v>
      </c>
      <c r="G81" s="1056">
        <v>965</v>
      </c>
      <c r="H81" s="1056">
        <v>0</v>
      </c>
      <c r="I81" s="1056">
        <v>66728</v>
      </c>
      <c r="K81" s="1037">
        <f t="shared" si="1"/>
        <v>8</v>
      </c>
    </row>
    <row r="82" spans="1:11" ht="12.75">
      <c r="A82" s="1054">
        <v>13301001</v>
      </c>
      <c r="B82" s="1055" t="s">
        <v>1489</v>
      </c>
      <c r="C82" s="1055" t="s">
        <v>574</v>
      </c>
      <c r="D82" s="1055" t="s">
        <v>1058</v>
      </c>
      <c r="E82" s="1055" t="s">
        <v>792</v>
      </c>
      <c r="F82" s="1056">
        <v>40572</v>
      </c>
      <c r="G82" s="1056">
        <v>1608</v>
      </c>
      <c r="H82" s="1056">
        <v>0</v>
      </c>
      <c r="I82" s="1056">
        <v>42180</v>
      </c>
      <c r="K82" s="1037">
        <f t="shared" si="1"/>
        <v>8</v>
      </c>
    </row>
    <row r="83" spans="1:11" ht="12.75">
      <c r="A83" s="1054">
        <v>13301001</v>
      </c>
      <c r="B83" s="1055" t="s">
        <v>1489</v>
      </c>
      <c r="C83" s="1055" t="s">
        <v>574</v>
      </c>
      <c r="D83" s="1055" t="s">
        <v>1059</v>
      </c>
      <c r="E83" s="1055" t="s">
        <v>819</v>
      </c>
      <c r="F83" s="1056">
        <v>14129</v>
      </c>
      <c r="G83" s="1056">
        <v>965</v>
      </c>
      <c r="H83" s="1056">
        <v>0</v>
      </c>
      <c r="I83" s="1056">
        <v>15094</v>
      </c>
      <c r="K83" s="1037">
        <f t="shared" si="1"/>
        <v>8</v>
      </c>
    </row>
    <row r="84" spans="1:11" ht="12.75">
      <c r="A84" s="1054">
        <v>1365</v>
      </c>
      <c r="B84" s="1055" t="s">
        <v>893</v>
      </c>
      <c r="C84" s="1055" t="s">
        <v>322</v>
      </c>
      <c r="D84" s="1055" t="s">
        <v>893</v>
      </c>
      <c r="E84" s="1055" t="s">
        <v>893</v>
      </c>
      <c r="F84" s="1056">
        <v>557</v>
      </c>
      <c r="G84" s="1056">
        <v>536</v>
      </c>
      <c r="H84" s="1056">
        <v>730</v>
      </c>
      <c r="I84" s="1056">
        <v>363</v>
      </c>
      <c r="K84" s="1037">
        <f t="shared" si="1"/>
        <v>4</v>
      </c>
    </row>
    <row r="85" spans="1:11" ht="12.75">
      <c r="A85" s="1054">
        <v>136525</v>
      </c>
      <c r="B85" s="1055" t="s">
        <v>893</v>
      </c>
      <c r="C85" s="1055" t="s">
        <v>926</v>
      </c>
      <c r="D85" s="1055" t="s">
        <v>893</v>
      </c>
      <c r="E85" s="1055" t="s">
        <v>893</v>
      </c>
      <c r="F85" s="1056">
        <v>0</v>
      </c>
      <c r="G85" s="1056">
        <v>0</v>
      </c>
      <c r="H85" s="1056">
        <v>0</v>
      </c>
      <c r="I85" s="1056">
        <v>0</v>
      </c>
      <c r="K85" s="1037">
        <f t="shared" si="1"/>
        <v>6</v>
      </c>
    </row>
    <row r="86" spans="1:11" ht="12.75">
      <c r="A86" s="1054">
        <v>13652501</v>
      </c>
      <c r="B86" s="1055" t="s">
        <v>893</v>
      </c>
      <c r="C86" s="1055" t="s">
        <v>927</v>
      </c>
      <c r="D86" s="1055" t="s">
        <v>893</v>
      </c>
      <c r="E86" s="1055" t="s">
        <v>893</v>
      </c>
      <c r="F86" s="1056">
        <v>0</v>
      </c>
      <c r="G86" s="1056">
        <v>0</v>
      </c>
      <c r="H86" s="1056">
        <v>0</v>
      </c>
      <c r="I86" s="1056">
        <v>0</v>
      </c>
      <c r="K86" s="1037">
        <f t="shared" si="1"/>
        <v>8</v>
      </c>
    </row>
    <row r="87" spans="1:11" ht="12.75">
      <c r="A87" s="1054">
        <v>136595</v>
      </c>
      <c r="B87" s="1055" t="s">
        <v>893</v>
      </c>
      <c r="C87" s="1055" t="s">
        <v>323</v>
      </c>
      <c r="D87" s="1055" t="s">
        <v>893</v>
      </c>
      <c r="E87" s="1055" t="s">
        <v>893</v>
      </c>
      <c r="F87" s="1056">
        <v>557</v>
      </c>
      <c r="G87" s="1056">
        <v>536</v>
      </c>
      <c r="H87" s="1056">
        <v>730</v>
      </c>
      <c r="I87" s="1056">
        <v>363</v>
      </c>
      <c r="K87" s="1037">
        <f t="shared" si="1"/>
        <v>6</v>
      </c>
    </row>
    <row r="88" spans="1:11" ht="12.75">
      <c r="A88" s="1054">
        <v>13659501</v>
      </c>
      <c r="B88" s="1055" t="s">
        <v>893</v>
      </c>
      <c r="C88" s="1055" t="s">
        <v>509</v>
      </c>
      <c r="D88" s="1055" t="s">
        <v>893</v>
      </c>
      <c r="E88" s="1055" t="s">
        <v>893</v>
      </c>
      <c r="F88" s="1056">
        <v>557</v>
      </c>
      <c r="G88" s="1056">
        <v>536</v>
      </c>
      <c r="H88" s="1056">
        <v>730</v>
      </c>
      <c r="I88" s="1056">
        <v>363</v>
      </c>
      <c r="K88" s="1037">
        <f t="shared" si="1"/>
        <v>8</v>
      </c>
    </row>
    <row r="89" spans="1:11" ht="12.75">
      <c r="A89" s="1054">
        <v>13659501</v>
      </c>
      <c r="B89" s="1055" t="s">
        <v>893</v>
      </c>
      <c r="C89" s="1055" t="s">
        <v>509</v>
      </c>
      <c r="D89" s="1055" t="s">
        <v>1298</v>
      </c>
      <c r="E89" s="1055" t="s">
        <v>987</v>
      </c>
      <c r="F89" s="1056">
        <v>5</v>
      </c>
      <c r="G89" s="1056">
        <v>7</v>
      </c>
      <c r="H89" s="1056">
        <v>0</v>
      </c>
      <c r="I89" s="1056">
        <v>12</v>
      </c>
      <c r="K89" s="1037">
        <f t="shared" si="1"/>
        <v>8</v>
      </c>
    </row>
    <row r="90" spans="1:11" ht="12.75">
      <c r="A90" s="1054">
        <v>13659501</v>
      </c>
      <c r="B90" s="1055" t="s">
        <v>893</v>
      </c>
      <c r="C90" s="1055" t="s">
        <v>509</v>
      </c>
      <c r="D90" s="1055" t="s">
        <v>1270</v>
      </c>
      <c r="E90" s="1055" t="s">
        <v>988</v>
      </c>
      <c r="F90" s="1056">
        <v>11</v>
      </c>
      <c r="G90" s="1056">
        <v>88</v>
      </c>
      <c r="H90" s="1056">
        <v>100</v>
      </c>
      <c r="I90" s="1056">
        <v>-2</v>
      </c>
      <c r="K90" s="1037">
        <f t="shared" si="1"/>
        <v>8</v>
      </c>
    </row>
    <row r="91" spans="1:11" ht="12.75">
      <c r="A91" s="1054">
        <v>13659501</v>
      </c>
      <c r="B91" s="1055" t="s">
        <v>893</v>
      </c>
      <c r="C91" s="1055" t="s">
        <v>509</v>
      </c>
      <c r="D91" s="1055" t="s">
        <v>1271</v>
      </c>
      <c r="E91" s="1055" t="s">
        <v>782</v>
      </c>
      <c r="F91" s="1056">
        <v>9</v>
      </c>
      <c r="G91" s="1056">
        <v>37</v>
      </c>
      <c r="H91" s="1056">
        <v>27</v>
      </c>
      <c r="I91" s="1056">
        <v>19</v>
      </c>
      <c r="K91" s="1037">
        <f t="shared" si="1"/>
        <v>8</v>
      </c>
    </row>
    <row r="92" spans="1:11" ht="12.75">
      <c r="A92" s="1054">
        <v>13659501</v>
      </c>
      <c r="B92" s="1055" t="s">
        <v>893</v>
      </c>
      <c r="C92" s="1055" t="s">
        <v>509</v>
      </c>
      <c r="D92" s="1055" t="s">
        <v>1547</v>
      </c>
      <c r="E92" s="1055" t="s">
        <v>1548</v>
      </c>
      <c r="F92" s="1056">
        <v>0</v>
      </c>
      <c r="G92" s="1056">
        <v>0</v>
      </c>
      <c r="H92" s="1056">
        <v>0</v>
      </c>
      <c r="I92" s="1056">
        <v>0</v>
      </c>
      <c r="K92" s="1037">
        <f t="shared" si="1"/>
        <v>8</v>
      </c>
    </row>
    <row r="93" spans="1:11" ht="12.75">
      <c r="A93" s="1054">
        <v>13659501</v>
      </c>
      <c r="B93" s="1055" t="s">
        <v>893</v>
      </c>
      <c r="C93" s="1055" t="s">
        <v>509</v>
      </c>
      <c r="D93" s="1055" t="s">
        <v>1304</v>
      </c>
      <c r="E93" s="1055" t="s">
        <v>1819</v>
      </c>
      <c r="F93" s="1056">
        <v>89</v>
      </c>
      <c r="G93" s="1056">
        <v>202</v>
      </c>
      <c r="H93" s="1056">
        <v>286</v>
      </c>
      <c r="I93" s="1056">
        <v>4</v>
      </c>
      <c r="K93" s="1037">
        <f t="shared" si="1"/>
        <v>8</v>
      </c>
    </row>
    <row r="94" spans="1:11" ht="12.75">
      <c r="A94" s="1054">
        <v>13659501</v>
      </c>
      <c r="B94" s="1055" t="s">
        <v>893</v>
      </c>
      <c r="C94" s="1055" t="s">
        <v>509</v>
      </c>
      <c r="D94" s="1055" t="s">
        <v>1274</v>
      </c>
      <c r="E94" s="1055" t="s">
        <v>989</v>
      </c>
      <c r="F94" s="1056">
        <v>201</v>
      </c>
      <c r="G94" s="1056">
        <v>33</v>
      </c>
      <c r="H94" s="1056">
        <v>112</v>
      </c>
      <c r="I94" s="1056">
        <v>122</v>
      </c>
      <c r="K94" s="1037">
        <f t="shared" si="1"/>
        <v>8</v>
      </c>
    </row>
    <row r="95" spans="1:11" ht="12.75">
      <c r="A95" s="1054">
        <v>13659501</v>
      </c>
      <c r="B95" s="1055" t="s">
        <v>893</v>
      </c>
      <c r="C95" s="1055" t="s">
        <v>509</v>
      </c>
      <c r="D95" s="1055" t="s">
        <v>1249</v>
      </c>
      <c r="E95" s="1055" t="s">
        <v>583</v>
      </c>
      <c r="F95" s="1056">
        <v>211</v>
      </c>
      <c r="G95" s="1056">
        <v>113</v>
      </c>
      <c r="H95" s="1056">
        <v>159</v>
      </c>
      <c r="I95" s="1056">
        <v>165</v>
      </c>
      <c r="K95" s="1037">
        <f t="shared" si="1"/>
        <v>8</v>
      </c>
    </row>
    <row r="96" spans="1:11" ht="12.75">
      <c r="A96" s="1054">
        <v>13659501</v>
      </c>
      <c r="B96" s="1055" t="s">
        <v>893</v>
      </c>
      <c r="C96" s="1055" t="s">
        <v>509</v>
      </c>
      <c r="D96" s="1055" t="s">
        <v>1275</v>
      </c>
      <c r="E96" s="1055" t="s">
        <v>991</v>
      </c>
      <c r="F96" s="1056">
        <v>31</v>
      </c>
      <c r="G96" s="1056">
        <v>56</v>
      </c>
      <c r="H96" s="1056">
        <v>45</v>
      </c>
      <c r="I96" s="1056">
        <v>41</v>
      </c>
      <c r="K96" s="1037">
        <f t="shared" si="1"/>
        <v>8</v>
      </c>
    </row>
    <row r="97" spans="1:11" ht="12.75">
      <c r="A97" s="1054">
        <v>13659502</v>
      </c>
      <c r="B97" s="1055" t="s">
        <v>893</v>
      </c>
      <c r="C97" s="1055" t="s">
        <v>1003</v>
      </c>
      <c r="D97" s="1055" t="s">
        <v>893</v>
      </c>
      <c r="E97" s="1055" t="s">
        <v>893</v>
      </c>
      <c r="F97" s="1056">
        <v>0</v>
      </c>
      <c r="G97" s="1056">
        <v>0</v>
      </c>
      <c r="H97" s="1056">
        <v>0</v>
      </c>
      <c r="I97" s="1056">
        <v>0</v>
      </c>
      <c r="K97" s="1037">
        <f t="shared" si="1"/>
        <v>8</v>
      </c>
    </row>
    <row r="98" spans="1:11" ht="12.75">
      <c r="A98" s="1054">
        <v>1380</v>
      </c>
      <c r="B98" s="1055" t="s">
        <v>893</v>
      </c>
      <c r="C98" s="1055" t="s">
        <v>107</v>
      </c>
      <c r="D98" s="1055" t="s">
        <v>893</v>
      </c>
      <c r="E98" s="1055" t="s">
        <v>893</v>
      </c>
      <c r="F98" s="1056">
        <v>52931</v>
      </c>
      <c r="G98" s="1056">
        <v>50000</v>
      </c>
      <c r="H98" s="1056">
        <v>15000</v>
      </c>
      <c r="I98" s="1056">
        <v>87931</v>
      </c>
      <c r="K98" s="1037">
        <f t="shared" si="1"/>
        <v>4</v>
      </c>
    </row>
    <row r="99" spans="1:11" ht="12.75">
      <c r="A99" s="1054">
        <v>138095</v>
      </c>
      <c r="B99" s="1055" t="s">
        <v>893</v>
      </c>
      <c r="C99" s="1055" t="s">
        <v>324</v>
      </c>
      <c r="D99" s="1055" t="s">
        <v>893</v>
      </c>
      <c r="E99" s="1055" t="s">
        <v>893</v>
      </c>
      <c r="F99" s="1056">
        <v>52931</v>
      </c>
      <c r="G99" s="1056">
        <v>50000</v>
      </c>
      <c r="H99" s="1056">
        <v>15000</v>
      </c>
      <c r="I99" s="1056">
        <v>87931</v>
      </c>
      <c r="K99" s="1037">
        <f t="shared" si="1"/>
        <v>6</v>
      </c>
    </row>
    <row r="100" spans="1:11" ht="12.75">
      <c r="A100" s="1054">
        <v>13809501</v>
      </c>
      <c r="B100" s="1055" t="s">
        <v>1489</v>
      </c>
      <c r="C100" s="1055" t="s">
        <v>832</v>
      </c>
      <c r="D100" s="1055" t="s">
        <v>893</v>
      </c>
      <c r="E100" s="1055" t="s">
        <v>893</v>
      </c>
      <c r="F100" s="1056">
        <v>43573</v>
      </c>
      <c r="G100" s="1056">
        <v>0</v>
      </c>
      <c r="H100" s="1056">
        <v>0</v>
      </c>
      <c r="I100" s="1056">
        <v>43573</v>
      </c>
      <c r="K100" s="1037">
        <f t="shared" si="1"/>
        <v>8</v>
      </c>
    </row>
    <row r="101" spans="1:11" ht="12.75">
      <c r="A101" s="1054">
        <v>13809501</v>
      </c>
      <c r="B101" s="1055" t="s">
        <v>1489</v>
      </c>
      <c r="C101" s="1055" t="s">
        <v>832</v>
      </c>
      <c r="D101" s="1055" t="s">
        <v>1040</v>
      </c>
      <c r="E101" s="1055" t="s">
        <v>406</v>
      </c>
      <c r="F101" s="1056">
        <v>30111</v>
      </c>
      <c r="G101" s="1056">
        <v>0</v>
      </c>
      <c r="H101" s="1056">
        <v>0</v>
      </c>
      <c r="I101" s="1056">
        <v>30111</v>
      </c>
      <c r="K101" s="1037">
        <f t="shared" si="1"/>
        <v>8</v>
      </c>
    </row>
    <row r="102" spans="1:11" ht="12.75">
      <c r="A102" s="1054">
        <v>13809501</v>
      </c>
      <c r="B102" s="1055" t="s">
        <v>1489</v>
      </c>
      <c r="C102" s="1055" t="s">
        <v>832</v>
      </c>
      <c r="D102" s="1055" t="s">
        <v>1041</v>
      </c>
      <c r="E102" s="1055" t="s">
        <v>661</v>
      </c>
      <c r="F102" s="1056">
        <v>13462</v>
      </c>
      <c r="G102" s="1056">
        <v>0</v>
      </c>
      <c r="H102" s="1056">
        <v>0</v>
      </c>
      <c r="I102" s="1056">
        <v>13462</v>
      </c>
      <c r="K102" s="1037">
        <f t="shared" si="1"/>
        <v>8</v>
      </c>
    </row>
    <row r="103" spans="1:11" ht="12.75">
      <c r="A103" s="1054">
        <v>13809502</v>
      </c>
      <c r="B103" s="1055" t="s">
        <v>1489</v>
      </c>
      <c r="C103" s="1055" t="s">
        <v>911</v>
      </c>
      <c r="D103" s="1055" t="s">
        <v>893</v>
      </c>
      <c r="E103" s="1055" t="s">
        <v>893</v>
      </c>
      <c r="F103" s="1056">
        <v>7916</v>
      </c>
      <c r="G103" s="1056">
        <v>0</v>
      </c>
      <c r="H103" s="1056">
        <v>0</v>
      </c>
      <c r="I103" s="1056">
        <v>7916</v>
      </c>
      <c r="K103" s="1037">
        <f t="shared" si="1"/>
        <v>8</v>
      </c>
    </row>
    <row r="104" spans="1:11" ht="12.75">
      <c r="A104" s="1054">
        <v>13809502</v>
      </c>
      <c r="B104" s="1055" t="s">
        <v>1489</v>
      </c>
      <c r="C104" s="1055" t="s">
        <v>911</v>
      </c>
      <c r="D104" s="1055" t="s">
        <v>1039</v>
      </c>
      <c r="E104" s="1055" t="s">
        <v>681</v>
      </c>
      <c r="F104" s="1056">
        <v>7916</v>
      </c>
      <c r="G104" s="1056">
        <v>0</v>
      </c>
      <c r="H104" s="1056">
        <v>0</v>
      </c>
      <c r="I104" s="1056">
        <v>7916</v>
      </c>
      <c r="K104" s="1037">
        <f t="shared" si="1"/>
        <v>8</v>
      </c>
    </row>
    <row r="105" spans="1:11" ht="12.75">
      <c r="A105" s="1054">
        <v>13809503</v>
      </c>
      <c r="B105" s="1055" t="s">
        <v>1489</v>
      </c>
      <c r="C105" s="1055" t="s">
        <v>697</v>
      </c>
      <c r="D105" s="1055" t="s">
        <v>893</v>
      </c>
      <c r="E105" s="1055" t="s">
        <v>893</v>
      </c>
      <c r="F105" s="1056">
        <v>0</v>
      </c>
      <c r="G105" s="1056">
        <v>0</v>
      </c>
      <c r="H105" s="1056">
        <v>0</v>
      </c>
      <c r="I105" s="1056">
        <v>0</v>
      </c>
      <c r="K105" s="1037">
        <f t="shared" si="1"/>
        <v>8</v>
      </c>
    </row>
    <row r="106" spans="1:11" ht="12.75">
      <c r="A106" s="1054">
        <v>13809505</v>
      </c>
      <c r="B106" s="1055" t="s">
        <v>893</v>
      </c>
      <c r="C106" s="1055" t="s">
        <v>1607</v>
      </c>
      <c r="D106" s="1055" t="s">
        <v>893</v>
      </c>
      <c r="E106" s="1055" t="s">
        <v>893</v>
      </c>
      <c r="F106" s="1056">
        <v>672</v>
      </c>
      <c r="G106" s="1056">
        <v>0</v>
      </c>
      <c r="H106" s="1056">
        <v>0</v>
      </c>
      <c r="I106" s="1056">
        <v>672</v>
      </c>
      <c r="K106" s="1037">
        <f t="shared" si="1"/>
        <v>8</v>
      </c>
    </row>
    <row r="107" spans="1:11" ht="12.75">
      <c r="A107" s="1054">
        <v>13809505</v>
      </c>
      <c r="B107" s="1055" t="s">
        <v>893</v>
      </c>
      <c r="C107" s="1055" t="s">
        <v>1607</v>
      </c>
      <c r="D107" s="1055" t="s">
        <v>1074</v>
      </c>
      <c r="E107" s="1055" t="s">
        <v>257</v>
      </c>
      <c r="F107" s="1056">
        <v>672</v>
      </c>
      <c r="G107" s="1056">
        <v>0</v>
      </c>
      <c r="H107" s="1056">
        <v>0</v>
      </c>
      <c r="I107" s="1056">
        <v>672</v>
      </c>
      <c r="K107" s="1037">
        <f t="shared" si="1"/>
        <v>8</v>
      </c>
    </row>
    <row r="108" spans="1:11" ht="12.75">
      <c r="A108" s="1054">
        <v>13809520</v>
      </c>
      <c r="B108" s="1055" t="s">
        <v>893</v>
      </c>
      <c r="C108" s="1055" t="s">
        <v>698</v>
      </c>
      <c r="D108" s="1055" t="s">
        <v>893</v>
      </c>
      <c r="E108" s="1055" t="s">
        <v>893</v>
      </c>
      <c r="F108" s="1056">
        <v>0</v>
      </c>
      <c r="G108" s="1056">
        <v>50000</v>
      </c>
      <c r="H108" s="1056">
        <v>15000</v>
      </c>
      <c r="I108" s="1056">
        <v>35000</v>
      </c>
      <c r="K108" s="1037">
        <f t="shared" si="1"/>
        <v>8</v>
      </c>
    </row>
    <row r="109" spans="1:11" ht="12.75">
      <c r="A109" s="1054">
        <v>13809520</v>
      </c>
      <c r="B109" s="1055" t="s">
        <v>893</v>
      </c>
      <c r="C109" s="1055" t="s">
        <v>698</v>
      </c>
      <c r="D109" s="1055" t="s">
        <v>1083</v>
      </c>
      <c r="E109" s="1055" t="s">
        <v>256</v>
      </c>
      <c r="F109" s="1056">
        <v>0</v>
      </c>
      <c r="G109" s="1056">
        <v>15000</v>
      </c>
      <c r="H109" s="1056">
        <v>15000</v>
      </c>
      <c r="I109" s="1056">
        <v>0</v>
      </c>
      <c r="K109" s="1037">
        <f t="shared" si="1"/>
        <v>8</v>
      </c>
    </row>
    <row r="110" spans="1:11" ht="12.75">
      <c r="A110" s="1054">
        <v>13809520</v>
      </c>
      <c r="B110" s="1055" t="s">
        <v>893</v>
      </c>
      <c r="C110" s="1055" t="s">
        <v>698</v>
      </c>
      <c r="D110" s="1055" t="s">
        <v>1041</v>
      </c>
      <c r="E110" s="1055" t="s">
        <v>661</v>
      </c>
      <c r="F110" s="1056">
        <v>0</v>
      </c>
      <c r="G110" s="1056">
        <v>35000</v>
      </c>
      <c r="H110" s="1056">
        <v>0</v>
      </c>
      <c r="I110" s="1056">
        <v>35000</v>
      </c>
      <c r="K110" s="1037">
        <f t="shared" si="1"/>
        <v>8</v>
      </c>
    </row>
    <row r="111" spans="1:11" ht="12.75">
      <c r="A111" s="1054">
        <v>13809521</v>
      </c>
      <c r="B111" s="1055" t="s">
        <v>1489</v>
      </c>
      <c r="C111" s="1055" t="s">
        <v>699</v>
      </c>
      <c r="D111" s="1055" t="s">
        <v>893</v>
      </c>
      <c r="E111" s="1055" t="s">
        <v>893</v>
      </c>
      <c r="F111" s="1056">
        <v>587</v>
      </c>
      <c r="G111" s="1056">
        <v>0</v>
      </c>
      <c r="H111" s="1056">
        <v>0</v>
      </c>
      <c r="I111" s="1056">
        <v>587</v>
      </c>
      <c r="K111" s="1037">
        <f t="shared" si="1"/>
        <v>8</v>
      </c>
    </row>
    <row r="112" spans="1:11" ht="12.75">
      <c r="A112" s="1054">
        <v>13809521</v>
      </c>
      <c r="B112" s="1055" t="s">
        <v>1489</v>
      </c>
      <c r="C112" s="1055" t="s">
        <v>699</v>
      </c>
      <c r="D112" s="1055" t="s">
        <v>1066</v>
      </c>
      <c r="E112" s="1055" t="s">
        <v>662</v>
      </c>
      <c r="F112" s="1056">
        <v>587</v>
      </c>
      <c r="G112" s="1056">
        <v>0</v>
      </c>
      <c r="H112" s="1056">
        <v>0</v>
      </c>
      <c r="I112" s="1056">
        <v>587</v>
      </c>
      <c r="K112" s="1037">
        <f t="shared" si="1"/>
        <v>8</v>
      </c>
    </row>
    <row r="113" spans="1:11" ht="12.75">
      <c r="A113" s="1054">
        <v>13809530</v>
      </c>
      <c r="B113" s="1055" t="s">
        <v>893</v>
      </c>
      <c r="C113" s="1055" t="s">
        <v>1490</v>
      </c>
      <c r="D113" s="1055" t="s">
        <v>893</v>
      </c>
      <c r="E113" s="1055" t="s">
        <v>893</v>
      </c>
      <c r="F113" s="1056">
        <v>183</v>
      </c>
      <c r="G113" s="1056">
        <v>0</v>
      </c>
      <c r="H113" s="1056">
        <v>0</v>
      </c>
      <c r="I113" s="1056">
        <v>183</v>
      </c>
      <c r="K113" s="1037">
        <f t="shared" si="1"/>
        <v>8</v>
      </c>
    </row>
    <row r="114" spans="1:11" ht="12.75">
      <c r="A114" s="1054">
        <v>13809530</v>
      </c>
      <c r="B114" s="1055" t="s">
        <v>893</v>
      </c>
      <c r="C114" s="1055" t="s">
        <v>1490</v>
      </c>
      <c r="D114" s="1055" t="s">
        <v>1168</v>
      </c>
      <c r="E114" s="1055" t="s">
        <v>1169</v>
      </c>
      <c r="F114" s="1056">
        <v>183</v>
      </c>
      <c r="G114" s="1056">
        <v>0</v>
      </c>
      <c r="H114" s="1056">
        <v>0</v>
      </c>
      <c r="I114" s="1056">
        <v>183</v>
      </c>
      <c r="K114" s="1037">
        <f t="shared" si="1"/>
        <v>8</v>
      </c>
    </row>
    <row r="115" spans="1:11" ht="12.75">
      <c r="A115" s="1054">
        <v>14</v>
      </c>
      <c r="B115" s="1055" t="s">
        <v>893</v>
      </c>
      <c r="C115" s="1055" t="s">
        <v>108</v>
      </c>
      <c r="D115" s="1055" t="s">
        <v>893</v>
      </c>
      <c r="E115" s="1055" t="s">
        <v>893</v>
      </c>
      <c r="F115" s="1056">
        <v>75000</v>
      </c>
      <c r="G115" s="1056">
        <v>203484</v>
      </c>
      <c r="H115" s="1056">
        <v>200235</v>
      </c>
      <c r="I115" s="1056">
        <v>78249</v>
      </c>
      <c r="K115" s="1037">
        <f t="shared" si="1"/>
        <v>2</v>
      </c>
    </row>
    <row r="116" spans="1:11" ht="12.75">
      <c r="A116" s="1054">
        <v>1435</v>
      </c>
      <c r="B116" s="1055" t="s">
        <v>893</v>
      </c>
      <c r="C116" s="1055" t="s">
        <v>475</v>
      </c>
      <c r="D116" s="1055" t="s">
        <v>893</v>
      </c>
      <c r="E116" s="1055" t="s">
        <v>893</v>
      </c>
      <c r="F116" s="1056">
        <v>75000</v>
      </c>
      <c r="G116" s="1056">
        <v>203484</v>
      </c>
      <c r="H116" s="1056">
        <v>200235</v>
      </c>
      <c r="I116" s="1056">
        <v>78249</v>
      </c>
      <c r="K116" s="1037">
        <f t="shared" si="1"/>
        <v>4</v>
      </c>
    </row>
    <row r="117" spans="1:11" ht="12.75">
      <c r="A117" s="1054">
        <v>143501</v>
      </c>
      <c r="B117" s="1055" t="s">
        <v>1489</v>
      </c>
      <c r="C117" s="1055" t="s">
        <v>1509</v>
      </c>
      <c r="D117" s="1055" t="s">
        <v>893</v>
      </c>
      <c r="E117" s="1055" t="s">
        <v>893</v>
      </c>
      <c r="F117" s="1056">
        <v>78032</v>
      </c>
      <c r="G117" s="1056">
        <v>0</v>
      </c>
      <c r="H117" s="1056">
        <v>0</v>
      </c>
      <c r="I117" s="1056">
        <v>78032</v>
      </c>
      <c r="K117" s="1037">
        <f t="shared" si="1"/>
        <v>6</v>
      </c>
    </row>
    <row r="118" spans="1:11" ht="12.75">
      <c r="A118" s="1054">
        <v>143501</v>
      </c>
      <c r="B118" s="1055" t="s">
        <v>1489</v>
      </c>
      <c r="C118" s="1055" t="s">
        <v>1509</v>
      </c>
      <c r="D118" s="1055" t="s">
        <v>1067</v>
      </c>
      <c r="E118" s="1055" t="s">
        <v>1068</v>
      </c>
      <c r="F118" s="1056">
        <v>78032</v>
      </c>
      <c r="G118" s="1056">
        <v>0</v>
      </c>
      <c r="H118" s="1056">
        <v>0</v>
      </c>
      <c r="I118" s="1056">
        <v>78032</v>
      </c>
      <c r="K118" s="1037">
        <f t="shared" si="1"/>
        <v>6</v>
      </c>
    </row>
    <row r="119" spans="1:11" ht="12.75">
      <c r="A119" s="1054">
        <v>143505</v>
      </c>
      <c r="B119" s="1055" t="s">
        <v>893</v>
      </c>
      <c r="C119" s="1055" t="s">
        <v>511</v>
      </c>
      <c r="D119" s="1055" t="s">
        <v>893</v>
      </c>
      <c r="E119" s="1055" t="s">
        <v>893</v>
      </c>
      <c r="F119" s="1056">
        <v>1030378</v>
      </c>
      <c r="G119" s="1056">
        <v>194796</v>
      </c>
      <c r="H119" s="1056">
        <v>0</v>
      </c>
      <c r="I119" s="1056">
        <v>1225175</v>
      </c>
      <c r="K119" s="1037">
        <f t="shared" si="1"/>
        <v>6</v>
      </c>
    </row>
    <row r="120" spans="1:11" ht="12.75">
      <c r="A120" s="1054">
        <v>14350501</v>
      </c>
      <c r="B120" s="1055" t="s">
        <v>893</v>
      </c>
      <c r="C120" s="1055" t="s">
        <v>511</v>
      </c>
      <c r="D120" s="1055" t="s">
        <v>893</v>
      </c>
      <c r="E120" s="1055" t="s">
        <v>893</v>
      </c>
      <c r="F120" s="1056">
        <v>715070</v>
      </c>
      <c r="G120" s="1056">
        <v>131925</v>
      </c>
      <c r="H120" s="1056">
        <v>0</v>
      </c>
      <c r="I120" s="1056">
        <v>846995</v>
      </c>
      <c r="K120" s="1037">
        <f t="shared" si="1"/>
        <v>8</v>
      </c>
    </row>
    <row r="121" spans="1:11" ht="12.75">
      <c r="A121" s="1054">
        <v>14350501</v>
      </c>
      <c r="B121" s="1055" t="s">
        <v>893</v>
      </c>
      <c r="C121" s="1055" t="s">
        <v>511</v>
      </c>
      <c r="D121" s="1055" t="s">
        <v>1549</v>
      </c>
      <c r="E121" s="1055" t="s">
        <v>1550</v>
      </c>
      <c r="F121" s="1056">
        <v>1</v>
      </c>
      <c r="G121" s="1056">
        <v>0</v>
      </c>
      <c r="H121" s="1056">
        <v>0</v>
      </c>
      <c r="I121" s="1056">
        <v>1</v>
      </c>
      <c r="K121" s="1037">
        <f t="shared" si="1"/>
        <v>8</v>
      </c>
    </row>
    <row r="122" spans="1:11" ht="12.75">
      <c r="A122" s="1054">
        <v>14350501</v>
      </c>
      <c r="B122" s="1055" t="s">
        <v>893</v>
      </c>
      <c r="C122" s="1055" t="s">
        <v>511</v>
      </c>
      <c r="D122" s="1055" t="s">
        <v>1069</v>
      </c>
      <c r="E122" s="1055" t="s">
        <v>1070</v>
      </c>
      <c r="F122" s="1056">
        <v>102</v>
      </c>
      <c r="G122" s="1056">
        <v>21</v>
      </c>
      <c r="H122" s="1056">
        <v>0</v>
      </c>
      <c r="I122" s="1056">
        <v>123</v>
      </c>
      <c r="K122" s="1037">
        <f t="shared" si="1"/>
        <v>8</v>
      </c>
    </row>
    <row r="123" spans="1:11" ht="12.75">
      <c r="A123" s="1054">
        <v>14350501</v>
      </c>
      <c r="B123" s="1055" t="s">
        <v>893</v>
      </c>
      <c r="C123" s="1055" t="s">
        <v>511</v>
      </c>
      <c r="D123" s="1055" t="s">
        <v>1071</v>
      </c>
      <c r="E123" s="1055" t="s">
        <v>700</v>
      </c>
      <c r="F123" s="1056">
        <v>20255</v>
      </c>
      <c r="G123" s="1056">
        <v>3649</v>
      </c>
      <c r="H123" s="1056">
        <v>0</v>
      </c>
      <c r="I123" s="1056">
        <v>23905</v>
      </c>
      <c r="K123" s="1037">
        <f t="shared" si="1"/>
        <v>8</v>
      </c>
    </row>
    <row r="124" spans="1:11" ht="12.75">
      <c r="A124" s="1054">
        <v>14350501</v>
      </c>
      <c r="B124" s="1055" t="s">
        <v>893</v>
      </c>
      <c r="C124" s="1055" t="s">
        <v>511</v>
      </c>
      <c r="D124" s="1055" t="s">
        <v>1072</v>
      </c>
      <c r="E124" s="1055" t="s">
        <v>512</v>
      </c>
      <c r="F124" s="1056">
        <v>5880</v>
      </c>
      <c r="G124" s="1056">
        <v>921</v>
      </c>
      <c r="H124" s="1056">
        <v>0</v>
      </c>
      <c r="I124" s="1056">
        <v>6801</v>
      </c>
      <c r="K124" s="1037">
        <f t="shared" si="1"/>
        <v>8</v>
      </c>
    </row>
    <row r="125" spans="1:11" ht="12.75">
      <c r="A125" s="1054">
        <v>14350501</v>
      </c>
      <c r="B125" s="1055" t="s">
        <v>893</v>
      </c>
      <c r="C125" s="1055" t="s">
        <v>511</v>
      </c>
      <c r="D125" s="1055" t="s">
        <v>1551</v>
      </c>
      <c r="E125" s="1055" t="s">
        <v>1552</v>
      </c>
      <c r="F125" s="1056">
        <v>8901</v>
      </c>
      <c r="G125" s="1056">
        <v>1932</v>
      </c>
      <c r="H125" s="1056">
        <v>0</v>
      </c>
      <c r="I125" s="1056">
        <v>10833</v>
      </c>
      <c r="K125" s="1037">
        <f t="shared" si="1"/>
        <v>8</v>
      </c>
    </row>
    <row r="126" spans="1:11" ht="12.75">
      <c r="A126" s="1054">
        <v>14350501</v>
      </c>
      <c r="B126" s="1055" t="s">
        <v>893</v>
      </c>
      <c r="C126" s="1055" t="s">
        <v>511</v>
      </c>
      <c r="D126" s="1055" t="s">
        <v>1034</v>
      </c>
      <c r="E126" s="1055" t="s">
        <v>504</v>
      </c>
      <c r="F126" s="1056">
        <v>541072</v>
      </c>
      <c r="G126" s="1056">
        <v>100021</v>
      </c>
      <c r="H126" s="1056">
        <v>0</v>
      </c>
      <c r="I126" s="1056">
        <v>641093</v>
      </c>
      <c r="K126" s="1037">
        <f t="shared" si="1"/>
        <v>8</v>
      </c>
    </row>
    <row r="127" spans="1:11" ht="12.75">
      <c r="A127" s="1054">
        <v>14350501</v>
      </c>
      <c r="B127" s="1055" t="s">
        <v>893</v>
      </c>
      <c r="C127" s="1055" t="s">
        <v>511</v>
      </c>
      <c r="D127" s="1055" t="s">
        <v>1073</v>
      </c>
      <c r="E127" s="1055" t="s">
        <v>701</v>
      </c>
      <c r="F127" s="1056">
        <v>3546</v>
      </c>
      <c r="G127" s="1056">
        <v>0</v>
      </c>
      <c r="H127" s="1056">
        <v>0</v>
      </c>
      <c r="I127" s="1056">
        <v>3546</v>
      </c>
      <c r="K127" s="1037">
        <f t="shared" si="1"/>
        <v>8</v>
      </c>
    </row>
    <row r="128" spans="1:11" ht="12.75">
      <c r="A128" s="1054">
        <v>14350501</v>
      </c>
      <c r="B128" s="1055" t="s">
        <v>893</v>
      </c>
      <c r="C128" s="1055" t="s">
        <v>511</v>
      </c>
      <c r="D128" s="1055" t="s">
        <v>1348</v>
      </c>
      <c r="E128" s="1055" t="s">
        <v>1349</v>
      </c>
      <c r="F128" s="1056">
        <v>0</v>
      </c>
      <c r="G128" s="1056">
        <v>2</v>
      </c>
      <c r="H128" s="1056">
        <v>0</v>
      </c>
      <c r="I128" s="1056">
        <v>2</v>
      </c>
      <c r="K128" s="1037">
        <f t="shared" si="1"/>
        <v>8</v>
      </c>
    </row>
    <row r="129" spans="1:11" ht="12.75">
      <c r="A129" s="1054">
        <v>14350501</v>
      </c>
      <c r="B129" s="1055" t="s">
        <v>893</v>
      </c>
      <c r="C129" s="1055" t="s">
        <v>511</v>
      </c>
      <c r="D129" s="1055" t="s">
        <v>1074</v>
      </c>
      <c r="E129" s="1055" t="s">
        <v>257</v>
      </c>
      <c r="F129" s="1056">
        <v>129911</v>
      </c>
      <c r="G129" s="1056">
        <v>24445</v>
      </c>
      <c r="H129" s="1056">
        <v>0</v>
      </c>
      <c r="I129" s="1056">
        <v>154356</v>
      </c>
      <c r="K129" s="1037">
        <f t="shared" si="1"/>
        <v>8</v>
      </c>
    </row>
    <row r="130" spans="1:11" ht="12.75">
      <c r="A130" s="1054">
        <v>14350501</v>
      </c>
      <c r="B130" s="1055" t="s">
        <v>893</v>
      </c>
      <c r="C130" s="1055" t="s">
        <v>511</v>
      </c>
      <c r="D130" s="1055" t="s">
        <v>1075</v>
      </c>
      <c r="E130" s="1055" t="s">
        <v>325</v>
      </c>
      <c r="F130" s="1056">
        <v>335</v>
      </c>
      <c r="G130" s="1056">
        <v>0</v>
      </c>
      <c r="H130" s="1056">
        <v>0</v>
      </c>
      <c r="I130" s="1056">
        <v>335</v>
      </c>
      <c r="K130" s="1037">
        <f t="shared" si="1"/>
        <v>8</v>
      </c>
    </row>
    <row r="131" spans="1:11" ht="12.75">
      <c r="A131" s="1054">
        <v>14350501</v>
      </c>
      <c r="B131" s="1055" t="s">
        <v>893</v>
      </c>
      <c r="C131" s="1055" t="s">
        <v>511</v>
      </c>
      <c r="D131" s="1055" t="s">
        <v>1076</v>
      </c>
      <c r="E131" s="1055" t="s">
        <v>1027</v>
      </c>
      <c r="F131" s="1056">
        <v>1108</v>
      </c>
      <c r="G131" s="1056">
        <v>0</v>
      </c>
      <c r="H131" s="1056">
        <v>0</v>
      </c>
      <c r="I131" s="1056">
        <v>1108</v>
      </c>
      <c r="K131" s="1037">
        <f t="shared" si="1"/>
        <v>8</v>
      </c>
    </row>
    <row r="132" spans="1:11" ht="12.75">
      <c r="A132" s="1054">
        <v>14350501</v>
      </c>
      <c r="B132" s="1055" t="s">
        <v>893</v>
      </c>
      <c r="C132" s="1055" t="s">
        <v>511</v>
      </c>
      <c r="D132" s="1055" t="s">
        <v>1077</v>
      </c>
      <c r="E132" s="1055" t="s">
        <v>1078</v>
      </c>
      <c r="F132" s="1056">
        <v>1186</v>
      </c>
      <c r="G132" s="1056">
        <v>456</v>
      </c>
      <c r="H132" s="1056">
        <v>0</v>
      </c>
      <c r="I132" s="1056">
        <v>1642</v>
      </c>
      <c r="K132" s="1037">
        <f t="shared" si="1"/>
        <v>8</v>
      </c>
    </row>
    <row r="133" spans="1:11" ht="12.75">
      <c r="A133" s="1054">
        <v>14350501</v>
      </c>
      <c r="B133" s="1055" t="s">
        <v>893</v>
      </c>
      <c r="C133" s="1055" t="s">
        <v>511</v>
      </c>
      <c r="D133" s="1055" t="s">
        <v>1062</v>
      </c>
      <c r="E133" s="1055" t="s">
        <v>510</v>
      </c>
      <c r="F133" s="1056">
        <v>166</v>
      </c>
      <c r="G133" s="1056">
        <v>0</v>
      </c>
      <c r="H133" s="1056">
        <v>0</v>
      </c>
      <c r="I133" s="1056">
        <v>166</v>
      </c>
      <c r="K133" s="1037">
        <f t="shared" ref="K133:K196" si="2">+LEN(A133)</f>
        <v>8</v>
      </c>
    </row>
    <row r="134" spans="1:11" ht="12.75">
      <c r="A134" s="1054">
        <v>14350501</v>
      </c>
      <c r="B134" s="1055" t="s">
        <v>893</v>
      </c>
      <c r="C134" s="1055" t="s">
        <v>511</v>
      </c>
      <c r="D134" s="1055" t="s">
        <v>1413</v>
      </c>
      <c r="E134" s="1055" t="s">
        <v>1414</v>
      </c>
      <c r="F134" s="1056">
        <v>33</v>
      </c>
      <c r="G134" s="1056">
        <v>5</v>
      </c>
      <c r="H134" s="1056">
        <v>0</v>
      </c>
      <c r="I134" s="1056">
        <v>38</v>
      </c>
      <c r="K134" s="1037">
        <f t="shared" si="2"/>
        <v>8</v>
      </c>
    </row>
    <row r="135" spans="1:11" ht="12.75">
      <c r="A135" s="1054">
        <v>14350501</v>
      </c>
      <c r="B135" s="1055" t="s">
        <v>893</v>
      </c>
      <c r="C135" s="1055" t="s">
        <v>511</v>
      </c>
      <c r="D135" s="1055" t="s">
        <v>1307</v>
      </c>
      <c r="E135" s="1055" t="s">
        <v>992</v>
      </c>
      <c r="F135" s="1056">
        <v>2574</v>
      </c>
      <c r="G135" s="1056">
        <v>472</v>
      </c>
      <c r="H135" s="1056">
        <v>0</v>
      </c>
      <c r="I135" s="1056">
        <v>3047</v>
      </c>
      <c r="K135" s="1037">
        <f t="shared" si="2"/>
        <v>8</v>
      </c>
    </row>
    <row r="136" spans="1:11" ht="12.75">
      <c r="A136" s="1054">
        <v>14350502</v>
      </c>
      <c r="B136" s="1055" t="s">
        <v>893</v>
      </c>
      <c r="C136" s="1055" t="s">
        <v>513</v>
      </c>
      <c r="D136" s="1055" t="s">
        <v>893</v>
      </c>
      <c r="E136" s="1055" t="s">
        <v>893</v>
      </c>
      <c r="F136" s="1056">
        <v>138454</v>
      </c>
      <c r="G136" s="1056">
        <v>28933</v>
      </c>
      <c r="H136" s="1056">
        <v>0</v>
      </c>
      <c r="I136" s="1056">
        <v>167387</v>
      </c>
      <c r="K136" s="1037">
        <f t="shared" si="2"/>
        <v>8</v>
      </c>
    </row>
    <row r="137" spans="1:11" ht="12.75">
      <c r="A137" s="1054">
        <v>14350502</v>
      </c>
      <c r="B137" s="1055" t="s">
        <v>893</v>
      </c>
      <c r="C137" s="1055" t="s">
        <v>513</v>
      </c>
      <c r="D137" s="1055" t="s">
        <v>1034</v>
      </c>
      <c r="E137" s="1055" t="s">
        <v>504</v>
      </c>
      <c r="F137" s="1056">
        <v>138424</v>
      </c>
      <c r="G137" s="1056">
        <v>28933</v>
      </c>
      <c r="H137" s="1056">
        <v>0</v>
      </c>
      <c r="I137" s="1056">
        <v>167357</v>
      </c>
      <c r="K137" s="1037">
        <f t="shared" si="2"/>
        <v>8</v>
      </c>
    </row>
    <row r="138" spans="1:11" ht="12.75">
      <c r="A138" s="1054">
        <v>14350502</v>
      </c>
      <c r="B138" s="1055" t="s">
        <v>893</v>
      </c>
      <c r="C138" s="1055" t="s">
        <v>513</v>
      </c>
      <c r="D138" s="1055" t="s">
        <v>1077</v>
      </c>
      <c r="E138" s="1055" t="s">
        <v>1078</v>
      </c>
      <c r="F138" s="1056">
        <v>30</v>
      </c>
      <c r="G138" s="1056">
        <v>0</v>
      </c>
      <c r="H138" s="1056">
        <v>0</v>
      </c>
      <c r="I138" s="1056">
        <v>30</v>
      </c>
      <c r="K138" s="1037">
        <f t="shared" si="2"/>
        <v>8</v>
      </c>
    </row>
    <row r="139" spans="1:11" ht="12.75">
      <c r="A139" s="1054">
        <v>14350503</v>
      </c>
      <c r="B139" s="1055" t="s">
        <v>893</v>
      </c>
      <c r="C139" s="1055" t="s">
        <v>514</v>
      </c>
      <c r="D139" s="1055" t="s">
        <v>893</v>
      </c>
      <c r="E139" s="1055" t="s">
        <v>893</v>
      </c>
      <c r="F139" s="1056">
        <v>166798</v>
      </c>
      <c r="G139" s="1056">
        <v>31924</v>
      </c>
      <c r="H139" s="1056">
        <v>0</v>
      </c>
      <c r="I139" s="1056">
        <v>198721</v>
      </c>
      <c r="K139" s="1037">
        <f t="shared" si="2"/>
        <v>8</v>
      </c>
    </row>
    <row r="140" spans="1:11" ht="12.75">
      <c r="A140" s="1054">
        <v>14350503</v>
      </c>
      <c r="B140" s="1055" t="s">
        <v>893</v>
      </c>
      <c r="C140" s="1055" t="s">
        <v>514</v>
      </c>
      <c r="D140" s="1055" t="s">
        <v>1549</v>
      </c>
      <c r="E140" s="1055" t="s">
        <v>1550</v>
      </c>
      <c r="F140" s="1056">
        <v>1</v>
      </c>
      <c r="G140" s="1056">
        <v>0</v>
      </c>
      <c r="H140" s="1056">
        <v>0</v>
      </c>
      <c r="I140" s="1056">
        <v>1</v>
      </c>
      <c r="K140" s="1037">
        <f t="shared" si="2"/>
        <v>8</v>
      </c>
    </row>
    <row r="141" spans="1:11" ht="12.75">
      <c r="A141" s="1054">
        <v>14350503</v>
      </c>
      <c r="B141" s="1055" t="s">
        <v>893</v>
      </c>
      <c r="C141" s="1055" t="s">
        <v>514</v>
      </c>
      <c r="D141" s="1055" t="s">
        <v>1081</v>
      </c>
      <c r="E141" s="1055" t="s">
        <v>702</v>
      </c>
      <c r="F141" s="1056">
        <v>7620</v>
      </c>
      <c r="G141" s="1056">
        <v>1671</v>
      </c>
      <c r="H141" s="1056">
        <v>0</v>
      </c>
      <c r="I141" s="1056">
        <v>9291</v>
      </c>
      <c r="K141" s="1037">
        <f t="shared" si="2"/>
        <v>8</v>
      </c>
    </row>
    <row r="142" spans="1:11" ht="12.75">
      <c r="A142" s="1054">
        <v>14350503</v>
      </c>
      <c r="B142" s="1055" t="s">
        <v>893</v>
      </c>
      <c r="C142" s="1055" t="s">
        <v>514</v>
      </c>
      <c r="D142" s="1055" t="s">
        <v>1069</v>
      </c>
      <c r="E142" s="1055" t="s">
        <v>1070</v>
      </c>
      <c r="F142" s="1056">
        <v>1143</v>
      </c>
      <c r="G142" s="1056">
        <v>277</v>
      </c>
      <c r="H142" s="1056">
        <v>0</v>
      </c>
      <c r="I142" s="1056">
        <v>1420</v>
      </c>
      <c r="K142" s="1037">
        <f t="shared" si="2"/>
        <v>8</v>
      </c>
    </row>
    <row r="143" spans="1:11" ht="12.75">
      <c r="A143" s="1054">
        <v>14350503</v>
      </c>
      <c r="B143" s="1055" t="s">
        <v>893</v>
      </c>
      <c r="C143" s="1055" t="s">
        <v>514</v>
      </c>
      <c r="D143" s="1055" t="s">
        <v>1071</v>
      </c>
      <c r="E143" s="1055" t="s">
        <v>700</v>
      </c>
      <c r="F143" s="1056">
        <v>28588</v>
      </c>
      <c r="G143" s="1056">
        <v>6120</v>
      </c>
      <c r="H143" s="1056">
        <v>0</v>
      </c>
      <c r="I143" s="1056">
        <v>34707</v>
      </c>
      <c r="K143" s="1037">
        <f t="shared" si="2"/>
        <v>8</v>
      </c>
    </row>
    <row r="144" spans="1:11" ht="12.75">
      <c r="A144" s="1054">
        <v>14350503</v>
      </c>
      <c r="B144" s="1055" t="s">
        <v>893</v>
      </c>
      <c r="C144" s="1055" t="s">
        <v>514</v>
      </c>
      <c r="D144" s="1055" t="s">
        <v>1072</v>
      </c>
      <c r="E144" s="1055" t="s">
        <v>512</v>
      </c>
      <c r="F144" s="1056">
        <v>20491</v>
      </c>
      <c r="G144" s="1056">
        <v>4259</v>
      </c>
      <c r="H144" s="1056">
        <v>0</v>
      </c>
      <c r="I144" s="1056">
        <v>24750</v>
      </c>
      <c r="K144" s="1037">
        <f t="shared" si="2"/>
        <v>8</v>
      </c>
    </row>
    <row r="145" spans="1:11" ht="12.75">
      <c r="A145" s="1054">
        <v>14350503</v>
      </c>
      <c r="B145" s="1055" t="s">
        <v>893</v>
      </c>
      <c r="C145" s="1055" t="s">
        <v>514</v>
      </c>
      <c r="D145" s="1055" t="s">
        <v>1443</v>
      </c>
      <c r="E145" s="1055" t="s">
        <v>1444</v>
      </c>
      <c r="F145" s="1056">
        <v>52</v>
      </c>
      <c r="G145" s="1056">
        <v>0</v>
      </c>
      <c r="H145" s="1056">
        <v>0</v>
      </c>
      <c r="I145" s="1056">
        <v>52</v>
      </c>
      <c r="K145" s="1037">
        <f t="shared" si="2"/>
        <v>8</v>
      </c>
    </row>
    <row r="146" spans="1:11" ht="12.75">
      <c r="A146" s="1054">
        <v>14350503</v>
      </c>
      <c r="B146" s="1055" t="s">
        <v>893</v>
      </c>
      <c r="C146" s="1055" t="s">
        <v>514</v>
      </c>
      <c r="D146" s="1055" t="s">
        <v>1551</v>
      </c>
      <c r="E146" s="1055" t="s">
        <v>1552</v>
      </c>
      <c r="F146" s="1056">
        <v>29461</v>
      </c>
      <c r="G146" s="1056">
        <v>6311</v>
      </c>
      <c r="H146" s="1056">
        <v>0</v>
      </c>
      <c r="I146" s="1056">
        <v>35772</v>
      </c>
      <c r="K146" s="1037">
        <f t="shared" si="2"/>
        <v>8</v>
      </c>
    </row>
    <row r="147" spans="1:11" ht="12.75">
      <c r="A147" s="1054">
        <v>14350503</v>
      </c>
      <c r="B147" s="1055" t="s">
        <v>893</v>
      </c>
      <c r="C147" s="1055" t="s">
        <v>514</v>
      </c>
      <c r="D147" s="1055" t="s">
        <v>1034</v>
      </c>
      <c r="E147" s="1055" t="s">
        <v>504</v>
      </c>
      <c r="F147" s="1056">
        <v>68159</v>
      </c>
      <c r="G147" s="1056">
        <v>12317</v>
      </c>
      <c r="H147" s="1056">
        <v>0</v>
      </c>
      <c r="I147" s="1056">
        <v>80476</v>
      </c>
      <c r="K147" s="1037">
        <f t="shared" si="2"/>
        <v>8</v>
      </c>
    </row>
    <row r="148" spans="1:11" ht="12.75">
      <c r="A148" s="1054">
        <v>14350503</v>
      </c>
      <c r="B148" s="1055" t="s">
        <v>893</v>
      </c>
      <c r="C148" s="1055" t="s">
        <v>514</v>
      </c>
      <c r="D148" s="1055" t="s">
        <v>1073</v>
      </c>
      <c r="E148" s="1055" t="s">
        <v>701</v>
      </c>
      <c r="F148" s="1056">
        <v>6751</v>
      </c>
      <c r="G148" s="1056">
        <v>0</v>
      </c>
      <c r="H148" s="1056">
        <v>0</v>
      </c>
      <c r="I148" s="1056">
        <v>6751</v>
      </c>
      <c r="K148" s="1037">
        <f t="shared" si="2"/>
        <v>8</v>
      </c>
    </row>
    <row r="149" spans="1:11" ht="12.75">
      <c r="A149" s="1054">
        <v>14350503</v>
      </c>
      <c r="B149" s="1055" t="s">
        <v>893</v>
      </c>
      <c r="C149" s="1055" t="s">
        <v>514</v>
      </c>
      <c r="D149" s="1055" t="s">
        <v>1348</v>
      </c>
      <c r="E149" s="1055" t="s">
        <v>1349</v>
      </c>
      <c r="F149" s="1056">
        <v>0</v>
      </c>
      <c r="G149" s="1056">
        <v>12</v>
      </c>
      <c r="H149" s="1056">
        <v>0</v>
      </c>
      <c r="I149" s="1056">
        <v>12</v>
      </c>
      <c r="K149" s="1037">
        <f t="shared" si="2"/>
        <v>8</v>
      </c>
    </row>
    <row r="150" spans="1:11" ht="12.75">
      <c r="A150" s="1054">
        <v>14350503</v>
      </c>
      <c r="B150" s="1055" t="s">
        <v>893</v>
      </c>
      <c r="C150" s="1055" t="s">
        <v>514</v>
      </c>
      <c r="D150" s="1055" t="s">
        <v>1074</v>
      </c>
      <c r="E150" s="1055" t="s">
        <v>257</v>
      </c>
      <c r="F150" s="1056">
        <v>4151</v>
      </c>
      <c r="G150" s="1056">
        <v>734</v>
      </c>
      <c r="H150" s="1056">
        <v>0</v>
      </c>
      <c r="I150" s="1056">
        <v>4885</v>
      </c>
      <c r="K150" s="1037">
        <f t="shared" si="2"/>
        <v>8</v>
      </c>
    </row>
    <row r="151" spans="1:11" ht="12.75">
      <c r="A151" s="1054">
        <v>14350503</v>
      </c>
      <c r="B151" s="1055" t="s">
        <v>893</v>
      </c>
      <c r="C151" s="1055" t="s">
        <v>514</v>
      </c>
      <c r="D151" s="1055" t="s">
        <v>1075</v>
      </c>
      <c r="E151" s="1055" t="s">
        <v>325</v>
      </c>
      <c r="F151" s="1056">
        <v>117</v>
      </c>
      <c r="G151" s="1056">
        <v>0</v>
      </c>
      <c r="H151" s="1056">
        <v>0</v>
      </c>
      <c r="I151" s="1056">
        <v>117</v>
      </c>
      <c r="K151" s="1037">
        <f t="shared" si="2"/>
        <v>8</v>
      </c>
    </row>
    <row r="152" spans="1:11" ht="12.75">
      <c r="A152" s="1054">
        <v>14350503</v>
      </c>
      <c r="B152" s="1055" t="s">
        <v>893</v>
      </c>
      <c r="C152" s="1055" t="s">
        <v>514</v>
      </c>
      <c r="D152" s="1055" t="s">
        <v>1820</v>
      </c>
      <c r="E152" s="1055" t="s">
        <v>1821</v>
      </c>
      <c r="F152" s="1056">
        <v>15</v>
      </c>
      <c r="G152" s="1056">
        <v>35</v>
      </c>
      <c r="H152" s="1056">
        <v>0</v>
      </c>
      <c r="I152" s="1056">
        <v>50</v>
      </c>
      <c r="K152" s="1037">
        <f t="shared" si="2"/>
        <v>8</v>
      </c>
    </row>
    <row r="153" spans="1:11" ht="12.75">
      <c r="A153" s="1054">
        <v>14350503</v>
      </c>
      <c r="B153" s="1055" t="s">
        <v>893</v>
      </c>
      <c r="C153" s="1055" t="s">
        <v>514</v>
      </c>
      <c r="D153" s="1055" t="s">
        <v>1238</v>
      </c>
      <c r="E153" s="1055" t="s">
        <v>1239</v>
      </c>
      <c r="F153" s="1056">
        <v>0</v>
      </c>
      <c r="G153" s="1056">
        <v>32</v>
      </c>
      <c r="H153" s="1056">
        <v>0</v>
      </c>
      <c r="I153" s="1056">
        <v>32</v>
      </c>
      <c r="K153" s="1037">
        <f t="shared" si="2"/>
        <v>8</v>
      </c>
    </row>
    <row r="154" spans="1:11" ht="12.75">
      <c r="A154" s="1054">
        <v>14350503</v>
      </c>
      <c r="B154" s="1055" t="s">
        <v>893</v>
      </c>
      <c r="C154" s="1055" t="s">
        <v>514</v>
      </c>
      <c r="D154" s="1055" t="s">
        <v>1077</v>
      </c>
      <c r="E154" s="1055" t="s">
        <v>1078</v>
      </c>
      <c r="F154" s="1056">
        <v>114</v>
      </c>
      <c r="G154" s="1056">
        <v>48</v>
      </c>
      <c r="H154" s="1056">
        <v>0</v>
      </c>
      <c r="I154" s="1056">
        <v>162</v>
      </c>
      <c r="K154" s="1037">
        <f t="shared" si="2"/>
        <v>8</v>
      </c>
    </row>
    <row r="155" spans="1:11" ht="12.75">
      <c r="A155" s="1054">
        <v>14350503</v>
      </c>
      <c r="B155" s="1055" t="s">
        <v>893</v>
      </c>
      <c r="C155" s="1055" t="s">
        <v>514</v>
      </c>
      <c r="D155" s="1055" t="s">
        <v>1413</v>
      </c>
      <c r="E155" s="1055" t="s">
        <v>1414</v>
      </c>
      <c r="F155" s="1056">
        <v>106</v>
      </c>
      <c r="G155" s="1056">
        <v>108</v>
      </c>
      <c r="H155" s="1056">
        <v>0</v>
      </c>
      <c r="I155" s="1056">
        <v>215</v>
      </c>
      <c r="K155" s="1037">
        <f t="shared" si="2"/>
        <v>8</v>
      </c>
    </row>
    <row r="156" spans="1:11" ht="12.75">
      <c r="A156" s="1054">
        <v>14350503</v>
      </c>
      <c r="B156" s="1055" t="s">
        <v>893</v>
      </c>
      <c r="C156" s="1055" t="s">
        <v>514</v>
      </c>
      <c r="D156" s="1055" t="s">
        <v>1307</v>
      </c>
      <c r="E156" s="1055" t="s">
        <v>992</v>
      </c>
      <c r="F156" s="1056">
        <v>29</v>
      </c>
      <c r="G156" s="1056">
        <v>0</v>
      </c>
      <c r="H156" s="1056">
        <v>0</v>
      </c>
      <c r="I156" s="1056">
        <v>29</v>
      </c>
      <c r="K156" s="1037">
        <f t="shared" si="2"/>
        <v>8</v>
      </c>
    </row>
    <row r="157" spans="1:11" ht="12.75">
      <c r="A157" s="1054">
        <v>14350505</v>
      </c>
      <c r="B157" s="1055" t="s">
        <v>1489</v>
      </c>
      <c r="C157" s="1055" t="s">
        <v>575</v>
      </c>
      <c r="D157" s="1055" t="s">
        <v>893</v>
      </c>
      <c r="E157" s="1055" t="s">
        <v>893</v>
      </c>
      <c r="F157" s="1056">
        <v>10057</v>
      </c>
      <c r="G157" s="1056">
        <v>2015</v>
      </c>
      <c r="H157" s="1056">
        <v>0</v>
      </c>
      <c r="I157" s="1056">
        <v>12072</v>
      </c>
      <c r="K157" s="1037">
        <f t="shared" si="2"/>
        <v>8</v>
      </c>
    </row>
    <row r="158" spans="1:11" ht="12.75">
      <c r="A158" s="1054">
        <v>14350505</v>
      </c>
      <c r="B158" s="1055" t="s">
        <v>1489</v>
      </c>
      <c r="C158" s="1055" t="s">
        <v>575</v>
      </c>
      <c r="D158" s="1055" t="s">
        <v>1079</v>
      </c>
      <c r="E158" s="1055" t="s">
        <v>657</v>
      </c>
      <c r="F158" s="1056">
        <v>10057</v>
      </c>
      <c r="G158" s="1056">
        <v>2015</v>
      </c>
      <c r="H158" s="1056">
        <v>0</v>
      </c>
      <c r="I158" s="1056">
        <v>12072</v>
      </c>
      <c r="K158" s="1037">
        <f t="shared" si="2"/>
        <v>8</v>
      </c>
    </row>
    <row r="159" spans="1:11" ht="12.75">
      <c r="A159" s="1054">
        <v>143522</v>
      </c>
      <c r="B159" s="1055" t="s">
        <v>1489</v>
      </c>
      <c r="C159" s="1055" t="s">
        <v>468</v>
      </c>
      <c r="D159" s="1055" t="s">
        <v>893</v>
      </c>
      <c r="E159" s="1055" t="s">
        <v>893</v>
      </c>
      <c r="F159" s="1056">
        <v>49655</v>
      </c>
      <c r="G159" s="1056">
        <v>8687</v>
      </c>
      <c r="H159" s="1056">
        <v>0</v>
      </c>
      <c r="I159" s="1056">
        <v>58343</v>
      </c>
      <c r="K159" s="1037">
        <f t="shared" si="2"/>
        <v>6</v>
      </c>
    </row>
    <row r="160" spans="1:11" ht="12.75">
      <c r="A160" s="1054">
        <v>14352202</v>
      </c>
      <c r="B160" s="1055" t="s">
        <v>1489</v>
      </c>
      <c r="C160" s="1055" t="s">
        <v>877</v>
      </c>
      <c r="D160" s="1055" t="s">
        <v>893</v>
      </c>
      <c r="E160" s="1055" t="s">
        <v>893</v>
      </c>
      <c r="F160" s="1056">
        <v>49655</v>
      </c>
      <c r="G160" s="1056">
        <v>8687</v>
      </c>
      <c r="H160" s="1056">
        <v>0</v>
      </c>
      <c r="I160" s="1056">
        <v>58343</v>
      </c>
      <c r="K160" s="1037">
        <f t="shared" si="2"/>
        <v>8</v>
      </c>
    </row>
    <row r="161" spans="1:11" ht="12.75">
      <c r="A161" s="1054">
        <v>14352202</v>
      </c>
      <c r="B161" s="1055" t="s">
        <v>1489</v>
      </c>
      <c r="C161" s="1055" t="s">
        <v>877</v>
      </c>
      <c r="D161" s="1055" t="s">
        <v>1071</v>
      </c>
      <c r="E161" s="1055" t="s">
        <v>700</v>
      </c>
      <c r="F161" s="1056">
        <v>21</v>
      </c>
      <c r="G161" s="1056">
        <v>0</v>
      </c>
      <c r="H161" s="1056">
        <v>0</v>
      </c>
      <c r="I161" s="1056">
        <v>21</v>
      </c>
      <c r="K161" s="1037">
        <f t="shared" si="2"/>
        <v>8</v>
      </c>
    </row>
    <row r="162" spans="1:11" ht="12.75">
      <c r="A162" s="1054">
        <v>14352202</v>
      </c>
      <c r="B162" s="1055" t="s">
        <v>1489</v>
      </c>
      <c r="C162" s="1055" t="s">
        <v>877</v>
      </c>
      <c r="D162" s="1055" t="s">
        <v>1072</v>
      </c>
      <c r="E162" s="1055" t="s">
        <v>512</v>
      </c>
      <c r="F162" s="1056">
        <v>478</v>
      </c>
      <c r="G162" s="1056">
        <v>76</v>
      </c>
      <c r="H162" s="1056">
        <v>0</v>
      </c>
      <c r="I162" s="1056">
        <v>553</v>
      </c>
      <c r="K162" s="1037">
        <f t="shared" si="2"/>
        <v>8</v>
      </c>
    </row>
    <row r="163" spans="1:11" ht="12.75">
      <c r="A163" s="1054">
        <v>14352202</v>
      </c>
      <c r="B163" s="1055" t="s">
        <v>1489</v>
      </c>
      <c r="C163" s="1055" t="s">
        <v>877</v>
      </c>
      <c r="D163" s="1055" t="s">
        <v>1034</v>
      </c>
      <c r="E163" s="1055" t="s">
        <v>504</v>
      </c>
      <c r="F163" s="1056">
        <v>46802</v>
      </c>
      <c r="G163" s="1056">
        <v>8214</v>
      </c>
      <c r="H163" s="1056">
        <v>0</v>
      </c>
      <c r="I163" s="1056">
        <v>55016</v>
      </c>
      <c r="K163" s="1037">
        <f t="shared" si="2"/>
        <v>8</v>
      </c>
    </row>
    <row r="164" spans="1:11" ht="12.75">
      <c r="A164" s="1054">
        <v>14352202</v>
      </c>
      <c r="B164" s="1055" t="s">
        <v>1489</v>
      </c>
      <c r="C164" s="1055" t="s">
        <v>877</v>
      </c>
      <c r="D164" s="1055" t="s">
        <v>1074</v>
      </c>
      <c r="E164" s="1055" t="s">
        <v>257</v>
      </c>
      <c r="F164" s="1056">
        <v>2328</v>
      </c>
      <c r="G164" s="1056">
        <v>397</v>
      </c>
      <c r="H164" s="1056">
        <v>0</v>
      </c>
      <c r="I164" s="1056">
        <v>2725</v>
      </c>
      <c r="K164" s="1037">
        <f t="shared" si="2"/>
        <v>8</v>
      </c>
    </row>
    <row r="165" spans="1:11" ht="12.75">
      <c r="A165" s="1054">
        <v>14352202</v>
      </c>
      <c r="B165" s="1055" t="s">
        <v>1489</v>
      </c>
      <c r="C165" s="1055" t="s">
        <v>877</v>
      </c>
      <c r="D165" s="1055" t="s">
        <v>1077</v>
      </c>
      <c r="E165" s="1055" t="s">
        <v>1078</v>
      </c>
      <c r="F165" s="1056">
        <v>20</v>
      </c>
      <c r="G165" s="1056">
        <v>0</v>
      </c>
      <c r="H165" s="1056">
        <v>0</v>
      </c>
      <c r="I165" s="1056">
        <v>20</v>
      </c>
      <c r="K165" s="1037">
        <f t="shared" si="2"/>
        <v>8</v>
      </c>
    </row>
    <row r="166" spans="1:11" ht="12.75">
      <c r="A166" s="1054">
        <v>14352202</v>
      </c>
      <c r="B166" s="1055" t="s">
        <v>1489</v>
      </c>
      <c r="C166" s="1055" t="s">
        <v>877</v>
      </c>
      <c r="D166" s="1055" t="s">
        <v>1628</v>
      </c>
      <c r="E166" s="1055" t="s">
        <v>1629</v>
      </c>
      <c r="F166" s="1056">
        <v>7</v>
      </c>
      <c r="G166" s="1056">
        <v>0</v>
      </c>
      <c r="H166" s="1056">
        <v>0</v>
      </c>
      <c r="I166" s="1056">
        <v>7</v>
      </c>
      <c r="K166" s="1037">
        <f t="shared" si="2"/>
        <v>8</v>
      </c>
    </row>
    <row r="167" spans="1:11" ht="12.75">
      <c r="A167" s="1054">
        <v>143575</v>
      </c>
      <c r="B167" s="1055" t="s">
        <v>893</v>
      </c>
      <c r="C167" s="1055" t="s">
        <v>368</v>
      </c>
      <c r="D167" s="1055" t="s">
        <v>893</v>
      </c>
      <c r="E167" s="1055" t="s">
        <v>893</v>
      </c>
      <c r="F167" s="1056">
        <v>-3790</v>
      </c>
      <c r="G167" s="1056">
        <v>0</v>
      </c>
      <c r="H167" s="1056">
        <v>375</v>
      </c>
      <c r="I167" s="1056">
        <v>-4165</v>
      </c>
      <c r="K167" s="1037">
        <f t="shared" si="2"/>
        <v>6</v>
      </c>
    </row>
    <row r="168" spans="1:11" ht="12.75">
      <c r="A168" s="1054">
        <v>14357501</v>
      </c>
      <c r="B168" s="1055" t="s">
        <v>1489</v>
      </c>
      <c r="C168" s="1055" t="s">
        <v>703</v>
      </c>
      <c r="D168" s="1055" t="s">
        <v>893</v>
      </c>
      <c r="E168" s="1055" t="s">
        <v>893</v>
      </c>
      <c r="F168" s="1056">
        <v>-1191</v>
      </c>
      <c r="G168" s="1056">
        <v>0</v>
      </c>
      <c r="H168" s="1056">
        <v>241</v>
      </c>
      <c r="I168" s="1056">
        <v>-1431</v>
      </c>
      <c r="K168" s="1037">
        <f t="shared" si="2"/>
        <v>8</v>
      </c>
    </row>
    <row r="169" spans="1:11" ht="12.75">
      <c r="A169" s="1054">
        <v>14357501</v>
      </c>
      <c r="B169" s="1055" t="s">
        <v>1489</v>
      </c>
      <c r="C169" s="1055" t="s">
        <v>703</v>
      </c>
      <c r="D169" s="1055" t="s">
        <v>1081</v>
      </c>
      <c r="E169" s="1055" t="s">
        <v>702</v>
      </c>
      <c r="F169" s="1056">
        <v>0</v>
      </c>
      <c r="G169" s="1056">
        <v>0</v>
      </c>
      <c r="H169" s="1056">
        <v>24</v>
      </c>
      <c r="I169" s="1056">
        <v>-24</v>
      </c>
      <c r="K169" s="1037">
        <f t="shared" si="2"/>
        <v>8</v>
      </c>
    </row>
    <row r="170" spans="1:11" ht="12.75">
      <c r="A170" s="1054">
        <v>14357501</v>
      </c>
      <c r="B170" s="1055" t="s">
        <v>1489</v>
      </c>
      <c r="C170" s="1055" t="s">
        <v>703</v>
      </c>
      <c r="D170" s="1055" t="s">
        <v>1069</v>
      </c>
      <c r="E170" s="1055" t="s">
        <v>1070</v>
      </c>
      <c r="F170" s="1056">
        <v>0</v>
      </c>
      <c r="G170" s="1056">
        <v>0</v>
      </c>
      <c r="H170" s="1056">
        <v>29</v>
      </c>
      <c r="I170" s="1056">
        <v>-29</v>
      </c>
      <c r="K170" s="1037">
        <f t="shared" si="2"/>
        <v>8</v>
      </c>
    </row>
    <row r="171" spans="1:11" ht="12.75">
      <c r="A171" s="1054">
        <v>14357501</v>
      </c>
      <c r="B171" s="1055" t="s">
        <v>1489</v>
      </c>
      <c r="C171" s="1055" t="s">
        <v>703</v>
      </c>
      <c r="D171" s="1055" t="s">
        <v>1071</v>
      </c>
      <c r="E171" s="1055" t="s">
        <v>700</v>
      </c>
      <c r="F171" s="1056">
        <v>-67</v>
      </c>
      <c r="G171" s="1056">
        <v>0</v>
      </c>
      <c r="H171" s="1056">
        <v>23</v>
      </c>
      <c r="I171" s="1056">
        <v>-89</v>
      </c>
      <c r="K171" s="1037">
        <f t="shared" si="2"/>
        <v>8</v>
      </c>
    </row>
    <row r="172" spans="1:11" ht="12.75">
      <c r="A172" s="1054">
        <v>14357501</v>
      </c>
      <c r="B172" s="1055" t="s">
        <v>1489</v>
      </c>
      <c r="C172" s="1055" t="s">
        <v>703</v>
      </c>
      <c r="D172" s="1055" t="s">
        <v>1072</v>
      </c>
      <c r="E172" s="1055" t="s">
        <v>512</v>
      </c>
      <c r="F172" s="1056">
        <v>-273</v>
      </c>
      <c r="G172" s="1056">
        <v>0</v>
      </c>
      <c r="H172" s="1056">
        <v>4</v>
      </c>
      <c r="I172" s="1056">
        <v>-277</v>
      </c>
      <c r="K172" s="1037">
        <f t="shared" si="2"/>
        <v>8</v>
      </c>
    </row>
    <row r="173" spans="1:11" ht="12.75">
      <c r="A173" s="1054">
        <v>14357501</v>
      </c>
      <c r="B173" s="1055" t="s">
        <v>1489</v>
      </c>
      <c r="C173" s="1055" t="s">
        <v>703</v>
      </c>
      <c r="D173" s="1055" t="s">
        <v>1551</v>
      </c>
      <c r="E173" s="1055" t="s">
        <v>1552</v>
      </c>
      <c r="F173" s="1056">
        <v>-430</v>
      </c>
      <c r="G173" s="1056">
        <v>0</v>
      </c>
      <c r="H173" s="1056">
        <v>47</v>
      </c>
      <c r="I173" s="1056">
        <v>-477</v>
      </c>
      <c r="K173" s="1037">
        <f t="shared" si="2"/>
        <v>8</v>
      </c>
    </row>
    <row r="174" spans="1:11" ht="12.75">
      <c r="A174" s="1054">
        <v>14357501</v>
      </c>
      <c r="B174" s="1055" t="s">
        <v>1489</v>
      </c>
      <c r="C174" s="1055" t="s">
        <v>703</v>
      </c>
      <c r="D174" s="1055" t="s">
        <v>1034</v>
      </c>
      <c r="E174" s="1055" t="s">
        <v>504</v>
      </c>
      <c r="F174" s="1056">
        <v>-283</v>
      </c>
      <c r="G174" s="1056">
        <v>0</v>
      </c>
      <c r="H174" s="1056">
        <v>0</v>
      </c>
      <c r="I174" s="1056">
        <v>-283</v>
      </c>
      <c r="K174" s="1037">
        <f t="shared" si="2"/>
        <v>8</v>
      </c>
    </row>
    <row r="175" spans="1:11" ht="12.75">
      <c r="A175" s="1054">
        <v>14357501</v>
      </c>
      <c r="B175" s="1055" t="s">
        <v>1489</v>
      </c>
      <c r="C175" s="1055" t="s">
        <v>703</v>
      </c>
      <c r="D175" s="1055" t="s">
        <v>1074</v>
      </c>
      <c r="E175" s="1055" t="s">
        <v>257</v>
      </c>
      <c r="F175" s="1056">
        <v>0</v>
      </c>
      <c r="G175" s="1056">
        <v>0</v>
      </c>
      <c r="H175" s="1056">
        <v>85</v>
      </c>
      <c r="I175" s="1056">
        <v>-85</v>
      </c>
      <c r="K175" s="1037">
        <f t="shared" si="2"/>
        <v>8</v>
      </c>
    </row>
    <row r="176" spans="1:11" ht="12.75">
      <c r="A176" s="1054">
        <v>14357501</v>
      </c>
      <c r="B176" s="1055" t="s">
        <v>1489</v>
      </c>
      <c r="C176" s="1055" t="s">
        <v>703</v>
      </c>
      <c r="D176" s="1055" t="s">
        <v>1077</v>
      </c>
      <c r="E176" s="1055" t="s">
        <v>1078</v>
      </c>
      <c r="F176" s="1056">
        <v>-53</v>
      </c>
      <c r="G176" s="1056">
        <v>0</v>
      </c>
      <c r="H176" s="1056">
        <v>0</v>
      </c>
      <c r="I176" s="1056">
        <v>-53</v>
      </c>
      <c r="K176" s="1037">
        <f t="shared" si="2"/>
        <v>8</v>
      </c>
    </row>
    <row r="177" spans="1:11" ht="12.75">
      <c r="A177" s="1054">
        <v>14357501</v>
      </c>
      <c r="B177" s="1055" t="s">
        <v>1489</v>
      </c>
      <c r="C177" s="1055" t="s">
        <v>703</v>
      </c>
      <c r="D177" s="1055" t="s">
        <v>1307</v>
      </c>
      <c r="E177" s="1055" t="s">
        <v>992</v>
      </c>
      <c r="F177" s="1056">
        <v>-85</v>
      </c>
      <c r="G177" s="1056">
        <v>0</v>
      </c>
      <c r="H177" s="1056">
        <v>29</v>
      </c>
      <c r="I177" s="1056">
        <v>-114</v>
      </c>
      <c r="K177" s="1037">
        <f t="shared" si="2"/>
        <v>8</v>
      </c>
    </row>
    <row r="178" spans="1:11" ht="12.75">
      <c r="A178" s="1054">
        <v>14357503</v>
      </c>
      <c r="B178" s="1055" t="s">
        <v>893</v>
      </c>
      <c r="C178" s="1055" t="s">
        <v>515</v>
      </c>
      <c r="D178" s="1055" t="s">
        <v>893</v>
      </c>
      <c r="E178" s="1055" t="s">
        <v>893</v>
      </c>
      <c r="F178" s="1056">
        <v>-2560</v>
      </c>
      <c r="G178" s="1056">
        <v>0</v>
      </c>
      <c r="H178" s="1056">
        <v>134</v>
      </c>
      <c r="I178" s="1056">
        <v>-2694</v>
      </c>
      <c r="K178" s="1037">
        <f t="shared" si="2"/>
        <v>8</v>
      </c>
    </row>
    <row r="179" spans="1:11" ht="12.75">
      <c r="A179" s="1054">
        <v>14357503</v>
      </c>
      <c r="B179" s="1055" t="s">
        <v>893</v>
      </c>
      <c r="C179" s="1055" t="s">
        <v>515</v>
      </c>
      <c r="D179" s="1055" t="s">
        <v>1081</v>
      </c>
      <c r="E179" s="1055" t="s">
        <v>702</v>
      </c>
      <c r="F179" s="1056">
        <v>-153</v>
      </c>
      <c r="G179" s="1056">
        <v>0</v>
      </c>
      <c r="H179" s="1056">
        <v>0</v>
      </c>
      <c r="I179" s="1056">
        <v>-153</v>
      </c>
      <c r="K179" s="1037">
        <f t="shared" si="2"/>
        <v>8</v>
      </c>
    </row>
    <row r="180" spans="1:11" ht="12.75">
      <c r="A180" s="1054">
        <v>14357503</v>
      </c>
      <c r="B180" s="1055" t="s">
        <v>893</v>
      </c>
      <c r="C180" s="1055" t="s">
        <v>515</v>
      </c>
      <c r="D180" s="1055" t="s">
        <v>1069</v>
      </c>
      <c r="E180" s="1055" t="s">
        <v>1070</v>
      </c>
      <c r="F180" s="1056">
        <v>-40</v>
      </c>
      <c r="G180" s="1056">
        <v>0</v>
      </c>
      <c r="H180" s="1056">
        <v>0</v>
      </c>
      <c r="I180" s="1056">
        <v>-40</v>
      </c>
      <c r="K180" s="1037">
        <f t="shared" si="2"/>
        <v>8</v>
      </c>
    </row>
    <row r="181" spans="1:11" ht="12.75">
      <c r="A181" s="1054">
        <v>14357503</v>
      </c>
      <c r="B181" s="1055" t="s">
        <v>893</v>
      </c>
      <c r="C181" s="1055" t="s">
        <v>515</v>
      </c>
      <c r="D181" s="1055" t="s">
        <v>1071</v>
      </c>
      <c r="E181" s="1055" t="s">
        <v>700</v>
      </c>
      <c r="F181" s="1056">
        <v>-195</v>
      </c>
      <c r="G181" s="1056">
        <v>0</v>
      </c>
      <c r="H181" s="1056">
        <v>107</v>
      </c>
      <c r="I181" s="1056">
        <v>-302</v>
      </c>
      <c r="K181" s="1037">
        <f t="shared" si="2"/>
        <v>8</v>
      </c>
    </row>
    <row r="182" spans="1:11" ht="12.75">
      <c r="A182" s="1054">
        <v>14357503</v>
      </c>
      <c r="B182" s="1055" t="s">
        <v>893</v>
      </c>
      <c r="C182" s="1055" t="s">
        <v>515</v>
      </c>
      <c r="D182" s="1055" t="s">
        <v>1072</v>
      </c>
      <c r="E182" s="1055" t="s">
        <v>512</v>
      </c>
      <c r="F182" s="1056">
        <v>-908</v>
      </c>
      <c r="G182" s="1056">
        <v>0</v>
      </c>
      <c r="H182" s="1056">
        <v>3</v>
      </c>
      <c r="I182" s="1056">
        <v>-911</v>
      </c>
      <c r="K182" s="1037">
        <f t="shared" si="2"/>
        <v>8</v>
      </c>
    </row>
    <row r="183" spans="1:11" ht="12.75">
      <c r="A183" s="1054">
        <v>14357503</v>
      </c>
      <c r="B183" s="1055" t="s">
        <v>893</v>
      </c>
      <c r="C183" s="1055" t="s">
        <v>515</v>
      </c>
      <c r="D183" s="1055" t="s">
        <v>1551</v>
      </c>
      <c r="E183" s="1055" t="s">
        <v>1552</v>
      </c>
      <c r="F183" s="1056">
        <v>-1237</v>
      </c>
      <c r="G183" s="1056">
        <v>0</v>
      </c>
      <c r="H183" s="1056">
        <v>24</v>
      </c>
      <c r="I183" s="1056">
        <v>-1261</v>
      </c>
      <c r="K183" s="1037">
        <f t="shared" si="2"/>
        <v>8</v>
      </c>
    </row>
    <row r="184" spans="1:11" ht="12.75">
      <c r="A184" s="1054">
        <v>14357503</v>
      </c>
      <c r="B184" s="1055" t="s">
        <v>893</v>
      </c>
      <c r="C184" s="1055" t="s">
        <v>515</v>
      </c>
      <c r="D184" s="1055" t="s">
        <v>1034</v>
      </c>
      <c r="E184" s="1055" t="s">
        <v>504</v>
      </c>
      <c r="F184" s="1056">
        <v>-8</v>
      </c>
      <c r="G184" s="1056">
        <v>0</v>
      </c>
      <c r="H184" s="1056">
        <v>0</v>
      </c>
      <c r="I184" s="1056">
        <v>-8</v>
      </c>
      <c r="K184" s="1037">
        <f t="shared" si="2"/>
        <v>8</v>
      </c>
    </row>
    <row r="185" spans="1:11" ht="12.75">
      <c r="A185" s="1054">
        <v>14357503</v>
      </c>
      <c r="B185" s="1055" t="s">
        <v>893</v>
      </c>
      <c r="C185" s="1055" t="s">
        <v>515</v>
      </c>
      <c r="D185" s="1055" t="s">
        <v>1073</v>
      </c>
      <c r="E185" s="1055" t="s">
        <v>701</v>
      </c>
      <c r="F185" s="1056">
        <v>-4</v>
      </c>
      <c r="G185" s="1056">
        <v>0</v>
      </c>
      <c r="H185" s="1056">
        <v>0</v>
      </c>
      <c r="I185" s="1056">
        <v>-4</v>
      </c>
      <c r="K185" s="1037">
        <f t="shared" si="2"/>
        <v>8</v>
      </c>
    </row>
    <row r="186" spans="1:11" ht="12.75">
      <c r="A186" s="1054">
        <v>14357503</v>
      </c>
      <c r="B186" s="1055" t="s">
        <v>893</v>
      </c>
      <c r="C186" s="1055" t="s">
        <v>515</v>
      </c>
      <c r="D186" s="1055" t="s">
        <v>1077</v>
      </c>
      <c r="E186" s="1055" t="s">
        <v>1078</v>
      </c>
      <c r="F186" s="1056">
        <v>-14</v>
      </c>
      <c r="G186" s="1056">
        <v>0</v>
      </c>
      <c r="H186" s="1056">
        <v>0</v>
      </c>
      <c r="I186" s="1056">
        <v>-14</v>
      </c>
      <c r="K186" s="1037">
        <f t="shared" si="2"/>
        <v>8</v>
      </c>
    </row>
    <row r="187" spans="1:11" ht="12.75">
      <c r="A187" s="1054">
        <v>14357504</v>
      </c>
      <c r="B187" s="1055" t="s">
        <v>1489</v>
      </c>
      <c r="C187" s="1055" t="s">
        <v>1733</v>
      </c>
      <c r="D187" s="1055" t="s">
        <v>893</v>
      </c>
      <c r="E187" s="1055" t="s">
        <v>893</v>
      </c>
      <c r="F187" s="1056">
        <v>-40</v>
      </c>
      <c r="G187" s="1056">
        <v>0</v>
      </c>
      <c r="H187" s="1056">
        <v>0</v>
      </c>
      <c r="I187" s="1056">
        <v>-40</v>
      </c>
      <c r="K187" s="1037">
        <f t="shared" si="2"/>
        <v>8</v>
      </c>
    </row>
    <row r="188" spans="1:11" ht="12.75">
      <c r="A188" s="1054">
        <v>14357504</v>
      </c>
      <c r="B188" s="1055" t="s">
        <v>1489</v>
      </c>
      <c r="C188" s="1055" t="s">
        <v>1733</v>
      </c>
      <c r="D188" s="1055" t="s">
        <v>1072</v>
      </c>
      <c r="E188" s="1055" t="s">
        <v>512</v>
      </c>
      <c r="F188" s="1056">
        <v>-40</v>
      </c>
      <c r="G188" s="1056">
        <v>0</v>
      </c>
      <c r="H188" s="1056">
        <v>0</v>
      </c>
      <c r="I188" s="1056">
        <v>-40</v>
      </c>
      <c r="K188" s="1037">
        <f t="shared" si="2"/>
        <v>8</v>
      </c>
    </row>
    <row r="189" spans="1:11" ht="12.75">
      <c r="A189" s="1054">
        <v>143599</v>
      </c>
      <c r="B189" s="1055" t="s">
        <v>1489</v>
      </c>
      <c r="C189" s="1055" t="s">
        <v>584</v>
      </c>
      <c r="D189" s="1055" t="s">
        <v>893</v>
      </c>
      <c r="E189" s="1055" t="s">
        <v>893</v>
      </c>
      <c r="F189" s="1056">
        <v>-1079275</v>
      </c>
      <c r="G189" s="1056">
        <v>0</v>
      </c>
      <c r="H189" s="1056">
        <v>199860</v>
      </c>
      <c r="I189" s="1056">
        <v>-1279136</v>
      </c>
      <c r="K189" s="1037">
        <f t="shared" si="2"/>
        <v>6</v>
      </c>
    </row>
    <row r="190" spans="1:11" ht="12.75">
      <c r="A190" s="1054">
        <v>143599</v>
      </c>
      <c r="B190" s="1055" t="s">
        <v>1489</v>
      </c>
      <c r="C190" s="1055" t="s">
        <v>584</v>
      </c>
      <c r="D190" s="1055" t="s">
        <v>1101</v>
      </c>
      <c r="E190" s="1055" t="s">
        <v>1102</v>
      </c>
      <c r="F190" s="1056">
        <v>-1079275</v>
      </c>
      <c r="G190" s="1056">
        <v>0</v>
      </c>
      <c r="H190" s="1056">
        <v>199860</v>
      </c>
      <c r="I190" s="1056">
        <v>-1279136</v>
      </c>
      <c r="K190" s="1037">
        <f t="shared" si="2"/>
        <v>6</v>
      </c>
    </row>
    <row r="191" spans="1:11" ht="12.75">
      <c r="A191" s="1054">
        <v>15</v>
      </c>
      <c r="B191" s="1055" t="s">
        <v>893</v>
      </c>
      <c r="C191" s="1055" t="s">
        <v>109</v>
      </c>
      <c r="D191" s="1055" t="s">
        <v>893</v>
      </c>
      <c r="E191" s="1055" t="s">
        <v>893</v>
      </c>
      <c r="F191" s="1056">
        <v>1984591</v>
      </c>
      <c r="G191" s="1056">
        <v>0</v>
      </c>
      <c r="H191" s="1056">
        <v>904</v>
      </c>
      <c r="I191" s="1056">
        <v>1983687</v>
      </c>
      <c r="K191" s="1037">
        <f t="shared" si="2"/>
        <v>2</v>
      </c>
    </row>
    <row r="192" spans="1:11" ht="12.75">
      <c r="A192" s="1054">
        <v>1510</v>
      </c>
      <c r="B192" s="1055" t="s">
        <v>1489</v>
      </c>
      <c r="C192" s="1055" t="s">
        <v>704</v>
      </c>
      <c r="D192" s="1055" t="s">
        <v>893</v>
      </c>
      <c r="E192" s="1055" t="s">
        <v>893</v>
      </c>
      <c r="F192" s="1056">
        <v>339255</v>
      </c>
      <c r="G192" s="1056">
        <v>0</v>
      </c>
      <c r="H192" s="1056">
        <v>0</v>
      </c>
      <c r="I192" s="1056">
        <v>339255</v>
      </c>
      <c r="K192" s="1037">
        <f t="shared" si="2"/>
        <v>4</v>
      </c>
    </row>
    <row r="193" spans="1:11" ht="12.75">
      <c r="A193" s="1054">
        <v>151005</v>
      </c>
      <c r="B193" s="1055" t="s">
        <v>1489</v>
      </c>
      <c r="C193" s="1055" t="s">
        <v>704</v>
      </c>
      <c r="D193" s="1055" t="s">
        <v>893</v>
      </c>
      <c r="E193" s="1055" t="s">
        <v>893</v>
      </c>
      <c r="F193" s="1056">
        <v>352122</v>
      </c>
      <c r="G193" s="1056">
        <v>0</v>
      </c>
      <c r="H193" s="1056">
        <v>0</v>
      </c>
      <c r="I193" s="1056">
        <v>352122</v>
      </c>
      <c r="K193" s="1037">
        <f t="shared" si="2"/>
        <v>6</v>
      </c>
    </row>
    <row r="194" spans="1:11" ht="12.75">
      <c r="A194" s="1054">
        <v>151005</v>
      </c>
      <c r="B194" s="1055" t="s">
        <v>1489</v>
      </c>
      <c r="C194" s="1055" t="s">
        <v>704</v>
      </c>
      <c r="D194" s="1055" t="s">
        <v>1084</v>
      </c>
      <c r="E194" s="1055" t="s">
        <v>1010</v>
      </c>
      <c r="F194" s="1056">
        <v>298929</v>
      </c>
      <c r="G194" s="1056">
        <v>0</v>
      </c>
      <c r="H194" s="1056">
        <v>0</v>
      </c>
      <c r="I194" s="1056">
        <v>298929</v>
      </c>
      <c r="K194" s="1037">
        <f t="shared" si="2"/>
        <v>6</v>
      </c>
    </row>
    <row r="195" spans="1:11" ht="12.75">
      <c r="A195" s="1054">
        <v>151005</v>
      </c>
      <c r="B195" s="1055" t="s">
        <v>1489</v>
      </c>
      <c r="C195" s="1055" t="s">
        <v>704</v>
      </c>
      <c r="D195" s="1055" t="s">
        <v>1085</v>
      </c>
      <c r="E195" s="1055" t="s">
        <v>1086</v>
      </c>
      <c r="F195" s="1056">
        <v>150</v>
      </c>
      <c r="G195" s="1056">
        <v>0</v>
      </c>
      <c r="H195" s="1056">
        <v>0</v>
      </c>
      <c r="I195" s="1056">
        <v>150</v>
      </c>
      <c r="K195" s="1037">
        <f t="shared" si="2"/>
        <v>6</v>
      </c>
    </row>
    <row r="196" spans="1:11" ht="12.75">
      <c r="A196" s="1054">
        <v>151005</v>
      </c>
      <c r="B196" s="1055" t="s">
        <v>1489</v>
      </c>
      <c r="C196" s="1055" t="s">
        <v>704</v>
      </c>
      <c r="D196" s="1055" t="s">
        <v>1087</v>
      </c>
      <c r="E196" s="1055" t="s">
        <v>1088</v>
      </c>
      <c r="F196" s="1056">
        <v>6815</v>
      </c>
      <c r="G196" s="1056">
        <v>0</v>
      </c>
      <c r="H196" s="1056">
        <v>0</v>
      </c>
      <c r="I196" s="1056">
        <v>6815</v>
      </c>
      <c r="K196" s="1037">
        <f t="shared" si="2"/>
        <v>6</v>
      </c>
    </row>
    <row r="197" spans="1:11" ht="12.75">
      <c r="A197" s="1054">
        <v>151005</v>
      </c>
      <c r="B197" s="1055" t="s">
        <v>1489</v>
      </c>
      <c r="C197" s="1055" t="s">
        <v>704</v>
      </c>
      <c r="D197" s="1055" t="s">
        <v>1089</v>
      </c>
      <c r="E197" s="1055" t="s">
        <v>1090</v>
      </c>
      <c r="F197" s="1056">
        <v>4704</v>
      </c>
      <c r="G197" s="1056">
        <v>0</v>
      </c>
      <c r="H197" s="1056">
        <v>0</v>
      </c>
      <c r="I197" s="1056">
        <v>4704</v>
      </c>
      <c r="K197" s="1037">
        <f t="shared" ref="K197:K260" si="3">+LEN(A197)</f>
        <v>6</v>
      </c>
    </row>
    <row r="198" spans="1:11" ht="12.75">
      <c r="A198" s="1054">
        <v>151005</v>
      </c>
      <c r="B198" s="1055" t="s">
        <v>1489</v>
      </c>
      <c r="C198" s="1055" t="s">
        <v>704</v>
      </c>
      <c r="D198" s="1055" t="s">
        <v>1091</v>
      </c>
      <c r="E198" s="1055" t="s">
        <v>1092</v>
      </c>
      <c r="F198" s="1056">
        <v>38</v>
      </c>
      <c r="G198" s="1056">
        <v>0</v>
      </c>
      <c r="H198" s="1056">
        <v>0</v>
      </c>
      <c r="I198" s="1056">
        <v>38</v>
      </c>
      <c r="K198" s="1037">
        <f t="shared" si="3"/>
        <v>6</v>
      </c>
    </row>
    <row r="199" spans="1:11" ht="12.75">
      <c r="A199" s="1054">
        <v>151005</v>
      </c>
      <c r="B199" s="1055" t="s">
        <v>1489</v>
      </c>
      <c r="C199" s="1055" t="s">
        <v>704</v>
      </c>
      <c r="D199" s="1055" t="s">
        <v>1093</v>
      </c>
      <c r="E199" s="1055" t="s">
        <v>1094</v>
      </c>
      <c r="F199" s="1056">
        <v>34</v>
      </c>
      <c r="G199" s="1056">
        <v>0</v>
      </c>
      <c r="H199" s="1056">
        <v>0</v>
      </c>
      <c r="I199" s="1056">
        <v>34</v>
      </c>
      <c r="K199" s="1037">
        <f t="shared" si="3"/>
        <v>6</v>
      </c>
    </row>
    <row r="200" spans="1:11" ht="12.75">
      <c r="A200" s="1054">
        <v>151005</v>
      </c>
      <c r="B200" s="1055" t="s">
        <v>1489</v>
      </c>
      <c r="C200" s="1055" t="s">
        <v>704</v>
      </c>
      <c r="D200" s="1055" t="s">
        <v>1295</v>
      </c>
      <c r="E200" s="1055" t="s">
        <v>963</v>
      </c>
      <c r="F200" s="1056">
        <v>17338</v>
      </c>
      <c r="G200" s="1056">
        <v>0</v>
      </c>
      <c r="H200" s="1056">
        <v>0</v>
      </c>
      <c r="I200" s="1056">
        <v>17338</v>
      </c>
      <c r="K200" s="1037">
        <f t="shared" si="3"/>
        <v>6</v>
      </c>
    </row>
    <row r="201" spans="1:11" ht="12.75">
      <c r="A201" s="1054">
        <v>151005</v>
      </c>
      <c r="B201" s="1055" t="s">
        <v>1489</v>
      </c>
      <c r="C201" s="1055" t="s">
        <v>704</v>
      </c>
      <c r="D201" s="1055" t="s">
        <v>1083</v>
      </c>
      <c r="E201" s="1055" t="s">
        <v>256</v>
      </c>
      <c r="F201" s="1056">
        <v>0</v>
      </c>
      <c r="G201" s="1056">
        <v>0</v>
      </c>
      <c r="H201" s="1056">
        <v>0</v>
      </c>
      <c r="I201" s="1056">
        <v>0</v>
      </c>
      <c r="K201" s="1037">
        <f t="shared" si="3"/>
        <v>6</v>
      </c>
    </row>
    <row r="202" spans="1:11" ht="12.75">
      <c r="A202" s="1054">
        <v>151005</v>
      </c>
      <c r="B202" s="1055" t="s">
        <v>1489</v>
      </c>
      <c r="C202" s="1055" t="s">
        <v>704</v>
      </c>
      <c r="D202" s="1055" t="s">
        <v>1095</v>
      </c>
      <c r="E202" s="1055" t="s">
        <v>1096</v>
      </c>
      <c r="F202" s="1056">
        <v>18</v>
      </c>
      <c r="G202" s="1056">
        <v>0</v>
      </c>
      <c r="H202" s="1056">
        <v>0</v>
      </c>
      <c r="I202" s="1056">
        <v>18</v>
      </c>
      <c r="K202" s="1037">
        <f t="shared" si="3"/>
        <v>6</v>
      </c>
    </row>
    <row r="203" spans="1:11" ht="12.75">
      <c r="A203" s="1054">
        <v>151005</v>
      </c>
      <c r="B203" s="1055" t="s">
        <v>1489</v>
      </c>
      <c r="C203" s="1055" t="s">
        <v>704</v>
      </c>
      <c r="D203" s="1055" t="s">
        <v>1097</v>
      </c>
      <c r="E203" s="1055" t="s">
        <v>1098</v>
      </c>
      <c r="F203" s="1056">
        <v>20897</v>
      </c>
      <c r="G203" s="1056">
        <v>0</v>
      </c>
      <c r="H203" s="1056">
        <v>0</v>
      </c>
      <c r="I203" s="1056">
        <v>20897</v>
      </c>
      <c r="K203" s="1037">
        <f t="shared" si="3"/>
        <v>6</v>
      </c>
    </row>
    <row r="204" spans="1:11" ht="12.75">
      <c r="A204" s="1054">
        <v>151005</v>
      </c>
      <c r="B204" s="1055" t="s">
        <v>1489</v>
      </c>
      <c r="C204" s="1055" t="s">
        <v>704</v>
      </c>
      <c r="D204" s="1055" t="s">
        <v>1049</v>
      </c>
      <c r="E204" s="1055" t="s">
        <v>1050</v>
      </c>
      <c r="F204" s="1056">
        <v>3200</v>
      </c>
      <c r="G204" s="1056">
        <v>0</v>
      </c>
      <c r="H204" s="1056">
        <v>0</v>
      </c>
      <c r="I204" s="1056">
        <v>3200</v>
      </c>
      <c r="K204" s="1037">
        <f t="shared" si="3"/>
        <v>6</v>
      </c>
    </row>
    <row r="205" spans="1:11" ht="12.75">
      <c r="A205" s="1054">
        <v>151024</v>
      </c>
      <c r="B205" s="1055" t="s">
        <v>1489</v>
      </c>
      <c r="C205" s="1055" t="s">
        <v>705</v>
      </c>
      <c r="D205" s="1055" t="s">
        <v>893</v>
      </c>
      <c r="E205" s="1055" t="s">
        <v>893</v>
      </c>
      <c r="F205" s="1056">
        <v>5034</v>
      </c>
      <c r="G205" s="1056">
        <v>0</v>
      </c>
      <c r="H205" s="1056">
        <v>0</v>
      </c>
      <c r="I205" s="1056">
        <v>5034</v>
      </c>
      <c r="K205" s="1037">
        <f t="shared" si="3"/>
        <v>6</v>
      </c>
    </row>
    <row r="206" spans="1:11" ht="12.75">
      <c r="A206" s="1054">
        <v>151024</v>
      </c>
      <c r="B206" s="1055" t="s">
        <v>1489</v>
      </c>
      <c r="C206" s="1055" t="s">
        <v>705</v>
      </c>
      <c r="D206" s="1055" t="s">
        <v>1095</v>
      </c>
      <c r="E206" s="1055" t="s">
        <v>1096</v>
      </c>
      <c r="F206" s="1056">
        <v>346</v>
      </c>
      <c r="G206" s="1056">
        <v>0</v>
      </c>
      <c r="H206" s="1056">
        <v>0</v>
      </c>
      <c r="I206" s="1056">
        <v>346</v>
      </c>
      <c r="K206" s="1037">
        <f t="shared" si="3"/>
        <v>6</v>
      </c>
    </row>
    <row r="207" spans="1:11" ht="12.75">
      <c r="A207" s="1054">
        <v>151024</v>
      </c>
      <c r="B207" s="1055" t="s">
        <v>1489</v>
      </c>
      <c r="C207" s="1055" t="s">
        <v>705</v>
      </c>
      <c r="D207" s="1055" t="s">
        <v>1097</v>
      </c>
      <c r="E207" s="1055" t="s">
        <v>1098</v>
      </c>
      <c r="F207" s="1056">
        <v>4688</v>
      </c>
      <c r="G207" s="1056">
        <v>0</v>
      </c>
      <c r="H207" s="1056">
        <v>0</v>
      </c>
      <c r="I207" s="1056">
        <v>4688</v>
      </c>
      <c r="K207" s="1037">
        <f t="shared" si="3"/>
        <v>6</v>
      </c>
    </row>
    <row r="208" spans="1:11" ht="12.75">
      <c r="A208" s="1054">
        <v>151092</v>
      </c>
      <c r="B208" s="1055" t="s">
        <v>1489</v>
      </c>
      <c r="C208" s="1055" t="s">
        <v>327</v>
      </c>
      <c r="D208" s="1055" t="s">
        <v>893</v>
      </c>
      <c r="E208" s="1055" t="s">
        <v>893</v>
      </c>
      <c r="F208" s="1056">
        <v>-17901</v>
      </c>
      <c r="G208" s="1056">
        <v>0</v>
      </c>
      <c r="H208" s="1056">
        <v>0</v>
      </c>
      <c r="I208" s="1056">
        <v>-17901</v>
      </c>
      <c r="K208" s="1037">
        <f t="shared" si="3"/>
        <v>6</v>
      </c>
    </row>
    <row r="209" spans="1:11" ht="12.75">
      <c r="A209" s="1054">
        <v>151092</v>
      </c>
      <c r="B209" s="1055" t="s">
        <v>1489</v>
      </c>
      <c r="C209" s="1055" t="s">
        <v>327</v>
      </c>
      <c r="D209" s="1055" t="s">
        <v>1223</v>
      </c>
      <c r="E209" s="1055" t="s">
        <v>742</v>
      </c>
      <c r="F209" s="1056">
        <v>-17901</v>
      </c>
      <c r="G209" s="1056">
        <v>0</v>
      </c>
      <c r="H209" s="1056">
        <v>0</v>
      </c>
      <c r="I209" s="1056">
        <v>-17901</v>
      </c>
      <c r="K209" s="1037">
        <f t="shared" si="3"/>
        <v>6</v>
      </c>
    </row>
    <row r="210" spans="1:11" ht="12.75">
      <c r="A210" s="1054">
        <v>1516</v>
      </c>
      <c r="B210" s="1055" t="s">
        <v>893</v>
      </c>
      <c r="C210" s="1055" t="s">
        <v>209</v>
      </c>
      <c r="D210" s="1055" t="s">
        <v>893</v>
      </c>
      <c r="E210" s="1055" t="s">
        <v>893</v>
      </c>
      <c r="F210" s="1056">
        <v>1135604</v>
      </c>
      <c r="G210" s="1056">
        <v>0</v>
      </c>
      <c r="H210" s="1056">
        <v>489</v>
      </c>
      <c r="I210" s="1056">
        <v>1135116</v>
      </c>
      <c r="K210" s="1037">
        <f t="shared" si="3"/>
        <v>4</v>
      </c>
    </row>
    <row r="211" spans="1:11" ht="12.75">
      <c r="A211" s="1054">
        <v>151630</v>
      </c>
      <c r="B211" s="1055" t="s">
        <v>1489</v>
      </c>
      <c r="C211" s="1055" t="s">
        <v>706</v>
      </c>
      <c r="D211" s="1055" t="s">
        <v>893</v>
      </c>
      <c r="E211" s="1055" t="s">
        <v>893</v>
      </c>
      <c r="F211" s="1056">
        <v>1286225</v>
      </c>
      <c r="G211" s="1056">
        <v>0</v>
      </c>
      <c r="H211" s="1056">
        <v>0</v>
      </c>
      <c r="I211" s="1056">
        <v>1286225</v>
      </c>
      <c r="K211" s="1037">
        <f t="shared" si="3"/>
        <v>6</v>
      </c>
    </row>
    <row r="212" spans="1:11" ht="12.75">
      <c r="A212" s="1054">
        <v>15163001</v>
      </c>
      <c r="B212" s="1055" t="s">
        <v>1489</v>
      </c>
      <c r="C212" s="1055" t="s">
        <v>706</v>
      </c>
      <c r="D212" s="1055" t="s">
        <v>893</v>
      </c>
      <c r="E212" s="1055" t="s">
        <v>893</v>
      </c>
      <c r="F212" s="1056">
        <v>550000</v>
      </c>
      <c r="G212" s="1056">
        <v>0</v>
      </c>
      <c r="H212" s="1056">
        <v>0</v>
      </c>
      <c r="I212" s="1056">
        <v>550000</v>
      </c>
      <c r="K212" s="1037">
        <f t="shared" si="3"/>
        <v>8</v>
      </c>
    </row>
    <row r="213" spans="1:11" ht="12.75">
      <c r="A213" s="1054">
        <v>15163001</v>
      </c>
      <c r="B213" s="1055" t="s">
        <v>1489</v>
      </c>
      <c r="C213" s="1055" t="s">
        <v>706</v>
      </c>
      <c r="D213" s="1055" t="s">
        <v>1099</v>
      </c>
      <c r="E213" s="1055" t="s">
        <v>1100</v>
      </c>
      <c r="F213" s="1056">
        <v>550000</v>
      </c>
      <c r="G213" s="1056">
        <v>0</v>
      </c>
      <c r="H213" s="1056">
        <v>0</v>
      </c>
      <c r="I213" s="1056">
        <v>550000</v>
      </c>
      <c r="K213" s="1037">
        <f t="shared" si="3"/>
        <v>8</v>
      </c>
    </row>
    <row r="214" spans="1:11" ht="12.75">
      <c r="A214" s="1054">
        <v>15163002</v>
      </c>
      <c r="B214" s="1055" t="s">
        <v>1489</v>
      </c>
      <c r="C214" s="1055" t="s">
        <v>707</v>
      </c>
      <c r="D214" s="1055" t="s">
        <v>893</v>
      </c>
      <c r="E214" s="1055" t="s">
        <v>893</v>
      </c>
      <c r="F214" s="1056">
        <v>736225</v>
      </c>
      <c r="G214" s="1056">
        <v>0</v>
      </c>
      <c r="H214" s="1056">
        <v>0</v>
      </c>
      <c r="I214" s="1056">
        <v>736225</v>
      </c>
      <c r="K214" s="1037">
        <f t="shared" si="3"/>
        <v>8</v>
      </c>
    </row>
    <row r="215" spans="1:11" ht="12.75">
      <c r="A215" s="1054">
        <v>15163002</v>
      </c>
      <c r="B215" s="1055" t="s">
        <v>1489</v>
      </c>
      <c r="C215" s="1055" t="s">
        <v>707</v>
      </c>
      <c r="D215" s="1055" t="s">
        <v>1083</v>
      </c>
      <c r="E215" s="1055" t="s">
        <v>256</v>
      </c>
      <c r="F215" s="1056">
        <v>736225</v>
      </c>
      <c r="G215" s="1056">
        <v>0</v>
      </c>
      <c r="H215" s="1056">
        <v>0</v>
      </c>
      <c r="I215" s="1056">
        <v>736225</v>
      </c>
      <c r="K215" s="1037">
        <f t="shared" si="3"/>
        <v>8</v>
      </c>
    </row>
    <row r="216" spans="1:11" ht="12.75">
      <c r="A216" s="1054">
        <v>151692</v>
      </c>
      <c r="B216" s="1055" t="s">
        <v>893</v>
      </c>
      <c r="C216" s="1055" t="s">
        <v>327</v>
      </c>
      <c r="D216" s="1055" t="s">
        <v>893</v>
      </c>
      <c r="E216" s="1055" t="s">
        <v>893</v>
      </c>
      <c r="F216" s="1056">
        <v>-150621</v>
      </c>
      <c r="G216" s="1056">
        <v>0</v>
      </c>
      <c r="H216" s="1056">
        <v>489</v>
      </c>
      <c r="I216" s="1056">
        <v>-151109</v>
      </c>
      <c r="K216" s="1037">
        <f t="shared" si="3"/>
        <v>6</v>
      </c>
    </row>
    <row r="217" spans="1:11" ht="12.75">
      <c r="A217" s="1054">
        <v>151692</v>
      </c>
      <c r="B217" s="1055" t="s">
        <v>893</v>
      </c>
      <c r="C217" s="1055" t="s">
        <v>327</v>
      </c>
      <c r="D217" s="1055" t="s">
        <v>1067</v>
      </c>
      <c r="E217" s="1055" t="s">
        <v>1068</v>
      </c>
      <c r="F217" s="1056">
        <v>-8450</v>
      </c>
      <c r="G217" s="1056">
        <v>0</v>
      </c>
      <c r="H217" s="1056">
        <v>0</v>
      </c>
      <c r="I217" s="1056">
        <v>-8450</v>
      </c>
      <c r="K217" s="1037">
        <f t="shared" si="3"/>
        <v>6</v>
      </c>
    </row>
    <row r="218" spans="1:11" ht="12.75">
      <c r="A218" s="1054">
        <v>151692</v>
      </c>
      <c r="B218" s="1055" t="s">
        <v>893</v>
      </c>
      <c r="C218" s="1055" t="s">
        <v>327</v>
      </c>
      <c r="D218" s="1055" t="s">
        <v>1083</v>
      </c>
      <c r="E218" s="1055" t="s">
        <v>256</v>
      </c>
      <c r="F218" s="1056">
        <v>-142171</v>
      </c>
      <c r="G218" s="1056">
        <v>0</v>
      </c>
      <c r="H218" s="1056">
        <v>489</v>
      </c>
      <c r="I218" s="1056">
        <v>-142660</v>
      </c>
      <c r="K218" s="1037">
        <f t="shared" si="3"/>
        <v>6</v>
      </c>
    </row>
    <row r="219" spans="1:11" ht="12.75">
      <c r="A219" s="1054">
        <v>1520</v>
      </c>
      <c r="B219" s="1055" t="s">
        <v>893</v>
      </c>
      <c r="C219" s="1055" t="s">
        <v>110</v>
      </c>
      <c r="D219" s="1055" t="s">
        <v>893</v>
      </c>
      <c r="E219" s="1055" t="s">
        <v>893</v>
      </c>
      <c r="F219" s="1056">
        <v>342177</v>
      </c>
      <c r="G219" s="1056">
        <v>0</v>
      </c>
      <c r="H219" s="1056">
        <v>222</v>
      </c>
      <c r="I219" s="1056">
        <v>341955</v>
      </c>
      <c r="K219" s="1037">
        <f t="shared" si="3"/>
        <v>4</v>
      </c>
    </row>
    <row r="220" spans="1:11" ht="12.75">
      <c r="A220" s="1054">
        <v>152001</v>
      </c>
      <c r="B220" s="1055" t="s">
        <v>893</v>
      </c>
      <c r="C220" s="1055" t="s">
        <v>110</v>
      </c>
      <c r="D220" s="1055" t="s">
        <v>893</v>
      </c>
      <c r="E220" s="1055" t="s">
        <v>893</v>
      </c>
      <c r="F220" s="1056">
        <v>445310</v>
      </c>
      <c r="G220" s="1056">
        <v>0</v>
      </c>
      <c r="H220" s="1056">
        <v>0</v>
      </c>
      <c r="I220" s="1056">
        <v>445310</v>
      </c>
      <c r="K220" s="1037">
        <f t="shared" si="3"/>
        <v>6</v>
      </c>
    </row>
    <row r="221" spans="1:11" ht="12.75">
      <c r="A221" s="1054">
        <v>15200101</v>
      </c>
      <c r="B221" s="1055" t="s">
        <v>893</v>
      </c>
      <c r="C221" s="1055" t="s">
        <v>110</v>
      </c>
      <c r="D221" s="1055" t="s">
        <v>893</v>
      </c>
      <c r="E221" s="1055" t="s">
        <v>893</v>
      </c>
      <c r="F221" s="1056">
        <v>445310</v>
      </c>
      <c r="G221" s="1056">
        <v>0</v>
      </c>
      <c r="H221" s="1056">
        <v>0</v>
      </c>
      <c r="I221" s="1056">
        <v>445310</v>
      </c>
      <c r="K221" s="1037">
        <f t="shared" si="3"/>
        <v>8</v>
      </c>
    </row>
    <row r="222" spans="1:11" ht="12.75">
      <c r="A222" s="1054">
        <v>15200101</v>
      </c>
      <c r="B222" s="1055" t="s">
        <v>893</v>
      </c>
      <c r="C222" s="1055" t="s">
        <v>110</v>
      </c>
      <c r="D222" s="1055" t="s">
        <v>1067</v>
      </c>
      <c r="E222" s="1055" t="s">
        <v>1068</v>
      </c>
      <c r="F222" s="1056">
        <v>198599</v>
      </c>
      <c r="G222" s="1056">
        <v>0</v>
      </c>
      <c r="H222" s="1056">
        <v>0</v>
      </c>
      <c r="I222" s="1056">
        <v>198599</v>
      </c>
      <c r="K222" s="1037">
        <f t="shared" si="3"/>
        <v>8</v>
      </c>
    </row>
    <row r="223" spans="1:11" ht="12.75">
      <c r="A223" s="1054">
        <v>15200101</v>
      </c>
      <c r="B223" s="1055" t="s">
        <v>893</v>
      </c>
      <c r="C223" s="1055" t="s">
        <v>110</v>
      </c>
      <c r="D223" s="1055" t="s">
        <v>1101</v>
      </c>
      <c r="E223" s="1055" t="s">
        <v>1102</v>
      </c>
      <c r="F223" s="1056">
        <v>1019</v>
      </c>
      <c r="G223" s="1056">
        <v>0</v>
      </c>
      <c r="H223" s="1056">
        <v>0</v>
      </c>
      <c r="I223" s="1056">
        <v>1019</v>
      </c>
      <c r="K223" s="1037">
        <f t="shared" si="3"/>
        <v>8</v>
      </c>
    </row>
    <row r="224" spans="1:11" ht="12.75">
      <c r="A224" s="1054">
        <v>15200101</v>
      </c>
      <c r="B224" s="1055" t="s">
        <v>893</v>
      </c>
      <c r="C224" s="1055" t="s">
        <v>110</v>
      </c>
      <c r="D224" s="1055" t="s">
        <v>1103</v>
      </c>
      <c r="E224" s="1055" t="s">
        <v>1104</v>
      </c>
      <c r="F224" s="1056">
        <v>20000</v>
      </c>
      <c r="G224" s="1056">
        <v>0</v>
      </c>
      <c r="H224" s="1056">
        <v>0</v>
      </c>
      <c r="I224" s="1056">
        <v>20000</v>
      </c>
      <c r="K224" s="1037">
        <f t="shared" si="3"/>
        <v>8</v>
      </c>
    </row>
    <row r="225" spans="1:11" ht="12.75">
      <c r="A225" s="1054">
        <v>15200101</v>
      </c>
      <c r="B225" s="1055" t="s">
        <v>893</v>
      </c>
      <c r="C225" s="1055" t="s">
        <v>110</v>
      </c>
      <c r="D225" s="1055" t="s">
        <v>1091</v>
      </c>
      <c r="E225" s="1055" t="s">
        <v>1092</v>
      </c>
      <c r="F225" s="1056">
        <v>8646</v>
      </c>
      <c r="G225" s="1056">
        <v>0</v>
      </c>
      <c r="H225" s="1056">
        <v>0</v>
      </c>
      <c r="I225" s="1056">
        <v>8646</v>
      </c>
      <c r="K225" s="1037">
        <f t="shared" si="3"/>
        <v>8</v>
      </c>
    </row>
    <row r="226" spans="1:11" ht="12.75">
      <c r="A226" s="1054">
        <v>15200101</v>
      </c>
      <c r="B226" s="1055" t="s">
        <v>893</v>
      </c>
      <c r="C226" s="1055" t="s">
        <v>110</v>
      </c>
      <c r="D226" s="1055" t="s">
        <v>1105</v>
      </c>
      <c r="E226" s="1055" t="s">
        <v>1106</v>
      </c>
      <c r="F226" s="1056">
        <v>29005</v>
      </c>
      <c r="G226" s="1056">
        <v>0</v>
      </c>
      <c r="H226" s="1056">
        <v>0</v>
      </c>
      <c r="I226" s="1056">
        <v>29005</v>
      </c>
      <c r="K226" s="1037">
        <f t="shared" si="3"/>
        <v>8</v>
      </c>
    </row>
    <row r="227" spans="1:11" ht="12.75">
      <c r="A227" s="1054">
        <v>15200101</v>
      </c>
      <c r="B227" s="1055" t="s">
        <v>893</v>
      </c>
      <c r="C227" s="1055" t="s">
        <v>110</v>
      </c>
      <c r="D227" s="1055" t="s">
        <v>1107</v>
      </c>
      <c r="E227" s="1055" t="s">
        <v>1108</v>
      </c>
      <c r="F227" s="1056">
        <v>360</v>
      </c>
      <c r="G227" s="1056">
        <v>0</v>
      </c>
      <c r="H227" s="1056">
        <v>0</v>
      </c>
      <c r="I227" s="1056">
        <v>360</v>
      </c>
      <c r="K227" s="1037">
        <f t="shared" si="3"/>
        <v>8</v>
      </c>
    </row>
    <row r="228" spans="1:11" ht="12.75">
      <c r="A228" s="1054">
        <v>15200101</v>
      </c>
      <c r="B228" s="1055" t="s">
        <v>893</v>
      </c>
      <c r="C228" s="1055" t="s">
        <v>110</v>
      </c>
      <c r="D228" s="1055" t="s">
        <v>1109</v>
      </c>
      <c r="E228" s="1055" t="s">
        <v>1110</v>
      </c>
      <c r="F228" s="1056">
        <v>83407</v>
      </c>
      <c r="G228" s="1056">
        <v>0</v>
      </c>
      <c r="H228" s="1056">
        <v>0</v>
      </c>
      <c r="I228" s="1056">
        <v>83407</v>
      </c>
      <c r="K228" s="1037">
        <f t="shared" si="3"/>
        <v>8</v>
      </c>
    </row>
    <row r="229" spans="1:11" ht="12.75">
      <c r="A229" s="1054">
        <v>15200101</v>
      </c>
      <c r="B229" s="1055" t="s">
        <v>893</v>
      </c>
      <c r="C229" s="1055" t="s">
        <v>110</v>
      </c>
      <c r="D229" s="1055" t="s">
        <v>1111</v>
      </c>
      <c r="E229" s="1055" t="s">
        <v>1112</v>
      </c>
      <c r="F229" s="1056">
        <v>11424</v>
      </c>
      <c r="G229" s="1056">
        <v>0</v>
      </c>
      <c r="H229" s="1056">
        <v>0</v>
      </c>
      <c r="I229" s="1056">
        <v>11424</v>
      </c>
      <c r="K229" s="1037">
        <f t="shared" si="3"/>
        <v>8</v>
      </c>
    </row>
    <row r="230" spans="1:11" ht="12.75">
      <c r="A230" s="1054">
        <v>15200101</v>
      </c>
      <c r="B230" s="1055" t="s">
        <v>893</v>
      </c>
      <c r="C230" s="1055" t="s">
        <v>110</v>
      </c>
      <c r="D230" s="1055" t="s">
        <v>1113</v>
      </c>
      <c r="E230" s="1055" t="s">
        <v>1114</v>
      </c>
      <c r="F230" s="1056">
        <v>1425</v>
      </c>
      <c r="G230" s="1056">
        <v>0</v>
      </c>
      <c r="H230" s="1056">
        <v>0</v>
      </c>
      <c r="I230" s="1056">
        <v>1425</v>
      </c>
      <c r="K230" s="1037">
        <f t="shared" si="3"/>
        <v>8</v>
      </c>
    </row>
    <row r="231" spans="1:11" ht="12.75">
      <c r="A231" s="1054">
        <v>15200101</v>
      </c>
      <c r="B231" s="1055" t="s">
        <v>893</v>
      </c>
      <c r="C231" s="1055" t="s">
        <v>110</v>
      </c>
      <c r="D231" s="1055" t="s">
        <v>1115</v>
      </c>
      <c r="E231" s="1055" t="s">
        <v>1116</v>
      </c>
      <c r="F231" s="1056">
        <v>21034</v>
      </c>
      <c r="G231" s="1056">
        <v>0</v>
      </c>
      <c r="H231" s="1056">
        <v>0</v>
      </c>
      <c r="I231" s="1056">
        <v>21034</v>
      </c>
      <c r="K231" s="1037">
        <f t="shared" si="3"/>
        <v>8</v>
      </c>
    </row>
    <row r="232" spans="1:11" ht="12.75">
      <c r="A232" s="1054">
        <v>15200101</v>
      </c>
      <c r="B232" s="1055" t="s">
        <v>893</v>
      </c>
      <c r="C232" s="1055" t="s">
        <v>110</v>
      </c>
      <c r="D232" s="1055" t="s">
        <v>1117</v>
      </c>
      <c r="E232" s="1055" t="s">
        <v>1118</v>
      </c>
      <c r="F232" s="1056">
        <v>8000</v>
      </c>
      <c r="G232" s="1056">
        <v>0</v>
      </c>
      <c r="H232" s="1056">
        <v>0</v>
      </c>
      <c r="I232" s="1056">
        <v>8000</v>
      </c>
      <c r="K232" s="1037">
        <f t="shared" si="3"/>
        <v>8</v>
      </c>
    </row>
    <row r="233" spans="1:11" ht="12.75">
      <c r="A233" s="1054">
        <v>15200101</v>
      </c>
      <c r="B233" s="1055" t="s">
        <v>893</v>
      </c>
      <c r="C233" s="1055" t="s">
        <v>110</v>
      </c>
      <c r="D233" s="1055" t="s">
        <v>1119</v>
      </c>
      <c r="E233" s="1055" t="s">
        <v>1120</v>
      </c>
      <c r="F233" s="1056">
        <v>16105</v>
      </c>
      <c r="G233" s="1056">
        <v>0</v>
      </c>
      <c r="H233" s="1056">
        <v>0</v>
      </c>
      <c r="I233" s="1056">
        <v>16105</v>
      </c>
      <c r="K233" s="1037">
        <f t="shared" si="3"/>
        <v>8</v>
      </c>
    </row>
    <row r="234" spans="1:11" ht="12.75">
      <c r="A234" s="1054">
        <v>15200101</v>
      </c>
      <c r="B234" s="1055" t="s">
        <v>893</v>
      </c>
      <c r="C234" s="1055" t="s">
        <v>110</v>
      </c>
      <c r="D234" s="1055" t="s">
        <v>1121</v>
      </c>
      <c r="E234" s="1055" t="s">
        <v>1122</v>
      </c>
      <c r="F234" s="1056">
        <v>1975</v>
      </c>
      <c r="G234" s="1056">
        <v>0</v>
      </c>
      <c r="H234" s="1056">
        <v>0</v>
      </c>
      <c r="I234" s="1056">
        <v>1975</v>
      </c>
      <c r="K234" s="1037">
        <f t="shared" si="3"/>
        <v>8</v>
      </c>
    </row>
    <row r="235" spans="1:11" ht="12.75">
      <c r="A235" s="1054">
        <v>15200101</v>
      </c>
      <c r="B235" s="1055" t="s">
        <v>893</v>
      </c>
      <c r="C235" s="1055" t="s">
        <v>110</v>
      </c>
      <c r="D235" s="1055" t="s">
        <v>1123</v>
      </c>
      <c r="E235" s="1055" t="s">
        <v>1124</v>
      </c>
      <c r="F235" s="1056">
        <v>16915</v>
      </c>
      <c r="G235" s="1056">
        <v>0</v>
      </c>
      <c r="H235" s="1056">
        <v>0</v>
      </c>
      <c r="I235" s="1056">
        <v>16915</v>
      </c>
      <c r="J235" s="1045"/>
      <c r="K235" s="1037">
        <f t="shared" si="3"/>
        <v>8</v>
      </c>
    </row>
    <row r="236" spans="1:11" ht="12.75">
      <c r="A236" s="1054">
        <v>15200101</v>
      </c>
      <c r="B236" s="1055" t="s">
        <v>893</v>
      </c>
      <c r="C236" s="1055" t="s">
        <v>110</v>
      </c>
      <c r="D236" s="1055" t="s">
        <v>1125</v>
      </c>
      <c r="E236" s="1055" t="s">
        <v>1126</v>
      </c>
      <c r="F236" s="1056">
        <v>7063</v>
      </c>
      <c r="G236" s="1056">
        <v>0</v>
      </c>
      <c r="H236" s="1056">
        <v>0</v>
      </c>
      <c r="I236" s="1056">
        <v>7063</v>
      </c>
      <c r="J236" s="1045"/>
      <c r="K236" s="1037">
        <f t="shared" si="3"/>
        <v>8</v>
      </c>
    </row>
    <row r="237" spans="1:11" ht="12.75">
      <c r="A237" s="1054">
        <v>15200101</v>
      </c>
      <c r="B237" s="1055" t="s">
        <v>893</v>
      </c>
      <c r="C237" s="1055" t="s">
        <v>110</v>
      </c>
      <c r="D237" s="1055" t="s">
        <v>1127</v>
      </c>
      <c r="E237" s="1055" t="s">
        <v>1128</v>
      </c>
      <c r="F237" s="1056">
        <v>4200</v>
      </c>
      <c r="G237" s="1056">
        <v>0</v>
      </c>
      <c r="H237" s="1056">
        <v>0</v>
      </c>
      <c r="I237" s="1056">
        <v>4200</v>
      </c>
      <c r="J237" s="1045"/>
      <c r="K237" s="1037">
        <f t="shared" si="3"/>
        <v>8</v>
      </c>
    </row>
    <row r="238" spans="1:11" ht="12.75">
      <c r="A238" s="1054">
        <v>15200101</v>
      </c>
      <c r="B238" s="1055" t="s">
        <v>893</v>
      </c>
      <c r="C238" s="1055" t="s">
        <v>110</v>
      </c>
      <c r="D238" s="1055" t="s">
        <v>1129</v>
      </c>
      <c r="E238" s="1055" t="s">
        <v>1130</v>
      </c>
      <c r="F238" s="1056">
        <v>16133</v>
      </c>
      <c r="G238" s="1056">
        <v>0</v>
      </c>
      <c r="H238" s="1056">
        <v>0</v>
      </c>
      <c r="I238" s="1056">
        <v>16133</v>
      </c>
      <c r="K238" s="1037">
        <f t="shared" si="3"/>
        <v>8</v>
      </c>
    </row>
    <row r="239" spans="1:11" ht="12.75">
      <c r="A239" s="1054">
        <v>152010</v>
      </c>
      <c r="B239" s="1055" t="s">
        <v>893</v>
      </c>
      <c r="C239" s="1055" t="s">
        <v>576</v>
      </c>
      <c r="D239" s="1055" t="s">
        <v>893</v>
      </c>
      <c r="E239" s="1055" t="s">
        <v>893</v>
      </c>
      <c r="F239" s="1056">
        <v>17992</v>
      </c>
      <c r="G239" s="1056">
        <v>0</v>
      </c>
      <c r="H239" s="1056">
        <v>0</v>
      </c>
      <c r="I239" s="1056">
        <v>17992</v>
      </c>
      <c r="K239" s="1037">
        <f t="shared" si="3"/>
        <v>6</v>
      </c>
    </row>
    <row r="240" spans="1:11" ht="12.75">
      <c r="A240" s="1054">
        <v>15201001</v>
      </c>
      <c r="B240" s="1055" t="s">
        <v>893</v>
      </c>
      <c r="C240" s="1055" t="s">
        <v>576</v>
      </c>
      <c r="D240" s="1055" t="s">
        <v>893</v>
      </c>
      <c r="E240" s="1055" t="s">
        <v>893</v>
      </c>
      <c r="F240" s="1056">
        <v>17992</v>
      </c>
      <c r="G240" s="1056">
        <v>0</v>
      </c>
      <c r="H240" s="1056">
        <v>0</v>
      </c>
      <c r="I240" s="1056">
        <v>17992</v>
      </c>
      <c r="K240" s="1037">
        <f t="shared" si="3"/>
        <v>8</v>
      </c>
    </row>
    <row r="241" spans="1:11" ht="12.75">
      <c r="A241" s="1054">
        <v>15201001</v>
      </c>
      <c r="B241" s="1055" t="s">
        <v>893</v>
      </c>
      <c r="C241" s="1055" t="s">
        <v>576</v>
      </c>
      <c r="D241" s="1055" t="s">
        <v>1103</v>
      </c>
      <c r="E241" s="1055" t="s">
        <v>1104</v>
      </c>
      <c r="F241" s="1056">
        <v>3800</v>
      </c>
      <c r="G241" s="1056">
        <v>0</v>
      </c>
      <c r="H241" s="1056">
        <v>0</v>
      </c>
      <c r="I241" s="1056">
        <v>3800</v>
      </c>
      <c r="K241" s="1037">
        <f t="shared" si="3"/>
        <v>8</v>
      </c>
    </row>
    <row r="242" spans="1:11" ht="12.75">
      <c r="A242" s="1054">
        <v>15201001</v>
      </c>
      <c r="B242" s="1055" t="s">
        <v>893</v>
      </c>
      <c r="C242" s="1055" t="s">
        <v>576</v>
      </c>
      <c r="D242" s="1055" t="s">
        <v>1105</v>
      </c>
      <c r="E242" s="1055" t="s">
        <v>1106</v>
      </c>
      <c r="F242" s="1056">
        <v>5357</v>
      </c>
      <c r="G242" s="1056">
        <v>0</v>
      </c>
      <c r="H242" s="1056">
        <v>0</v>
      </c>
      <c r="I242" s="1056">
        <v>5357</v>
      </c>
      <c r="K242" s="1037">
        <f t="shared" si="3"/>
        <v>8</v>
      </c>
    </row>
    <row r="243" spans="1:11" ht="12.75">
      <c r="A243" s="1054">
        <v>15201001</v>
      </c>
      <c r="B243" s="1055" t="s">
        <v>893</v>
      </c>
      <c r="C243" s="1055" t="s">
        <v>576</v>
      </c>
      <c r="D243" s="1055" t="s">
        <v>1109</v>
      </c>
      <c r="E243" s="1055" t="s">
        <v>1110</v>
      </c>
      <c r="F243" s="1056">
        <v>2156</v>
      </c>
      <c r="G243" s="1056">
        <v>0</v>
      </c>
      <c r="H243" s="1056">
        <v>0</v>
      </c>
      <c r="I243" s="1056">
        <v>2156</v>
      </c>
      <c r="K243" s="1037">
        <f t="shared" si="3"/>
        <v>8</v>
      </c>
    </row>
    <row r="244" spans="1:11" ht="12.75">
      <c r="A244" s="1054">
        <v>15201001</v>
      </c>
      <c r="B244" s="1055" t="s">
        <v>893</v>
      </c>
      <c r="C244" s="1055" t="s">
        <v>576</v>
      </c>
      <c r="D244" s="1055" t="s">
        <v>1111</v>
      </c>
      <c r="E244" s="1055" t="s">
        <v>1112</v>
      </c>
      <c r="F244" s="1056">
        <v>2171</v>
      </c>
      <c r="G244" s="1056">
        <v>0</v>
      </c>
      <c r="H244" s="1056">
        <v>0</v>
      </c>
      <c r="I244" s="1056">
        <v>2171</v>
      </c>
      <c r="K244" s="1037">
        <f t="shared" si="3"/>
        <v>8</v>
      </c>
    </row>
    <row r="245" spans="1:11" ht="12.75">
      <c r="A245" s="1054">
        <v>15201001</v>
      </c>
      <c r="B245" s="1055" t="s">
        <v>893</v>
      </c>
      <c r="C245" s="1055" t="s">
        <v>576</v>
      </c>
      <c r="D245" s="1055" t="s">
        <v>1113</v>
      </c>
      <c r="E245" s="1055" t="s">
        <v>1114</v>
      </c>
      <c r="F245" s="1056">
        <v>271</v>
      </c>
      <c r="G245" s="1056">
        <v>0</v>
      </c>
      <c r="H245" s="1056">
        <v>0</v>
      </c>
      <c r="I245" s="1056">
        <v>271</v>
      </c>
      <c r="K245" s="1037">
        <f t="shared" si="3"/>
        <v>8</v>
      </c>
    </row>
    <row r="246" spans="1:11" ht="12.75">
      <c r="A246" s="1054">
        <v>15201001</v>
      </c>
      <c r="B246" s="1055" t="s">
        <v>893</v>
      </c>
      <c r="C246" s="1055" t="s">
        <v>576</v>
      </c>
      <c r="D246" s="1055" t="s">
        <v>1121</v>
      </c>
      <c r="E246" s="1055" t="s">
        <v>1122</v>
      </c>
      <c r="F246" s="1056">
        <v>375</v>
      </c>
      <c r="G246" s="1056">
        <v>0</v>
      </c>
      <c r="H246" s="1056">
        <v>0</v>
      </c>
      <c r="I246" s="1056">
        <v>375</v>
      </c>
      <c r="K246" s="1037">
        <f t="shared" si="3"/>
        <v>8</v>
      </c>
    </row>
    <row r="247" spans="1:11" ht="12.75">
      <c r="A247" s="1054">
        <v>15201001</v>
      </c>
      <c r="B247" s="1055" t="s">
        <v>893</v>
      </c>
      <c r="C247" s="1055" t="s">
        <v>576</v>
      </c>
      <c r="D247" s="1055" t="s">
        <v>1127</v>
      </c>
      <c r="E247" s="1055" t="s">
        <v>1128</v>
      </c>
      <c r="F247" s="1056">
        <v>798</v>
      </c>
      <c r="G247" s="1056">
        <v>0</v>
      </c>
      <c r="H247" s="1056">
        <v>0</v>
      </c>
      <c r="I247" s="1056">
        <v>798</v>
      </c>
      <c r="K247" s="1037">
        <f t="shared" si="3"/>
        <v>8</v>
      </c>
    </row>
    <row r="248" spans="1:11" ht="12.75">
      <c r="A248" s="1054">
        <v>15201001</v>
      </c>
      <c r="B248" s="1055" t="s">
        <v>893</v>
      </c>
      <c r="C248" s="1055" t="s">
        <v>576</v>
      </c>
      <c r="D248" s="1055" t="s">
        <v>1129</v>
      </c>
      <c r="E248" s="1055" t="s">
        <v>1130</v>
      </c>
      <c r="F248" s="1056">
        <v>3065</v>
      </c>
      <c r="G248" s="1056">
        <v>0</v>
      </c>
      <c r="H248" s="1056">
        <v>0</v>
      </c>
      <c r="I248" s="1056">
        <v>3065</v>
      </c>
      <c r="K248" s="1037">
        <f t="shared" si="3"/>
        <v>8</v>
      </c>
    </row>
    <row r="249" spans="1:11" ht="12.75">
      <c r="A249" s="1054">
        <v>152092</v>
      </c>
      <c r="B249" s="1055" t="s">
        <v>893</v>
      </c>
      <c r="C249" s="1055" t="s">
        <v>327</v>
      </c>
      <c r="D249" s="1055" t="s">
        <v>893</v>
      </c>
      <c r="E249" s="1055" t="s">
        <v>893</v>
      </c>
      <c r="F249" s="1056">
        <v>-121126</v>
      </c>
      <c r="G249" s="1056">
        <v>0</v>
      </c>
      <c r="H249" s="1056">
        <v>222</v>
      </c>
      <c r="I249" s="1056">
        <v>-121348</v>
      </c>
      <c r="K249" s="1037">
        <f t="shared" si="3"/>
        <v>6</v>
      </c>
    </row>
    <row r="250" spans="1:11" ht="12.75">
      <c r="A250" s="1054">
        <v>152092</v>
      </c>
      <c r="B250" s="1055" t="s">
        <v>893</v>
      </c>
      <c r="C250" s="1055" t="s">
        <v>327</v>
      </c>
      <c r="D250" s="1055" t="s">
        <v>1223</v>
      </c>
      <c r="E250" s="1055" t="s">
        <v>742</v>
      </c>
      <c r="F250" s="1056">
        <v>-15163</v>
      </c>
      <c r="G250" s="1056">
        <v>0</v>
      </c>
      <c r="H250" s="1056">
        <v>0</v>
      </c>
      <c r="I250" s="1056">
        <v>-15163</v>
      </c>
      <c r="K250" s="1037">
        <f t="shared" si="3"/>
        <v>6</v>
      </c>
    </row>
    <row r="251" spans="1:11" ht="12.75">
      <c r="A251" s="1054">
        <v>152092</v>
      </c>
      <c r="B251" s="1055" t="s">
        <v>893</v>
      </c>
      <c r="C251" s="1055" t="s">
        <v>327</v>
      </c>
      <c r="D251" s="1055" t="s">
        <v>1083</v>
      </c>
      <c r="E251" s="1055" t="s">
        <v>256</v>
      </c>
      <c r="F251" s="1056">
        <v>-105963</v>
      </c>
      <c r="G251" s="1056">
        <v>0</v>
      </c>
      <c r="H251" s="1056">
        <v>222</v>
      </c>
      <c r="I251" s="1056">
        <v>-106185</v>
      </c>
      <c r="K251" s="1037">
        <f t="shared" si="3"/>
        <v>6</v>
      </c>
    </row>
    <row r="252" spans="1:11" ht="12.75">
      <c r="A252" s="1054">
        <v>1524</v>
      </c>
      <c r="B252" s="1055" t="s">
        <v>893</v>
      </c>
      <c r="C252" s="1055" t="s">
        <v>111</v>
      </c>
      <c r="D252" s="1055" t="s">
        <v>893</v>
      </c>
      <c r="E252" s="1055" t="s">
        <v>893</v>
      </c>
      <c r="F252" s="1056">
        <v>153435</v>
      </c>
      <c r="G252" s="1056">
        <v>0</v>
      </c>
      <c r="H252" s="1056">
        <v>147</v>
      </c>
      <c r="I252" s="1056">
        <v>153288</v>
      </c>
      <c r="K252" s="1037">
        <f t="shared" si="3"/>
        <v>4</v>
      </c>
    </row>
    <row r="253" spans="1:11" ht="12.75">
      <c r="A253" s="1054">
        <v>152405</v>
      </c>
      <c r="B253" s="1055" t="s">
        <v>893</v>
      </c>
      <c r="C253" s="1055" t="s">
        <v>708</v>
      </c>
      <c r="D253" s="1055" t="s">
        <v>893</v>
      </c>
      <c r="E253" s="1055" t="s">
        <v>893</v>
      </c>
      <c r="F253" s="1056">
        <v>197338</v>
      </c>
      <c r="G253" s="1056">
        <v>0</v>
      </c>
      <c r="H253" s="1056">
        <v>0</v>
      </c>
      <c r="I253" s="1056">
        <v>197338</v>
      </c>
      <c r="K253" s="1037">
        <f t="shared" si="3"/>
        <v>6</v>
      </c>
    </row>
    <row r="254" spans="1:11" ht="12.75">
      <c r="A254" s="1054">
        <v>15240501</v>
      </c>
      <c r="B254" s="1055" t="s">
        <v>893</v>
      </c>
      <c r="C254" s="1055" t="s">
        <v>708</v>
      </c>
      <c r="D254" s="1055" t="s">
        <v>893</v>
      </c>
      <c r="E254" s="1055" t="s">
        <v>893</v>
      </c>
      <c r="F254" s="1056">
        <v>197338</v>
      </c>
      <c r="G254" s="1056">
        <v>0</v>
      </c>
      <c r="H254" s="1056">
        <v>0</v>
      </c>
      <c r="I254" s="1056">
        <v>197338</v>
      </c>
      <c r="K254" s="1037">
        <f t="shared" si="3"/>
        <v>8</v>
      </c>
    </row>
    <row r="255" spans="1:11" ht="12.75">
      <c r="A255" s="1054">
        <v>15240501</v>
      </c>
      <c r="B255" s="1055" t="s">
        <v>893</v>
      </c>
      <c r="C255" s="1055" t="s">
        <v>708</v>
      </c>
      <c r="D255" s="1055" t="s">
        <v>1067</v>
      </c>
      <c r="E255" s="1055" t="s">
        <v>1068</v>
      </c>
      <c r="F255" s="1056">
        <v>27154</v>
      </c>
      <c r="G255" s="1056">
        <v>0</v>
      </c>
      <c r="H255" s="1056">
        <v>0</v>
      </c>
      <c r="I255" s="1056">
        <v>27154</v>
      </c>
      <c r="K255" s="1037">
        <f t="shared" si="3"/>
        <v>8</v>
      </c>
    </row>
    <row r="256" spans="1:11" ht="12.75">
      <c r="A256" s="1054">
        <v>15240501</v>
      </c>
      <c r="B256" s="1055" t="s">
        <v>893</v>
      </c>
      <c r="C256" s="1055" t="s">
        <v>708</v>
      </c>
      <c r="D256" s="1055" t="s">
        <v>1103</v>
      </c>
      <c r="E256" s="1055" t="s">
        <v>1104</v>
      </c>
      <c r="F256" s="1056">
        <v>11515</v>
      </c>
      <c r="G256" s="1056">
        <v>0</v>
      </c>
      <c r="H256" s="1056">
        <v>0</v>
      </c>
      <c r="I256" s="1056">
        <v>11515</v>
      </c>
      <c r="K256" s="1037">
        <f t="shared" si="3"/>
        <v>8</v>
      </c>
    </row>
    <row r="257" spans="1:11" ht="12.75">
      <c r="A257" s="1054">
        <v>15240501</v>
      </c>
      <c r="B257" s="1055" t="s">
        <v>893</v>
      </c>
      <c r="C257" s="1055" t="s">
        <v>708</v>
      </c>
      <c r="D257" s="1055" t="s">
        <v>1084</v>
      </c>
      <c r="E257" s="1055" t="s">
        <v>1010</v>
      </c>
      <c r="F257" s="1056">
        <v>15950</v>
      </c>
      <c r="G257" s="1056">
        <v>0</v>
      </c>
      <c r="H257" s="1056">
        <v>0</v>
      </c>
      <c r="I257" s="1056">
        <v>15950</v>
      </c>
      <c r="K257" s="1037">
        <f t="shared" si="3"/>
        <v>8</v>
      </c>
    </row>
    <row r="258" spans="1:11" ht="12.75">
      <c r="A258" s="1054">
        <v>15240501</v>
      </c>
      <c r="B258" s="1055" t="s">
        <v>893</v>
      </c>
      <c r="C258" s="1055" t="s">
        <v>708</v>
      </c>
      <c r="D258" s="1055" t="s">
        <v>1131</v>
      </c>
      <c r="E258" s="1055" t="s">
        <v>1132</v>
      </c>
      <c r="F258" s="1056">
        <v>2760</v>
      </c>
      <c r="G258" s="1056">
        <v>0</v>
      </c>
      <c r="H258" s="1056">
        <v>0</v>
      </c>
      <c r="I258" s="1056">
        <v>2760</v>
      </c>
      <c r="K258" s="1037">
        <f t="shared" si="3"/>
        <v>8</v>
      </c>
    </row>
    <row r="259" spans="1:11" ht="12.75">
      <c r="A259" s="1054">
        <v>15240501</v>
      </c>
      <c r="B259" s="1055" t="s">
        <v>893</v>
      </c>
      <c r="C259" s="1055" t="s">
        <v>708</v>
      </c>
      <c r="D259" s="1055" t="s">
        <v>1133</v>
      </c>
      <c r="E259" s="1055" t="s">
        <v>1134</v>
      </c>
      <c r="F259" s="1056">
        <v>8258</v>
      </c>
      <c r="G259" s="1056">
        <v>0</v>
      </c>
      <c r="H259" s="1056">
        <v>0</v>
      </c>
      <c r="I259" s="1056">
        <v>8258</v>
      </c>
      <c r="K259" s="1037">
        <f t="shared" si="3"/>
        <v>8</v>
      </c>
    </row>
    <row r="260" spans="1:11" ht="12.75">
      <c r="A260" s="1054">
        <v>15240501</v>
      </c>
      <c r="B260" s="1055" t="s">
        <v>893</v>
      </c>
      <c r="C260" s="1055" t="s">
        <v>708</v>
      </c>
      <c r="D260" s="1055" t="s">
        <v>1135</v>
      </c>
      <c r="E260" s="1055" t="s">
        <v>1016</v>
      </c>
      <c r="F260" s="1056">
        <v>1800</v>
      </c>
      <c r="G260" s="1056">
        <v>0</v>
      </c>
      <c r="H260" s="1056">
        <v>0</v>
      </c>
      <c r="I260" s="1056">
        <v>1800</v>
      </c>
      <c r="K260" s="1037">
        <f t="shared" si="3"/>
        <v>8</v>
      </c>
    </row>
    <row r="261" spans="1:11" ht="12.75">
      <c r="A261" s="1054">
        <v>15240501</v>
      </c>
      <c r="B261" s="1055" t="s">
        <v>893</v>
      </c>
      <c r="C261" s="1055" t="s">
        <v>708</v>
      </c>
      <c r="D261" s="1055" t="s">
        <v>1091</v>
      </c>
      <c r="E261" s="1055" t="s">
        <v>1092</v>
      </c>
      <c r="F261" s="1056">
        <v>18963</v>
      </c>
      <c r="G261" s="1056">
        <v>0</v>
      </c>
      <c r="H261" s="1056">
        <v>0</v>
      </c>
      <c r="I261" s="1056">
        <v>18963</v>
      </c>
      <c r="K261" s="1037">
        <f t="shared" ref="K261:K324" si="4">+LEN(A261)</f>
        <v>8</v>
      </c>
    </row>
    <row r="262" spans="1:11" ht="12.75">
      <c r="A262" s="1054">
        <v>15240501</v>
      </c>
      <c r="B262" s="1055" t="s">
        <v>893</v>
      </c>
      <c r="C262" s="1055" t="s">
        <v>708</v>
      </c>
      <c r="D262" s="1055" t="s">
        <v>1136</v>
      </c>
      <c r="E262" s="1055" t="s">
        <v>1137</v>
      </c>
      <c r="F262" s="1056">
        <v>5124</v>
      </c>
      <c r="G262" s="1056">
        <v>0</v>
      </c>
      <c r="H262" s="1056">
        <v>0</v>
      </c>
      <c r="I262" s="1056">
        <v>5124</v>
      </c>
      <c r="K262" s="1037">
        <f t="shared" si="4"/>
        <v>8</v>
      </c>
    </row>
    <row r="263" spans="1:11" ht="12.75">
      <c r="A263" s="1054">
        <v>15240501</v>
      </c>
      <c r="B263" s="1055" t="s">
        <v>893</v>
      </c>
      <c r="C263" s="1055" t="s">
        <v>708</v>
      </c>
      <c r="D263" s="1055" t="s">
        <v>1138</v>
      </c>
      <c r="E263" s="1055" t="s">
        <v>1139</v>
      </c>
      <c r="F263" s="1056">
        <v>4517</v>
      </c>
      <c r="G263" s="1056">
        <v>0</v>
      </c>
      <c r="H263" s="1056">
        <v>0</v>
      </c>
      <c r="I263" s="1056">
        <v>4517</v>
      </c>
      <c r="K263" s="1037">
        <f t="shared" si="4"/>
        <v>8</v>
      </c>
    </row>
    <row r="264" spans="1:11" ht="12.75">
      <c r="A264" s="1054">
        <v>15240501</v>
      </c>
      <c r="B264" s="1055" t="s">
        <v>893</v>
      </c>
      <c r="C264" s="1055" t="s">
        <v>708</v>
      </c>
      <c r="D264" s="1055" t="s">
        <v>1140</v>
      </c>
      <c r="E264" s="1055" t="s">
        <v>1141</v>
      </c>
      <c r="F264" s="1056">
        <v>28488</v>
      </c>
      <c r="G264" s="1056">
        <v>0</v>
      </c>
      <c r="H264" s="1056">
        <v>0</v>
      </c>
      <c r="I264" s="1056">
        <v>28488</v>
      </c>
      <c r="K264" s="1037">
        <f t="shared" si="4"/>
        <v>8</v>
      </c>
    </row>
    <row r="265" spans="1:11" ht="12.75">
      <c r="A265" s="1054">
        <v>15240501</v>
      </c>
      <c r="B265" s="1055" t="s">
        <v>893</v>
      </c>
      <c r="C265" s="1055" t="s">
        <v>708</v>
      </c>
      <c r="D265" s="1055" t="s">
        <v>1142</v>
      </c>
      <c r="E265" s="1055" t="s">
        <v>1143</v>
      </c>
      <c r="F265" s="1056">
        <v>1000</v>
      </c>
      <c r="G265" s="1056">
        <v>0</v>
      </c>
      <c r="H265" s="1056">
        <v>0</v>
      </c>
      <c r="I265" s="1056">
        <v>1000</v>
      </c>
      <c r="K265" s="1037">
        <f t="shared" si="4"/>
        <v>8</v>
      </c>
    </row>
    <row r="266" spans="1:11" ht="12.75">
      <c r="A266" s="1054">
        <v>15240501</v>
      </c>
      <c r="B266" s="1055" t="s">
        <v>893</v>
      </c>
      <c r="C266" s="1055" t="s">
        <v>708</v>
      </c>
      <c r="D266" s="1055" t="s">
        <v>1115</v>
      </c>
      <c r="E266" s="1055" t="s">
        <v>1116</v>
      </c>
      <c r="F266" s="1056">
        <v>5517</v>
      </c>
      <c r="G266" s="1056">
        <v>0</v>
      </c>
      <c r="H266" s="1056">
        <v>0</v>
      </c>
      <c r="I266" s="1056">
        <v>5517</v>
      </c>
      <c r="K266" s="1037">
        <f t="shared" si="4"/>
        <v>8</v>
      </c>
    </row>
    <row r="267" spans="1:11" ht="12.75">
      <c r="A267" s="1054">
        <v>15240501</v>
      </c>
      <c r="B267" s="1055" t="s">
        <v>893</v>
      </c>
      <c r="C267" s="1055" t="s">
        <v>708</v>
      </c>
      <c r="D267" s="1055" t="s">
        <v>1083</v>
      </c>
      <c r="E267" s="1055" t="s">
        <v>256</v>
      </c>
      <c r="F267" s="1056">
        <v>0</v>
      </c>
      <c r="G267" s="1056">
        <v>0</v>
      </c>
      <c r="H267" s="1056">
        <v>0</v>
      </c>
      <c r="I267" s="1056">
        <v>0</v>
      </c>
      <c r="K267" s="1037">
        <f t="shared" si="4"/>
        <v>8</v>
      </c>
    </row>
    <row r="268" spans="1:11" ht="12.75">
      <c r="A268" s="1054">
        <v>15240501</v>
      </c>
      <c r="B268" s="1055" t="s">
        <v>893</v>
      </c>
      <c r="C268" s="1055" t="s">
        <v>708</v>
      </c>
      <c r="D268" s="1055" t="s">
        <v>1144</v>
      </c>
      <c r="E268" s="1055" t="s">
        <v>1145</v>
      </c>
      <c r="F268" s="1056">
        <v>4915</v>
      </c>
      <c r="G268" s="1056">
        <v>0</v>
      </c>
      <c r="H268" s="1056">
        <v>0</v>
      </c>
      <c r="I268" s="1056">
        <v>4915</v>
      </c>
      <c r="K268" s="1037">
        <f t="shared" si="4"/>
        <v>8</v>
      </c>
    </row>
    <row r="269" spans="1:11" ht="12.75">
      <c r="A269" s="1054">
        <v>15240501</v>
      </c>
      <c r="B269" s="1055" t="s">
        <v>893</v>
      </c>
      <c r="C269" s="1055" t="s">
        <v>708</v>
      </c>
      <c r="D269" s="1055" t="s">
        <v>1146</v>
      </c>
      <c r="E269" s="1055" t="s">
        <v>1147</v>
      </c>
      <c r="F269" s="1056">
        <v>405</v>
      </c>
      <c r="G269" s="1056">
        <v>0</v>
      </c>
      <c r="H269" s="1056">
        <v>0</v>
      </c>
      <c r="I269" s="1056">
        <v>405</v>
      </c>
      <c r="K269" s="1037">
        <f t="shared" si="4"/>
        <v>8</v>
      </c>
    </row>
    <row r="270" spans="1:11" ht="12.75">
      <c r="A270" s="1054">
        <v>15240501</v>
      </c>
      <c r="B270" s="1055" t="s">
        <v>893</v>
      </c>
      <c r="C270" s="1055" t="s">
        <v>708</v>
      </c>
      <c r="D270" s="1055" t="s">
        <v>1119</v>
      </c>
      <c r="E270" s="1055" t="s">
        <v>1120</v>
      </c>
      <c r="F270" s="1056">
        <v>4555</v>
      </c>
      <c r="G270" s="1056">
        <v>0</v>
      </c>
      <c r="H270" s="1056">
        <v>0</v>
      </c>
      <c r="I270" s="1056">
        <v>4555</v>
      </c>
      <c r="K270" s="1037">
        <f t="shared" si="4"/>
        <v>8</v>
      </c>
    </row>
    <row r="271" spans="1:11" ht="12.75">
      <c r="A271" s="1054">
        <v>15240501</v>
      </c>
      <c r="B271" s="1055" t="s">
        <v>893</v>
      </c>
      <c r="C271" s="1055" t="s">
        <v>708</v>
      </c>
      <c r="D271" s="1055" t="s">
        <v>1148</v>
      </c>
      <c r="E271" s="1055" t="s">
        <v>1149</v>
      </c>
      <c r="F271" s="1056">
        <v>1510</v>
      </c>
      <c r="G271" s="1056">
        <v>0</v>
      </c>
      <c r="H271" s="1056">
        <v>0</v>
      </c>
      <c r="I271" s="1056">
        <v>1510</v>
      </c>
      <c r="K271" s="1037">
        <f t="shared" si="4"/>
        <v>8</v>
      </c>
    </row>
    <row r="272" spans="1:11" ht="12.75">
      <c r="A272" s="1054">
        <v>15240501</v>
      </c>
      <c r="B272" s="1055" t="s">
        <v>893</v>
      </c>
      <c r="C272" s="1055" t="s">
        <v>708</v>
      </c>
      <c r="D272" s="1055" t="s">
        <v>1123</v>
      </c>
      <c r="E272" s="1055" t="s">
        <v>1124</v>
      </c>
      <c r="F272" s="1056">
        <v>6198</v>
      </c>
      <c r="G272" s="1056">
        <v>0</v>
      </c>
      <c r="H272" s="1056">
        <v>0</v>
      </c>
      <c r="I272" s="1056">
        <v>6198</v>
      </c>
      <c r="K272" s="1037">
        <f t="shared" si="4"/>
        <v>8</v>
      </c>
    </row>
    <row r="273" spans="1:11" ht="12.75">
      <c r="A273" s="1054">
        <v>15240501</v>
      </c>
      <c r="B273" s="1055" t="s">
        <v>893</v>
      </c>
      <c r="C273" s="1055" t="s">
        <v>708</v>
      </c>
      <c r="D273" s="1055" t="s">
        <v>1127</v>
      </c>
      <c r="E273" s="1055" t="s">
        <v>1128</v>
      </c>
      <c r="F273" s="1056">
        <v>11779</v>
      </c>
      <c r="G273" s="1056">
        <v>0</v>
      </c>
      <c r="H273" s="1056">
        <v>0</v>
      </c>
      <c r="I273" s="1056">
        <v>11779</v>
      </c>
      <c r="K273" s="1037">
        <f t="shared" si="4"/>
        <v>8</v>
      </c>
    </row>
    <row r="274" spans="1:11" ht="12.75">
      <c r="A274" s="1054">
        <v>15240501</v>
      </c>
      <c r="B274" s="1055" t="s">
        <v>893</v>
      </c>
      <c r="C274" s="1055" t="s">
        <v>708</v>
      </c>
      <c r="D274" s="1055" t="s">
        <v>1047</v>
      </c>
      <c r="E274" s="1055" t="s">
        <v>1048</v>
      </c>
      <c r="F274" s="1056">
        <v>25630</v>
      </c>
      <c r="G274" s="1056">
        <v>0</v>
      </c>
      <c r="H274" s="1056">
        <v>0</v>
      </c>
      <c r="I274" s="1056">
        <v>25630</v>
      </c>
      <c r="K274" s="1037">
        <f t="shared" si="4"/>
        <v>8</v>
      </c>
    </row>
    <row r="275" spans="1:11" ht="12.75">
      <c r="A275" s="1054">
        <v>15240501</v>
      </c>
      <c r="B275" s="1055" t="s">
        <v>893</v>
      </c>
      <c r="C275" s="1055" t="s">
        <v>708</v>
      </c>
      <c r="D275" s="1055" t="s">
        <v>1049</v>
      </c>
      <c r="E275" s="1055" t="s">
        <v>1050</v>
      </c>
      <c r="F275" s="1056">
        <v>11300</v>
      </c>
      <c r="G275" s="1056">
        <v>0</v>
      </c>
      <c r="H275" s="1056">
        <v>0</v>
      </c>
      <c r="I275" s="1056">
        <v>11300</v>
      </c>
      <c r="K275" s="1037">
        <f t="shared" si="4"/>
        <v>8</v>
      </c>
    </row>
    <row r="276" spans="1:11" ht="12.75">
      <c r="A276" s="1054">
        <v>152410</v>
      </c>
      <c r="B276" s="1055" t="s">
        <v>893</v>
      </c>
      <c r="C276" s="1055" t="s">
        <v>709</v>
      </c>
      <c r="D276" s="1055" t="s">
        <v>893</v>
      </c>
      <c r="E276" s="1055" t="s">
        <v>893</v>
      </c>
      <c r="F276" s="1056">
        <v>13652</v>
      </c>
      <c r="G276" s="1056">
        <v>0</v>
      </c>
      <c r="H276" s="1056">
        <v>0</v>
      </c>
      <c r="I276" s="1056">
        <v>13652</v>
      </c>
      <c r="K276" s="1037">
        <f t="shared" si="4"/>
        <v>6</v>
      </c>
    </row>
    <row r="277" spans="1:11" ht="12.75">
      <c r="A277" s="1054">
        <v>15241001</v>
      </c>
      <c r="B277" s="1055" t="s">
        <v>893</v>
      </c>
      <c r="C277" s="1055" t="s">
        <v>709</v>
      </c>
      <c r="D277" s="1055" t="s">
        <v>893</v>
      </c>
      <c r="E277" s="1055" t="s">
        <v>893</v>
      </c>
      <c r="F277" s="1056">
        <v>13652</v>
      </c>
      <c r="G277" s="1056">
        <v>0</v>
      </c>
      <c r="H277" s="1056">
        <v>0</v>
      </c>
      <c r="I277" s="1056">
        <v>13652</v>
      </c>
      <c r="K277" s="1037">
        <f t="shared" si="4"/>
        <v>8</v>
      </c>
    </row>
    <row r="278" spans="1:11" ht="12.75">
      <c r="A278" s="1054">
        <v>15241001</v>
      </c>
      <c r="B278" s="1055" t="s">
        <v>893</v>
      </c>
      <c r="C278" s="1055" t="s">
        <v>709</v>
      </c>
      <c r="D278" s="1055" t="s">
        <v>1103</v>
      </c>
      <c r="E278" s="1055" t="s">
        <v>1104</v>
      </c>
      <c r="F278" s="1056">
        <v>2188</v>
      </c>
      <c r="G278" s="1056">
        <v>0</v>
      </c>
      <c r="H278" s="1056">
        <v>0</v>
      </c>
      <c r="I278" s="1056">
        <v>2188</v>
      </c>
      <c r="K278" s="1037">
        <f t="shared" si="4"/>
        <v>8</v>
      </c>
    </row>
    <row r="279" spans="1:11" ht="12.75">
      <c r="A279" s="1054">
        <v>15241001</v>
      </c>
      <c r="B279" s="1055" t="s">
        <v>893</v>
      </c>
      <c r="C279" s="1055" t="s">
        <v>709</v>
      </c>
      <c r="D279" s="1055" t="s">
        <v>1140</v>
      </c>
      <c r="E279" s="1055" t="s">
        <v>1141</v>
      </c>
      <c r="F279" s="1056">
        <v>3222</v>
      </c>
      <c r="G279" s="1056">
        <v>0</v>
      </c>
      <c r="H279" s="1056">
        <v>0</v>
      </c>
      <c r="I279" s="1056">
        <v>3222</v>
      </c>
      <c r="K279" s="1037">
        <f t="shared" si="4"/>
        <v>8</v>
      </c>
    </row>
    <row r="280" spans="1:11" ht="12.75">
      <c r="A280" s="1054">
        <v>15241001</v>
      </c>
      <c r="B280" s="1055" t="s">
        <v>893</v>
      </c>
      <c r="C280" s="1055" t="s">
        <v>709</v>
      </c>
      <c r="D280" s="1055" t="s">
        <v>1142</v>
      </c>
      <c r="E280" s="1055" t="s">
        <v>1143</v>
      </c>
      <c r="F280" s="1056">
        <v>190</v>
      </c>
      <c r="G280" s="1056">
        <v>0</v>
      </c>
      <c r="H280" s="1056">
        <v>0</v>
      </c>
      <c r="I280" s="1056">
        <v>190</v>
      </c>
      <c r="K280" s="1037">
        <f t="shared" si="4"/>
        <v>8</v>
      </c>
    </row>
    <row r="281" spans="1:11" ht="12.75">
      <c r="A281" s="1054">
        <v>15241001</v>
      </c>
      <c r="B281" s="1055" t="s">
        <v>893</v>
      </c>
      <c r="C281" s="1055" t="s">
        <v>709</v>
      </c>
      <c r="D281" s="1055" t="s">
        <v>1144</v>
      </c>
      <c r="E281" s="1055" t="s">
        <v>1145</v>
      </c>
      <c r="F281" s="1056">
        <v>945</v>
      </c>
      <c r="G281" s="1056">
        <v>0</v>
      </c>
      <c r="H281" s="1056">
        <v>0</v>
      </c>
      <c r="I281" s="1056">
        <v>945</v>
      </c>
      <c r="K281" s="1037">
        <f t="shared" si="4"/>
        <v>8</v>
      </c>
    </row>
    <row r="282" spans="1:11" ht="12.75">
      <c r="A282" s="1054">
        <v>15241001</v>
      </c>
      <c r="B282" s="1055" t="s">
        <v>893</v>
      </c>
      <c r="C282" s="1055" t="s">
        <v>709</v>
      </c>
      <c r="D282" s="1055" t="s">
        <v>1127</v>
      </c>
      <c r="E282" s="1055" t="s">
        <v>1128</v>
      </c>
      <c r="F282" s="1056">
        <v>2238</v>
      </c>
      <c r="G282" s="1056">
        <v>0</v>
      </c>
      <c r="H282" s="1056">
        <v>0</v>
      </c>
      <c r="I282" s="1056">
        <v>2238</v>
      </c>
      <c r="K282" s="1037">
        <f t="shared" si="4"/>
        <v>8</v>
      </c>
    </row>
    <row r="283" spans="1:11" ht="12.75">
      <c r="A283" s="1054">
        <v>15241001</v>
      </c>
      <c r="B283" s="1055" t="s">
        <v>893</v>
      </c>
      <c r="C283" s="1055" t="s">
        <v>709</v>
      </c>
      <c r="D283" s="1055" t="s">
        <v>1047</v>
      </c>
      <c r="E283" s="1055" t="s">
        <v>1048</v>
      </c>
      <c r="F283" s="1056">
        <v>4870</v>
      </c>
      <c r="G283" s="1056">
        <v>0</v>
      </c>
      <c r="H283" s="1056">
        <v>0</v>
      </c>
      <c r="I283" s="1056">
        <v>4870</v>
      </c>
      <c r="K283" s="1037">
        <f t="shared" si="4"/>
        <v>8</v>
      </c>
    </row>
    <row r="284" spans="1:11" ht="12.75">
      <c r="A284" s="1054">
        <v>152492</v>
      </c>
      <c r="B284" s="1055" t="s">
        <v>893</v>
      </c>
      <c r="C284" s="1055" t="s">
        <v>327</v>
      </c>
      <c r="D284" s="1055" t="s">
        <v>893</v>
      </c>
      <c r="E284" s="1055" t="s">
        <v>893</v>
      </c>
      <c r="F284" s="1056">
        <v>-57556</v>
      </c>
      <c r="G284" s="1056">
        <v>0</v>
      </c>
      <c r="H284" s="1056">
        <v>147</v>
      </c>
      <c r="I284" s="1056">
        <v>-57702</v>
      </c>
      <c r="K284" s="1037">
        <f t="shared" si="4"/>
        <v>6</v>
      </c>
    </row>
    <row r="285" spans="1:11" ht="12.75">
      <c r="A285" s="1054">
        <v>152492</v>
      </c>
      <c r="B285" s="1055" t="s">
        <v>893</v>
      </c>
      <c r="C285" s="1055" t="s">
        <v>327</v>
      </c>
      <c r="D285" s="1055" t="s">
        <v>1223</v>
      </c>
      <c r="E285" s="1055" t="s">
        <v>742</v>
      </c>
      <c r="F285" s="1056">
        <v>-10454</v>
      </c>
      <c r="G285" s="1056">
        <v>0</v>
      </c>
      <c r="H285" s="1056">
        <v>0</v>
      </c>
      <c r="I285" s="1056">
        <v>-10454</v>
      </c>
      <c r="K285" s="1037">
        <f t="shared" si="4"/>
        <v>6</v>
      </c>
    </row>
    <row r="286" spans="1:11" ht="12.75">
      <c r="A286" s="1054">
        <v>152492</v>
      </c>
      <c r="B286" s="1055" t="s">
        <v>893</v>
      </c>
      <c r="C286" s="1055" t="s">
        <v>327</v>
      </c>
      <c r="D286" s="1055" t="s">
        <v>1083</v>
      </c>
      <c r="E286" s="1055" t="s">
        <v>256</v>
      </c>
      <c r="F286" s="1056">
        <v>-47102</v>
      </c>
      <c r="G286" s="1056">
        <v>0</v>
      </c>
      <c r="H286" s="1056">
        <v>147</v>
      </c>
      <c r="I286" s="1056">
        <v>-47248</v>
      </c>
      <c r="K286" s="1037">
        <f t="shared" si="4"/>
        <v>6</v>
      </c>
    </row>
    <row r="287" spans="1:11" ht="12.75">
      <c r="A287" s="1054">
        <v>1528</v>
      </c>
      <c r="B287" s="1055" t="s">
        <v>893</v>
      </c>
      <c r="C287" s="1055" t="s">
        <v>710</v>
      </c>
      <c r="D287" s="1055" t="s">
        <v>893</v>
      </c>
      <c r="E287" s="1055" t="s">
        <v>893</v>
      </c>
      <c r="F287" s="1056">
        <v>14120</v>
      </c>
      <c r="G287" s="1056">
        <v>0</v>
      </c>
      <c r="H287" s="1056">
        <v>47</v>
      </c>
      <c r="I287" s="1056">
        <v>14073</v>
      </c>
      <c r="K287" s="1037">
        <f t="shared" si="4"/>
        <v>4</v>
      </c>
    </row>
    <row r="288" spans="1:11" ht="12.75">
      <c r="A288" s="1054">
        <v>152805</v>
      </c>
      <c r="B288" s="1055" t="s">
        <v>893</v>
      </c>
      <c r="C288" s="1055" t="s">
        <v>711</v>
      </c>
      <c r="D288" s="1055" t="s">
        <v>893</v>
      </c>
      <c r="E288" s="1055" t="s">
        <v>893</v>
      </c>
      <c r="F288" s="1056">
        <v>38810</v>
      </c>
      <c r="G288" s="1056">
        <v>0</v>
      </c>
      <c r="H288" s="1056">
        <v>0</v>
      </c>
      <c r="I288" s="1056">
        <v>38810</v>
      </c>
      <c r="K288" s="1037">
        <f t="shared" si="4"/>
        <v>6</v>
      </c>
    </row>
    <row r="289" spans="1:11" ht="12.75">
      <c r="A289" s="1054">
        <v>15280501</v>
      </c>
      <c r="B289" s="1055" t="s">
        <v>893</v>
      </c>
      <c r="C289" s="1055" t="s">
        <v>711</v>
      </c>
      <c r="D289" s="1055" t="s">
        <v>893</v>
      </c>
      <c r="E289" s="1055" t="s">
        <v>893</v>
      </c>
      <c r="F289" s="1056">
        <v>38572</v>
      </c>
      <c r="G289" s="1056">
        <v>0</v>
      </c>
      <c r="H289" s="1056">
        <v>0</v>
      </c>
      <c r="I289" s="1056">
        <v>38572</v>
      </c>
      <c r="K289" s="1037">
        <f t="shared" si="4"/>
        <v>8</v>
      </c>
    </row>
    <row r="290" spans="1:11" ht="12.75">
      <c r="A290" s="1054">
        <v>15280501</v>
      </c>
      <c r="B290" s="1055" t="s">
        <v>893</v>
      </c>
      <c r="C290" s="1055" t="s">
        <v>711</v>
      </c>
      <c r="D290" s="1055" t="s">
        <v>1067</v>
      </c>
      <c r="E290" s="1055" t="s">
        <v>1068</v>
      </c>
      <c r="F290" s="1056">
        <v>11157</v>
      </c>
      <c r="G290" s="1056">
        <v>0</v>
      </c>
      <c r="H290" s="1056">
        <v>0</v>
      </c>
      <c r="I290" s="1056">
        <v>11157</v>
      </c>
      <c r="K290" s="1037">
        <f t="shared" si="4"/>
        <v>8</v>
      </c>
    </row>
    <row r="291" spans="1:11" ht="12.75">
      <c r="A291" s="1054">
        <v>15280501</v>
      </c>
      <c r="B291" s="1055" t="s">
        <v>893</v>
      </c>
      <c r="C291" s="1055" t="s">
        <v>711</v>
      </c>
      <c r="D291" s="1055" t="s">
        <v>1152</v>
      </c>
      <c r="E291" s="1055" t="s">
        <v>1153</v>
      </c>
      <c r="F291" s="1056">
        <v>3000</v>
      </c>
      <c r="G291" s="1056">
        <v>0</v>
      </c>
      <c r="H291" s="1056">
        <v>0</v>
      </c>
      <c r="I291" s="1056">
        <v>3000</v>
      </c>
      <c r="K291" s="1037">
        <f t="shared" si="4"/>
        <v>8</v>
      </c>
    </row>
    <row r="292" spans="1:11" ht="12.75">
      <c r="A292" s="1054">
        <v>15280501</v>
      </c>
      <c r="B292" s="1055" t="s">
        <v>893</v>
      </c>
      <c r="C292" s="1055" t="s">
        <v>711</v>
      </c>
      <c r="D292" s="1055" t="s">
        <v>1083</v>
      </c>
      <c r="E292" s="1055" t="s">
        <v>256</v>
      </c>
      <c r="F292" s="1056">
        <v>-73</v>
      </c>
      <c r="G292" s="1056">
        <v>0</v>
      </c>
      <c r="H292" s="1056">
        <v>0</v>
      </c>
      <c r="I292" s="1056">
        <v>-73</v>
      </c>
      <c r="K292" s="1037">
        <f t="shared" si="4"/>
        <v>8</v>
      </c>
    </row>
    <row r="293" spans="1:11" ht="12.75">
      <c r="A293" s="1054">
        <v>15280501</v>
      </c>
      <c r="B293" s="1055" t="s">
        <v>893</v>
      </c>
      <c r="C293" s="1055" t="s">
        <v>711</v>
      </c>
      <c r="D293" s="1055" t="s">
        <v>1154</v>
      </c>
      <c r="E293" s="1055" t="s">
        <v>1155</v>
      </c>
      <c r="F293" s="1056">
        <v>1180</v>
      </c>
      <c r="G293" s="1056">
        <v>0</v>
      </c>
      <c r="H293" s="1056">
        <v>0</v>
      </c>
      <c r="I293" s="1056">
        <v>1180</v>
      </c>
      <c r="K293" s="1037">
        <f t="shared" si="4"/>
        <v>8</v>
      </c>
    </row>
    <row r="294" spans="1:11" ht="12.75">
      <c r="A294" s="1054">
        <v>15280501</v>
      </c>
      <c r="B294" s="1055" t="s">
        <v>893</v>
      </c>
      <c r="C294" s="1055" t="s">
        <v>711</v>
      </c>
      <c r="D294" s="1055" t="s">
        <v>1156</v>
      </c>
      <c r="E294" s="1055" t="s">
        <v>1157</v>
      </c>
      <c r="F294" s="1056">
        <v>337</v>
      </c>
      <c r="G294" s="1056">
        <v>0</v>
      </c>
      <c r="H294" s="1056">
        <v>0</v>
      </c>
      <c r="I294" s="1056">
        <v>337</v>
      </c>
      <c r="K294" s="1037">
        <f t="shared" si="4"/>
        <v>8</v>
      </c>
    </row>
    <row r="295" spans="1:11" ht="12.75">
      <c r="A295" s="1054">
        <v>15280501</v>
      </c>
      <c r="B295" s="1055" t="s">
        <v>893</v>
      </c>
      <c r="C295" s="1055" t="s">
        <v>711</v>
      </c>
      <c r="D295" s="1055" t="s">
        <v>1146</v>
      </c>
      <c r="E295" s="1055" t="s">
        <v>1147</v>
      </c>
      <c r="F295" s="1056">
        <v>1190</v>
      </c>
      <c r="G295" s="1056">
        <v>0</v>
      </c>
      <c r="H295" s="1056">
        <v>0</v>
      </c>
      <c r="I295" s="1056">
        <v>1190</v>
      </c>
      <c r="K295" s="1037">
        <f t="shared" si="4"/>
        <v>8</v>
      </c>
    </row>
    <row r="296" spans="1:11" ht="12.75">
      <c r="A296" s="1054">
        <v>15280501</v>
      </c>
      <c r="B296" s="1055" t="s">
        <v>893</v>
      </c>
      <c r="C296" s="1055" t="s">
        <v>711</v>
      </c>
      <c r="D296" s="1055" t="s">
        <v>1119</v>
      </c>
      <c r="E296" s="1055" t="s">
        <v>1120</v>
      </c>
      <c r="F296" s="1056">
        <v>2143</v>
      </c>
      <c r="G296" s="1056">
        <v>0</v>
      </c>
      <c r="H296" s="1056">
        <v>0</v>
      </c>
      <c r="I296" s="1056">
        <v>2143</v>
      </c>
      <c r="K296" s="1037">
        <f t="shared" si="4"/>
        <v>8</v>
      </c>
    </row>
    <row r="297" spans="1:11" ht="12.75">
      <c r="A297" s="1054">
        <v>15280501</v>
      </c>
      <c r="B297" s="1055" t="s">
        <v>893</v>
      </c>
      <c r="C297" s="1055" t="s">
        <v>711</v>
      </c>
      <c r="D297" s="1055" t="s">
        <v>1148</v>
      </c>
      <c r="E297" s="1055" t="s">
        <v>1149</v>
      </c>
      <c r="F297" s="1056">
        <v>3576</v>
      </c>
      <c r="G297" s="1056">
        <v>0</v>
      </c>
      <c r="H297" s="1056">
        <v>0</v>
      </c>
      <c r="I297" s="1056">
        <v>3576</v>
      </c>
      <c r="K297" s="1037">
        <f t="shared" si="4"/>
        <v>8</v>
      </c>
    </row>
    <row r="298" spans="1:11" ht="12.75">
      <c r="A298" s="1054">
        <v>15280501</v>
      </c>
      <c r="B298" s="1055" t="s">
        <v>893</v>
      </c>
      <c r="C298" s="1055" t="s">
        <v>711</v>
      </c>
      <c r="D298" s="1055" t="s">
        <v>1158</v>
      </c>
      <c r="E298" s="1055" t="s">
        <v>1159</v>
      </c>
      <c r="F298" s="1056">
        <v>8132</v>
      </c>
      <c r="G298" s="1056">
        <v>0</v>
      </c>
      <c r="H298" s="1056">
        <v>0</v>
      </c>
      <c r="I298" s="1056">
        <v>8132</v>
      </c>
      <c r="K298" s="1037">
        <f t="shared" si="4"/>
        <v>8</v>
      </c>
    </row>
    <row r="299" spans="1:11" ht="12.75">
      <c r="A299" s="1054">
        <v>15280501</v>
      </c>
      <c r="B299" s="1055" t="s">
        <v>893</v>
      </c>
      <c r="C299" s="1055" t="s">
        <v>711</v>
      </c>
      <c r="D299" s="1055" t="s">
        <v>1160</v>
      </c>
      <c r="E299" s="1055" t="s">
        <v>1161</v>
      </c>
      <c r="F299" s="1056">
        <v>1660</v>
      </c>
      <c r="G299" s="1056">
        <v>0</v>
      </c>
      <c r="H299" s="1056">
        <v>0</v>
      </c>
      <c r="I299" s="1056">
        <v>1660</v>
      </c>
      <c r="K299" s="1037">
        <f t="shared" si="4"/>
        <v>8</v>
      </c>
    </row>
    <row r="300" spans="1:11" ht="12.75">
      <c r="A300" s="1054">
        <v>15280501</v>
      </c>
      <c r="B300" s="1055" t="s">
        <v>893</v>
      </c>
      <c r="C300" s="1055" t="s">
        <v>711</v>
      </c>
      <c r="D300" s="1055" t="s">
        <v>1150</v>
      </c>
      <c r="E300" s="1055" t="s">
        <v>1151</v>
      </c>
      <c r="F300" s="1056">
        <v>6270</v>
      </c>
      <c r="G300" s="1056">
        <v>0</v>
      </c>
      <c r="H300" s="1056">
        <v>0</v>
      </c>
      <c r="I300" s="1056">
        <v>6270</v>
      </c>
      <c r="K300" s="1037">
        <f t="shared" si="4"/>
        <v>8</v>
      </c>
    </row>
    <row r="301" spans="1:11" ht="12.75">
      <c r="A301" s="1054">
        <v>15280502</v>
      </c>
      <c r="B301" s="1055" t="s">
        <v>1489</v>
      </c>
      <c r="C301" s="1055" t="s">
        <v>712</v>
      </c>
      <c r="D301" s="1055" t="s">
        <v>893</v>
      </c>
      <c r="E301" s="1055" t="s">
        <v>893</v>
      </c>
      <c r="F301" s="1056">
        <v>238</v>
      </c>
      <c r="G301" s="1056">
        <v>0</v>
      </c>
      <c r="H301" s="1056">
        <v>0</v>
      </c>
      <c r="I301" s="1056">
        <v>238</v>
      </c>
      <c r="K301" s="1037">
        <f t="shared" si="4"/>
        <v>8</v>
      </c>
    </row>
    <row r="302" spans="1:11" ht="12.75">
      <c r="A302" s="1054">
        <v>15280502</v>
      </c>
      <c r="B302" s="1055" t="s">
        <v>1489</v>
      </c>
      <c r="C302" s="1055" t="s">
        <v>712</v>
      </c>
      <c r="D302" s="1055" t="s">
        <v>1158</v>
      </c>
      <c r="E302" s="1055" t="s">
        <v>1159</v>
      </c>
      <c r="F302" s="1056">
        <v>238</v>
      </c>
      <c r="G302" s="1056">
        <v>0</v>
      </c>
      <c r="H302" s="1056">
        <v>0</v>
      </c>
      <c r="I302" s="1056">
        <v>238</v>
      </c>
      <c r="K302" s="1037">
        <f t="shared" si="4"/>
        <v>8</v>
      </c>
    </row>
    <row r="303" spans="1:11" ht="12.75">
      <c r="A303" s="1054">
        <v>152810</v>
      </c>
      <c r="B303" s="1055" t="s">
        <v>893</v>
      </c>
      <c r="C303" s="1055" t="s">
        <v>713</v>
      </c>
      <c r="D303" s="1055" t="s">
        <v>893</v>
      </c>
      <c r="E303" s="1055" t="s">
        <v>893</v>
      </c>
      <c r="F303" s="1056">
        <v>3892</v>
      </c>
      <c r="G303" s="1056">
        <v>0</v>
      </c>
      <c r="H303" s="1056">
        <v>0</v>
      </c>
      <c r="I303" s="1056">
        <v>3892</v>
      </c>
      <c r="K303" s="1037">
        <f t="shared" si="4"/>
        <v>6</v>
      </c>
    </row>
    <row r="304" spans="1:11" ht="12.75">
      <c r="A304" s="1054">
        <v>15281001</v>
      </c>
      <c r="B304" s="1055" t="s">
        <v>893</v>
      </c>
      <c r="C304" s="1055" t="s">
        <v>713</v>
      </c>
      <c r="D304" s="1055" t="s">
        <v>893</v>
      </c>
      <c r="E304" s="1055" t="s">
        <v>893</v>
      </c>
      <c r="F304" s="1056">
        <v>3892</v>
      </c>
      <c r="G304" s="1056">
        <v>0</v>
      </c>
      <c r="H304" s="1056">
        <v>0</v>
      </c>
      <c r="I304" s="1056">
        <v>3892</v>
      </c>
      <c r="K304" s="1037">
        <f t="shared" si="4"/>
        <v>8</v>
      </c>
    </row>
    <row r="305" spans="1:11" ht="12.75">
      <c r="A305" s="1054">
        <v>15281001</v>
      </c>
      <c r="B305" s="1055" t="s">
        <v>893</v>
      </c>
      <c r="C305" s="1055" t="s">
        <v>713</v>
      </c>
      <c r="D305" s="1055" t="s">
        <v>1162</v>
      </c>
      <c r="E305" s="1055" t="s">
        <v>1163</v>
      </c>
      <c r="F305" s="1056">
        <v>2194</v>
      </c>
      <c r="G305" s="1056">
        <v>0</v>
      </c>
      <c r="H305" s="1056">
        <v>0</v>
      </c>
      <c r="I305" s="1056">
        <v>2194</v>
      </c>
      <c r="K305" s="1037">
        <f t="shared" si="4"/>
        <v>8</v>
      </c>
    </row>
    <row r="306" spans="1:11" ht="12.75">
      <c r="A306" s="1054">
        <v>15281001</v>
      </c>
      <c r="B306" s="1055" t="s">
        <v>893</v>
      </c>
      <c r="C306" s="1055" t="s">
        <v>713</v>
      </c>
      <c r="D306" s="1055" t="s">
        <v>1164</v>
      </c>
      <c r="E306" s="1055" t="s">
        <v>1165</v>
      </c>
      <c r="F306" s="1056">
        <v>1698</v>
      </c>
      <c r="G306" s="1056">
        <v>0</v>
      </c>
      <c r="H306" s="1056">
        <v>0</v>
      </c>
      <c r="I306" s="1056">
        <v>1698</v>
      </c>
      <c r="K306" s="1037">
        <f t="shared" si="4"/>
        <v>8</v>
      </c>
    </row>
    <row r="307" spans="1:11" ht="12.75">
      <c r="A307" s="1054">
        <v>152892</v>
      </c>
      <c r="B307" s="1055" t="s">
        <v>893</v>
      </c>
      <c r="C307" s="1055" t="s">
        <v>327</v>
      </c>
      <c r="D307" s="1055" t="s">
        <v>893</v>
      </c>
      <c r="E307" s="1055" t="s">
        <v>893</v>
      </c>
      <c r="F307" s="1056">
        <v>-28582</v>
      </c>
      <c r="G307" s="1056">
        <v>0</v>
      </c>
      <c r="H307" s="1056">
        <v>47</v>
      </c>
      <c r="I307" s="1056">
        <v>-28629</v>
      </c>
      <c r="K307" s="1037">
        <f t="shared" si="4"/>
        <v>6</v>
      </c>
    </row>
    <row r="308" spans="1:11" ht="12.75">
      <c r="A308" s="1054">
        <v>152892</v>
      </c>
      <c r="B308" s="1055" t="s">
        <v>893</v>
      </c>
      <c r="C308" s="1055" t="s">
        <v>327</v>
      </c>
      <c r="D308" s="1055" t="s">
        <v>1083</v>
      </c>
      <c r="E308" s="1055" t="s">
        <v>256</v>
      </c>
      <c r="F308" s="1056">
        <v>-28582</v>
      </c>
      <c r="G308" s="1056">
        <v>0</v>
      </c>
      <c r="H308" s="1056">
        <v>47</v>
      </c>
      <c r="I308" s="1056">
        <v>-28629</v>
      </c>
      <c r="K308" s="1037">
        <f t="shared" si="4"/>
        <v>6</v>
      </c>
    </row>
    <row r="309" spans="1:11" ht="12.75">
      <c r="A309" s="1054">
        <v>16</v>
      </c>
      <c r="B309" s="1055" t="s">
        <v>893</v>
      </c>
      <c r="C309" s="1055" t="s">
        <v>714</v>
      </c>
      <c r="D309" s="1055" t="s">
        <v>893</v>
      </c>
      <c r="E309" s="1055" t="s">
        <v>893</v>
      </c>
      <c r="F309" s="1056">
        <v>160000</v>
      </c>
      <c r="G309" s="1056">
        <v>24351</v>
      </c>
      <c r="H309" s="1056">
        <v>0</v>
      </c>
      <c r="I309" s="1056">
        <v>184351</v>
      </c>
      <c r="K309" s="1037">
        <f t="shared" si="4"/>
        <v>2</v>
      </c>
    </row>
    <row r="310" spans="1:11" ht="12.75">
      <c r="A310" s="1054">
        <v>1620</v>
      </c>
      <c r="B310" s="1055" t="s">
        <v>893</v>
      </c>
      <c r="C310" s="1055" t="s">
        <v>715</v>
      </c>
      <c r="D310" s="1055" t="s">
        <v>893</v>
      </c>
      <c r="E310" s="1055" t="s">
        <v>893</v>
      </c>
      <c r="F310" s="1056">
        <v>160000</v>
      </c>
      <c r="G310" s="1056">
        <v>0</v>
      </c>
      <c r="H310" s="1056">
        <v>0</v>
      </c>
      <c r="I310" s="1056">
        <v>160000</v>
      </c>
      <c r="K310" s="1037">
        <f t="shared" si="4"/>
        <v>4</v>
      </c>
    </row>
    <row r="311" spans="1:11" ht="12.75">
      <c r="A311" s="1054">
        <v>162010</v>
      </c>
      <c r="B311" s="1055" t="s">
        <v>893</v>
      </c>
      <c r="C311" s="1055" t="s">
        <v>716</v>
      </c>
      <c r="D311" s="1055" t="s">
        <v>893</v>
      </c>
      <c r="E311" s="1055" t="s">
        <v>893</v>
      </c>
      <c r="F311" s="1056">
        <v>160000</v>
      </c>
      <c r="G311" s="1056">
        <v>0</v>
      </c>
      <c r="H311" s="1056">
        <v>0</v>
      </c>
      <c r="I311" s="1056">
        <v>160000</v>
      </c>
      <c r="K311" s="1037">
        <f t="shared" si="4"/>
        <v>6</v>
      </c>
    </row>
    <row r="312" spans="1:11" ht="12.75">
      <c r="A312" s="1054">
        <v>16201001</v>
      </c>
      <c r="B312" s="1055" t="s">
        <v>893</v>
      </c>
      <c r="C312" s="1055" t="s">
        <v>716</v>
      </c>
      <c r="D312" s="1055" t="s">
        <v>893</v>
      </c>
      <c r="E312" s="1055" t="s">
        <v>893</v>
      </c>
      <c r="F312" s="1056">
        <v>160000</v>
      </c>
      <c r="G312" s="1056">
        <v>0</v>
      </c>
      <c r="H312" s="1056">
        <v>0</v>
      </c>
      <c r="I312" s="1056">
        <v>160000</v>
      </c>
      <c r="K312" s="1037">
        <f t="shared" si="4"/>
        <v>8</v>
      </c>
    </row>
    <row r="313" spans="1:11" ht="12.75">
      <c r="A313" s="1054">
        <v>16201001</v>
      </c>
      <c r="B313" s="1055" t="s">
        <v>893</v>
      </c>
      <c r="C313" s="1055" t="s">
        <v>716</v>
      </c>
      <c r="D313" s="1055" t="s">
        <v>1223</v>
      </c>
      <c r="E313" s="1055" t="s">
        <v>742</v>
      </c>
      <c r="F313" s="1056">
        <v>-60000</v>
      </c>
      <c r="G313" s="1056">
        <v>0</v>
      </c>
      <c r="H313" s="1056">
        <v>0</v>
      </c>
      <c r="I313" s="1056">
        <v>-60000</v>
      </c>
      <c r="K313" s="1037">
        <f t="shared" si="4"/>
        <v>8</v>
      </c>
    </row>
    <row r="314" spans="1:11" ht="12.75">
      <c r="A314" s="1054">
        <v>16201001</v>
      </c>
      <c r="B314" s="1055" t="s">
        <v>893</v>
      </c>
      <c r="C314" s="1055" t="s">
        <v>716</v>
      </c>
      <c r="D314" s="1055" t="s">
        <v>1166</v>
      </c>
      <c r="E314" s="1055" t="s">
        <v>1167</v>
      </c>
      <c r="F314" s="1056">
        <v>220000</v>
      </c>
      <c r="G314" s="1056">
        <v>0</v>
      </c>
      <c r="H314" s="1056">
        <v>0</v>
      </c>
      <c r="I314" s="1056">
        <v>220000</v>
      </c>
      <c r="K314" s="1037">
        <f t="shared" si="4"/>
        <v>8</v>
      </c>
    </row>
    <row r="315" spans="1:11" ht="12.75">
      <c r="A315" s="1054">
        <v>1635</v>
      </c>
      <c r="B315" s="1055" t="s">
        <v>893</v>
      </c>
      <c r="C315" s="1055" t="s">
        <v>1879</v>
      </c>
      <c r="D315" s="1055" t="s">
        <v>893</v>
      </c>
      <c r="E315" s="1055" t="s">
        <v>893</v>
      </c>
      <c r="F315" s="1056">
        <v>0</v>
      </c>
      <c r="G315" s="1056">
        <v>24351</v>
      </c>
      <c r="H315" s="1056">
        <v>0</v>
      </c>
      <c r="I315" s="1056">
        <v>24351</v>
      </c>
      <c r="K315" s="1037">
        <f t="shared" si="4"/>
        <v>4</v>
      </c>
    </row>
    <row r="316" spans="1:11" ht="12.75">
      <c r="A316" s="1054">
        <v>163505</v>
      </c>
      <c r="B316" s="1055" t="s">
        <v>893</v>
      </c>
      <c r="C316" s="1055" t="s">
        <v>1880</v>
      </c>
      <c r="D316" s="1055" t="s">
        <v>893</v>
      </c>
      <c r="E316" s="1055" t="s">
        <v>893</v>
      </c>
      <c r="F316" s="1056">
        <v>0</v>
      </c>
      <c r="G316" s="1056">
        <v>24351</v>
      </c>
      <c r="H316" s="1056">
        <v>0</v>
      </c>
      <c r="I316" s="1056">
        <v>24351</v>
      </c>
      <c r="K316" s="1037">
        <f t="shared" si="4"/>
        <v>6</v>
      </c>
    </row>
    <row r="317" spans="1:11" ht="12.75">
      <c r="A317" s="1054">
        <v>16350501</v>
      </c>
      <c r="B317" s="1055" t="s">
        <v>893</v>
      </c>
      <c r="C317" s="1055" t="s">
        <v>1880</v>
      </c>
      <c r="D317" s="1055" t="s">
        <v>893</v>
      </c>
      <c r="E317" s="1055" t="s">
        <v>893</v>
      </c>
      <c r="F317" s="1056">
        <v>0</v>
      </c>
      <c r="G317" s="1056">
        <v>24351</v>
      </c>
      <c r="H317" s="1056">
        <v>0</v>
      </c>
      <c r="I317" s="1056">
        <v>24351</v>
      </c>
      <c r="K317" s="1037">
        <f t="shared" si="4"/>
        <v>8</v>
      </c>
    </row>
    <row r="318" spans="1:11" ht="12.75">
      <c r="A318" s="1054">
        <v>16350501</v>
      </c>
      <c r="B318" s="1055" t="s">
        <v>893</v>
      </c>
      <c r="C318" s="1055" t="s">
        <v>1880</v>
      </c>
      <c r="D318" s="1055" t="s">
        <v>1881</v>
      </c>
      <c r="E318" s="1055" t="s">
        <v>1882</v>
      </c>
      <c r="F318" s="1056">
        <v>0</v>
      </c>
      <c r="G318" s="1056">
        <v>24351</v>
      </c>
      <c r="H318" s="1056">
        <v>0</v>
      </c>
      <c r="I318" s="1056">
        <v>24351</v>
      </c>
      <c r="K318" s="1037">
        <f t="shared" si="4"/>
        <v>8</v>
      </c>
    </row>
    <row r="319" spans="1:11" ht="12.75">
      <c r="A319" s="1054">
        <v>17</v>
      </c>
      <c r="B319" s="1055" t="s">
        <v>1489</v>
      </c>
      <c r="C319" s="1055" t="s">
        <v>1553</v>
      </c>
      <c r="D319" s="1055" t="s">
        <v>893</v>
      </c>
      <c r="E319" s="1055" t="s">
        <v>893</v>
      </c>
      <c r="F319" s="1056">
        <v>7521</v>
      </c>
      <c r="G319" s="1056">
        <v>0</v>
      </c>
      <c r="H319" s="1056">
        <v>0</v>
      </c>
      <c r="I319" s="1056">
        <v>7521</v>
      </c>
      <c r="K319" s="1037">
        <f t="shared" si="4"/>
        <v>2</v>
      </c>
    </row>
    <row r="320" spans="1:11" ht="12.75">
      <c r="A320" s="1054">
        <v>1705</v>
      </c>
      <c r="B320" s="1055" t="s">
        <v>1489</v>
      </c>
      <c r="C320" s="1055" t="s">
        <v>1553</v>
      </c>
      <c r="D320" s="1055" t="s">
        <v>893</v>
      </c>
      <c r="E320" s="1055" t="s">
        <v>893</v>
      </c>
      <c r="F320" s="1056">
        <v>7521</v>
      </c>
      <c r="G320" s="1056">
        <v>0</v>
      </c>
      <c r="H320" s="1056">
        <v>0</v>
      </c>
      <c r="I320" s="1056">
        <v>7521</v>
      </c>
      <c r="K320" s="1037">
        <f t="shared" si="4"/>
        <v>4</v>
      </c>
    </row>
    <row r="321" spans="1:11" ht="12.75">
      <c r="A321" s="1054">
        <v>170520</v>
      </c>
      <c r="B321" s="1055" t="s">
        <v>1489</v>
      </c>
      <c r="C321" s="1055" t="s">
        <v>1554</v>
      </c>
      <c r="D321" s="1055" t="s">
        <v>893</v>
      </c>
      <c r="E321" s="1055" t="s">
        <v>893</v>
      </c>
      <c r="F321" s="1056">
        <v>7521</v>
      </c>
      <c r="G321" s="1056">
        <v>0</v>
      </c>
      <c r="H321" s="1056">
        <v>0</v>
      </c>
      <c r="I321" s="1056">
        <v>7521</v>
      </c>
      <c r="K321" s="1037">
        <f t="shared" si="4"/>
        <v>6</v>
      </c>
    </row>
    <row r="322" spans="1:11" ht="12.75">
      <c r="A322" s="1054">
        <v>17052001</v>
      </c>
      <c r="B322" s="1055" t="s">
        <v>1489</v>
      </c>
      <c r="C322" s="1055" t="s">
        <v>1555</v>
      </c>
      <c r="D322" s="1055" t="s">
        <v>893</v>
      </c>
      <c r="E322" s="1055" t="s">
        <v>893</v>
      </c>
      <c r="F322" s="1056">
        <v>7521</v>
      </c>
      <c r="G322" s="1056">
        <v>0</v>
      </c>
      <c r="H322" s="1056">
        <v>0</v>
      </c>
      <c r="I322" s="1056">
        <v>7521</v>
      </c>
      <c r="K322" s="1037">
        <f t="shared" si="4"/>
        <v>8</v>
      </c>
    </row>
    <row r="323" spans="1:11" ht="12.75">
      <c r="A323" s="1054">
        <v>17052001</v>
      </c>
      <c r="B323" s="1055" t="s">
        <v>1489</v>
      </c>
      <c r="C323" s="1055" t="s">
        <v>1555</v>
      </c>
      <c r="D323" s="1055" t="s">
        <v>1234</v>
      </c>
      <c r="E323" s="1055" t="s">
        <v>913</v>
      </c>
      <c r="F323" s="1056">
        <v>7521</v>
      </c>
      <c r="G323" s="1056">
        <v>0</v>
      </c>
      <c r="H323" s="1056">
        <v>0</v>
      </c>
      <c r="I323" s="1056">
        <v>7521</v>
      </c>
      <c r="K323" s="1037">
        <f t="shared" si="4"/>
        <v>8</v>
      </c>
    </row>
    <row r="324" spans="1:11" ht="12.75">
      <c r="A324" s="1054">
        <v>19</v>
      </c>
      <c r="B324" s="1055" t="s">
        <v>893</v>
      </c>
      <c r="C324" s="1055" t="s">
        <v>329</v>
      </c>
      <c r="D324" s="1055" t="s">
        <v>893</v>
      </c>
      <c r="E324" s="1055" t="s">
        <v>893</v>
      </c>
      <c r="F324" s="1056">
        <v>188187</v>
      </c>
      <c r="G324" s="1056">
        <v>17082</v>
      </c>
      <c r="H324" s="1056">
        <v>10884</v>
      </c>
      <c r="I324" s="1056">
        <v>194385</v>
      </c>
      <c r="K324" s="1037">
        <f t="shared" si="4"/>
        <v>2</v>
      </c>
    </row>
    <row r="325" spans="1:11" ht="12.75">
      <c r="A325" s="1054">
        <v>1955</v>
      </c>
      <c r="B325" s="1055" t="s">
        <v>893</v>
      </c>
      <c r="C325" s="1055" t="s">
        <v>329</v>
      </c>
      <c r="D325" s="1055" t="s">
        <v>893</v>
      </c>
      <c r="E325" s="1055" t="s">
        <v>893</v>
      </c>
      <c r="F325" s="1056">
        <v>188187</v>
      </c>
      <c r="G325" s="1056">
        <v>17082</v>
      </c>
      <c r="H325" s="1056">
        <v>10884</v>
      </c>
      <c r="I325" s="1056">
        <v>194385</v>
      </c>
      <c r="K325" s="1037">
        <f t="shared" ref="K325:K388" si="5">+LEN(A325)</f>
        <v>4</v>
      </c>
    </row>
    <row r="326" spans="1:11" ht="12.75">
      <c r="A326" s="1054">
        <v>195510</v>
      </c>
      <c r="B326" s="1055" t="s">
        <v>893</v>
      </c>
      <c r="C326" s="1055" t="s">
        <v>330</v>
      </c>
      <c r="D326" s="1055" t="s">
        <v>893</v>
      </c>
      <c r="E326" s="1055" t="s">
        <v>893</v>
      </c>
      <c r="F326" s="1056">
        <v>3263</v>
      </c>
      <c r="G326" s="1056">
        <v>7617</v>
      </c>
      <c r="H326" s="1056">
        <v>10879</v>
      </c>
      <c r="I326" s="1056">
        <v>0</v>
      </c>
      <c r="K326" s="1037">
        <f t="shared" si="5"/>
        <v>6</v>
      </c>
    </row>
    <row r="327" spans="1:11" ht="12.75">
      <c r="A327" s="1054">
        <v>19551001</v>
      </c>
      <c r="B327" s="1055" t="s">
        <v>1489</v>
      </c>
      <c r="C327" s="1055" t="s">
        <v>928</v>
      </c>
      <c r="D327" s="1055" t="s">
        <v>893</v>
      </c>
      <c r="E327" s="1055" t="s">
        <v>893</v>
      </c>
      <c r="F327" s="1056">
        <v>1560</v>
      </c>
      <c r="G327" s="1056">
        <v>2955</v>
      </c>
      <c r="H327" s="1056">
        <v>4515</v>
      </c>
      <c r="I327" s="1056">
        <v>0</v>
      </c>
      <c r="K327" s="1037">
        <f t="shared" si="5"/>
        <v>8</v>
      </c>
    </row>
    <row r="328" spans="1:11" ht="12.75">
      <c r="A328" s="1054">
        <v>19551001</v>
      </c>
      <c r="B328" s="1055" t="s">
        <v>1489</v>
      </c>
      <c r="C328" s="1055" t="s">
        <v>928</v>
      </c>
      <c r="D328" s="1055" t="s">
        <v>1168</v>
      </c>
      <c r="E328" s="1055" t="s">
        <v>1169</v>
      </c>
      <c r="F328" s="1056">
        <v>1550</v>
      </c>
      <c r="G328" s="1056">
        <v>2946</v>
      </c>
      <c r="H328" s="1056">
        <v>4496</v>
      </c>
      <c r="I328" s="1056">
        <v>0</v>
      </c>
      <c r="K328" s="1037">
        <f t="shared" si="5"/>
        <v>8</v>
      </c>
    </row>
    <row r="329" spans="1:11" ht="12.75">
      <c r="A329" s="1054">
        <v>19551001</v>
      </c>
      <c r="B329" s="1055" t="s">
        <v>1489</v>
      </c>
      <c r="C329" s="1055" t="s">
        <v>928</v>
      </c>
      <c r="D329" s="1055" t="s">
        <v>1170</v>
      </c>
      <c r="E329" s="1055" t="s">
        <v>696</v>
      </c>
      <c r="F329" s="1056">
        <v>10</v>
      </c>
      <c r="G329" s="1056">
        <v>9</v>
      </c>
      <c r="H329" s="1056">
        <v>19</v>
      </c>
      <c r="I329" s="1056">
        <v>0</v>
      </c>
      <c r="K329" s="1037">
        <f t="shared" si="5"/>
        <v>8</v>
      </c>
    </row>
    <row r="330" spans="1:11" ht="12.75">
      <c r="A330" s="1054">
        <v>19551002</v>
      </c>
      <c r="B330" s="1055" t="s">
        <v>1489</v>
      </c>
      <c r="C330" s="1055" t="s">
        <v>878</v>
      </c>
      <c r="D330" s="1055" t="s">
        <v>893</v>
      </c>
      <c r="E330" s="1055" t="s">
        <v>893</v>
      </c>
      <c r="F330" s="1056">
        <v>1703</v>
      </c>
      <c r="G330" s="1056">
        <v>4661</v>
      </c>
      <c r="H330" s="1056">
        <v>6364</v>
      </c>
      <c r="I330" s="1056">
        <v>0</v>
      </c>
      <c r="K330" s="1037">
        <f t="shared" si="5"/>
        <v>8</v>
      </c>
    </row>
    <row r="331" spans="1:11" ht="12.75">
      <c r="A331" s="1054">
        <v>19551002</v>
      </c>
      <c r="B331" s="1055" t="s">
        <v>1489</v>
      </c>
      <c r="C331" s="1055" t="s">
        <v>878</v>
      </c>
      <c r="D331" s="1055" t="s">
        <v>1168</v>
      </c>
      <c r="E331" s="1055" t="s">
        <v>1169</v>
      </c>
      <c r="F331" s="1056">
        <v>1703</v>
      </c>
      <c r="G331" s="1056">
        <v>4661</v>
      </c>
      <c r="H331" s="1056">
        <v>6364</v>
      </c>
      <c r="I331" s="1056">
        <v>0</v>
      </c>
      <c r="K331" s="1037">
        <f t="shared" si="5"/>
        <v>8</v>
      </c>
    </row>
    <row r="332" spans="1:11" ht="12.75">
      <c r="A332" s="1054">
        <v>195515</v>
      </c>
      <c r="B332" s="1055" t="s">
        <v>893</v>
      </c>
      <c r="C332" s="1055" t="s">
        <v>331</v>
      </c>
      <c r="D332" s="1055" t="s">
        <v>893</v>
      </c>
      <c r="E332" s="1055" t="s">
        <v>893</v>
      </c>
      <c r="F332" s="1056">
        <v>20497</v>
      </c>
      <c r="G332" s="1056">
        <v>4066</v>
      </c>
      <c r="H332" s="1056">
        <v>4</v>
      </c>
      <c r="I332" s="1056">
        <v>24558</v>
      </c>
      <c r="K332" s="1037">
        <f t="shared" si="5"/>
        <v>6</v>
      </c>
    </row>
    <row r="333" spans="1:11" ht="12.75">
      <c r="A333" s="1054">
        <v>19551501</v>
      </c>
      <c r="B333" s="1055" t="s">
        <v>893</v>
      </c>
      <c r="C333" s="1055" t="s">
        <v>929</v>
      </c>
      <c r="D333" s="1055" t="s">
        <v>893</v>
      </c>
      <c r="E333" s="1055" t="s">
        <v>893</v>
      </c>
      <c r="F333" s="1056">
        <v>145</v>
      </c>
      <c r="G333" s="1056">
        <v>0</v>
      </c>
      <c r="H333" s="1056">
        <v>0</v>
      </c>
      <c r="I333" s="1056">
        <v>145</v>
      </c>
      <c r="K333" s="1037">
        <f t="shared" si="5"/>
        <v>8</v>
      </c>
    </row>
    <row r="334" spans="1:11" ht="12.75">
      <c r="A334" s="1054">
        <v>19551501</v>
      </c>
      <c r="B334" s="1055" t="s">
        <v>893</v>
      </c>
      <c r="C334" s="1055" t="s">
        <v>929</v>
      </c>
      <c r="D334" s="1055" t="s">
        <v>1186</v>
      </c>
      <c r="E334" s="1055" t="s">
        <v>1018</v>
      </c>
      <c r="F334" s="1056">
        <v>130</v>
      </c>
      <c r="G334" s="1056">
        <v>0</v>
      </c>
      <c r="H334" s="1056">
        <v>0</v>
      </c>
      <c r="I334" s="1056">
        <v>130</v>
      </c>
      <c r="K334" s="1037">
        <f t="shared" si="5"/>
        <v>8</v>
      </c>
    </row>
    <row r="335" spans="1:11" ht="12.75">
      <c r="A335" s="1054">
        <v>19551501</v>
      </c>
      <c r="B335" s="1055" t="s">
        <v>893</v>
      </c>
      <c r="C335" s="1055" t="s">
        <v>929</v>
      </c>
      <c r="D335" s="1055" t="s">
        <v>1556</v>
      </c>
      <c r="E335" s="1055" t="s">
        <v>1557</v>
      </c>
      <c r="F335" s="1056">
        <v>10</v>
      </c>
      <c r="G335" s="1056">
        <v>0</v>
      </c>
      <c r="H335" s="1056">
        <v>0</v>
      </c>
      <c r="I335" s="1056">
        <v>10</v>
      </c>
      <c r="K335" s="1037">
        <f t="shared" si="5"/>
        <v>8</v>
      </c>
    </row>
    <row r="336" spans="1:11" ht="12.75">
      <c r="A336" s="1054">
        <v>19551501</v>
      </c>
      <c r="B336" s="1055" t="s">
        <v>893</v>
      </c>
      <c r="C336" s="1055" t="s">
        <v>929</v>
      </c>
      <c r="D336" s="1055" t="s">
        <v>1491</v>
      </c>
      <c r="E336" s="1055" t="s">
        <v>1492</v>
      </c>
      <c r="F336" s="1056">
        <v>-65</v>
      </c>
      <c r="G336" s="1056">
        <v>0</v>
      </c>
      <c r="H336" s="1056">
        <v>0</v>
      </c>
      <c r="I336" s="1056">
        <v>-65</v>
      </c>
      <c r="K336" s="1037">
        <f t="shared" si="5"/>
        <v>8</v>
      </c>
    </row>
    <row r="337" spans="1:11" ht="12.75">
      <c r="A337" s="1054">
        <v>19551501</v>
      </c>
      <c r="B337" s="1055" t="s">
        <v>893</v>
      </c>
      <c r="C337" s="1055" t="s">
        <v>929</v>
      </c>
      <c r="D337" s="1055" t="s">
        <v>1734</v>
      </c>
      <c r="E337" s="1055" t="s">
        <v>1735</v>
      </c>
      <c r="F337" s="1056">
        <v>5</v>
      </c>
      <c r="G337" s="1056">
        <v>0</v>
      </c>
      <c r="H337" s="1056">
        <v>0</v>
      </c>
      <c r="I337" s="1056">
        <v>5</v>
      </c>
      <c r="K337" s="1037">
        <f t="shared" si="5"/>
        <v>8</v>
      </c>
    </row>
    <row r="338" spans="1:11" ht="12.75">
      <c r="A338" s="1054">
        <v>19551501</v>
      </c>
      <c r="B338" s="1055" t="s">
        <v>893</v>
      </c>
      <c r="C338" s="1055" t="s">
        <v>929</v>
      </c>
      <c r="D338" s="1055" t="s">
        <v>1510</v>
      </c>
      <c r="E338" s="1055" t="s">
        <v>1511</v>
      </c>
      <c r="F338" s="1056">
        <v>65</v>
      </c>
      <c r="G338" s="1056">
        <v>0</v>
      </c>
      <c r="H338" s="1056">
        <v>0</v>
      </c>
      <c r="I338" s="1056">
        <v>65</v>
      </c>
      <c r="K338" s="1037">
        <f t="shared" si="5"/>
        <v>8</v>
      </c>
    </row>
    <row r="339" spans="1:11" ht="12.75">
      <c r="A339" s="1054">
        <v>19551504</v>
      </c>
      <c r="B339" s="1055" t="s">
        <v>893</v>
      </c>
      <c r="C339" s="1055" t="s">
        <v>1736</v>
      </c>
      <c r="D339" s="1055" t="s">
        <v>893</v>
      </c>
      <c r="E339" s="1055" t="s">
        <v>893</v>
      </c>
      <c r="F339" s="1056">
        <v>22</v>
      </c>
      <c r="G339" s="1056">
        <v>0</v>
      </c>
      <c r="H339" s="1056">
        <v>0</v>
      </c>
      <c r="I339" s="1056">
        <v>22</v>
      </c>
      <c r="K339" s="1037">
        <f t="shared" si="5"/>
        <v>8</v>
      </c>
    </row>
    <row r="340" spans="1:11" ht="12.75">
      <c r="A340" s="1054">
        <v>19551504</v>
      </c>
      <c r="B340" s="1055" t="s">
        <v>893</v>
      </c>
      <c r="C340" s="1055" t="s">
        <v>1736</v>
      </c>
      <c r="D340" s="1055" t="s">
        <v>1034</v>
      </c>
      <c r="E340" s="1055" t="s">
        <v>504</v>
      </c>
      <c r="F340" s="1056">
        <v>20</v>
      </c>
      <c r="G340" s="1056">
        <v>0</v>
      </c>
      <c r="H340" s="1056">
        <v>0</v>
      </c>
      <c r="I340" s="1056">
        <v>20</v>
      </c>
      <c r="K340" s="1037">
        <f t="shared" si="5"/>
        <v>8</v>
      </c>
    </row>
    <row r="341" spans="1:11" ht="12.75">
      <c r="A341" s="1054">
        <v>19551504</v>
      </c>
      <c r="B341" s="1055" t="s">
        <v>893</v>
      </c>
      <c r="C341" s="1055" t="s">
        <v>1736</v>
      </c>
      <c r="D341" s="1055" t="s">
        <v>1062</v>
      </c>
      <c r="E341" s="1055" t="s">
        <v>510</v>
      </c>
      <c r="F341" s="1056">
        <v>2</v>
      </c>
      <c r="G341" s="1056">
        <v>0</v>
      </c>
      <c r="H341" s="1056">
        <v>0</v>
      </c>
      <c r="I341" s="1056">
        <v>2</v>
      </c>
      <c r="K341" s="1037">
        <f t="shared" si="5"/>
        <v>8</v>
      </c>
    </row>
    <row r="342" spans="1:11" ht="12.75">
      <c r="A342" s="1054">
        <v>19551505</v>
      </c>
      <c r="B342" s="1055" t="s">
        <v>893</v>
      </c>
      <c r="C342" s="1055" t="s">
        <v>717</v>
      </c>
      <c r="D342" s="1055" t="s">
        <v>893</v>
      </c>
      <c r="E342" s="1055" t="s">
        <v>893</v>
      </c>
      <c r="F342" s="1056">
        <v>671</v>
      </c>
      <c r="G342" s="1056">
        <v>36</v>
      </c>
      <c r="H342" s="1056">
        <v>4</v>
      </c>
      <c r="I342" s="1056">
        <v>703</v>
      </c>
      <c r="K342" s="1037">
        <f t="shared" si="5"/>
        <v>8</v>
      </c>
    </row>
    <row r="343" spans="1:11" ht="12.75">
      <c r="A343" s="1054">
        <v>19551505</v>
      </c>
      <c r="B343" s="1055" t="s">
        <v>893</v>
      </c>
      <c r="C343" s="1055" t="s">
        <v>717</v>
      </c>
      <c r="D343" s="1055" t="s">
        <v>1170</v>
      </c>
      <c r="E343" s="1055" t="s">
        <v>696</v>
      </c>
      <c r="F343" s="1056">
        <v>40</v>
      </c>
      <c r="G343" s="1056">
        <v>0</v>
      </c>
      <c r="H343" s="1056">
        <v>0</v>
      </c>
      <c r="I343" s="1056">
        <v>40</v>
      </c>
      <c r="K343" s="1037">
        <f t="shared" si="5"/>
        <v>8</v>
      </c>
    </row>
    <row r="344" spans="1:11" ht="12.75">
      <c r="A344" s="1054">
        <v>19551505</v>
      </c>
      <c r="B344" s="1055" t="s">
        <v>893</v>
      </c>
      <c r="C344" s="1055" t="s">
        <v>717</v>
      </c>
      <c r="D344" s="1055" t="s">
        <v>1062</v>
      </c>
      <c r="E344" s="1055" t="s">
        <v>510</v>
      </c>
      <c r="F344" s="1056">
        <v>632</v>
      </c>
      <c r="G344" s="1056">
        <v>36</v>
      </c>
      <c r="H344" s="1056">
        <v>4</v>
      </c>
      <c r="I344" s="1056">
        <v>663</v>
      </c>
      <c r="K344" s="1037">
        <f t="shared" si="5"/>
        <v>8</v>
      </c>
    </row>
    <row r="345" spans="1:11" ht="12.75">
      <c r="A345" s="1054">
        <v>19551507</v>
      </c>
      <c r="B345" s="1055" t="s">
        <v>893</v>
      </c>
      <c r="C345" s="1055" t="s">
        <v>516</v>
      </c>
      <c r="D345" s="1055" t="s">
        <v>893</v>
      </c>
      <c r="E345" s="1055" t="s">
        <v>893</v>
      </c>
      <c r="F345" s="1056">
        <v>18949</v>
      </c>
      <c r="G345" s="1056">
        <v>3785</v>
      </c>
      <c r="H345" s="1056">
        <v>0</v>
      </c>
      <c r="I345" s="1056">
        <v>22734</v>
      </c>
      <c r="K345" s="1037">
        <f t="shared" si="5"/>
        <v>8</v>
      </c>
    </row>
    <row r="346" spans="1:11" ht="12.75">
      <c r="A346" s="1054">
        <v>19551507</v>
      </c>
      <c r="B346" s="1055" t="s">
        <v>893</v>
      </c>
      <c r="C346" s="1055" t="s">
        <v>516</v>
      </c>
      <c r="D346" s="1055" t="s">
        <v>1168</v>
      </c>
      <c r="E346" s="1055" t="s">
        <v>1169</v>
      </c>
      <c r="F346" s="1056">
        <v>18582</v>
      </c>
      <c r="G346" s="1056">
        <v>3746</v>
      </c>
      <c r="H346" s="1056">
        <v>0</v>
      </c>
      <c r="I346" s="1056">
        <v>22328</v>
      </c>
      <c r="K346" s="1037">
        <f t="shared" si="5"/>
        <v>8</v>
      </c>
    </row>
    <row r="347" spans="1:11" ht="12.75">
      <c r="A347" s="1054">
        <v>19551507</v>
      </c>
      <c r="B347" s="1055" t="s">
        <v>893</v>
      </c>
      <c r="C347" s="1055" t="s">
        <v>516</v>
      </c>
      <c r="D347" s="1055" t="s">
        <v>1035</v>
      </c>
      <c r="E347" s="1055" t="s">
        <v>573</v>
      </c>
      <c r="F347" s="1056">
        <v>367</v>
      </c>
      <c r="G347" s="1056">
        <v>39</v>
      </c>
      <c r="H347" s="1056">
        <v>0</v>
      </c>
      <c r="I347" s="1056">
        <v>406</v>
      </c>
      <c r="K347" s="1037">
        <f t="shared" si="5"/>
        <v>8</v>
      </c>
    </row>
    <row r="348" spans="1:11" ht="12.75">
      <c r="A348" s="1054">
        <v>19551509</v>
      </c>
      <c r="B348" s="1055" t="s">
        <v>893</v>
      </c>
      <c r="C348" s="1055" t="s">
        <v>1671</v>
      </c>
      <c r="D348" s="1055" t="s">
        <v>893</v>
      </c>
      <c r="E348" s="1055" t="s">
        <v>893</v>
      </c>
      <c r="F348" s="1056">
        <v>57</v>
      </c>
      <c r="G348" s="1056">
        <v>0</v>
      </c>
      <c r="H348" s="1056">
        <v>0</v>
      </c>
      <c r="I348" s="1056">
        <v>57</v>
      </c>
      <c r="K348" s="1037">
        <f t="shared" si="5"/>
        <v>8</v>
      </c>
    </row>
    <row r="349" spans="1:11" ht="12.75">
      <c r="A349" s="1054">
        <v>19551509</v>
      </c>
      <c r="B349" s="1055" t="s">
        <v>893</v>
      </c>
      <c r="C349" s="1055" t="s">
        <v>1671</v>
      </c>
      <c r="D349" s="1055" t="s">
        <v>1822</v>
      </c>
      <c r="E349" s="1055" t="s">
        <v>1823</v>
      </c>
      <c r="F349" s="1056">
        <v>33</v>
      </c>
      <c r="G349" s="1056">
        <v>0</v>
      </c>
      <c r="H349" s="1056">
        <v>0</v>
      </c>
      <c r="I349" s="1056">
        <v>33</v>
      </c>
      <c r="K349" s="1037">
        <f t="shared" si="5"/>
        <v>8</v>
      </c>
    </row>
    <row r="350" spans="1:11" ht="12.75">
      <c r="A350" s="1054">
        <v>19551509</v>
      </c>
      <c r="B350" s="1055" t="s">
        <v>893</v>
      </c>
      <c r="C350" s="1055" t="s">
        <v>1671</v>
      </c>
      <c r="D350" s="1055" t="s">
        <v>1285</v>
      </c>
      <c r="E350" s="1055" t="s">
        <v>786</v>
      </c>
      <c r="F350" s="1056">
        <v>24</v>
      </c>
      <c r="G350" s="1056">
        <v>0</v>
      </c>
      <c r="H350" s="1056">
        <v>0</v>
      </c>
      <c r="I350" s="1056">
        <v>24</v>
      </c>
      <c r="K350" s="1037">
        <f t="shared" si="5"/>
        <v>8</v>
      </c>
    </row>
    <row r="351" spans="1:11" ht="12.75">
      <c r="A351" s="1054">
        <v>19551512</v>
      </c>
      <c r="B351" s="1055" t="s">
        <v>1489</v>
      </c>
      <c r="C351" s="1055" t="s">
        <v>1512</v>
      </c>
      <c r="D351" s="1055" t="s">
        <v>893</v>
      </c>
      <c r="E351" s="1055" t="s">
        <v>893</v>
      </c>
      <c r="F351" s="1056">
        <v>653</v>
      </c>
      <c r="G351" s="1056">
        <v>245</v>
      </c>
      <c r="H351" s="1056">
        <v>0</v>
      </c>
      <c r="I351" s="1056">
        <v>898</v>
      </c>
      <c r="K351" s="1037">
        <f t="shared" si="5"/>
        <v>8</v>
      </c>
    </row>
    <row r="352" spans="1:11" ht="12.75">
      <c r="A352" s="1054">
        <v>19551512</v>
      </c>
      <c r="B352" s="1055" t="s">
        <v>1489</v>
      </c>
      <c r="C352" s="1055" t="s">
        <v>1512</v>
      </c>
      <c r="D352" s="1055" t="s">
        <v>1510</v>
      </c>
      <c r="E352" s="1055" t="s">
        <v>1511</v>
      </c>
      <c r="F352" s="1056">
        <v>653</v>
      </c>
      <c r="G352" s="1056">
        <v>245</v>
      </c>
      <c r="H352" s="1056">
        <v>0</v>
      </c>
      <c r="I352" s="1056">
        <v>898</v>
      </c>
      <c r="K352" s="1037">
        <f t="shared" si="5"/>
        <v>8</v>
      </c>
    </row>
    <row r="353" spans="1:11" ht="12.75">
      <c r="A353" s="1054">
        <v>195519</v>
      </c>
      <c r="B353" s="1055" t="s">
        <v>893</v>
      </c>
      <c r="C353" s="1055" t="s">
        <v>517</v>
      </c>
      <c r="D353" s="1055" t="s">
        <v>893</v>
      </c>
      <c r="E353" s="1055" t="s">
        <v>893</v>
      </c>
      <c r="F353" s="1056">
        <v>54011</v>
      </c>
      <c r="G353" s="1056">
        <v>5399</v>
      </c>
      <c r="H353" s="1056">
        <v>0</v>
      </c>
      <c r="I353" s="1056">
        <v>59410</v>
      </c>
      <c r="K353" s="1037">
        <f t="shared" si="5"/>
        <v>6</v>
      </c>
    </row>
    <row r="354" spans="1:11" ht="12.75">
      <c r="A354" s="1054">
        <v>19551903</v>
      </c>
      <c r="B354" s="1055" t="s">
        <v>1489</v>
      </c>
      <c r="C354" s="1055" t="s">
        <v>718</v>
      </c>
      <c r="D354" s="1055" t="s">
        <v>893</v>
      </c>
      <c r="E354" s="1055" t="s">
        <v>893</v>
      </c>
      <c r="F354" s="1056">
        <v>17106</v>
      </c>
      <c r="G354" s="1056">
        <v>5399</v>
      </c>
      <c r="H354" s="1056">
        <v>0</v>
      </c>
      <c r="I354" s="1056">
        <v>22505</v>
      </c>
      <c r="K354" s="1037">
        <f t="shared" si="5"/>
        <v>8</v>
      </c>
    </row>
    <row r="355" spans="1:11" ht="12.75">
      <c r="A355" s="1054">
        <v>19551903</v>
      </c>
      <c r="B355" s="1055" t="s">
        <v>1489</v>
      </c>
      <c r="C355" s="1055" t="s">
        <v>718</v>
      </c>
      <c r="D355" s="1055" t="s">
        <v>1083</v>
      </c>
      <c r="E355" s="1055" t="s">
        <v>256</v>
      </c>
      <c r="F355" s="1056">
        <v>17106</v>
      </c>
      <c r="G355" s="1056">
        <v>5399</v>
      </c>
      <c r="H355" s="1056">
        <v>0</v>
      </c>
      <c r="I355" s="1056">
        <v>22505</v>
      </c>
      <c r="K355" s="1037">
        <f t="shared" si="5"/>
        <v>8</v>
      </c>
    </row>
    <row r="356" spans="1:11" ht="12.75">
      <c r="A356" s="1054">
        <v>19551904</v>
      </c>
      <c r="B356" s="1055" t="s">
        <v>1489</v>
      </c>
      <c r="C356" s="1055" t="s">
        <v>1309</v>
      </c>
      <c r="D356" s="1055" t="s">
        <v>893</v>
      </c>
      <c r="E356" s="1055" t="s">
        <v>893</v>
      </c>
      <c r="F356" s="1056">
        <v>36905</v>
      </c>
      <c r="G356" s="1056">
        <v>0</v>
      </c>
      <c r="H356" s="1056">
        <v>0</v>
      </c>
      <c r="I356" s="1056">
        <v>36905</v>
      </c>
      <c r="K356" s="1037">
        <f t="shared" si="5"/>
        <v>8</v>
      </c>
    </row>
    <row r="357" spans="1:11" ht="12.75">
      <c r="A357" s="1054">
        <v>19551904</v>
      </c>
      <c r="B357" s="1055" t="s">
        <v>1489</v>
      </c>
      <c r="C357" s="1055" t="s">
        <v>1309</v>
      </c>
      <c r="D357" s="1055" t="s">
        <v>1083</v>
      </c>
      <c r="E357" s="1055" t="s">
        <v>256</v>
      </c>
      <c r="F357" s="1056">
        <v>36905</v>
      </c>
      <c r="G357" s="1056">
        <v>0</v>
      </c>
      <c r="H357" s="1056">
        <v>0</v>
      </c>
      <c r="I357" s="1056">
        <v>36905</v>
      </c>
      <c r="K357" s="1037">
        <f t="shared" si="5"/>
        <v>8</v>
      </c>
    </row>
    <row r="358" spans="1:11" ht="12.75">
      <c r="A358" s="1054">
        <v>195520</v>
      </c>
      <c r="B358" s="1055" t="s">
        <v>893</v>
      </c>
      <c r="C358" s="1055" t="s">
        <v>518</v>
      </c>
      <c r="D358" s="1055" t="s">
        <v>893</v>
      </c>
      <c r="E358" s="1055" t="s">
        <v>893</v>
      </c>
      <c r="F358" s="1056">
        <v>110417</v>
      </c>
      <c r="G358" s="1056">
        <v>0</v>
      </c>
      <c r="H358" s="1056">
        <v>0</v>
      </c>
      <c r="I358" s="1056">
        <v>110417</v>
      </c>
      <c r="K358" s="1037">
        <f t="shared" si="5"/>
        <v>6</v>
      </c>
    </row>
    <row r="359" spans="1:11" ht="12.75">
      <c r="A359" s="1054">
        <v>19552001</v>
      </c>
      <c r="B359" s="1055" t="s">
        <v>893</v>
      </c>
      <c r="C359" s="1055" t="s">
        <v>474</v>
      </c>
      <c r="D359" s="1055" t="s">
        <v>893</v>
      </c>
      <c r="E359" s="1055" t="s">
        <v>893</v>
      </c>
      <c r="F359" s="1056">
        <v>0</v>
      </c>
      <c r="G359" s="1056">
        <v>0</v>
      </c>
      <c r="H359" s="1056">
        <v>0</v>
      </c>
      <c r="I359" s="1056">
        <v>0</v>
      </c>
      <c r="K359" s="1037">
        <f t="shared" si="5"/>
        <v>8</v>
      </c>
    </row>
    <row r="360" spans="1:11" ht="12.75">
      <c r="A360" s="1054">
        <v>19552001</v>
      </c>
      <c r="B360" s="1055" t="s">
        <v>893</v>
      </c>
      <c r="C360" s="1055" t="s">
        <v>474</v>
      </c>
      <c r="D360" s="1055" t="s">
        <v>1067</v>
      </c>
      <c r="E360" s="1055" t="s">
        <v>1068</v>
      </c>
      <c r="F360" s="1056">
        <v>0</v>
      </c>
      <c r="G360" s="1056">
        <v>0</v>
      </c>
      <c r="H360" s="1056">
        <v>0</v>
      </c>
      <c r="I360" s="1056">
        <v>0</v>
      </c>
      <c r="K360" s="1037">
        <f t="shared" si="5"/>
        <v>8</v>
      </c>
    </row>
    <row r="361" spans="1:11" ht="12.75">
      <c r="A361" s="1054">
        <v>19552002</v>
      </c>
      <c r="B361" s="1055" t="s">
        <v>893</v>
      </c>
      <c r="C361" s="1055" t="s">
        <v>719</v>
      </c>
      <c r="D361" s="1055" t="s">
        <v>893</v>
      </c>
      <c r="E361" s="1055" t="s">
        <v>893</v>
      </c>
      <c r="F361" s="1056">
        <v>110417</v>
      </c>
      <c r="G361" s="1056">
        <v>0</v>
      </c>
      <c r="H361" s="1056">
        <v>0</v>
      </c>
      <c r="I361" s="1056">
        <v>110417</v>
      </c>
      <c r="K361" s="1037">
        <f t="shared" si="5"/>
        <v>8</v>
      </c>
    </row>
    <row r="362" spans="1:11" ht="12.75">
      <c r="A362" s="1054">
        <v>2</v>
      </c>
      <c r="B362" s="1055" t="s">
        <v>893</v>
      </c>
      <c r="C362" s="1055" t="s">
        <v>113</v>
      </c>
      <c r="D362" s="1055" t="s">
        <v>893</v>
      </c>
      <c r="E362" s="1055" t="s">
        <v>893</v>
      </c>
      <c r="F362" s="1056">
        <v>-1024723</v>
      </c>
      <c r="G362" s="1056">
        <v>731463</v>
      </c>
      <c r="H362" s="1056">
        <v>837871</v>
      </c>
      <c r="I362" s="1056">
        <v>-1131132</v>
      </c>
      <c r="K362" s="1037">
        <f t="shared" si="5"/>
        <v>1</v>
      </c>
    </row>
    <row r="363" spans="1:11" ht="12.75">
      <c r="A363" s="1054">
        <v>21</v>
      </c>
      <c r="B363" s="1055" t="s">
        <v>893</v>
      </c>
      <c r="C363" s="1055" t="s">
        <v>333</v>
      </c>
      <c r="D363" s="1055" t="s">
        <v>893</v>
      </c>
      <c r="E363" s="1055" t="s">
        <v>893</v>
      </c>
      <c r="F363" s="1056">
        <v>-280293</v>
      </c>
      <c r="G363" s="1056">
        <v>19539</v>
      </c>
      <c r="H363" s="1056">
        <v>70000</v>
      </c>
      <c r="I363" s="1056">
        <v>-330754</v>
      </c>
      <c r="K363" s="1037">
        <f t="shared" si="5"/>
        <v>2</v>
      </c>
    </row>
    <row r="364" spans="1:11" ht="12.75">
      <c r="A364" s="1054">
        <v>2105</v>
      </c>
      <c r="B364" s="1055" t="s">
        <v>893</v>
      </c>
      <c r="C364" s="1055" t="s">
        <v>334</v>
      </c>
      <c r="D364" s="1055" t="s">
        <v>893</v>
      </c>
      <c r="E364" s="1055" t="s">
        <v>893</v>
      </c>
      <c r="F364" s="1056">
        <v>-218972</v>
      </c>
      <c r="G364" s="1056">
        <v>19539</v>
      </c>
      <c r="H364" s="1056">
        <v>70000</v>
      </c>
      <c r="I364" s="1056">
        <v>-269433</v>
      </c>
      <c r="K364" s="1037">
        <f t="shared" si="5"/>
        <v>4</v>
      </c>
    </row>
    <row r="365" spans="1:11" ht="12.75">
      <c r="A365" s="1054">
        <v>210510</v>
      </c>
      <c r="B365" s="1055" t="s">
        <v>893</v>
      </c>
      <c r="C365" s="1055" t="s">
        <v>519</v>
      </c>
      <c r="D365" s="1055" t="s">
        <v>893</v>
      </c>
      <c r="E365" s="1055" t="s">
        <v>893</v>
      </c>
      <c r="F365" s="1056">
        <v>-218972</v>
      </c>
      <c r="G365" s="1056">
        <v>19539</v>
      </c>
      <c r="H365" s="1056">
        <v>70000</v>
      </c>
      <c r="I365" s="1056">
        <v>-269433</v>
      </c>
      <c r="K365" s="1037">
        <f t="shared" si="5"/>
        <v>6</v>
      </c>
    </row>
    <row r="366" spans="1:11" ht="12.75">
      <c r="A366" s="1054">
        <v>21051017</v>
      </c>
      <c r="B366" s="1055" t="s">
        <v>1489</v>
      </c>
      <c r="C366" s="1055" t="s">
        <v>673</v>
      </c>
      <c r="D366" s="1055" t="s">
        <v>893</v>
      </c>
      <c r="E366" s="1055" t="s">
        <v>893</v>
      </c>
      <c r="F366" s="1056">
        <v>-10880</v>
      </c>
      <c r="G366" s="1056">
        <v>5556</v>
      </c>
      <c r="H366" s="1056">
        <v>0</v>
      </c>
      <c r="I366" s="1056">
        <v>-5324</v>
      </c>
      <c r="K366" s="1037">
        <f t="shared" si="5"/>
        <v>8</v>
      </c>
    </row>
    <row r="367" spans="1:11" ht="12.75">
      <c r="A367" s="1054">
        <v>21051017</v>
      </c>
      <c r="B367" s="1055" t="s">
        <v>1489</v>
      </c>
      <c r="C367" s="1055" t="s">
        <v>673</v>
      </c>
      <c r="D367" s="1055" t="s">
        <v>1172</v>
      </c>
      <c r="E367" s="1055" t="s">
        <v>1173</v>
      </c>
      <c r="F367" s="1056">
        <v>-10880</v>
      </c>
      <c r="G367" s="1056">
        <v>5556</v>
      </c>
      <c r="H367" s="1056">
        <v>0</v>
      </c>
      <c r="I367" s="1056">
        <v>-5324</v>
      </c>
      <c r="K367" s="1037">
        <f t="shared" si="5"/>
        <v>8</v>
      </c>
    </row>
    <row r="368" spans="1:11" ht="12.75">
      <c r="A368" s="1054">
        <v>21051028</v>
      </c>
      <c r="B368" s="1055" t="s">
        <v>1489</v>
      </c>
      <c r="C368" s="1055" t="s">
        <v>720</v>
      </c>
      <c r="D368" s="1055" t="s">
        <v>893</v>
      </c>
      <c r="E368" s="1055" t="s">
        <v>893</v>
      </c>
      <c r="F368" s="1056">
        <v>0</v>
      </c>
      <c r="G368" s="1056">
        <v>0</v>
      </c>
      <c r="H368" s="1056">
        <v>0</v>
      </c>
      <c r="I368" s="1056">
        <v>0</v>
      </c>
      <c r="K368" s="1037">
        <f t="shared" si="5"/>
        <v>8</v>
      </c>
    </row>
    <row r="369" spans="1:11" ht="12.75">
      <c r="A369" s="1054">
        <v>21051028</v>
      </c>
      <c r="B369" s="1055" t="s">
        <v>1489</v>
      </c>
      <c r="C369" s="1055" t="s">
        <v>720</v>
      </c>
      <c r="D369" s="1055" t="s">
        <v>1099</v>
      </c>
      <c r="E369" s="1055" t="s">
        <v>1100</v>
      </c>
      <c r="F369" s="1056">
        <v>0</v>
      </c>
      <c r="G369" s="1056">
        <v>0</v>
      </c>
      <c r="H369" s="1056">
        <v>0</v>
      </c>
      <c r="I369" s="1056">
        <v>0</v>
      </c>
      <c r="K369" s="1037">
        <f t="shared" si="5"/>
        <v>8</v>
      </c>
    </row>
    <row r="370" spans="1:11" ht="12.75">
      <c r="A370" s="1054">
        <v>21051039</v>
      </c>
      <c r="B370" s="1055" t="s">
        <v>1489</v>
      </c>
      <c r="C370" s="1055" t="s">
        <v>1439</v>
      </c>
      <c r="D370" s="1055" t="s">
        <v>893</v>
      </c>
      <c r="E370" s="1055" t="s">
        <v>893</v>
      </c>
      <c r="F370" s="1056">
        <v>-7395</v>
      </c>
      <c r="G370" s="1056">
        <v>1851</v>
      </c>
      <c r="H370" s="1056">
        <v>0</v>
      </c>
      <c r="I370" s="1056">
        <v>-5544</v>
      </c>
      <c r="K370" s="1037">
        <f t="shared" si="5"/>
        <v>8</v>
      </c>
    </row>
    <row r="371" spans="1:11" ht="12.75">
      <c r="A371" s="1054">
        <v>21051039</v>
      </c>
      <c r="B371" s="1055" t="s">
        <v>1489</v>
      </c>
      <c r="C371" s="1055" t="s">
        <v>1439</v>
      </c>
      <c r="D371" s="1055" t="s">
        <v>1168</v>
      </c>
      <c r="E371" s="1055" t="s">
        <v>1169</v>
      </c>
      <c r="F371" s="1056">
        <v>-7395</v>
      </c>
      <c r="G371" s="1056">
        <v>1851</v>
      </c>
      <c r="H371" s="1056">
        <v>0</v>
      </c>
      <c r="I371" s="1056">
        <v>-5544</v>
      </c>
      <c r="K371" s="1037">
        <f t="shared" si="5"/>
        <v>8</v>
      </c>
    </row>
    <row r="372" spans="1:11" ht="12.75">
      <c r="A372" s="1054">
        <v>21051040</v>
      </c>
      <c r="B372" s="1055" t="s">
        <v>1489</v>
      </c>
      <c r="C372" s="1055" t="s">
        <v>721</v>
      </c>
      <c r="D372" s="1055" t="s">
        <v>893</v>
      </c>
      <c r="E372" s="1055" t="s">
        <v>893</v>
      </c>
      <c r="F372" s="1056">
        <v>0</v>
      </c>
      <c r="G372" s="1056">
        <v>0</v>
      </c>
      <c r="H372" s="1056">
        <v>0</v>
      </c>
      <c r="I372" s="1056">
        <v>0</v>
      </c>
      <c r="K372" s="1037">
        <f t="shared" si="5"/>
        <v>8</v>
      </c>
    </row>
    <row r="373" spans="1:11" ht="12.75">
      <c r="A373" s="1054">
        <v>21051040</v>
      </c>
      <c r="B373" s="1055" t="s">
        <v>1489</v>
      </c>
      <c r="C373" s="1055" t="s">
        <v>721</v>
      </c>
      <c r="D373" s="1055" t="s">
        <v>1168</v>
      </c>
      <c r="E373" s="1055" t="s">
        <v>1169</v>
      </c>
      <c r="F373" s="1056">
        <v>0</v>
      </c>
      <c r="G373" s="1056">
        <v>0</v>
      </c>
      <c r="H373" s="1056">
        <v>0</v>
      </c>
      <c r="I373" s="1056">
        <v>0</v>
      </c>
      <c r="K373" s="1037">
        <f t="shared" si="5"/>
        <v>8</v>
      </c>
    </row>
    <row r="374" spans="1:11" ht="12.75">
      <c r="A374" s="1054">
        <v>21051047</v>
      </c>
      <c r="B374" s="1055" t="s">
        <v>1489</v>
      </c>
      <c r="C374" s="1055" t="s">
        <v>722</v>
      </c>
      <c r="D374" s="1055" t="s">
        <v>893</v>
      </c>
      <c r="E374" s="1055" t="s">
        <v>893</v>
      </c>
      <c r="F374" s="1056">
        <v>0</v>
      </c>
      <c r="G374" s="1056">
        <v>0</v>
      </c>
      <c r="H374" s="1056">
        <v>0</v>
      </c>
      <c r="I374" s="1056">
        <v>0</v>
      </c>
      <c r="K374" s="1037">
        <f t="shared" si="5"/>
        <v>8</v>
      </c>
    </row>
    <row r="375" spans="1:11" ht="12.75">
      <c r="A375" s="1054">
        <v>21051047</v>
      </c>
      <c r="B375" s="1055" t="s">
        <v>1489</v>
      </c>
      <c r="C375" s="1055" t="s">
        <v>722</v>
      </c>
      <c r="D375" s="1055" t="s">
        <v>1174</v>
      </c>
      <c r="E375" s="1055" t="s">
        <v>1175</v>
      </c>
      <c r="F375" s="1056">
        <v>0</v>
      </c>
      <c r="G375" s="1056">
        <v>0</v>
      </c>
      <c r="H375" s="1056">
        <v>0</v>
      </c>
      <c r="I375" s="1056">
        <v>0</v>
      </c>
      <c r="K375" s="1037">
        <f t="shared" si="5"/>
        <v>8</v>
      </c>
    </row>
    <row r="376" spans="1:11" ht="12.75">
      <c r="A376" s="1054">
        <v>21051048</v>
      </c>
      <c r="B376" s="1055" t="s">
        <v>1489</v>
      </c>
      <c r="C376" s="1055" t="s">
        <v>723</v>
      </c>
      <c r="D376" s="1055" t="s">
        <v>893</v>
      </c>
      <c r="E376" s="1055" t="s">
        <v>893</v>
      </c>
      <c r="F376" s="1056">
        <v>0</v>
      </c>
      <c r="G376" s="1056">
        <v>0</v>
      </c>
      <c r="H376" s="1056">
        <v>0</v>
      </c>
      <c r="I376" s="1056">
        <v>0</v>
      </c>
      <c r="K376" s="1037">
        <f t="shared" si="5"/>
        <v>8</v>
      </c>
    </row>
    <row r="377" spans="1:11" ht="12.75">
      <c r="A377" s="1054">
        <v>21051048</v>
      </c>
      <c r="B377" s="1055" t="s">
        <v>1489</v>
      </c>
      <c r="C377" s="1055" t="s">
        <v>723</v>
      </c>
      <c r="D377" s="1055" t="s">
        <v>1174</v>
      </c>
      <c r="E377" s="1055" t="s">
        <v>1175</v>
      </c>
      <c r="F377" s="1056">
        <v>0</v>
      </c>
      <c r="G377" s="1056">
        <v>0</v>
      </c>
      <c r="H377" s="1056">
        <v>0</v>
      </c>
      <c r="I377" s="1056">
        <v>0</v>
      </c>
      <c r="K377" s="1037">
        <f t="shared" si="5"/>
        <v>8</v>
      </c>
    </row>
    <row r="378" spans="1:11" ht="12.75">
      <c r="A378" s="1054">
        <v>21051050</v>
      </c>
      <c r="B378" s="1055" t="s">
        <v>1489</v>
      </c>
      <c r="C378" s="1055" t="s">
        <v>724</v>
      </c>
      <c r="D378" s="1055" t="s">
        <v>893</v>
      </c>
      <c r="E378" s="1055" t="s">
        <v>893</v>
      </c>
      <c r="F378" s="1056">
        <v>0</v>
      </c>
      <c r="G378" s="1056">
        <v>0</v>
      </c>
      <c r="H378" s="1056">
        <v>0</v>
      </c>
      <c r="I378" s="1056">
        <v>0</v>
      </c>
      <c r="K378" s="1037">
        <f t="shared" si="5"/>
        <v>8</v>
      </c>
    </row>
    <row r="379" spans="1:11" ht="12.75">
      <c r="A379" s="1054">
        <v>21051050</v>
      </c>
      <c r="B379" s="1055" t="s">
        <v>1489</v>
      </c>
      <c r="C379" s="1055" t="s">
        <v>724</v>
      </c>
      <c r="D379" s="1055" t="s">
        <v>1174</v>
      </c>
      <c r="E379" s="1055" t="s">
        <v>1175</v>
      </c>
      <c r="F379" s="1056">
        <v>0</v>
      </c>
      <c r="G379" s="1056">
        <v>0</v>
      </c>
      <c r="H379" s="1056">
        <v>0</v>
      </c>
      <c r="I379" s="1056">
        <v>0</v>
      </c>
      <c r="K379" s="1037">
        <f t="shared" si="5"/>
        <v>8</v>
      </c>
    </row>
    <row r="380" spans="1:11" ht="12.75">
      <c r="A380" s="1054">
        <v>21051063</v>
      </c>
      <c r="B380" s="1055" t="s">
        <v>1489</v>
      </c>
      <c r="C380" s="1055" t="s">
        <v>1672</v>
      </c>
      <c r="D380" s="1055" t="s">
        <v>893</v>
      </c>
      <c r="E380" s="1055" t="s">
        <v>893</v>
      </c>
      <c r="F380" s="1056">
        <v>-26927</v>
      </c>
      <c r="G380" s="1056">
        <v>3366</v>
      </c>
      <c r="H380" s="1056">
        <v>70000</v>
      </c>
      <c r="I380" s="1056">
        <v>-93562</v>
      </c>
      <c r="K380" s="1037">
        <f t="shared" si="5"/>
        <v>8</v>
      </c>
    </row>
    <row r="381" spans="1:11" ht="12.75">
      <c r="A381" s="1054">
        <v>21051063</v>
      </c>
      <c r="B381" s="1055" t="s">
        <v>1489</v>
      </c>
      <c r="C381" s="1055" t="s">
        <v>1672</v>
      </c>
      <c r="D381" s="1055" t="s">
        <v>1168</v>
      </c>
      <c r="E381" s="1055" t="s">
        <v>1169</v>
      </c>
      <c r="F381" s="1056">
        <v>-26927</v>
      </c>
      <c r="G381" s="1056">
        <v>3366</v>
      </c>
      <c r="H381" s="1056">
        <v>70000</v>
      </c>
      <c r="I381" s="1056">
        <v>-93562</v>
      </c>
      <c r="K381" s="1037">
        <f t="shared" si="5"/>
        <v>8</v>
      </c>
    </row>
    <row r="382" spans="1:11" ht="12.75">
      <c r="A382" s="1054">
        <v>21051066</v>
      </c>
      <c r="B382" s="1055" t="s">
        <v>1489</v>
      </c>
      <c r="C382" s="1055" t="s">
        <v>1466</v>
      </c>
      <c r="D382" s="1055" t="s">
        <v>893</v>
      </c>
      <c r="E382" s="1055" t="s">
        <v>893</v>
      </c>
      <c r="F382" s="1056">
        <v>-77769</v>
      </c>
      <c r="G382" s="1056">
        <v>4766</v>
      </c>
      <c r="H382" s="1056">
        <v>0</v>
      </c>
      <c r="I382" s="1056">
        <v>-73003</v>
      </c>
      <c r="K382" s="1037">
        <f t="shared" si="5"/>
        <v>8</v>
      </c>
    </row>
    <row r="383" spans="1:11" ht="12.75">
      <c r="A383" s="1054">
        <v>21051066</v>
      </c>
      <c r="B383" s="1055" t="s">
        <v>1489</v>
      </c>
      <c r="C383" s="1055" t="s">
        <v>1466</v>
      </c>
      <c r="D383" s="1055" t="s">
        <v>1171</v>
      </c>
      <c r="E383" s="1055" t="s">
        <v>335</v>
      </c>
      <c r="F383" s="1056">
        <v>-77769</v>
      </c>
      <c r="G383" s="1056">
        <v>4766</v>
      </c>
      <c r="H383" s="1056">
        <v>0</v>
      </c>
      <c r="I383" s="1056">
        <v>-73003</v>
      </c>
      <c r="K383" s="1037">
        <f t="shared" si="5"/>
        <v>8</v>
      </c>
    </row>
    <row r="384" spans="1:11" ht="12.75">
      <c r="A384" s="1054">
        <v>21051067</v>
      </c>
      <c r="B384" s="1055" t="s">
        <v>1489</v>
      </c>
      <c r="C384" s="1055" t="s">
        <v>1004</v>
      </c>
      <c r="D384" s="1055" t="s">
        <v>893</v>
      </c>
      <c r="E384" s="1055" t="s">
        <v>893</v>
      </c>
      <c r="F384" s="1056">
        <v>-96000</v>
      </c>
      <c r="G384" s="1056">
        <v>4000</v>
      </c>
      <c r="H384" s="1056">
        <v>0</v>
      </c>
      <c r="I384" s="1056">
        <v>-92000</v>
      </c>
      <c r="K384" s="1037">
        <f t="shared" si="5"/>
        <v>8</v>
      </c>
    </row>
    <row r="385" spans="1:11" ht="12.75">
      <c r="A385" s="1054">
        <v>21051067</v>
      </c>
      <c r="B385" s="1055" t="s">
        <v>1489</v>
      </c>
      <c r="C385" s="1055" t="s">
        <v>1004</v>
      </c>
      <c r="D385" s="1055" t="s">
        <v>1172</v>
      </c>
      <c r="E385" s="1055" t="s">
        <v>1173</v>
      </c>
      <c r="F385" s="1056">
        <v>-96000</v>
      </c>
      <c r="G385" s="1056">
        <v>4000</v>
      </c>
      <c r="H385" s="1056">
        <v>0</v>
      </c>
      <c r="I385" s="1056">
        <v>-92000</v>
      </c>
      <c r="K385" s="1037">
        <f t="shared" si="5"/>
        <v>8</v>
      </c>
    </row>
    <row r="386" spans="1:11" ht="12.75">
      <c r="A386" s="1054">
        <v>2120</v>
      </c>
      <c r="B386" s="1055" t="s">
        <v>893</v>
      </c>
      <c r="C386" s="1055" t="s">
        <v>725</v>
      </c>
      <c r="D386" s="1055" t="s">
        <v>893</v>
      </c>
      <c r="E386" s="1055" t="s">
        <v>893</v>
      </c>
      <c r="F386" s="1056">
        <v>-3420</v>
      </c>
      <c r="G386" s="1056">
        <v>0</v>
      </c>
      <c r="H386" s="1056">
        <v>0</v>
      </c>
      <c r="I386" s="1056">
        <v>-3420</v>
      </c>
      <c r="K386" s="1037">
        <f t="shared" si="5"/>
        <v>4</v>
      </c>
    </row>
    <row r="387" spans="1:11" ht="12.75">
      <c r="A387" s="1054">
        <v>212020</v>
      </c>
      <c r="B387" s="1055" t="s">
        <v>893</v>
      </c>
      <c r="C387" s="1055" t="s">
        <v>726</v>
      </c>
      <c r="D387" s="1055" t="s">
        <v>893</v>
      </c>
      <c r="E387" s="1055" t="s">
        <v>893</v>
      </c>
      <c r="F387" s="1056">
        <v>-3420</v>
      </c>
      <c r="G387" s="1056">
        <v>0</v>
      </c>
      <c r="H387" s="1056">
        <v>0</v>
      </c>
      <c r="I387" s="1056">
        <v>-3420</v>
      </c>
      <c r="K387" s="1037">
        <f t="shared" si="5"/>
        <v>6</v>
      </c>
    </row>
    <row r="388" spans="1:11" ht="12.75">
      <c r="A388" s="1054">
        <v>21202002</v>
      </c>
      <c r="B388" s="1055" t="s">
        <v>1489</v>
      </c>
      <c r="C388" s="1055" t="s">
        <v>674</v>
      </c>
      <c r="D388" s="1055" t="s">
        <v>893</v>
      </c>
      <c r="E388" s="1055" t="s">
        <v>893</v>
      </c>
      <c r="F388" s="1056">
        <v>-3420</v>
      </c>
      <c r="G388" s="1056">
        <v>0</v>
      </c>
      <c r="H388" s="1056">
        <v>0</v>
      </c>
      <c r="I388" s="1056">
        <v>-3420</v>
      </c>
      <c r="K388" s="1037">
        <f t="shared" si="5"/>
        <v>8</v>
      </c>
    </row>
    <row r="389" spans="1:11" ht="12.75">
      <c r="A389" s="1054">
        <v>21202002</v>
      </c>
      <c r="B389" s="1055" t="s">
        <v>1489</v>
      </c>
      <c r="C389" s="1055" t="s">
        <v>674</v>
      </c>
      <c r="D389" s="1055" t="s">
        <v>1099</v>
      </c>
      <c r="E389" s="1055" t="s">
        <v>1100</v>
      </c>
      <c r="F389" s="1056">
        <v>-3420</v>
      </c>
      <c r="G389" s="1056">
        <v>0</v>
      </c>
      <c r="H389" s="1056">
        <v>0</v>
      </c>
      <c r="I389" s="1056">
        <v>-3420</v>
      </c>
      <c r="K389" s="1037">
        <f t="shared" ref="K389:K452" si="6">+LEN(A389)</f>
        <v>8</v>
      </c>
    </row>
    <row r="390" spans="1:11" ht="12.75">
      <c r="A390" s="1054">
        <v>2195</v>
      </c>
      <c r="B390" s="1055" t="s">
        <v>893</v>
      </c>
      <c r="C390" s="1055" t="s">
        <v>556</v>
      </c>
      <c r="D390" s="1055" t="s">
        <v>893</v>
      </c>
      <c r="E390" s="1055" t="s">
        <v>893</v>
      </c>
      <c r="F390" s="1056">
        <v>-57901</v>
      </c>
      <c r="G390" s="1056">
        <v>0</v>
      </c>
      <c r="H390" s="1056">
        <v>0</v>
      </c>
      <c r="I390" s="1056">
        <v>-57901</v>
      </c>
      <c r="K390" s="1037">
        <f t="shared" si="6"/>
        <v>4</v>
      </c>
    </row>
    <row r="391" spans="1:11" ht="12.75">
      <c r="A391" s="1054">
        <v>219520</v>
      </c>
      <c r="B391" s="1055" t="s">
        <v>1489</v>
      </c>
      <c r="C391" s="1055" t="s">
        <v>727</v>
      </c>
      <c r="D391" s="1055" t="s">
        <v>893</v>
      </c>
      <c r="E391" s="1055" t="s">
        <v>893</v>
      </c>
      <c r="F391" s="1056">
        <v>0</v>
      </c>
      <c r="G391" s="1056">
        <v>0</v>
      </c>
      <c r="H391" s="1056">
        <v>0</v>
      </c>
      <c r="I391" s="1056">
        <v>0</v>
      </c>
      <c r="K391" s="1037">
        <f t="shared" si="6"/>
        <v>6</v>
      </c>
    </row>
    <row r="392" spans="1:11" ht="12.75">
      <c r="A392" s="1054">
        <v>21952001</v>
      </c>
      <c r="B392" s="1055" t="s">
        <v>1489</v>
      </c>
      <c r="C392" s="1055" t="s">
        <v>727</v>
      </c>
      <c r="D392" s="1055" t="s">
        <v>893</v>
      </c>
      <c r="E392" s="1055" t="s">
        <v>893</v>
      </c>
      <c r="F392" s="1056">
        <v>0</v>
      </c>
      <c r="G392" s="1056">
        <v>0</v>
      </c>
      <c r="H392" s="1056">
        <v>0</v>
      </c>
      <c r="I392" s="1056">
        <v>0</v>
      </c>
      <c r="K392" s="1037">
        <f t="shared" si="6"/>
        <v>8</v>
      </c>
    </row>
    <row r="393" spans="1:11" ht="12.75">
      <c r="A393" s="1054">
        <v>219595</v>
      </c>
      <c r="B393" s="1055" t="s">
        <v>893</v>
      </c>
      <c r="C393" s="1055" t="s">
        <v>323</v>
      </c>
      <c r="D393" s="1055" t="s">
        <v>893</v>
      </c>
      <c r="E393" s="1055" t="s">
        <v>893</v>
      </c>
      <c r="F393" s="1056">
        <v>-57901</v>
      </c>
      <c r="G393" s="1056">
        <v>0</v>
      </c>
      <c r="H393" s="1056">
        <v>0</v>
      </c>
      <c r="I393" s="1056">
        <v>-57901</v>
      </c>
      <c r="K393" s="1037">
        <f t="shared" si="6"/>
        <v>6</v>
      </c>
    </row>
    <row r="394" spans="1:11" ht="12.75">
      <c r="A394" s="1054">
        <v>21959503</v>
      </c>
      <c r="B394" s="1055" t="s">
        <v>1489</v>
      </c>
      <c r="C394" s="1055" t="s">
        <v>912</v>
      </c>
      <c r="D394" s="1055" t="s">
        <v>893</v>
      </c>
      <c r="E394" s="1055" t="s">
        <v>893</v>
      </c>
      <c r="F394" s="1056">
        <v>-57901</v>
      </c>
      <c r="G394" s="1056">
        <v>0</v>
      </c>
      <c r="H394" s="1056">
        <v>0</v>
      </c>
      <c r="I394" s="1056">
        <v>-57901</v>
      </c>
      <c r="K394" s="1037">
        <f t="shared" si="6"/>
        <v>8</v>
      </c>
    </row>
    <row r="395" spans="1:11" ht="12.75">
      <c r="A395" s="1054">
        <v>21959503</v>
      </c>
      <c r="B395" s="1055" t="s">
        <v>1489</v>
      </c>
      <c r="C395" s="1055" t="s">
        <v>912</v>
      </c>
      <c r="D395" s="1055" t="s">
        <v>1041</v>
      </c>
      <c r="E395" s="1055" t="s">
        <v>661</v>
      </c>
      <c r="F395" s="1056">
        <v>-57901</v>
      </c>
      <c r="G395" s="1056">
        <v>0</v>
      </c>
      <c r="H395" s="1056">
        <v>0</v>
      </c>
      <c r="I395" s="1056">
        <v>-57901</v>
      </c>
      <c r="K395" s="1037">
        <f t="shared" si="6"/>
        <v>8</v>
      </c>
    </row>
    <row r="396" spans="1:11" ht="12.75">
      <c r="A396" s="1054">
        <v>22</v>
      </c>
      <c r="B396" s="1055" t="s">
        <v>893</v>
      </c>
      <c r="C396" s="1055" t="s">
        <v>114</v>
      </c>
      <c r="D396" s="1055" t="s">
        <v>893</v>
      </c>
      <c r="E396" s="1055" t="s">
        <v>893</v>
      </c>
      <c r="F396" s="1056">
        <v>-461633</v>
      </c>
      <c r="G396" s="1056">
        <v>414638</v>
      </c>
      <c r="H396" s="1056">
        <v>450604</v>
      </c>
      <c r="I396" s="1056">
        <v>-497599</v>
      </c>
      <c r="K396" s="1037">
        <f t="shared" si="6"/>
        <v>2</v>
      </c>
    </row>
    <row r="397" spans="1:11" ht="12.75">
      <c r="A397" s="1054">
        <v>2205</v>
      </c>
      <c r="B397" s="1055" t="s">
        <v>893</v>
      </c>
      <c r="C397" s="1055" t="s">
        <v>316</v>
      </c>
      <c r="D397" s="1055" t="s">
        <v>893</v>
      </c>
      <c r="E397" s="1055" t="s">
        <v>893</v>
      </c>
      <c r="F397" s="1056">
        <v>-461633</v>
      </c>
      <c r="G397" s="1056">
        <v>414638</v>
      </c>
      <c r="H397" s="1056">
        <v>450604</v>
      </c>
      <c r="I397" s="1056">
        <v>-497599</v>
      </c>
      <c r="K397" s="1037">
        <f t="shared" si="6"/>
        <v>4</v>
      </c>
    </row>
    <row r="398" spans="1:11" ht="12.75">
      <c r="A398" s="1054">
        <v>220501</v>
      </c>
      <c r="B398" s="1055" t="s">
        <v>893</v>
      </c>
      <c r="C398" s="1055" t="s">
        <v>316</v>
      </c>
      <c r="D398" s="1055" t="s">
        <v>893</v>
      </c>
      <c r="E398" s="1055" t="s">
        <v>893</v>
      </c>
      <c r="F398" s="1056">
        <v>-461633</v>
      </c>
      <c r="G398" s="1056">
        <v>414638</v>
      </c>
      <c r="H398" s="1056">
        <v>450604</v>
      </c>
      <c r="I398" s="1056">
        <v>-497599</v>
      </c>
      <c r="K398" s="1037">
        <f t="shared" si="6"/>
        <v>6</v>
      </c>
    </row>
    <row r="399" spans="1:11" ht="12.75">
      <c r="A399" s="1054">
        <v>22050101</v>
      </c>
      <c r="B399" s="1055" t="s">
        <v>893</v>
      </c>
      <c r="C399" s="1055" t="s">
        <v>520</v>
      </c>
      <c r="D399" s="1055" t="s">
        <v>893</v>
      </c>
      <c r="E399" s="1055" t="s">
        <v>893</v>
      </c>
      <c r="F399" s="1056">
        <v>-461633</v>
      </c>
      <c r="G399" s="1056">
        <v>412825</v>
      </c>
      <c r="H399" s="1056">
        <v>448791</v>
      </c>
      <c r="I399" s="1056">
        <v>-497599</v>
      </c>
      <c r="K399" s="1037">
        <f t="shared" si="6"/>
        <v>8</v>
      </c>
    </row>
    <row r="400" spans="1:11" ht="12.75">
      <c r="A400" s="1054">
        <v>22050101</v>
      </c>
      <c r="B400" s="1055" t="s">
        <v>893</v>
      </c>
      <c r="C400" s="1055" t="s">
        <v>520</v>
      </c>
      <c r="D400" s="1055" t="s">
        <v>1177</v>
      </c>
      <c r="E400" s="1055" t="s">
        <v>1011</v>
      </c>
      <c r="F400" s="1056">
        <v>0</v>
      </c>
      <c r="G400" s="1056">
        <v>284</v>
      </c>
      <c r="H400" s="1056">
        <v>284</v>
      </c>
      <c r="I400" s="1056">
        <v>0</v>
      </c>
      <c r="K400" s="1037">
        <f t="shared" si="6"/>
        <v>8</v>
      </c>
    </row>
    <row r="401" spans="1:11" ht="12.75">
      <c r="A401" s="1054">
        <v>22050101</v>
      </c>
      <c r="B401" s="1055" t="s">
        <v>893</v>
      </c>
      <c r="C401" s="1055" t="s">
        <v>520</v>
      </c>
      <c r="D401" s="1055" t="s">
        <v>1178</v>
      </c>
      <c r="E401" s="1055" t="s">
        <v>1012</v>
      </c>
      <c r="F401" s="1056">
        <v>0</v>
      </c>
      <c r="G401" s="1056">
        <v>619</v>
      </c>
      <c r="H401" s="1056">
        <v>619</v>
      </c>
      <c r="I401" s="1056">
        <v>0</v>
      </c>
      <c r="K401" s="1037">
        <f t="shared" si="6"/>
        <v>8</v>
      </c>
    </row>
    <row r="402" spans="1:11" ht="12.75">
      <c r="A402" s="1054">
        <v>22050101</v>
      </c>
      <c r="B402" s="1055" t="s">
        <v>893</v>
      </c>
      <c r="C402" s="1055" t="s">
        <v>520</v>
      </c>
      <c r="D402" s="1055" t="s">
        <v>1179</v>
      </c>
      <c r="E402" s="1055" t="s">
        <v>1013</v>
      </c>
      <c r="F402" s="1056">
        <v>0</v>
      </c>
      <c r="G402" s="1056">
        <v>4527</v>
      </c>
      <c r="H402" s="1056">
        <v>4527</v>
      </c>
      <c r="I402" s="1056">
        <v>0</v>
      </c>
      <c r="K402" s="1037">
        <f t="shared" si="6"/>
        <v>8</v>
      </c>
    </row>
    <row r="403" spans="1:11" ht="12.75">
      <c r="A403" s="1054">
        <v>22050101</v>
      </c>
      <c r="B403" s="1055" t="s">
        <v>893</v>
      </c>
      <c r="C403" s="1055" t="s">
        <v>520</v>
      </c>
      <c r="D403" s="1055" t="s">
        <v>1310</v>
      </c>
      <c r="E403" s="1055" t="s">
        <v>994</v>
      </c>
      <c r="F403" s="1056">
        <v>-43</v>
      </c>
      <c r="G403" s="1056">
        <v>0</v>
      </c>
      <c r="H403" s="1056">
        <v>0</v>
      </c>
      <c r="I403" s="1056">
        <v>-43</v>
      </c>
      <c r="K403" s="1037">
        <f t="shared" si="6"/>
        <v>8</v>
      </c>
    </row>
    <row r="404" spans="1:11" ht="12.75">
      <c r="A404" s="1054">
        <v>22050101</v>
      </c>
      <c r="B404" s="1055" t="s">
        <v>893</v>
      </c>
      <c r="C404" s="1055" t="s">
        <v>520</v>
      </c>
      <c r="D404" s="1055" t="s">
        <v>1079</v>
      </c>
      <c r="E404" s="1055" t="s">
        <v>657</v>
      </c>
      <c r="F404" s="1056">
        <v>-2785</v>
      </c>
      <c r="G404" s="1056">
        <v>2785</v>
      </c>
      <c r="H404" s="1056">
        <v>2015</v>
      </c>
      <c r="I404" s="1056">
        <v>-2015</v>
      </c>
      <c r="K404" s="1037">
        <f t="shared" si="6"/>
        <v>8</v>
      </c>
    </row>
    <row r="405" spans="1:11" ht="12.75">
      <c r="A405" s="1054">
        <v>22050101</v>
      </c>
      <c r="B405" s="1055" t="s">
        <v>893</v>
      </c>
      <c r="C405" s="1055" t="s">
        <v>520</v>
      </c>
      <c r="D405" s="1055" t="s">
        <v>1180</v>
      </c>
      <c r="E405" s="1055" t="s">
        <v>1014</v>
      </c>
      <c r="F405" s="1056">
        <v>0</v>
      </c>
      <c r="G405" s="1056">
        <v>0</v>
      </c>
      <c r="H405" s="1056">
        <v>0</v>
      </c>
      <c r="I405" s="1056">
        <v>0</v>
      </c>
      <c r="K405" s="1037">
        <f t="shared" si="6"/>
        <v>8</v>
      </c>
    </row>
    <row r="406" spans="1:11" ht="12.75">
      <c r="A406" s="1054">
        <v>22050101</v>
      </c>
      <c r="B406" s="1055" t="s">
        <v>893</v>
      </c>
      <c r="C406" s="1055" t="s">
        <v>520</v>
      </c>
      <c r="D406" s="1055" t="s">
        <v>1181</v>
      </c>
      <c r="E406" s="1055" t="s">
        <v>676</v>
      </c>
      <c r="F406" s="1056">
        <v>-774</v>
      </c>
      <c r="G406" s="1056">
        <v>0</v>
      </c>
      <c r="H406" s="1056">
        <v>0</v>
      </c>
      <c r="I406" s="1056">
        <v>-774</v>
      </c>
      <c r="K406" s="1037">
        <f t="shared" si="6"/>
        <v>8</v>
      </c>
    </row>
    <row r="407" spans="1:11" ht="12.75">
      <c r="A407" s="1054">
        <v>22050101</v>
      </c>
      <c r="B407" s="1055" t="s">
        <v>893</v>
      </c>
      <c r="C407" s="1055" t="s">
        <v>520</v>
      </c>
      <c r="D407" s="1055" t="s">
        <v>1182</v>
      </c>
      <c r="E407" s="1055" t="s">
        <v>521</v>
      </c>
      <c r="F407" s="1056">
        <v>-1010</v>
      </c>
      <c r="G407" s="1056">
        <v>1010</v>
      </c>
      <c r="H407" s="1056">
        <v>1688</v>
      </c>
      <c r="I407" s="1056">
        <v>-1688</v>
      </c>
      <c r="K407" s="1037">
        <f t="shared" si="6"/>
        <v>8</v>
      </c>
    </row>
    <row r="408" spans="1:11" ht="12.75">
      <c r="A408" s="1054">
        <v>22050101</v>
      </c>
      <c r="B408" s="1055" t="s">
        <v>893</v>
      </c>
      <c r="C408" s="1055" t="s">
        <v>520</v>
      </c>
      <c r="D408" s="1055" t="s">
        <v>1183</v>
      </c>
      <c r="E408" s="1055" t="s">
        <v>1015</v>
      </c>
      <c r="F408" s="1056">
        <v>0</v>
      </c>
      <c r="G408" s="1056">
        <v>4527</v>
      </c>
      <c r="H408" s="1056">
        <v>4527</v>
      </c>
      <c r="I408" s="1056">
        <v>0</v>
      </c>
      <c r="K408" s="1037">
        <f t="shared" si="6"/>
        <v>8</v>
      </c>
    </row>
    <row r="409" spans="1:11" ht="12.75">
      <c r="A409" s="1054">
        <v>22050101</v>
      </c>
      <c r="B409" s="1055" t="s">
        <v>893</v>
      </c>
      <c r="C409" s="1055" t="s">
        <v>520</v>
      </c>
      <c r="D409" s="1055" t="s">
        <v>1311</v>
      </c>
      <c r="E409" s="1055" t="s">
        <v>995</v>
      </c>
      <c r="F409" s="1056">
        <v>-890</v>
      </c>
      <c r="G409" s="1056">
        <v>455</v>
      </c>
      <c r="H409" s="1056">
        <v>180</v>
      </c>
      <c r="I409" s="1056">
        <v>-615</v>
      </c>
      <c r="K409" s="1037">
        <f t="shared" si="6"/>
        <v>8</v>
      </c>
    </row>
    <row r="410" spans="1:11" ht="12.75">
      <c r="A410" s="1054">
        <v>22050101</v>
      </c>
      <c r="B410" s="1055" t="s">
        <v>893</v>
      </c>
      <c r="C410" s="1055" t="s">
        <v>520</v>
      </c>
      <c r="D410" s="1055" t="s">
        <v>1032</v>
      </c>
      <c r="E410" s="1055" t="s">
        <v>508</v>
      </c>
      <c r="F410" s="1056">
        <v>-430</v>
      </c>
      <c r="G410" s="1056">
        <v>0</v>
      </c>
      <c r="H410" s="1056">
        <v>0</v>
      </c>
      <c r="I410" s="1056">
        <v>-430</v>
      </c>
      <c r="K410" s="1037">
        <f t="shared" si="6"/>
        <v>8</v>
      </c>
    </row>
    <row r="411" spans="1:11" ht="12.75">
      <c r="A411" s="1054">
        <v>22050101</v>
      </c>
      <c r="B411" s="1055" t="s">
        <v>893</v>
      </c>
      <c r="C411" s="1055" t="s">
        <v>520</v>
      </c>
      <c r="D411" s="1055" t="s">
        <v>1184</v>
      </c>
      <c r="E411" s="1055" t="s">
        <v>728</v>
      </c>
      <c r="F411" s="1056">
        <v>-151</v>
      </c>
      <c r="G411" s="1056">
        <v>0</v>
      </c>
      <c r="H411" s="1056">
        <v>0</v>
      </c>
      <c r="I411" s="1056">
        <v>-151</v>
      </c>
      <c r="K411" s="1037">
        <f t="shared" si="6"/>
        <v>8</v>
      </c>
    </row>
    <row r="412" spans="1:11" ht="12.75">
      <c r="A412" s="1054">
        <v>22050101</v>
      </c>
      <c r="B412" s="1055" t="s">
        <v>893</v>
      </c>
      <c r="C412" s="1055" t="s">
        <v>520</v>
      </c>
      <c r="D412" s="1055" t="s">
        <v>1730</v>
      </c>
      <c r="E412" s="1055" t="s">
        <v>1731</v>
      </c>
      <c r="F412" s="1056">
        <v>-1800</v>
      </c>
      <c r="G412" s="1056">
        <v>0</v>
      </c>
      <c r="H412" s="1056">
        <v>0</v>
      </c>
      <c r="I412" s="1056">
        <v>-1800</v>
      </c>
      <c r="K412" s="1037">
        <f t="shared" si="6"/>
        <v>8</v>
      </c>
    </row>
    <row r="413" spans="1:11" ht="12.75">
      <c r="A413" s="1054">
        <v>22050101</v>
      </c>
      <c r="B413" s="1055" t="s">
        <v>893</v>
      </c>
      <c r="C413" s="1055" t="s">
        <v>520</v>
      </c>
      <c r="D413" s="1055" t="s">
        <v>1186</v>
      </c>
      <c r="E413" s="1055" t="s">
        <v>1018</v>
      </c>
      <c r="F413" s="1056">
        <v>0</v>
      </c>
      <c r="G413" s="1056">
        <v>6025</v>
      </c>
      <c r="H413" s="1056">
        <v>6025</v>
      </c>
      <c r="I413" s="1056">
        <v>0</v>
      </c>
      <c r="K413" s="1037">
        <f t="shared" si="6"/>
        <v>8</v>
      </c>
    </row>
    <row r="414" spans="1:11" ht="12.75">
      <c r="A414" s="1054">
        <v>22050101</v>
      </c>
      <c r="B414" s="1055" t="s">
        <v>893</v>
      </c>
      <c r="C414" s="1055" t="s">
        <v>520</v>
      </c>
      <c r="D414" s="1055" t="s">
        <v>1105</v>
      </c>
      <c r="E414" s="1055" t="s">
        <v>1106</v>
      </c>
      <c r="F414" s="1056">
        <v>-2109</v>
      </c>
      <c r="G414" s="1056">
        <v>2322</v>
      </c>
      <c r="H414" s="1056">
        <v>0</v>
      </c>
      <c r="I414" s="1056">
        <v>212</v>
      </c>
      <c r="K414" s="1037">
        <f t="shared" si="6"/>
        <v>8</v>
      </c>
    </row>
    <row r="415" spans="1:11" ht="12.75">
      <c r="A415" s="1054">
        <v>22050101</v>
      </c>
      <c r="B415" s="1055" t="s">
        <v>893</v>
      </c>
      <c r="C415" s="1055" t="s">
        <v>520</v>
      </c>
      <c r="D415" s="1055" t="s">
        <v>1817</v>
      </c>
      <c r="E415" s="1055" t="s">
        <v>1818</v>
      </c>
      <c r="F415" s="1056">
        <v>-297</v>
      </c>
      <c r="G415" s="1056">
        <v>297</v>
      </c>
      <c r="H415" s="1056">
        <v>0</v>
      </c>
      <c r="I415" s="1056">
        <v>0</v>
      </c>
      <c r="K415" s="1037">
        <f t="shared" si="6"/>
        <v>8</v>
      </c>
    </row>
    <row r="416" spans="1:11" ht="12.75">
      <c r="A416" s="1054">
        <v>22050101</v>
      </c>
      <c r="B416" s="1055" t="s">
        <v>893</v>
      </c>
      <c r="C416" s="1055" t="s">
        <v>520</v>
      </c>
      <c r="D416" s="1055" t="s">
        <v>1295</v>
      </c>
      <c r="E416" s="1055" t="s">
        <v>963</v>
      </c>
      <c r="F416" s="1056">
        <v>0</v>
      </c>
      <c r="G416" s="1056">
        <v>9915</v>
      </c>
      <c r="H416" s="1056">
        <v>9915</v>
      </c>
      <c r="I416" s="1056">
        <v>0</v>
      </c>
      <c r="K416" s="1037">
        <f t="shared" si="6"/>
        <v>8</v>
      </c>
    </row>
    <row r="417" spans="1:11" ht="12.75">
      <c r="A417" s="1054">
        <v>22050101</v>
      </c>
      <c r="B417" s="1055" t="s">
        <v>893</v>
      </c>
      <c r="C417" s="1055" t="s">
        <v>520</v>
      </c>
      <c r="D417" s="1055" t="s">
        <v>1187</v>
      </c>
      <c r="E417" s="1055" t="s">
        <v>1019</v>
      </c>
      <c r="F417" s="1056">
        <v>0</v>
      </c>
      <c r="G417" s="1056">
        <v>608</v>
      </c>
      <c r="H417" s="1056">
        <v>608</v>
      </c>
      <c r="I417" s="1056">
        <v>0</v>
      </c>
      <c r="K417" s="1037">
        <f t="shared" si="6"/>
        <v>8</v>
      </c>
    </row>
    <row r="418" spans="1:11" ht="12.75">
      <c r="A418" s="1054">
        <v>22050101</v>
      </c>
      <c r="B418" s="1055" t="s">
        <v>893</v>
      </c>
      <c r="C418" s="1055" t="s">
        <v>520</v>
      </c>
      <c r="D418" s="1055" t="s">
        <v>1066</v>
      </c>
      <c r="E418" s="1055" t="s">
        <v>662</v>
      </c>
      <c r="F418" s="1056">
        <v>-1641</v>
      </c>
      <c r="G418" s="1056">
        <v>0</v>
      </c>
      <c r="H418" s="1056">
        <v>0</v>
      </c>
      <c r="I418" s="1056">
        <v>-1641</v>
      </c>
      <c r="K418" s="1037">
        <f t="shared" si="6"/>
        <v>8</v>
      </c>
    </row>
    <row r="419" spans="1:11" ht="12.75">
      <c r="A419" s="1054">
        <v>22050101</v>
      </c>
      <c r="B419" s="1055" t="s">
        <v>893</v>
      </c>
      <c r="C419" s="1055" t="s">
        <v>520</v>
      </c>
      <c r="D419" s="1055" t="s">
        <v>1312</v>
      </c>
      <c r="E419" s="1055" t="s">
        <v>1824</v>
      </c>
      <c r="F419" s="1056">
        <v>-4431</v>
      </c>
      <c r="G419" s="1056">
        <v>4431</v>
      </c>
      <c r="H419" s="1056">
        <v>4431</v>
      </c>
      <c r="I419" s="1056">
        <v>-4431</v>
      </c>
      <c r="K419" s="1037">
        <f t="shared" si="6"/>
        <v>8</v>
      </c>
    </row>
    <row r="420" spans="1:11" ht="12.75">
      <c r="A420" s="1054">
        <v>22050101</v>
      </c>
      <c r="B420" s="1055" t="s">
        <v>893</v>
      </c>
      <c r="C420" s="1055" t="s">
        <v>520</v>
      </c>
      <c r="D420" s="1055" t="s">
        <v>1081</v>
      </c>
      <c r="E420" s="1055" t="s">
        <v>702</v>
      </c>
      <c r="F420" s="1056">
        <v>-1577</v>
      </c>
      <c r="G420" s="1056">
        <v>1570</v>
      </c>
      <c r="H420" s="1056">
        <v>1671</v>
      </c>
      <c r="I420" s="1056">
        <v>-1678</v>
      </c>
      <c r="K420" s="1037">
        <f t="shared" si="6"/>
        <v>8</v>
      </c>
    </row>
    <row r="421" spans="1:11" ht="12.75">
      <c r="A421" s="1054">
        <v>22050101</v>
      </c>
      <c r="B421" s="1055" t="s">
        <v>893</v>
      </c>
      <c r="C421" s="1055" t="s">
        <v>520</v>
      </c>
      <c r="D421" s="1055" t="s">
        <v>1313</v>
      </c>
      <c r="E421" s="1055" t="s">
        <v>1020</v>
      </c>
      <c r="F421" s="1056">
        <v>0</v>
      </c>
      <c r="G421" s="1056">
        <v>1741</v>
      </c>
      <c r="H421" s="1056">
        <v>1741</v>
      </c>
      <c r="I421" s="1056">
        <v>0</v>
      </c>
      <c r="K421" s="1037">
        <f t="shared" si="6"/>
        <v>8</v>
      </c>
    </row>
    <row r="422" spans="1:11" ht="12.75">
      <c r="A422" s="1054">
        <v>22050101</v>
      </c>
      <c r="B422" s="1055" t="s">
        <v>893</v>
      </c>
      <c r="C422" s="1055" t="s">
        <v>520</v>
      </c>
      <c r="D422" s="1055" t="s">
        <v>1190</v>
      </c>
      <c r="E422" s="1055" t="s">
        <v>577</v>
      </c>
      <c r="F422" s="1056">
        <v>-1413</v>
      </c>
      <c r="G422" s="1056">
        <v>1413</v>
      </c>
      <c r="H422" s="1056">
        <v>1605</v>
      </c>
      <c r="I422" s="1056">
        <v>-1605</v>
      </c>
      <c r="K422" s="1037">
        <f t="shared" si="6"/>
        <v>8</v>
      </c>
    </row>
    <row r="423" spans="1:11" ht="12.75">
      <c r="A423" s="1054">
        <v>22050101</v>
      </c>
      <c r="B423" s="1055" t="s">
        <v>893</v>
      </c>
      <c r="C423" s="1055" t="s">
        <v>520</v>
      </c>
      <c r="D423" s="1055" t="s">
        <v>1109</v>
      </c>
      <c r="E423" s="1055" t="s">
        <v>1110</v>
      </c>
      <c r="F423" s="1056">
        <v>-478</v>
      </c>
      <c r="G423" s="1056">
        <v>4297</v>
      </c>
      <c r="H423" s="1056">
        <v>7637</v>
      </c>
      <c r="I423" s="1056">
        <v>-3819</v>
      </c>
      <c r="K423" s="1037">
        <f t="shared" si="6"/>
        <v>8</v>
      </c>
    </row>
    <row r="424" spans="1:11" ht="12.75">
      <c r="A424" s="1054">
        <v>22050101</v>
      </c>
      <c r="B424" s="1055" t="s">
        <v>893</v>
      </c>
      <c r="C424" s="1055" t="s">
        <v>520</v>
      </c>
      <c r="D424" s="1055" t="s">
        <v>1881</v>
      </c>
      <c r="E424" s="1055" t="s">
        <v>1882</v>
      </c>
      <c r="F424" s="1056">
        <v>0</v>
      </c>
      <c r="G424" s="1056">
        <v>0</v>
      </c>
      <c r="H424" s="1056">
        <v>28978</v>
      </c>
      <c r="I424" s="1056">
        <v>-28978</v>
      </c>
      <c r="K424" s="1037">
        <f t="shared" si="6"/>
        <v>8</v>
      </c>
    </row>
    <row r="425" spans="1:11" ht="12.75">
      <c r="A425" s="1054">
        <v>22050101</v>
      </c>
      <c r="B425" s="1055" t="s">
        <v>893</v>
      </c>
      <c r="C425" s="1055" t="s">
        <v>520</v>
      </c>
      <c r="D425" s="1055" t="s">
        <v>1314</v>
      </c>
      <c r="E425" s="1055" t="s">
        <v>1737</v>
      </c>
      <c r="F425" s="1056">
        <v>0</v>
      </c>
      <c r="G425" s="1056">
        <v>889</v>
      </c>
      <c r="H425" s="1056">
        <v>889</v>
      </c>
      <c r="I425" s="1056">
        <v>0</v>
      </c>
      <c r="K425" s="1037">
        <f t="shared" si="6"/>
        <v>8</v>
      </c>
    </row>
    <row r="426" spans="1:11" ht="12.75">
      <c r="A426" s="1054">
        <v>22050101</v>
      </c>
      <c r="B426" s="1055" t="s">
        <v>893</v>
      </c>
      <c r="C426" s="1055" t="s">
        <v>520</v>
      </c>
      <c r="D426" s="1055" t="s">
        <v>1069</v>
      </c>
      <c r="E426" s="1055" t="s">
        <v>1070</v>
      </c>
      <c r="F426" s="1056">
        <v>0</v>
      </c>
      <c r="G426" s="1056">
        <v>29</v>
      </c>
      <c r="H426" s="1056">
        <v>29</v>
      </c>
      <c r="I426" s="1056">
        <v>0</v>
      </c>
      <c r="K426" s="1037">
        <f t="shared" si="6"/>
        <v>8</v>
      </c>
    </row>
    <row r="427" spans="1:11" ht="12.75">
      <c r="A427" s="1054">
        <v>22050101</v>
      </c>
      <c r="B427" s="1055" t="s">
        <v>893</v>
      </c>
      <c r="C427" s="1055" t="s">
        <v>520</v>
      </c>
      <c r="D427" s="1055" t="s">
        <v>1267</v>
      </c>
      <c r="E427" s="1055" t="s">
        <v>336</v>
      </c>
      <c r="F427" s="1056">
        <v>-55</v>
      </c>
      <c r="G427" s="1056">
        <v>55</v>
      </c>
      <c r="H427" s="1056">
        <v>0</v>
      </c>
      <c r="I427" s="1056">
        <v>0</v>
      </c>
      <c r="K427" s="1037">
        <f t="shared" si="6"/>
        <v>8</v>
      </c>
    </row>
    <row r="428" spans="1:11" ht="12.75">
      <c r="A428" s="1054">
        <v>22050101</v>
      </c>
      <c r="B428" s="1055" t="s">
        <v>893</v>
      </c>
      <c r="C428" s="1055" t="s">
        <v>520</v>
      </c>
      <c r="D428" s="1055" t="s">
        <v>1071</v>
      </c>
      <c r="E428" s="1055" t="s">
        <v>700</v>
      </c>
      <c r="F428" s="1056">
        <v>-12170</v>
      </c>
      <c r="G428" s="1056">
        <v>11683</v>
      </c>
      <c r="H428" s="1056">
        <v>10463</v>
      </c>
      <c r="I428" s="1056">
        <v>-10950</v>
      </c>
      <c r="K428" s="1037">
        <f t="shared" si="6"/>
        <v>8</v>
      </c>
    </row>
    <row r="429" spans="1:11" ht="12.75">
      <c r="A429" s="1054">
        <v>22050101</v>
      </c>
      <c r="B429" s="1055" t="s">
        <v>893</v>
      </c>
      <c r="C429" s="1055" t="s">
        <v>520</v>
      </c>
      <c r="D429" s="1055" t="s">
        <v>1491</v>
      </c>
      <c r="E429" s="1055" t="s">
        <v>1492</v>
      </c>
      <c r="F429" s="1056">
        <v>0</v>
      </c>
      <c r="G429" s="1056">
        <v>1281</v>
      </c>
      <c r="H429" s="1056">
        <v>1281</v>
      </c>
      <c r="I429" s="1056">
        <v>0</v>
      </c>
      <c r="K429" s="1037">
        <f t="shared" si="6"/>
        <v>8</v>
      </c>
    </row>
    <row r="430" spans="1:11" ht="12.75">
      <c r="A430" s="1054">
        <v>22050101</v>
      </c>
      <c r="B430" s="1055" t="s">
        <v>893</v>
      </c>
      <c r="C430" s="1055" t="s">
        <v>520</v>
      </c>
      <c r="D430" s="1055" t="s">
        <v>1072</v>
      </c>
      <c r="E430" s="1055" t="s">
        <v>512</v>
      </c>
      <c r="F430" s="1056">
        <v>-3824</v>
      </c>
      <c r="G430" s="1056">
        <v>3832</v>
      </c>
      <c r="H430" s="1056">
        <v>5431</v>
      </c>
      <c r="I430" s="1056">
        <v>-5422</v>
      </c>
      <c r="K430" s="1037">
        <f t="shared" si="6"/>
        <v>8</v>
      </c>
    </row>
    <row r="431" spans="1:11" ht="12.75">
      <c r="A431" s="1054">
        <v>22050101</v>
      </c>
      <c r="B431" s="1055" t="s">
        <v>893</v>
      </c>
      <c r="C431" s="1055" t="s">
        <v>520</v>
      </c>
      <c r="D431" s="1055" t="s">
        <v>1191</v>
      </c>
      <c r="E431" s="1055" t="s">
        <v>1021</v>
      </c>
      <c r="F431" s="1056">
        <v>0</v>
      </c>
      <c r="G431" s="1056">
        <v>13295</v>
      </c>
      <c r="H431" s="1056">
        <v>13295</v>
      </c>
      <c r="I431" s="1056">
        <v>0</v>
      </c>
      <c r="K431" s="1037">
        <f t="shared" si="6"/>
        <v>8</v>
      </c>
    </row>
    <row r="432" spans="1:11" ht="12.75">
      <c r="A432" s="1054">
        <v>22050101</v>
      </c>
      <c r="B432" s="1055" t="s">
        <v>893</v>
      </c>
      <c r="C432" s="1055" t="s">
        <v>520</v>
      </c>
      <c r="D432" s="1055" t="s">
        <v>1192</v>
      </c>
      <c r="E432" s="1055" t="s">
        <v>1193</v>
      </c>
      <c r="F432" s="1056">
        <v>0</v>
      </c>
      <c r="G432" s="1056">
        <v>12</v>
      </c>
      <c r="H432" s="1056">
        <v>12</v>
      </c>
      <c r="I432" s="1056">
        <v>0</v>
      </c>
      <c r="K432" s="1037">
        <f t="shared" si="6"/>
        <v>8</v>
      </c>
    </row>
    <row r="433" spans="1:11" ht="12.75">
      <c r="A433" s="1054">
        <v>22050101</v>
      </c>
      <c r="B433" s="1055" t="s">
        <v>893</v>
      </c>
      <c r="C433" s="1055" t="s">
        <v>520</v>
      </c>
      <c r="D433" s="1055" t="s">
        <v>1401</v>
      </c>
      <c r="E433" s="1055" t="s">
        <v>1402</v>
      </c>
      <c r="F433" s="1056">
        <v>-42863</v>
      </c>
      <c r="G433" s="1056">
        <v>42863</v>
      </c>
      <c r="H433" s="1056">
        <v>0</v>
      </c>
      <c r="I433" s="1056">
        <v>0</v>
      </c>
      <c r="K433" s="1037">
        <f t="shared" si="6"/>
        <v>8</v>
      </c>
    </row>
    <row r="434" spans="1:11" ht="12.75">
      <c r="A434" s="1054">
        <v>22050101</v>
      </c>
      <c r="B434" s="1055" t="s">
        <v>893</v>
      </c>
      <c r="C434" s="1055" t="s">
        <v>520</v>
      </c>
      <c r="D434" s="1055" t="s">
        <v>1195</v>
      </c>
      <c r="E434" s="1055" t="s">
        <v>1022</v>
      </c>
      <c r="F434" s="1056">
        <v>0</v>
      </c>
      <c r="G434" s="1056">
        <v>18394</v>
      </c>
      <c r="H434" s="1056">
        <v>18394</v>
      </c>
      <c r="I434" s="1056">
        <v>0</v>
      </c>
      <c r="K434" s="1037">
        <f t="shared" si="6"/>
        <v>8</v>
      </c>
    </row>
    <row r="435" spans="1:11" ht="12.75">
      <c r="A435" s="1054">
        <v>22050101</v>
      </c>
      <c r="B435" s="1055" t="s">
        <v>893</v>
      </c>
      <c r="C435" s="1055" t="s">
        <v>520</v>
      </c>
      <c r="D435" s="1055" t="s">
        <v>1196</v>
      </c>
      <c r="E435" s="1055" t="s">
        <v>1023</v>
      </c>
      <c r="F435" s="1056">
        <v>0</v>
      </c>
      <c r="G435" s="1056">
        <v>6751</v>
      </c>
      <c r="H435" s="1056">
        <v>6751</v>
      </c>
      <c r="I435" s="1056">
        <v>0</v>
      </c>
      <c r="K435" s="1037">
        <f t="shared" si="6"/>
        <v>8</v>
      </c>
    </row>
    <row r="436" spans="1:11" ht="12.75">
      <c r="A436" s="1054">
        <v>22050101</v>
      </c>
      <c r="B436" s="1055" t="s">
        <v>893</v>
      </c>
      <c r="C436" s="1055" t="s">
        <v>520</v>
      </c>
      <c r="D436" s="1055" t="s">
        <v>1197</v>
      </c>
      <c r="E436" s="1055" t="s">
        <v>481</v>
      </c>
      <c r="F436" s="1056">
        <v>-5782</v>
      </c>
      <c r="G436" s="1056">
        <v>0</v>
      </c>
      <c r="H436" s="1056">
        <v>1368</v>
      </c>
      <c r="I436" s="1056">
        <v>-7150</v>
      </c>
      <c r="K436" s="1037">
        <f t="shared" si="6"/>
        <v>8</v>
      </c>
    </row>
    <row r="437" spans="1:11" ht="12.75">
      <c r="A437" s="1054">
        <v>22050101</v>
      </c>
      <c r="B437" s="1055" t="s">
        <v>893</v>
      </c>
      <c r="C437" s="1055" t="s">
        <v>520</v>
      </c>
      <c r="D437" s="1055" t="s">
        <v>1198</v>
      </c>
      <c r="E437" s="1055" t="s">
        <v>337</v>
      </c>
      <c r="F437" s="1056">
        <v>0</v>
      </c>
      <c r="G437" s="1056">
        <v>0</v>
      </c>
      <c r="H437" s="1056">
        <v>0</v>
      </c>
      <c r="I437" s="1056">
        <v>0</v>
      </c>
      <c r="K437" s="1037">
        <f t="shared" si="6"/>
        <v>8</v>
      </c>
    </row>
    <row r="438" spans="1:11" ht="12.75">
      <c r="A438" s="1054">
        <v>22050101</v>
      </c>
      <c r="B438" s="1055" t="s">
        <v>893</v>
      </c>
      <c r="C438" s="1055" t="s">
        <v>520</v>
      </c>
      <c r="D438" s="1055" t="s">
        <v>1286</v>
      </c>
      <c r="E438" s="1055" t="s">
        <v>1287</v>
      </c>
      <c r="F438" s="1056">
        <v>0</v>
      </c>
      <c r="G438" s="1056">
        <v>1933</v>
      </c>
      <c r="H438" s="1056">
        <v>1933</v>
      </c>
      <c r="I438" s="1056">
        <v>0</v>
      </c>
      <c r="K438" s="1037">
        <f t="shared" si="6"/>
        <v>8</v>
      </c>
    </row>
    <row r="439" spans="1:11" ht="12.75">
      <c r="A439" s="1054">
        <v>22050101</v>
      </c>
      <c r="B439" s="1055" t="s">
        <v>893</v>
      </c>
      <c r="C439" s="1055" t="s">
        <v>520</v>
      </c>
      <c r="D439" s="1055" t="s">
        <v>1200</v>
      </c>
      <c r="E439" s="1055" t="s">
        <v>1025</v>
      </c>
      <c r="F439" s="1056">
        <v>0</v>
      </c>
      <c r="G439" s="1056">
        <v>19</v>
      </c>
      <c r="H439" s="1056">
        <v>19</v>
      </c>
      <c r="I439" s="1056">
        <v>0</v>
      </c>
      <c r="K439" s="1037">
        <f t="shared" si="6"/>
        <v>8</v>
      </c>
    </row>
    <row r="440" spans="1:11" ht="12.75">
      <c r="A440" s="1054">
        <v>22050101</v>
      </c>
      <c r="B440" s="1055" t="s">
        <v>893</v>
      </c>
      <c r="C440" s="1055" t="s">
        <v>520</v>
      </c>
      <c r="D440" s="1055" t="s">
        <v>1551</v>
      </c>
      <c r="E440" s="1055" t="s">
        <v>1552</v>
      </c>
      <c r="F440" s="1056">
        <v>-5431</v>
      </c>
      <c r="G440" s="1056">
        <v>5511</v>
      </c>
      <c r="H440" s="1056">
        <v>8610</v>
      </c>
      <c r="I440" s="1056">
        <v>-8530</v>
      </c>
      <c r="K440" s="1037">
        <f t="shared" si="6"/>
        <v>8</v>
      </c>
    </row>
    <row r="441" spans="1:11" ht="12.75">
      <c r="A441" s="1054">
        <v>22050101</v>
      </c>
      <c r="B441" s="1055" t="s">
        <v>893</v>
      </c>
      <c r="C441" s="1055" t="s">
        <v>520</v>
      </c>
      <c r="D441" s="1055" t="s">
        <v>1201</v>
      </c>
      <c r="E441" s="1055" t="s">
        <v>679</v>
      </c>
      <c r="F441" s="1056">
        <v>-412</v>
      </c>
      <c r="G441" s="1056">
        <v>131</v>
      </c>
      <c r="H441" s="1056">
        <v>131</v>
      </c>
      <c r="I441" s="1056">
        <v>-412</v>
      </c>
      <c r="K441" s="1037">
        <f t="shared" si="6"/>
        <v>8</v>
      </c>
    </row>
    <row r="442" spans="1:11" ht="12.75">
      <c r="A442" s="1054">
        <v>22050101</v>
      </c>
      <c r="B442" s="1055" t="s">
        <v>893</v>
      </c>
      <c r="C442" s="1055" t="s">
        <v>520</v>
      </c>
      <c r="D442" s="1055" t="s">
        <v>1046</v>
      </c>
      <c r="E442" s="1055" t="s">
        <v>1026</v>
      </c>
      <c r="F442" s="1056">
        <v>-59</v>
      </c>
      <c r="G442" s="1056">
        <v>29445</v>
      </c>
      <c r="H442" s="1056">
        <v>29400</v>
      </c>
      <c r="I442" s="1056">
        <v>-14</v>
      </c>
      <c r="K442" s="1037">
        <f t="shared" si="6"/>
        <v>8</v>
      </c>
    </row>
    <row r="443" spans="1:11" ht="12.75">
      <c r="A443" s="1054">
        <v>22050101</v>
      </c>
      <c r="B443" s="1055" t="s">
        <v>893</v>
      </c>
      <c r="C443" s="1055" t="s">
        <v>520</v>
      </c>
      <c r="D443" s="1055" t="s">
        <v>1034</v>
      </c>
      <c r="E443" s="1055" t="s">
        <v>504</v>
      </c>
      <c r="F443" s="1056">
        <v>-334724</v>
      </c>
      <c r="G443" s="1056">
        <v>145841</v>
      </c>
      <c r="H443" s="1056">
        <v>176265</v>
      </c>
      <c r="I443" s="1056">
        <v>-365148</v>
      </c>
      <c r="K443" s="1037">
        <f t="shared" si="6"/>
        <v>8</v>
      </c>
    </row>
    <row r="444" spans="1:11" ht="12.75">
      <c r="A444" s="1054">
        <v>22050101</v>
      </c>
      <c r="B444" s="1055" t="s">
        <v>893</v>
      </c>
      <c r="C444" s="1055" t="s">
        <v>520</v>
      </c>
      <c r="D444" s="1055" t="s">
        <v>1346</v>
      </c>
      <c r="E444" s="1055" t="s">
        <v>1347</v>
      </c>
      <c r="F444" s="1056">
        <v>0</v>
      </c>
      <c r="G444" s="1056">
        <v>274</v>
      </c>
      <c r="H444" s="1056">
        <v>274</v>
      </c>
      <c r="I444" s="1056">
        <v>0</v>
      </c>
      <c r="K444" s="1037">
        <f t="shared" si="6"/>
        <v>8</v>
      </c>
    </row>
    <row r="445" spans="1:11" ht="12.75">
      <c r="A445" s="1054">
        <v>22050101</v>
      </c>
      <c r="B445" s="1055" t="s">
        <v>893</v>
      </c>
      <c r="C445" s="1055" t="s">
        <v>520</v>
      </c>
      <c r="D445" s="1055" t="s">
        <v>1073</v>
      </c>
      <c r="E445" s="1055" t="s">
        <v>701</v>
      </c>
      <c r="F445" s="1056">
        <v>110</v>
      </c>
      <c r="G445" s="1056">
        <v>0</v>
      </c>
      <c r="H445" s="1056">
        <v>0</v>
      </c>
      <c r="I445" s="1056">
        <v>110</v>
      </c>
      <c r="K445" s="1037">
        <f t="shared" si="6"/>
        <v>8</v>
      </c>
    </row>
    <row r="446" spans="1:11" ht="12.75">
      <c r="A446" s="1054">
        <v>22050101</v>
      </c>
      <c r="B446" s="1055" t="s">
        <v>893</v>
      </c>
      <c r="C446" s="1055" t="s">
        <v>520</v>
      </c>
      <c r="D446" s="1055" t="s">
        <v>1825</v>
      </c>
      <c r="E446" s="1055" t="s">
        <v>1826</v>
      </c>
      <c r="F446" s="1056">
        <v>-125</v>
      </c>
      <c r="G446" s="1056">
        <v>0</v>
      </c>
      <c r="H446" s="1056">
        <v>42</v>
      </c>
      <c r="I446" s="1056">
        <v>-167</v>
      </c>
      <c r="K446" s="1037">
        <f t="shared" si="6"/>
        <v>8</v>
      </c>
    </row>
    <row r="447" spans="1:11" ht="12.75">
      <c r="A447" s="1054">
        <v>22050101</v>
      </c>
      <c r="B447" s="1055" t="s">
        <v>893</v>
      </c>
      <c r="C447" s="1055" t="s">
        <v>520</v>
      </c>
      <c r="D447" s="1055" t="s">
        <v>1308</v>
      </c>
      <c r="E447" s="1055" t="s">
        <v>993</v>
      </c>
      <c r="F447" s="1056">
        <v>0</v>
      </c>
      <c r="G447" s="1056">
        <v>0</v>
      </c>
      <c r="H447" s="1056">
        <v>2481</v>
      </c>
      <c r="I447" s="1056">
        <v>-2481</v>
      </c>
      <c r="K447" s="1037">
        <f t="shared" si="6"/>
        <v>8</v>
      </c>
    </row>
    <row r="448" spans="1:11" ht="12.75">
      <c r="A448" s="1054">
        <v>22050101</v>
      </c>
      <c r="B448" s="1055" t="s">
        <v>893</v>
      </c>
      <c r="C448" s="1055" t="s">
        <v>520</v>
      </c>
      <c r="D448" s="1055" t="s">
        <v>1074</v>
      </c>
      <c r="E448" s="1055" t="s">
        <v>257</v>
      </c>
      <c r="F448" s="1056">
        <v>-2323</v>
      </c>
      <c r="G448" s="1056">
        <v>32325</v>
      </c>
      <c r="H448" s="1056">
        <v>29591</v>
      </c>
      <c r="I448" s="1056">
        <v>412</v>
      </c>
      <c r="K448" s="1037">
        <f t="shared" si="6"/>
        <v>8</v>
      </c>
    </row>
    <row r="449" spans="1:11" ht="12.75">
      <c r="A449" s="1054">
        <v>22050101</v>
      </c>
      <c r="B449" s="1055" t="s">
        <v>893</v>
      </c>
      <c r="C449" s="1055" t="s">
        <v>520</v>
      </c>
      <c r="D449" s="1055" t="s">
        <v>1075</v>
      </c>
      <c r="E449" s="1055" t="s">
        <v>325</v>
      </c>
      <c r="F449" s="1056">
        <v>-1474</v>
      </c>
      <c r="G449" s="1056">
        <v>538</v>
      </c>
      <c r="H449" s="1056">
        <v>1349</v>
      </c>
      <c r="I449" s="1056">
        <v>-2285</v>
      </c>
      <c r="K449" s="1037">
        <f t="shared" si="6"/>
        <v>8</v>
      </c>
    </row>
    <row r="450" spans="1:11" ht="12.75">
      <c r="A450" s="1054">
        <v>22050101</v>
      </c>
      <c r="B450" s="1055" t="s">
        <v>893</v>
      </c>
      <c r="C450" s="1055" t="s">
        <v>520</v>
      </c>
      <c r="D450" s="1055" t="s">
        <v>1202</v>
      </c>
      <c r="E450" s="1055" t="s">
        <v>446</v>
      </c>
      <c r="F450" s="1056">
        <v>-3400</v>
      </c>
      <c r="G450" s="1056">
        <v>1133</v>
      </c>
      <c r="H450" s="1056">
        <v>1133</v>
      </c>
      <c r="I450" s="1056">
        <v>-3400</v>
      </c>
      <c r="K450" s="1037">
        <f t="shared" si="6"/>
        <v>8</v>
      </c>
    </row>
    <row r="451" spans="1:11" ht="12.75">
      <c r="A451" s="1054">
        <v>22050101</v>
      </c>
      <c r="B451" s="1055" t="s">
        <v>893</v>
      </c>
      <c r="C451" s="1055" t="s">
        <v>520</v>
      </c>
      <c r="D451" s="1055" t="s">
        <v>1203</v>
      </c>
      <c r="E451" s="1055" t="s">
        <v>1827</v>
      </c>
      <c r="F451" s="1056">
        <v>-33</v>
      </c>
      <c r="G451" s="1056">
        <v>1094</v>
      </c>
      <c r="H451" s="1056">
        <v>1094</v>
      </c>
      <c r="I451" s="1056">
        <v>-33</v>
      </c>
      <c r="K451" s="1037">
        <f t="shared" si="6"/>
        <v>8</v>
      </c>
    </row>
    <row r="452" spans="1:11" ht="12.75">
      <c r="A452" s="1054">
        <v>22050101</v>
      </c>
      <c r="B452" s="1055" t="s">
        <v>893</v>
      </c>
      <c r="C452" s="1055" t="s">
        <v>520</v>
      </c>
      <c r="D452" s="1055" t="s">
        <v>1204</v>
      </c>
      <c r="E452" s="1055" t="s">
        <v>427</v>
      </c>
      <c r="F452" s="1056">
        <v>-134</v>
      </c>
      <c r="G452" s="1056">
        <v>134</v>
      </c>
      <c r="H452" s="1056">
        <v>141</v>
      </c>
      <c r="I452" s="1056">
        <v>-141</v>
      </c>
      <c r="K452" s="1037">
        <f t="shared" si="6"/>
        <v>8</v>
      </c>
    </row>
    <row r="453" spans="1:11" ht="12.75">
      <c r="A453" s="1054">
        <v>22050101</v>
      </c>
      <c r="B453" s="1055" t="s">
        <v>893</v>
      </c>
      <c r="C453" s="1055" t="s">
        <v>520</v>
      </c>
      <c r="D453" s="1055" t="s">
        <v>1205</v>
      </c>
      <c r="E453" s="1055" t="s">
        <v>328</v>
      </c>
      <c r="F453" s="1056">
        <v>-2920</v>
      </c>
      <c r="G453" s="1056">
        <v>0</v>
      </c>
      <c r="H453" s="1056">
        <v>2920</v>
      </c>
      <c r="I453" s="1056">
        <v>-5839</v>
      </c>
      <c r="K453" s="1037">
        <f t="shared" ref="K453:K516" si="7">+LEN(A453)</f>
        <v>8</v>
      </c>
    </row>
    <row r="454" spans="1:11" ht="12.75">
      <c r="A454" s="1054">
        <v>22050101</v>
      </c>
      <c r="B454" s="1055" t="s">
        <v>893</v>
      </c>
      <c r="C454" s="1055" t="s">
        <v>520</v>
      </c>
      <c r="D454" s="1055" t="s">
        <v>1206</v>
      </c>
      <c r="E454" s="1055" t="s">
        <v>522</v>
      </c>
      <c r="F454" s="1056">
        <v>-290</v>
      </c>
      <c r="G454" s="1056">
        <v>290</v>
      </c>
      <c r="H454" s="1056">
        <v>394</v>
      </c>
      <c r="I454" s="1056">
        <v>-394</v>
      </c>
      <c r="K454" s="1037">
        <f t="shared" si="7"/>
        <v>8</v>
      </c>
    </row>
    <row r="455" spans="1:11" ht="12.75">
      <c r="A455" s="1054">
        <v>22050101</v>
      </c>
      <c r="B455" s="1055" t="s">
        <v>893</v>
      </c>
      <c r="C455" s="1055" t="s">
        <v>520</v>
      </c>
      <c r="D455" s="1055" t="s">
        <v>1170</v>
      </c>
      <c r="E455" s="1055" t="s">
        <v>696</v>
      </c>
      <c r="F455" s="1056">
        <v>0</v>
      </c>
      <c r="G455" s="1056">
        <v>1835</v>
      </c>
      <c r="H455" s="1056">
        <v>1835</v>
      </c>
      <c r="I455" s="1056">
        <v>0</v>
      </c>
      <c r="K455" s="1037">
        <f t="shared" si="7"/>
        <v>8</v>
      </c>
    </row>
    <row r="456" spans="1:11" ht="12.75">
      <c r="A456" s="1054">
        <v>22050101</v>
      </c>
      <c r="B456" s="1055" t="s">
        <v>893</v>
      </c>
      <c r="C456" s="1055" t="s">
        <v>520</v>
      </c>
      <c r="D456" s="1055" t="s">
        <v>1883</v>
      </c>
      <c r="E456" s="1055" t="s">
        <v>1884</v>
      </c>
      <c r="F456" s="1056">
        <v>0</v>
      </c>
      <c r="G456" s="1056">
        <v>0</v>
      </c>
      <c r="H456" s="1056">
        <v>908</v>
      </c>
      <c r="I456" s="1056">
        <v>-908</v>
      </c>
      <c r="K456" s="1037">
        <f t="shared" si="7"/>
        <v>8</v>
      </c>
    </row>
    <row r="457" spans="1:11" ht="12.75">
      <c r="A457" s="1054">
        <v>22050101</v>
      </c>
      <c r="B457" s="1055" t="s">
        <v>893</v>
      </c>
      <c r="C457" s="1055" t="s">
        <v>520</v>
      </c>
      <c r="D457" s="1055" t="s">
        <v>1207</v>
      </c>
      <c r="E457" s="1055" t="s">
        <v>1028</v>
      </c>
      <c r="F457" s="1056">
        <v>3234</v>
      </c>
      <c r="G457" s="1056">
        <v>11187</v>
      </c>
      <c r="H457" s="1056">
        <v>11187</v>
      </c>
      <c r="I457" s="1056">
        <v>3234</v>
      </c>
      <c r="K457" s="1037">
        <f t="shared" si="7"/>
        <v>8</v>
      </c>
    </row>
    <row r="458" spans="1:11" ht="12.75">
      <c r="A458" s="1054">
        <v>22050101</v>
      </c>
      <c r="B458" s="1055" t="s">
        <v>893</v>
      </c>
      <c r="C458" s="1055" t="s">
        <v>520</v>
      </c>
      <c r="D458" s="1055" t="s">
        <v>1482</v>
      </c>
      <c r="E458" s="1055" t="s">
        <v>1483</v>
      </c>
      <c r="F458" s="1056">
        <v>-18029</v>
      </c>
      <c r="G458" s="1056">
        <v>4124</v>
      </c>
      <c r="H458" s="1056">
        <v>17556</v>
      </c>
      <c r="I458" s="1056">
        <v>-31461</v>
      </c>
      <c r="K458" s="1037">
        <f t="shared" si="7"/>
        <v>8</v>
      </c>
    </row>
    <row r="459" spans="1:11" ht="12.75">
      <c r="A459" s="1054">
        <v>22050101</v>
      </c>
      <c r="B459" s="1055" t="s">
        <v>893</v>
      </c>
      <c r="C459" s="1055" t="s">
        <v>520</v>
      </c>
      <c r="D459" s="1055" t="s">
        <v>1208</v>
      </c>
      <c r="E459" s="1055" t="s">
        <v>428</v>
      </c>
      <c r="F459" s="1056">
        <v>0</v>
      </c>
      <c r="G459" s="1056">
        <v>10778</v>
      </c>
      <c r="H459" s="1056">
        <v>10778</v>
      </c>
      <c r="I459" s="1056">
        <v>0</v>
      </c>
      <c r="K459" s="1037">
        <f t="shared" si="7"/>
        <v>8</v>
      </c>
    </row>
    <row r="460" spans="1:11" ht="12.75">
      <c r="A460" s="1054">
        <v>22050101</v>
      </c>
      <c r="B460" s="1055" t="s">
        <v>893</v>
      </c>
      <c r="C460" s="1055" t="s">
        <v>520</v>
      </c>
      <c r="D460" s="1055" t="s">
        <v>1062</v>
      </c>
      <c r="E460" s="1055" t="s">
        <v>510</v>
      </c>
      <c r="F460" s="1056">
        <v>-4959</v>
      </c>
      <c r="G460" s="1056">
        <v>5116</v>
      </c>
      <c r="H460" s="1056">
        <v>2930</v>
      </c>
      <c r="I460" s="1056">
        <v>-2773</v>
      </c>
      <c r="K460" s="1037">
        <f t="shared" si="7"/>
        <v>8</v>
      </c>
    </row>
    <row r="461" spans="1:11" ht="12.75">
      <c r="A461" s="1054">
        <v>22050101</v>
      </c>
      <c r="B461" s="1055" t="s">
        <v>893</v>
      </c>
      <c r="C461" s="1055" t="s">
        <v>520</v>
      </c>
      <c r="D461" s="1055" t="s">
        <v>1467</v>
      </c>
      <c r="E461" s="1055" t="s">
        <v>1468</v>
      </c>
      <c r="F461" s="1056">
        <v>-547</v>
      </c>
      <c r="G461" s="1056">
        <v>547</v>
      </c>
      <c r="H461" s="1056">
        <v>0</v>
      </c>
      <c r="I461" s="1056">
        <v>0</v>
      </c>
      <c r="K461" s="1037">
        <f t="shared" si="7"/>
        <v>8</v>
      </c>
    </row>
    <row r="462" spans="1:11" ht="12.75">
      <c r="A462" s="1054">
        <v>22050101</v>
      </c>
      <c r="B462" s="1055" t="s">
        <v>893</v>
      </c>
      <c r="C462" s="1055" t="s">
        <v>520</v>
      </c>
      <c r="D462" s="1055" t="s">
        <v>1039</v>
      </c>
      <c r="E462" s="1055" t="s">
        <v>681</v>
      </c>
      <c r="F462" s="1056">
        <v>0</v>
      </c>
      <c r="G462" s="1056">
        <v>8968</v>
      </c>
      <c r="H462" s="1056">
        <v>8968</v>
      </c>
      <c r="I462" s="1056">
        <v>0</v>
      </c>
      <c r="K462" s="1037">
        <f t="shared" si="7"/>
        <v>8</v>
      </c>
    </row>
    <row r="463" spans="1:11" ht="12.75">
      <c r="A463" s="1054">
        <v>22050101</v>
      </c>
      <c r="B463" s="1055" t="s">
        <v>893</v>
      </c>
      <c r="C463" s="1055" t="s">
        <v>520</v>
      </c>
      <c r="D463" s="1055" t="s">
        <v>1209</v>
      </c>
      <c r="E463" s="1055" t="s">
        <v>1029</v>
      </c>
      <c r="F463" s="1056">
        <v>0</v>
      </c>
      <c r="G463" s="1056">
        <v>2133</v>
      </c>
      <c r="H463" s="1056">
        <v>2133</v>
      </c>
      <c r="I463" s="1056">
        <v>0</v>
      </c>
      <c r="K463" s="1037">
        <f t="shared" si="7"/>
        <v>8</v>
      </c>
    </row>
    <row r="464" spans="1:11" ht="12.75">
      <c r="A464" s="1054">
        <v>22050101</v>
      </c>
      <c r="B464" s="1055" t="s">
        <v>893</v>
      </c>
      <c r="C464" s="1055" t="s">
        <v>520</v>
      </c>
      <c r="D464" s="1055" t="s">
        <v>1354</v>
      </c>
      <c r="E464" s="1055" t="s">
        <v>1355</v>
      </c>
      <c r="F464" s="1056">
        <v>-126</v>
      </c>
      <c r="G464" s="1056">
        <v>126</v>
      </c>
      <c r="H464" s="1056">
        <v>42</v>
      </c>
      <c r="I464" s="1056">
        <v>-42</v>
      </c>
      <c r="K464" s="1037">
        <f t="shared" si="7"/>
        <v>8</v>
      </c>
    </row>
    <row r="465" spans="1:11" ht="12.75">
      <c r="A465" s="1054">
        <v>22050101</v>
      </c>
      <c r="B465" s="1055" t="s">
        <v>893</v>
      </c>
      <c r="C465" s="1055" t="s">
        <v>520</v>
      </c>
      <c r="D465" s="1055" t="s">
        <v>1316</v>
      </c>
      <c r="E465" s="1055" t="s">
        <v>985</v>
      </c>
      <c r="F465" s="1056">
        <v>-2789</v>
      </c>
      <c r="G465" s="1056">
        <v>0</v>
      </c>
      <c r="H465" s="1056">
        <v>0</v>
      </c>
      <c r="I465" s="1056">
        <v>-2789</v>
      </c>
      <c r="K465" s="1037">
        <f t="shared" si="7"/>
        <v>8</v>
      </c>
    </row>
    <row r="466" spans="1:11" ht="12.75">
      <c r="A466" s="1054">
        <v>22050101</v>
      </c>
      <c r="B466" s="1055" t="s">
        <v>893</v>
      </c>
      <c r="C466" s="1055" t="s">
        <v>520</v>
      </c>
      <c r="D466" s="1055" t="s">
        <v>1307</v>
      </c>
      <c r="E466" s="1055" t="s">
        <v>992</v>
      </c>
      <c r="F466" s="1056">
        <v>-794</v>
      </c>
      <c r="G466" s="1056">
        <v>794</v>
      </c>
      <c r="H466" s="1056">
        <v>687</v>
      </c>
      <c r="I466" s="1056">
        <v>-687</v>
      </c>
      <c r="K466" s="1037">
        <f t="shared" si="7"/>
        <v>8</v>
      </c>
    </row>
    <row r="467" spans="1:11" ht="12.75">
      <c r="A467" s="1054">
        <v>22050101</v>
      </c>
      <c r="B467" s="1055" t="s">
        <v>893</v>
      </c>
      <c r="C467" s="1055" t="s">
        <v>520</v>
      </c>
      <c r="D467" s="1055" t="s">
        <v>1210</v>
      </c>
      <c r="E467" s="1055" t="s">
        <v>1211</v>
      </c>
      <c r="F467" s="1056">
        <v>-1805</v>
      </c>
      <c r="G467" s="1056">
        <v>1805</v>
      </c>
      <c r="H467" s="1056">
        <v>170</v>
      </c>
      <c r="I467" s="1056">
        <v>-170</v>
      </c>
      <c r="K467" s="1037">
        <f t="shared" si="7"/>
        <v>8</v>
      </c>
    </row>
    <row r="468" spans="1:11" ht="12.75">
      <c r="A468" s="1054">
        <v>22050101</v>
      </c>
      <c r="B468" s="1055" t="s">
        <v>893</v>
      </c>
      <c r="C468" s="1055" t="s">
        <v>520</v>
      </c>
      <c r="D468" s="1055" t="s">
        <v>1212</v>
      </c>
      <c r="E468" s="1055" t="s">
        <v>1030</v>
      </c>
      <c r="F468" s="1056">
        <v>0</v>
      </c>
      <c r="G468" s="1056">
        <v>734</v>
      </c>
      <c r="H468" s="1056">
        <v>734</v>
      </c>
      <c r="I468" s="1056">
        <v>0</v>
      </c>
      <c r="K468" s="1037">
        <f t="shared" si="7"/>
        <v>8</v>
      </c>
    </row>
    <row r="469" spans="1:11" ht="12.75">
      <c r="A469" s="1054">
        <v>22050101</v>
      </c>
      <c r="B469" s="1055" t="s">
        <v>893</v>
      </c>
      <c r="C469" s="1055" t="s">
        <v>520</v>
      </c>
      <c r="D469" s="1055" t="s">
        <v>1560</v>
      </c>
      <c r="E469" s="1055" t="s">
        <v>1561</v>
      </c>
      <c r="F469" s="1056">
        <v>-80</v>
      </c>
      <c r="G469" s="1056">
        <v>80</v>
      </c>
      <c r="H469" s="1056">
        <v>703</v>
      </c>
      <c r="I469" s="1056">
        <v>-703</v>
      </c>
      <c r="K469" s="1037">
        <f t="shared" si="7"/>
        <v>8</v>
      </c>
    </row>
    <row r="470" spans="1:11" ht="12.75">
      <c r="A470" s="1054">
        <v>22050101</v>
      </c>
      <c r="B470" s="1055" t="s">
        <v>893</v>
      </c>
      <c r="C470" s="1055" t="s">
        <v>520</v>
      </c>
      <c r="D470" s="1055" t="s">
        <v>1885</v>
      </c>
      <c r="E470" s="1055" t="s">
        <v>1886</v>
      </c>
      <c r="F470" s="1056">
        <v>0</v>
      </c>
      <c r="G470" s="1056">
        <v>20</v>
      </c>
      <c r="H470" s="1056">
        <v>20</v>
      </c>
      <c r="I470" s="1056">
        <v>0</v>
      </c>
      <c r="K470" s="1037">
        <f t="shared" si="7"/>
        <v>8</v>
      </c>
    </row>
    <row r="471" spans="1:11" ht="12.75">
      <c r="A471" s="1054">
        <v>22050102</v>
      </c>
      <c r="B471" s="1055" t="s">
        <v>1489</v>
      </c>
      <c r="C471" s="1055" t="s">
        <v>507</v>
      </c>
      <c r="D471" s="1055" t="s">
        <v>893</v>
      </c>
      <c r="E471" s="1055" t="s">
        <v>893</v>
      </c>
      <c r="F471" s="1056">
        <v>0</v>
      </c>
      <c r="G471" s="1056">
        <v>1813</v>
      </c>
      <c r="H471" s="1056">
        <v>1813</v>
      </c>
      <c r="I471" s="1056">
        <v>0</v>
      </c>
      <c r="K471" s="1037">
        <f t="shared" si="7"/>
        <v>8</v>
      </c>
    </row>
    <row r="472" spans="1:11" ht="12.75">
      <c r="A472" s="1054">
        <v>22050102</v>
      </c>
      <c r="B472" s="1055" t="s">
        <v>1489</v>
      </c>
      <c r="C472" s="1055" t="s">
        <v>507</v>
      </c>
      <c r="D472" s="1055" t="s">
        <v>1887</v>
      </c>
      <c r="E472" s="1055" t="s">
        <v>1888</v>
      </c>
      <c r="F472" s="1056">
        <v>0</v>
      </c>
      <c r="G472" s="1056">
        <v>250</v>
      </c>
      <c r="H472" s="1056">
        <v>250</v>
      </c>
      <c r="I472" s="1056">
        <v>0</v>
      </c>
      <c r="K472" s="1037">
        <f t="shared" si="7"/>
        <v>8</v>
      </c>
    </row>
    <row r="473" spans="1:11" ht="12.75">
      <c r="A473" s="1054">
        <v>22050102</v>
      </c>
      <c r="B473" s="1055" t="s">
        <v>1489</v>
      </c>
      <c r="C473" s="1055" t="s">
        <v>507</v>
      </c>
      <c r="D473" s="1055" t="s">
        <v>1051</v>
      </c>
      <c r="E473" s="1055" t="s">
        <v>1052</v>
      </c>
      <c r="F473" s="1056">
        <v>0</v>
      </c>
      <c r="G473" s="1056">
        <v>340</v>
      </c>
      <c r="H473" s="1056">
        <v>340</v>
      </c>
      <c r="I473" s="1056">
        <v>0</v>
      </c>
      <c r="K473" s="1037">
        <f t="shared" si="7"/>
        <v>8</v>
      </c>
    </row>
    <row r="474" spans="1:11" ht="12.75">
      <c r="A474" s="1054">
        <v>22050102</v>
      </c>
      <c r="B474" s="1055" t="s">
        <v>1489</v>
      </c>
      <c r="C474" s="1055" t="s">
        <v>507</v>
      </c>
      <c r="D474" s="1055" t="s">
        <v>1053</v>
      </c>
      <c r="E474" s="1055" t="s">
        <v>1054</v>
      </c>
      <c r="F474" s="1056">
        <v>0</v>
      </c>
      <c r="G474" s="1056">
        <v>582</v>
      </c>
      <c r="H474" s="1056">
        <v>582</v>
      </c>
      <c r="I474" s="1056">
        <v>0</v>
      </c>
      <c r="K474" s="1037">
        <f t="shared" si="7"/>
        <v>8</v>
      </c>
    </row>
    <row r="475" spans="1:11" ht="12.75">
      <c r="A475" s="1054">
        <v>22050102</v>
      </c>
      <c r="B475" s="1055" t="s">
        <v>1489</v>
      </c>
      <c r="C475" s="1055" t="s">
        <v>507</v>
      </c>
      <c r="D475" s="1055" t="s">
        <v>1272</v>
      </c>
      <c r="E475" s="1055" t="s">
        <v>1273</v>
      </c>
      <c r="F475" s="1056">
        <v>0</v>
      </c>
      <c r="G475" s="1056">
        <v>499</v>
      </c>
      <c r="H475" s="1056">
        <v>499</v>
      </c>
      <c r="I475" s="1056">
        <v>0</v>
      </c>
      <c r="K475" s="1037">
        <f t="shared" si="7"/>
        <v>8</v>
      </c>
    </row>
    <row r="476" spans="1:11" ht="12.75">
      <c r="A476" s="1054">
        <v>22050102</v>
      </c>
      <c r="B476" s="1055" t="s">
        <v>1489</v>
      </c>
      <c r="C476" s="1055" t="s">
        <v>507</v>
      </c>
      <c r="D476" s="1055" t="s">
        <v>1300</v>
      </c>
      <c r="E476" s="1055" t="s">
        <v>1301</v>
      </c>
      <c r="F476" s="1056">
        <v>0</v>
      </c>
      <c r="G476" s="1056">
        <v>134</v>
      </c>
      <c r="H476" s="1056">
        <v>134</v>
      </c>
      <c r="I476" s="1056">
        <v>0</v>
      </c>
      <c r="K476" s="1037">
        <f t="shared" si="7"/>
        <v>8</v>
      </c>
    </row>
    <row r="477" spans="1:11" ht="12.75">
      <c r="A477" s="1054">
        <v>22050102</v>
      </c>
      <c r="B477" s="1055" t="s">
        <v>1489</v>
      </c>
      <c r="C477" s="1055" t="s">
        <v>507</v>
      </c>
      <c r="D477" s="1055" t="s">
        <v>1036</v>
      </c>
      <c r="E477" s="1055" t="s">
        <v>1037</v>
      </c>
      <c r="F477" s="1056">
        <v>0</v>
      </c>
      <c r="G477" s="1056">
        <v>8</v>
      </c>
      <c r="H477" s="1056">
        <v>8</v>
      </c>
      <c r="I477" s="1056">
        <v>0</v>
      </c>
      <c r="K477" s="1037">
        <f t="shared" si="7"/>
        <v>8</v>
      </c>
    </row>
    <row r="478" spans="1:11" ht="12.75">
      <c r="A478" s="1054">
        <v>23</v>
      </c>
      <c r="B478" s="1055" t="s">
        <v>893</v>
      </c>
      <c r="C478" s="1055" t="s">
        <v>115</v>
      </c>
      <c r="D478" s="1055" t="s">
        <v>893</v>
      </c>
      <c r="E478" s="1055" t="s">
        <v>893</v>
      </c>
      <c r="F478" s="1056">
        <v>-28712</v>
      </c>
      <c r="G478" s="1056">
        <v>15098</v>
      </c>
      <c r="H478" s="1056">
        <v>15900</v>
      </c>
      <c r="I478" s="1056">
        <v>-29514</v>
      </c>
      <c r="K478" s="1037">
        <f t="shared" si="7"/>
        <v>2</v>
      </c>
    </row>
    <row r="479" spans="1:11" ht="12.75">
      <c r="A479" s="1054">
        <v>2365</v>
      </c>
      <c r="B479" s="1055" t="s">
        <v>893</v>
      </c>
      <c r="C479" s="1055" t="s">
        <v>331</v>
      </c>
      <c r="D479" s="1055" t="s">
        <v>893</v>
      </c>
      <c r="E479" s="1055" t="s">
        <v>893</v>
      </c>
      <c r="F479" s="1056">
        <v>0</v>
      </c>
      <c r="G479" s="1056">
        <v>8840</v>
      </c>
      <c r="H479" s="1056">
        <v>8840</v>
      </c>
      <c r="I479" s="1056">
        <v>0</v>
      </c>
      <c r="K479" s="1037">
        <f t="shared" si="7"/>
        <v>4</v>
      </c>
    </row>
    <row r="480" spans="1:11" ht="12.75">
      <c r="A480" s="1054">
        <v>236515</v>
      </c>
      <c r="B480" s="1055" t="s">
        <v>893</v>
      </c>
      <c r="C480" s="1055" t="s">
        <v>117</v>
      </c>
      <c r="D480" s="1055" t="s">
        <v>893</v>
      </c>
      <c r="E480" s="1055" t="s">
        <v>893</v>
      </c>
      <c r="F480" s="1056">
        <v>-5253</v>
      </c>
      <c r="G480" s="1056">
        <v>0</v>
      </c>
      <c r="H480" s="1056">
        <v>1952</v>
      </c>
      <c r="I480" s="1056">
        <v>-7205</v>
      </c>
      <c r="K480" s="1037">
        <f t="shared" si="7"/>
        <v>6</v>
      </c>
    </row>
    <row r="481" spans="1:11" ht="12.75">
      <c r="A481" s="1054">
        <v>23651502</v>
      </c>
      <c r="B481" s="1055" t="s">
        <v>1489</v>
      </c>
      <c r="C481" s="1055" t="s">
        <v>914</v>
      </c>
      <c r="D481" s="1055" t="s">
        <v>893</v>
      </c>
      <c r="E481" s="1055" t="s">
        <v>893</v>
      </c>
      <c r="F481" s="1056">
        <v>-5253</v>
      </c>
      <c r="G481" s="1056">
        <v>0</v>
      </c>
      <c r="H481" s="1056">
        <v>1952</v>
      </c>
      <c r="I481" s="1056">
        <v>-7205</v>
      </c>
      <c r="K481" s="1037">
        <f t="shared" si="7"/>
        <v>8</v>
      </c>
    </row>
    <row r="482" spans="1:11" ht="12.75">
      <c r="A482" s="1054">
        <v>23651502</v>
      </c>
      <c r="B482" s="1055" t="s">
        <v>1489</v>
      </c>
      <c r="C482" s="1055" t="s">
        <v>914</v>
      </c>
      <c r="D482" s="1055" t="s">
        <v>1190</v>
      </c>
      <c r="E482" s="1055" t="s">
        <v>577</v>
      </c>
      <c r="F482" s="1056">
        <v>-653</v>
      </c>
      <c r="G482" s="1056">
        <v>0</v>
      </c>
      <c r="H482" s="1056">
        <v>163</v>
      </c>
      <c r="I482" s="1056">
        <v>-816</v>
      </c>
      <c r="K482" s="1037">
        <f t="shared" si="7"/>
        <v>8</v>
      </c>
    </row>
    <row r="483" spans="1:11" ht="12.75">
      <c r="A483" s="1054">
        <v>23651502</v>
      </c>
      <c r="B483" s="1055" t="s">
        <v>1489</v>
      </c>
      <c r="C483" s="1055" t="s">
        <v>914</v>
      </c>
      <c r="D483" s="1055" t="s">
        <v>1482</v>
      </c>
      <c r="E483" s="1055" t="s">
        <v>1483</v>
      </c>
      <c r="F483" s="1056">
        <v>-4601</v>
      </c>
      <c r="G483" s="1056">
        <v>0</v>
      </c>
      <c r="H483" s="1056">
        <v>1788</v>
      </c>
      <c r="I483" s="1056">
        <v>-6389</v>
      </c>
      <c r="K483" s="1037">
        <f t="shared" si="7"/>
        <v>8</v>
      </c>
    </row>
    <row r="484" spans="1:11" ht="12.75">
      <c r="A484" s="1054">
        <v>236525</v>
      </c>
      <c r="B484" s="1055" t="s">
        <v>1489</v>
      </c>
      <c r="C484" s="1055" t="s">
        <v>118</v>
      </c>
      <c r="D484" s="1055" t="s">
        <v>893</v>
      </c>
      <c r="E484" s="1055" t="s">
        <v>893</v>
      </c>
      <c r="F484" s="1056">
        <v>-5458</v>
      </c>
      <c r="G484" s="1056">
        <v>0</v>
      </c>
      <c r="H484" s="1056">
        <v>596</v>
      </c>
      <c r="I484" s="1056">
        <v>-6054</v>
      </c>
      <c r="K484" s="1037">
        <f t="shared" si="7"/>
        <v>6</v>
      </c>
    </row>
    <row r="485" spans="1:11" ht="12.75">
      <c r="A485" s="1054">
        <v>23652501</v>
      </c>
      <c r="B485" s="1055" t="s">
        <v>893</v>
      </c>
      <c r="C485" s="1055" t="s">
        <v>557</v>
      </c>
      <c r="D485" s="1055" t="s">
        <v>893</v>
      </c>
      <c r="E485" s="1055" t="s">
        <v>893</v>
      </c>
      <c r="F485" s="1056">
        <v>-267</v>
      </c>
      <c r="G485" s="1056">
        <v>0</v>
      </c>
      <c r="H485" s="1056">
        <v>37</v>
      </c>
      <c r="I485" s="1056">
        <v>-304</v>
      </c>
      <c r="K485" s="1037">
        <f t="shared" si="7"/>
        <v>8</v>
      </c>
    </row>
    <row r="486" spans="1:11" ht="12.75">
      <c r="A486" s="1054">
        <v>23652501</v>
      </c>
      <c r="B486" s="1055" t="s">
        <v>893</v>
      </c>
      <c r="C486" s="1055" t="s">
        <v>557</v>
      </c>
      <c r="D486" s="1055" t="s">
        <v>1182</v>
      </c>
      <c r="E486" s="1055" t="s">
        <v>521</v>
      </c>
      <c r="F486" s="1056">
        <v>-27</v>
      </c>
      <c r="G486" s="1056">
        <v>0</v>
      </c>
      <c r="H486" s="1056">
        <v>0</v>
      </c>
      <c r="I486" s="1056">
        <v>-27</v>
      </c>
      <c r="K486" s="1037">
        <f t="shared" si="7"/>
        <v>8</v>
      </c>
    </row>
    <row r="487" spans="1:11" ht="12.75">
      <c r="A487" s="1054">
        <v>23652501</v>
      </c>
      <c r="B487" s="1055" t="s">
        <v>893</v>
      </c>
      <c r="C487" s="1055" t="s">
        <v>557</v>
      </c>
      <c r="D487" s="1055" t="s">
        <v>1311</v>
      </c>
      <c r="E487" s="1055" t="s">
        <v>995</v>
      </c>
      <c r="F487" s="1056">
        <v>-51</v>
      </c>
      <c r="G487" s="1056">
        <v>0</v>
      </c>
      <c r="H487" s="1056">
        <v>0</v>
      </c>
      <c r="I487" s="1056">
        <v>-51</v>
      </c>
      <c r="K487" s="1037">
        <f t="shared" si="7"/>
        <v>8</v>
      </c>
    </row>
    <row r="488" spans="1:11" ht="12.75">
      <c r="A488" s="1054">
        <v>23652501</v>
      </c>
      <c r="B488" s="1055" t="s">
        <v>893</v>
      </c>
      <c r="C488" s="1055" t="s">
        <v>557</v>
      </c>
      <c r="D488" s="1055" t="s">
        <v>1210</v>
      </c>
      <c r="E488" s="1055" t="s">
        <v>1211</v>
      </c>
      <c r="F488" s="1056">
        <v>-34</v>
      </c>
      <c r="G488" s="1056">
        <v>0</v>
      </c>
      <c r="H488" s="1056">
        <v>0</v>
      </c>
      <c r="I488" s="1056">
        <v>-34</v>
      </c>
      <c r="K488" s="1037">
        <f t="shared" si="7"/>
        <v>8</v>
      </c>
    </row>
    <row r="489" spans="1:11" ht="12.75">
      <c r="A489" s="1054">
        <v>23652501</v>
      </c>
      <c r="B489" s="1055" t="s">
        <v>893</v>
      </c>
      <c r="C489" s="1055" t="s">
        <v>557</v>
      </c>
      <c r="D489" s="1055" t="s">
        <v>1560</v>
      </c>
      <c r="E489" s="1055" t="s">
        <v>1561</v>
      </c>
      <c r="F489" s="1056">
        <v>-155</v>
      </c>
      <c r="G489" s="1056">
        <v>0</v>
      </c>
      <c r="H489" s="1056">
        <v>37</v>
      </c>
      <c r="I489" s="1056">
        <v>-191</v>
      </c>
      <c r="K489" s="1037">
        <f t="shared" si="7"/>
        <v>8</v>
      </c>
    </row>
    <row r="490" spans="1:11" ht="12.75">
      <c r="A490" s="1054">
        <v>23652502</v>
      </c>
      <c r="B490" s="1055" t="s">
        <v>893</v>
      </c>
      <c r="C490" s="1055" t="s">
        <v>523</v>
      </c>
      <c r="D490" s="1055" t="s">
        <v>893</v>
      </c>
      <c r="E490" s="1055" t="s">
        <v>893</v>
      </c>
      <c r="F490" s="1056">
        <v>-4325</v>
      </c>
      <c r="G490" s="1056">
        <v>0</v>
      </c>
      <c r="H490" s="1056">
        <v>392</v>
      </c>
      <c r="I490" s="1056">
        <v>-4717</v>
      </c>
      <c r="K490" s="1037">
        <f t="shared" si="7"/>
        <v>8</v>
      </c>
    </row>
    <row r="491" spans="1:11" ht="12.75">
      <c r="A491" s="1054">
        <v>23652502</v>
      </c>
      <c r="B491" s="1055" t="s">
        <v>893</v>
      </c>
      <c r="C491" s="1055" t="s">
        <v>523</v>
      </c>
      <c r="D491" s="1055" t="s">
        <v>1180</v>
      </c>
      <c r="E491" s="1055" t="s">
        <v>1014</v>
      </c>
      <c r="F491" s="1056">
        <v>-851</v>
      </c>
      <c r="G491" s="1056">
        <v>0</v>
      </c>
      <c r="H491" s="1056">
        <v>0</v>
      </c>
      <c r="I491" s="1056">
        <v>-851</v>
      </c>
      <c r="K491" s="1037">
        <f t="shared" si="7"/>
        <v>8</v>
      </c>
    </row>
    <row r="492" spans="1:11" ht="12.75">
      <c r="A492" s="1054">
        <v>23652502</v>
      </c>
      <c r="B492" s="1055" t="s">
        <v>893</v>
      </c>
      <c r="C492" s="1055" t="s">
        <v>523</v>
      </c>
      <c r="D492" s="1055" t="s">
        <v>1185</v>
      </c>
      <c r="E492" s="1055" t="s">
        <v>1017</v>
      </c>
      <c r="F492" s="1056">
        <v>-388</v>
      </c>
      <c r="G492" s="1056">
        <v>0</v>
      </c>
      <c r="H492" s="1056">
        <v>0</v>
      </c>
      <c r="I492" s="1056">
        <v>-388</v>
      </c>
      <c r="K492" s="1037">
        <f t="shared" si="7"/>
        <v>8</v>
      </c>
    </row>
    <row r="493" spans="1:11" ht="12.75">
      <c r="A493" s="1054">
        <v>23652502</v>
      </c>
      <c r="B493" s="1055" t="s">
        <v>893</v>
      </c>
      <c r="C493" s="1055" t="s">
        <v>523</v>
      </c>
      <c r="D493" s="1055" t="s">
        <v>1034</v>
      </c>
      <c r="E493" s="1055" t="s">
        <v>504</v>
      </c>
      <c r="F493" s="1056">
        <v>-860</v>
      </c>
      <c r="G493" s="1056">
        <v>0</v>
      </c>
      <c r="H493" s="1056">
        <v>146</v>
      </c>
      <c r="I493" s="1056">
        <v>-1006</v>
      </c>
      <c r="K493" s="1037">
        <f t="shared" si="7"/>
        <v>8</v>
      </c>
    </row>
    <row r="494" spans="1:11" ht="12.75">
      <c r="A494" s="1054">
        <v>23652502</v>
      </c>
      <c r="B494" s="1055" t="s">
        <v>893</v>
      </c>
      <c r="C494" s="1055" t="s">
        <v>523</v>
      </c>
      <c r="D494" s="1055" t="s">
        <v>1202</v>
      </c>
      <c r="E494" s="1055" t="s">
        <v>446</v>
      </c>
      <c r="F494" s="1056">
        <v>-197</v>
      </c>
      <c r="G494" s="1056">
        <v>0</v>
      </c>
      <c r="H494" s="1056">
        <v>39</v>
      </c>
      <c r="I494" s="1056">
        <v>-237</v>
      </c>
      <c r="K494" s="1037">
        <f t="shared" si="7"/>
        <v>8</v>
      </c>
    </row>
    <row r="495" spans="1:11" ht="12.75">
      <c r="A495" s="1054">
        <v>23652502</v>
      </c>
      <c r="B495" s="1055" t="s">
        <v>893</v>
      </c>
      <c r="C495" s="1055" t="s">
        <v>523</v>
      </c>
      <c r="D495" s="1055" t="s">
        <v>1035</v>
      </c>
      <c r="E495" s="1055" t="s">
        <v>573</v>
      </c>
      <c r="F495" s="1056">
        <v>-267</v>
      </c>
      <c r="G495" s="1056">
        <v>0</v>
      </c>
      <c r="H495" s="1056">
        <v>27</v>
      </c>
      <c r="I495" s="1056">
        <v>-294</v>
      </c>
      <c r="K495" s="1037">
        <f t="shared" si="7"/>
        <v>8</v>
      </c>
    </row>
    <row r="496" spans="1:11" ht="12.75">
      <c r="A496" s="1054">
        <v>23652502</v>
      </c>
      <c r="B496" s="1055" t="s">
        <v>893</v>
      </c>
      <c r="C496" s="1055" t="s">
        <v>523</v>
      </c>
      <c r="D496" s="1055" t="s">
        <v>1207</v>
      </c>
      <c r="E496" s="1055" t="s">
        <v>1028</v>
      </c>
      <c r="F496" s="1056">
        <v>-1073</v>
      </c>
      <c r="G496" s="1056">
        <v>0</v>
      </c>
      <c r="H496" s="1056">
        <v>77</v>
      </c>
      <c r="I496" s="1056">
        <v>-1151</v>
      </c>
      <c r="K496" s="1037">
        <f t="shared" si="7"/>
        <v>8</v>
      </c>
    </row>
    <row r="497" spans="1:11" ht="12.75">
      <c r="A497" s="1054">
        <v>23652502</v>
      </c>
      <c r="B497" s="1055" t="s">
        <v>893</v>
      </c>
      <c r="C497" s="1055" t="s">
        <v>523</v>
      </c>
      <c r="D497" s="1055" t="s">
        <v>1315</v>
      </c>
      <c r="E497" s="1055" t="s">
        <v>996</v>
      </c>
      <c r="F497" s="1056">
        <v>-48</v>
      </c>
      <c r="G497" s="1056">
        <v>0</v>
      </c>
      <c r="H497" s="1056">
        <v>0</v>
      </c>
      <c r="I497" s="1056">
        <v>-48</v>
      </c>
      <c r="K497" s="1037">
        <f t="shared" si="7"/>
        <v>8</v>
      </c>
    </row>
    <row r="498" spans="1:11" ht="12.75">
      <c r="A498" s="1054">
        <v>23652502</v>
      </c>
      <c r="B498" s="1055" t="s">
        <v>893</v>
      </c>
      <c r="C498" s="1055" t="s">
        <v>523</v>
      </c>
      <c r="D498" s="1055" t="s">
        <v>1036</v>
      </c>
      <c r="E498" s="1055" t="s">
        <v>1037</v>
      </c>
      <c r="F498" s="1056">
        <v>-166</v>
      </c>
      <c r="G498" s="1056">
        <v>0</v>
      </c>
      <c r="H498" s="1056">
        <v>0</v>
      </c>
      <c r="I498" s="1056">
        <v>-166</v>
      </c>
      <c r="K498" s="1037">
        <f t="shared" si="7"/>
        <v>8</v>
      </c>
    </row>
    <row r="499" spans="1:11" ht="12.75">
      <c r="A499" s="1054">
        <v>23652502</v>
      </c>
      <c r="B499" s="1055" t="s">
        <v>893</v>
      </c>
      <c r="C499" s="1055" t="s">
        <v>523</v>
      </c>
      <c r="D499" s="1055" t="s">
        <v>1513</v>
      </c>
      <c r="E499" s="1055" t="s">
        <v>1514</v>
      </c>
      <c r="F499" s="1056">
        <v>-14</v>
      </c>
      <c r="G499" s="1056">
        <v>0</v>
      </c>
      <c r="H499" s="1056">
        <v>0</v>
      </c>
      <c r="I499" s="1056">
        <v>-14</v>
      </c>
      <c r="K499" s="1037">
        <f t="shared" si="7"/>
        <v>8</v>
      </c>
    </row>
    <row r="500" spans="1:11" ht="12.75">
      <c r="A500" s="1054">
        <v>23652502</v>
      </c>
      <c r="B500" s="1055" t="s">
        <v>893</v>
      </c>
      <c r="C500" s="1055" t="s">
        <v>523</v>
      </c>
      <c r="D500" s="1055" t="s">
        <v>1294</v>
      </c>
      <c r="E500" s="1055" t="s">
        <v>779</v>
      </c>
      <c r="F500" s="1056">
        <v>-11</v>
      </c>
      <c r="G500" s="1056">
        <v>0</v>
      </c>
      <c r="H500" s="1056">
        <v>0</v>
      </c>
      <c r="I500" s="1056">
        <v>-11</v>
      </c>
      <c r="K500" s="1037">
        <f t="shared" si="7"/>
        <v>8</v>
      </c>
    </row>
    <row r="501" spans="1:11" ht="12.75">
      <c r="A501" s="1054">
        <v>23652502</v>
      </c>
      <c r="B501" s="1055" t="s">
        <v>893</v>
      </c>
      <c r="C501" s="1055" t="s">
        <v>523</v>
      </c>
      <c r="D501" s="1055" t="s">
        <v>1062</v>
      </c>
      <c r="E501" s="1055" t="s">
        <v>510</v>
      </c>
      <c r="F501" s="1056">
        <v>-450</v>
      </c>
      <c r="G501" s="1056">
        <v>0</v>
      </c>
      <c r="H501" s="1056">
        <v>102</v>
      </c>
      <c r="I501" s="1056">
        <v>-552</v>
      </c>
      <c r="K501" s="1037">
        <f t="shared" si="7"/>
        <v>8</v>
      </c>
    </row>
    <row r="502" spans="1:11" ht="12.75">
      <c r="A502" s="1054">
        <v>23652503</v>
      </c>
      <c r="B502" s="1055" t="s">
        <v>893</v>
      </c>
      <c r="C502" s="1055" t="s">
        <v>524</v>
      </c>
      <c r="D502" s="1055" t="s">
        <v>893</v>
      </c>
      <c r="E502" s="1055" t="s">
        <v>893</v>
      </c>
      <c r="F502" s="1056">
        <v>-273</v>
      </c>
      <c r="G502" s="1056">
        <v>0</v>
      </c>
      <c r="H502" s="1056">
        <v>57</v>
      </c>
      <c r="I502" s="1056">
        <v>-331</v>
      </c>
      <c r="K502" s="1037">
        <f t="shared" si="7"/>
        <v>8</v>
      </c>
    </row>
    <row r="503" spans="1:11" ht="12.75">
      <c r="A503" s="1054">
        <v>23652503</v>
      </c>
      <c r="B503" s="1055" t="s">
        <v>893</v>
      </c>
      <c r="C503" s="1055" t="s">
        <v>524</v>
      </c>
      <c r="D503" s="1055" t="s">
        <v>1034</v>
      </c>
      <c r="E503" s="1055" t="s">
        <v>504</v>
      </c>
      <c r="F503" s="1056">
        <v>-273</v>
      </c>
      <c r="G503" s="1056">
        <v>0</v>
      </c>
      <c r="H503" s="1056">
        <v>57</v>
      </c>
      <c r="I503" s="1056">
        <v>-331</v>
      </c>
      <c r="K503" s="1037">
        <f t="shared" si="7"/>
        <v>8</v>
      </c>
    </row>
    <row r="504" spans="1:11" ht="12.75">
      <c r="A504" s="1054">
        <v>23652505</v>
      </c>
      <c r="B504" s="1055" t="s">
        <v>893</v>
      </c>
      <c r="C504" s="1055" t="s">
        <v>1515</v>
      </c>
      <c r="D504" s="1055" t="s">
        <v>893</v>
      </c>
      <c r="E504" s="1055" t="s">
        <v>893</v>
      </c>
      <c r="F504" s="1056">
        <v>-16</v>
      </c>
      <c r="G504" s="1056">
        <v>0</v>
      </c>
      <c r="H504" s="1056">
        <v>0</v>
      </c>
      <c r="I504" s="1056">
        <v>-16</v>
      </c>
      <c r="K504" s="1037">
        <f t="shared" si="7"/>
        <v>8</v>
      </c>
    </row>
    <row r="505" spans="1:11" ht="12.75">
      <c r="A505" s="1054">
        <v>23652505</v>
      </c>
      <c r="B505" s="1055" t="s">
        <v>893</v>
      </c>
      <c r="C505" s="1055" t="s">
        <v>1515</v>
      </c>
      <c r="D505" s="1055" t="s">
        <v>1206</v>
      </c>
      <c r="E505" s="1055" t="s">
        <v>522</v>
      </c>
      <c r="F505" s="1056">
        <v>-16</v>
      </c>
      <c r="G505" s="1056">
        <v>0</v>
      </c>
      <c r="H505" s="1056">
        <v>0</v>
      </c>
      <c r="I505" s="1056">
        <v>-16</v>
      </c>
      <c r="K505" s="1037">
        <f t="shared" si="7"/>
        <v>8</v>
      </c>
    </row>
    <row r="506" spans="1:11" ht="12.75">
      <c r="A506" s="1054">
        <v>23652506</v>
      </c>
      <c r="B506" s="1055" t="s">
        <v>893</v>
      </c>
      <c r="C506" s="1055" t="s">
        <v>525</v>
      </c>
      <c r="D506" s="1055" t="s">
        <v>893</v>
      </c>
      <c r="E506" s="1055" t="s">
        <v>893</v>
      </c>
      <c r="F506" s="1056">
        <v>-554</v>
      </c>
      <c r="G506" s="1056">
        <v>0</v>
      </c>
      <c r="H506" s="1056">
        <v>111</v>
      </c>
      <c r="I506" s="1056">
        <v>-665</v>
      </c>
      <c r="K506" s="1037">
        <f t="shared" si="7"/>
        <v>8</v>
      </c>
    </row>
    <row r="507" spans="1:11" ht="12.75">
      <c r="A507" s="1054">
        <v>23652506</v>
      </c>
      <c r="B507" s="1055" t="s">
        <v>893</v>
      </c>
      <c r="C507" s="1055" t="s">
        <v>525</v>
      </c>
      <c r="D507" s="1055" t="s">
        <v>1204</v>
      </c>
      <c r="E507" s="1055" t="s">
        <v>427</v>
      </c>
      <c r="F507" s="1056">
        <v>-24</v>
      </c>
      <c r="G507" s="1056">
        <v>0</v>
      </c>
      <c r="H507" s="1056">
        <v>5</v>
      </c>
      <c r="I507" s="1056">
        <v>-29</v>
      </c>
      <c r="K507" s="1037">
        <f t="shared" si="7"/>
        <v>8</v>
      </c>
    </row>
    <row r="508" spans="1:11" ht="12.75">
      <c r="A508" s="1054">
        <v>23652506</v>
      </c>
      <c r="B508" s="1055" t="s">
        <v>893</v>
      </c>
      <c r="C508" s="1055" t="s">
        <v>525</v>
      </c>
      <c r="D508" s="1055" t="s">
        <v>1205</v>
      </c>
      <c r="E508" s="1055" t="s">
        <v>328</v>
      </c>
      <c r="F508" s="1056">
        <v>-529</v>
      </c>
      <c r="G508" s="1056">
        <v>0</v>
      </c>
      <c r="H508" s="1056">
        <v>106</v>
      </c>
      <c r="I508" s="1056">
        <v>-635</v>
      </c>
      <c r="K508" s="1037">
        <f t="shared" si="7"/>
        <v>8</v>
      </c>
    </row>
    <row r="509" spans="1:11" ht="12.75">
      <c r="A509" s="1054">
        <v>23652507</v>
      </c>
      <c r="B509" s="1055" t="s">
        <v>893</v>
      </c>
      <c r="C509" s="1055" t="s">
        <v>1566</v>
      </c>
      <c r="D509" s="1055" t="s">
        <v>893</v>
      </c>
      <c r="E509" s="1055" t="s">
        <v>893</v>
      </c>
      <c r="F509" s="1056">
        <v>-23</v>
      </c>
      <c r="G509" s="1056">
        <v>0</v>
      </c>
      <c r="H509" s="1056">
        <v>0</v>
      </c>
      <c r="I509" s="1056">
        <v>-23</v>
      </c>
      <c r="K509" s="1037">
        <f t="shared" si="7"/>
        <v>8</v>
      </c>
    </row>
    <row r="510" spans="1:11" ht="12.75">
      <c r="A510" s="1054">
        <v>23652507</v>
      </c>
      <c r="B510" s="1055" t="s">
        <v>893</v>
      </c>
      <c r="C510" s="1055" t="s">
        <v>1566</v>
      </c>
      <c r="D510" s="1055" t="s">
        <v>1206</v>
      </c>
      <c r="E510" s="1055" t="s">
        <v>522</v>
      </c>
      <c r="F510" s="1056">
        <v>-23</v>
      </c>
      <c r="G510" s="1056">
        <v>0</v>
      </c>
      <c r="H510" s="1056">
        <v>0</v>
      </c>
      <c r="I510" s="1056">
        <v>-23</v>
      </c>
      <c r="K510" s="1037">
        <f t="shared" si="7"/>
        <v>8</v>
      </c>
    </row>
    <row r="511" spans="1:11" ht="12.75">
      <c r="A511" s="1054">
        <v>236530</v>
      </c>
      <c r="B511" s="1055" t="s">
        <v>893</v>
      </c>
      <c r="C511" s="1055" t="s">
        <v>730</v>
      </c>
      <c r="D511" s="1055" t="s">
        <v>893</v>
      </c>
      <c r="E511" s="1055" t="s">
        <v>893</v>
      </c>
      <c r="F511" s="1056">
        <v>-10027</v>
      </c>
      <c r="G511" s="1056">
        <v>0</v>
      </c>
      <c r="H511" s="1056">
        <v>2040</v>
      </c>
      <c r="I511" s="1056">
        <v>-12067</v>
      </c>
      <c r="K511" s="1037">
        <f t="shared" si="7"/>
        <v>6</v>
      </c>
    </row>
    <row r="512" spans="1:11" ht="12.75">
      <c r="A512" s="1054">
        <v>23653001</v>
      </c>
      <c r="B512" s="1055" t="s">
        <v>893</v>
      </c>
      <c r="C512" s="1055" t="s">
        <v>730</v>
      </c>
      <c r="D512" s="1055" t="s">
        <v>893</v>
      </c>
      <c r="E512" s="1055" t="s">
        <v>893</v>
      </c>
      <c r="F512" s="1056">
        <v>-10027</v>
      </c>
      <c r="G512" s="1056">
        <v>0</v>
      </c>
      <c r="H512" s="1056">
        <v>2040</v>
      </c>
      <c r="I512" s="1056">
        <v>-12067</v>
      </c>
      <c r="K512" s="1037">
        <f t="shared" si="7"/>
        <v>8</v>
      </c>
    </row>
    <row r="513" spans="1:11" ht="12.75">
      <c r="A513" s="1054">
        <v>23653001</v>
      </c>
      <c r="B513" s="1055" t="s">
        <v>893</v>
      </c>
      <c r="C513" s="1055" t="s">
        <v>730</v>
      </c>
      <c r="D513" s="1055" t="s">
        <v>1179</v>
      </c>
      <c r="E513" s="1055" t="s">
        <v>1013</v>
      </c>
      <c r="F513" s="1056">
        <v>-753</v>
      </c>
      <c r="G513" s="1056">
        <v>0</v>
      </c>
      <c r="H513" s="1056">
        <v>164</v>
      </c>
      <c r="I513" s="1056">
        <v>-917</v>
      </c>
      <c r="K513" s="1037">
        <f t="shared" si="7"/>
        <v>8</v>
      </c>
    </row>
    <row r="514" spans="1:11" ht="12.75">
      <c r="A514" s="1054">
        <v>23653001</v>
      </c>
      <c r="B514" s="1055" t="s">
        <v>893</v>
      </c>
      <c r="C514" s="1055" t="s">
        <v>730</v>
      </c>
      <c r="D514" s="1055" t="s">
        <v>1180</v>
      </c>
      <c r="E514" s="1055" t="s">
        <v>1014</v>
      </c>
      <c r="F514" s="1056">
        <v>-232</v>
      </c>
      <c r="G514" s="1056">
        <v>0</v>
      </c>
      <c r="H514" s="1056">
        <v>0</v>
      </c>
      <c r="I514" s="1056">
        <v>-232</v>
      </c>
      <c r="K514" s="1037">
        <f t="shared" si="7"/>
        <v>8</v>
      </c>
    </row>
    <row r="515" spans="1:11" ht="12.75">
      <c r="A515" s="1054">
        <v>23653001</v>
      </c>
      <c r="B515" s="1055" t="s">
        <v>893</v>
      </c>
      <c r="C515" s="1055" t="s">
        <v>730</v>
      </c>
      <c r="D515" s="1055" t="s">
        <v>1183</v>
      </c>
      <c r="E515" s="1055" t="s">
        <v>1015</v>
      </c>
      <c r="F515" s="1056">
        <v>-753</v>
      </c>
      <c r="G515" s="1056">
        <v>0</v>
      </c>
      <c r="H515" s="1056">
        <v>164</v>
      </c>
      <c r="I515" s="1056">
        <v>-917</v>
      </c>
      <c r="K515" s="1037">
        <f t="shared" si="7"/>
        <v>8</v>
      </c>
    </row>
    <row r="516" spans="1:11" ht="12.75">
      <c r="A516" s="1054">
        <v>23653001</v>
      </c>
      <c r="B516" s="1055" t="s">
        <v>893</v>
      </c>
      <c r="C516" s="1055" t="s">
        <v>730</v>
      </c>
      <c r="D516" s="1055" t="s">
        <v>1295</v>
      </c>
      <c r="E516" s="1055" t="s">
        <v>963</v>
      </c>
      <c r="F516" s="1056">
        <v>-1313</v>
      </c>
      <c r="G516" s="1056">
        <v>0</v>
      </c>
      <c r="H516" s="1056">
        <v>263</v>
      </c>
      <c r="I516" s="1056">
        <v>-1575</v>
      </c>
      <c r="K516" s="1037">
        <f t="shared" si="7"/>
        <v>8</v>
      </c>
    </row>
    <row r="517" spans="1:11" ht="12.75">
      <c r="A517" s="1054">
        <v>23653001</v>
      </c>
      <c r="B517" s="1055" t="s">
        <v>893</v>
      </c>
      <c r="C517" s="1055" t="s">
        <v>730</v>
      </c>
      <c r="D517" s="1055" t="s">
        <v>1213</v>
      </c>
      <c r="E517" s="1055" t="s">
        <v>1214</v>
      </c>
      <c r="F517" s="1056">
        <v>-1023</v>
      </c>
      <c r="G517" s="1056">
        <v>0</v>
      </c>
      <c r="H517" s="1056">
        <v>205</v>
      </c>
      <c r="I517" s="1056">
        <v>-1227</v>
      </c>
      <c r="K517" s="1037">
        <f t="shared" ref="K517:K580" si="8">+LEN(A517)</f>
        <v>8</v>
      </c>
    </row>
    <row r="518" spans="1:11" ht="12.75">
      <c r="A518" s="1054">
        <v>23653001</v>
      </c>
      <c r="B518" s="1055" t="s">
        <v>893</v>
      </c>
      <c r="C518" s="1055" t="s">
        <v>730</v>
      </c>
      <c r="D518" s="1055" t="s">
        <v>1215</v>
      </c>
      <c r="E518" s="1055" t="s">
        <v>1216</v>
      </c>
      <c r="F518" s="1056">
        <v>-1581</v>
      </c>
      <c r="G518" s="1056">
        <v>0</v>
      </c>
      <c r="H518" s="1056">
        <v>316</v>
      </c>
      <c r="I518" s="1056">
        <v>-1897</v>
      </c>
      <c r="K518" s="1037">
        <f t="shared" si="8"/>
        <v>8</v>
      </c>
    </row>
    <row r="519" spans="1:11" ht="12.75">
      <c r="A519" s="1054">
        <v>23653001</v>
      </c>
      <c r="B519" s="1055" t="s">
        <v>893</v>
      </c>
      <c r="C519" s="1055" t="s">
        <v>730</v>
      </c>
      <c r="D519" s="1055" t="s">
        <v>1217</v>
      </c>
      <c r="E519" s="1055" t="s">
        <v>1218</v>
      </c>
      <c r="F519" s="1056">
        <v>-1922</v>
      </c>
      <c r="G519" s="1056">
        <v>0</v>
      </c>
      <c r="H519" s="1056">
        <v>384</v>
      </c>
      <c r="I519" s="1056">
        <v>-2306</v>
      </c>
      <c r="K519" s="1037">
        <f t="shared" si="8"/>
        <v>8</v>
      </c>
    </row>
    <row r="520" spans="1:11" ht="12.75">
      <c r="A520" s="1054">
        <v>23653001</v>
      </c>
      <c r="B520" s="1055" t="s">
        <v>893</v>
      </c>
      <c r="C520" s="1055" t="s">
        <v>730</v>
      </c>
      <c r="D520" s="1055" t="s">
        <v>1207</v>
      </c>
      <c r="E520" s="1055" t="s">
        <v>1028</v>
      </c>
      <c r="F520" s="1056">
        <v>-1342</v>
      </c>
      <c r="G520" s="1056">
        <v>0</v>
      </c>
      <c r="H520" s="1056">
        <v>272</v>
      </c>
      <c r="I520" s="1056">
        <v>-1614</v>
      </c>
      <c r="K520" s="1037">
        <f t="shared" si="8"/>
        <v>8</v>
      </c>
    </row>
    <row r="521" spans="1:11" ht="12.75">
      <c r="A521" s="1054">
        <v>23653001</v>
      </c>
      <c r="B521" s="1055" t="s">
        <v>893</v>
      </c>
      <c r="C521" s="1055" t="s">
        <v>730</v>
      </c>
      <c r="D521" s="1055" t="s">
        <v>1039</v>
      </c>
      <c r="E521" s="1055" t="s">
        <v>681</v>
      </c>
      <c r="F521" s="1056">
        <v>-1110</v>
      </c>
      <c r="G521" s="1056">
        <v>0</v>
      </c>
      <c r="H521" s="1056">
        <v>272</v>
      </c>
      <c r="I521" s="1056">
        <v>-1382</v>
      </c>
      <c r="K521" s="1037">
        <f t="shared" si="8"/>
        <v>8</v>
      </c>
    </row>
    <row r="522" spans="1:11" ht="12.75">
      <c r="A522" s="1054">
        <v>236535</v>
      </c>
      <c r="B522" s="1055" t="s">
        <v>893</v>
      </c>
      <c r="C522" s="1055" t="s">
        <v>731</v>
      </c>
      <c r="D522" s="1055" t="s">
        <v>893</v>
      </c>
      <c r="E522" s="1055" t="s">
        <v>893</v>
      </c>
      <c r="F522" s="1056">
        <v>-188</v>
      </c>
      <c r="G522" s="1056">
        <v>0</v>
      </c>
      <c r="H522" s="1056">
        <v>38</v>
      </c>
      <c r="I522" s="1056">
        <v>-226</v>
      </c>
      <c r="K522" s="1037">
        <f t="shared" si="8"/>
        <v>6</v>
      </c>
    </row>
    <row r="523" spans="1:11" ht="12.75">
      <c r="A523" s="1054">
        <v>23653502</v>
      </c>
      <c r="B523" s="1055" t="s">
        <v>1489</v>
      </c>
      <c r="C523" s="1055" t="s">
        <v>732</v>
      </c>
      <c r="D523" s="1055" t="s">
        <v>893</v>
      </c>
      <c r="E523" s="1055" t="s">
        <v>893</v>
      </c>
      <c r="F523" s="1056">
        <v>-188</v>
      </c>
      <c r="G523" s="1056">
        <v>0</v>
      </c>
      <c r="H523" s="1056">
        <v>38</v>
      </c>
      <c r="I523" s="1056">
        <v>-226</v>
      </c>
      <c r="K523" s="1037">
        <f t="shared" si="8"/>
        <v>8</v>
      </c>
    </row>
    <row r="524" spans="1:11" ht="12.75">
      <c r="A524" s="1054">
        <v>23653502</v>
      </c>
      <c r="B524" s="1055" t="s">
        <v>1489</v>
      </c>
      <c r="C524" s="1055" t="s">
        <v>732</v>
      </c>
      <c r="D524" s="1055" t="s">
        <v>1177</v>
      </c>
      <c r="E524" s="1055" t="s">
        <v>1011</v>
      </c>
      <c r="F524" s="1056">
        <v>-59</v>
      </c>
      <c r="G524" s="1056">
        <v>0</v>
      </c>
      <c r="H524" s="1056">
        <v>12</v>
      </c>
      <c r="I524" s="1056">
        <v>-71</v>
      </c>
      <c r="K524" s="1037">
        <f t="shared" si="8"/>
        <v>8</v>
      </c>
    </row>
    <row r="525" spans="1:11" ht="12.75">
      <c r="A525" s="1054">
        <v>23653502</v>
      </c>
      <c r="B525" s="1055" t="s">
        <v>1489</v>
      </c>
      <c r="C525" s="1055" t="s">
        <v>732</v>
      </c>
      <c r="D525" s="1055" t="s">
        <v>1178</v>
      </c>
      <c r="E525" s="1055" t="s">
        <v>1012</v>
      </c>
      <c r="F525" s="1056">
        <v>-129</v>
      </c>
      <c r="G525" s="1056">
        <v>0</v>
      </c>
      <c r="H525" s="1056">
        <v>26</v>
      </c>
      <c r="I525" s="1056">
        <v>-155</v>
      </c>
      <c r="K525" s="1037">
        <f t="shared" si="8"/>
        <v>8</v>
      </c>
    </row>
    <row r="526" spans="1:11" ht="12.75">
      <c r="A526" s="1054">
        <v>236540</v>
      </c>
      <c r="B526" s="1055" t="s">
        <v>893</v>
      </c>
      <c r="C526" s="1055" t="s">
        <v>339</v>
      </c>
      <c r="D526" s="1055" t="s">
        <v>893</v>
      </c>
      <c r="E526" s="1055" t="s">
        <v>893</v>
      </c>
      <c r="F526" s="1056">
        <v>-22167</v>
      </c>
      <c r="G526" s="1056">
        <v>0</v>
      </c>
      <c r="H526" s="1056">
        <v>4214</v>
      </c>
      <c r="I526" s="1056">
        <v>-26382</v>
      </c>
      <c r="K526" s="1037">
        <f t="shared" si="8"/>
        <v>6</v>
      </c>
    </row>
    <row r="527" spans="1:11" ht="12.75">
      <c r="A527" s="1054">
        <v>23654004</v>
      </c>
      <c r="B527" s="1055" t="s">
        <v>893</v>
      </c>
      <c r="C527" s="1055" t="s">
        <v>526</v>
      </c>
      <c r="D527" s="1055" t="s">
        <v>893</v>
      </c>
      <c r="E527" s="1055" t="s">
        <v>893</v>
      </c>
      <c r="F527" s="1056">
        <v>-22167</v>
      </c>
      <c r="G527" s="1056">
        <v>0</v>
      </c>
      <c r="H527" s="1056">
        <v>4214</v>
      </c>
      <c r="I527" s="1056">
        <v>-26382</v>
      </c>
      <c r="K527" s="1037">
        <f t="shared" si="8"/>
        <v>8</v>
      </c>
    </row>
    <row r="528" spans="1:11" ht="12.75">
      <c r="A528" s="1054">
        <v>23654004</v>
      </c>
      <c r="B528" s="1055" t="s">
        <v>893</v>
      </c>
      <c r="C528" s="1055" t="s">
        <v>526</v>
      </c>
      <c r="D528" s="1055" t="s">
        <v>1197</v>
      </c>
      <c r="E528" s="1055" t="s">
        <v>481</v>
      </c>
      <c r="F528" s="1056">
        <v>-124</v>
      </c>
      <c r="G528" s="1056">
        <v>0</v>
      </c>
      <c r="H528" s="1056">
        <v>0</v>
      </c>
      <c r="I528" s="1056">
        <v>-124</v>
      </c>
      <c r="K528" s="1037">
        <f t="shared" si="8"/>
        <v>8</v>
      </c>
    </row>
    <row r="529" spans="1:11" ht="12.75">
      <c r="A529" s="1054">
        <v>23654004</v>
      </c>
      <c r="B529" s="1055" t="s">
        <v>893</v>
      </c>
      <c r="C529" s="1055" t="s">
        <v>526</v>
      </c>
      <c r="D529" s="1055" t="s">
        <v>1034</v>
      </c>
      <c r="E529" s="1055" t="s">
        <v>504</v>
      </c>
      <c r="F529" s="1056">
        <v>-18691</v>
      </c>
      <c r="G529" s="1056">
        <v>0</v>
      </c>
      <c r="H529" s="1056">
        <v>3532</v>
      </c>
      <c r="I529" s="1056">
        <v>-22223</v>
      </c>
      <c r="K529" s="1037">
        <f t="shared" si="8"/>
        <v>8</v>
      </c>
    </row>
    <row r="530" spans="1:11" ht="12.75">
      <c r="A530" s="1054">
        <v>23654004</v>
      </c>
      <c r="B530" s="1055" t="s">
        <v>893</v>
      </c>
      <c r="C530" s="1055" t="s">
        <v>526</v>
      </c>
      <c r="D530" s="1055" t="s">
        <v>1308</v>
      </c>
      <c r="E530" s="1055" t="s">
        <v>993</v>
      </c>
      <c r="F530" s="1056">
        <v>0</v>
      </c>
      <c r="G530" s="1056">
        <v>0</v>
      </c>
      <c r="H530" s="1056">
        <v>53</v>
      </c>
      <c r="I530" s="1056">
        <v>-53</v>
      </c>
      <c r="K530" s="1037">
        <f t="shared" si="8"/>
        <v>8</v>
      </c>
    </row>
    <row r="531" spans="1:11" ht="12.75">
      <c r="A531" s="1054">
        <v>23654004</v>
      </c>
      <c r="B531" s="1055" t="s">
        <v>893</v>
      </c>
      <c r="C531" s="1055" t="s">
        <v>526</v>
      </c>
      <c r="D531" s="1055" t="s">
        <v>1074</v>
      </c>
      <c r="E531" s="1055" t="s">
        <v>257</v>
      </c>
      <c r="F531" s="1056">
        <v>-3352</v>
      </c>
      <c r="G531" s="1056">
        <v>0</v>
      </c>
      <c r="H531" s="1056">
        <v>629</v>
      </c>
      <c r="I531" s="1056">
        <v>-3981</v>
      </c>
      <c r="K531" s="1037">
        <f t="shared" si="8"/>
        <v>8</v>
      </c>
    </row>
    <row r="532" spans="1:11" ht="12.75">
      <c r="A532" s="1054">
        <v>236599</v>
      </c>
      <c r="B532" s="1055" t="s">
        <v>893</v>
      </c>
      <c r="C532" s="1055" t="s">
        <v>340</v>
      </c>
      <c r="D532" s="1055" t="s">
        <v>893</v>
      </c>
      <c r="E532" s="1055" t="s">
        <v>893</v>
      </c>
      <c r="F532" s="1056">
        <v>43094</v>
      </c>
      <c r="G532" s="1056">
        <v>8840</v>
      </c>
      <c r="H532" s="1056">
        <v>0</v>
      </c>
      <c r="I532" s="1056">
        <v>51934</v>
      </c>
      <c r="K532" s="1037">
        <f t="shared" si="8"/>
        <v>6</v>
      </c>
    </row>
    <row r="533" spans="1:11" ht="12.75">
      <c r="A533" s="1054">
        <v>23659901</v>
      </c>
      <c r="B533" s="1055" t="s">
        <v>893</v>
      </c>
      <c r="C533" s="1055" t="s">
        <v>340</v>
      </c>
      <c r="D533" s="1055" t="s">
        <v>893</v>
      </c>
      <c r="E533" s="1055" t="s">
        <v>893</v>
      </c>
      <c r="F533" s="1056">
        <v>43094</v>
      </c>
      <c r="G533" s="1056">
        <v>8840</v>
      </c>
      <c r="H533" s="1056">
        <v>0</v>
      </c>
      <c r="I533" s="1056">
        <v>51934</v>
      </c>
      <c r="K533" s="1037">
        <f t="shared" si="8"/>
        <v>8</v>
      </c>
    </row>
    <row r="534" spans="1:11" ht="12.75">
      <c r="A534" s="1054">
        <v>2367</v>
      </c>
      <c r="B534" s="1055" t="s">
        <v>893</v>
      </c>
      <c r="C534" s="1055" t="s">
        <v>341</v>
      </c>
      <c r="D534" s="1055" t="s">
        <v>893</v>
      </c>
      <c r="E534" s="1055" t="s">
        <v>893</v>
      </c>
      <c r="F534" s="1056">
        <v>0</v>
      </c>
      <c r="G534" s="1056">
        <v>264</v>
      </c>
      <c r="H534" s="1056">
        <v>264</v>
      </c>
      <c r="I534" s="1056">
        <v>0</v>
      </c>
      <c r="K534" s="1037">
        <f t="shared" si="8"/>
        <v>4</v>
      </c>
    </row>
    <row r="535" spans="1:11" ht="12.75">
      <c r="A535" s="1054">
        <v>236710</v>
      </c>
      <c r="B535" s="1055" t="s">
        <v>893</v>
      </c>
      <c r="C535" s="1055" t="s">
        <v>342</v>
      </c>
      <c r="D535" s="1055" t="s">
        <v>893</v>
      </c>
      <c r="E535" s="1055" t="s">
        <v>893</v>
      </c>
      <c r="F535" s="1056">
        <v>-1602</v>
      </c>
      <c r="G535" s="1056">
        <v>0</v>
      </c>
      <c r="H535" s="1056">
        <v>264</v>
      </c>
      <c r="I535" s="1056">
        <v>-1866</v>
      </c>
      <c r="K535" s="1037">
        <f t="shared" si="8"/>
        <v>6</v>
      </c>
    </row>
    <row r="536" spans="1:11" ht="12.75">
      <c r="A536" s="1054">
        <v>23671001</v>
      </c>
      <c r="B536" s="1055" t="s">
        <v>893</v>
      </c>
      <c r="C536" s="1055" t="s">
        <v>342</v>
      </c>
      <c r="D536" s="1055" t="s">
        <v>893</v>
      </c>
      <c r="E536" s="1055" t="s">
        <v>893</v>
      </c>
      <c r="F536" s="1056">
        <v>-1602</v>
      </c>
      <c r="G536" s="1056">
        <v>0</v>
      </c>
      <c r="H536" s="1056">
        <v>264</v>
      </c>
      <c r="I536" s="1056">
        <v>-1866</v>
      </c>
      <c r="K536" s="1037">
        <f t="shared" si="8"/>
        <v>8</v>
      </c>
    </row>
    <row r="537" spans="1:11" ht="12.75">
      <c r="A537" s="1054">
        <v>23671001</v>
      </c>
      <c r="B537" s="1055" t="s">
        <v>893</v>
      </c>
      <c r="C537" s="1055" t="s">
        <v>342</v>
      </c>
      <c r="D537" s="1055" t="s">
        <v>1032</v>
      </c>
      <c r="E537" s="1055" t="s">
        <v>508</v>
      </c>
      <c r="F537" s="1056">
        <v>-279</v>
      </c>
      <c r="G537" s="1056">
        <v>0</v>
      </c>
      <c r="H537" s="1056">
        <v>0</v>
      </c>
      <c r="I537" s="1056">
        <v>-279</v>
      </c>
      <c r="K537" s="1037">
        <f t="shared" si="8"/>
        <v>8</v>
      </c>
    </row>
    <row r="538" spans="1:11" ht="12.75">
      <c r="A538" s="1054">
        <v>23671001</v>
      </c>
      <c r="B538" s="1055" t="s">
        <v>893</v>
      </c>
      <c r="C538" s="1055" t="s">
        <v>342</v>
      </c>
      <c r="D538" s="1055" t="s">
        <v>1208</v>
      </c>
      <c r="E538" s="1055" t="s">
        <v>428</v>
      </c>
      <c r="F538" s="1056">
        <v>-1322</v>
      </c>
      <c r="G538" s="1056">
        <v>0</v>
      </c>
      <c r="H538" s="1056">
        <v>264</v>
      </c>
      <c r="I538" s="1056">
        <v>-1587</v>
      </c>
      <c r="K538" s="1037">
        <f t="shared" si="8"/>
        <v>8</v>
      </c>
    </row>
    <row r="539" spans="1:11" ht="12.75">
      <c r="A539" s="1054">
        <v>23671001</v>
      </c>
      <c r="B539" s="1055" t="s">
        <v>893</v>
      </c>
      <c r="C539" s="1055" t="s">
        <v>342</v>
      </c>
      <c r="D539" s="1055" t="s">
        <v>1316</v>
      </c>
      <c r="E539" s="1055" t="s">
        <v>985</v>
      </c>
      <c r="F539" s="1056">
        <v>-1</v>
      </c>
      <c r="G539" s="1056">
        <v>0</v>
      </c>
      <c r="H539" s="1056">
        <v>0</v>
      </c>
      <c r="I539" s="1056">
        <v>-1</v>
      </c>
      <c r="K539" s="1037">
        <f t="shared" si="8"/>
        <v>8</v>
      </c>
    </row>
    <row r="540" spans="1:11" ht="12.75">
      <c r="A540" s="1054">
        <v>236799</v>
      </c>
      <c r="B540" s="1055" t="s">
        <v>893</v>
      </c>
      <c r="C540" s="1055" t="s">
        <v>326</v>
      </c>
      <c r="D540" s="1055" t="s">
        <v>893</v>
      </c>
      <c r="E540" s="1055" t="s">
        <v>893</v>
      </c>
      <c r="F540" s="1056">
        <v>1602</v>
      </c>
      <c r="G540" s="1056">
        <v>264</v>
      </c>
      <c r="H540" s="1056">
        <v>0</v>
      </c>
      <c r="I540" s="1056">
        <v>1866</v>
      </c>
      <c r="K540" s="1037">
        <f t="shared" si="8"/>
        <v>6</v>
      </c>
    </row>
    <row r="541" spans="1:11" ht="12.75">
      <c r="A541" s="1054">
        <v>23679901</v>
      </c>
      <c r="B541" s="1055" t="s">
        <v>893</v>
      </c>
      <c r="C541" s="1055" t="s">
        <v>326</v>
      </c>
      <c r="D541" s="1055" t="s">
        <v>893</v>
      </c>
      <c r="E541" s="1055" t="s">
        <v>893</v>
      </c>
      <c r="F541" s="1056">
        <v>1602</v>
      </c>
      <c r="G541" s="1056">
        <v>264</v>
      </c>
      <c r="H541" s="1056">
        <v>0</v>
      </c>
      <c r="I541" s="1056">
        <v>1866</v>
      </c>
      <c r="K541" s="1037">
        <f t="shared" si="8"/>
        <v>8</v>
      </c>
    </row>
    <row r="542" spans="1:11" ht="12.75">
      <c r="A542" s="1054">
        <v>2369</v>
      </c>
      <c r="B542" s="1055" t="s">
        <v>893</v>
      </c>
      <c r="C542" s="1055" t="s">
        <v>733</v>
      </c>
      <c r="D542" s="1055" t="s">
        <v>893</v>
      </c>
      <c r="E542" s="1055" t="s">
        <v>893</v>
      </c>
      <c r="F542" s="1056">
        <v>0</v>
      </c>
      <c r="G542" s="1056">
        <v>5399</v>
      </c>
      <c r="H542" s="1056">
        <v>5399</v>
      </c>
      <c r="I542" s="1056">
        <v>0</v>
      </c>
      <c r="K542" s="1037">
        <f t="shared" si="8"/>
        <v>4</v>
      </c>
    </row>
    <row r="543" spans="1:11" ht="12.75">
      <c r="A543" s="1054">
        <v>236901</v>
      </c>
      <c r="B543" s="1055" t="s">
        <v>893</v>
      </c>
      <c r="C543" s="1055" t="s">
        <v>517</v>
      </c>
      <c r="D543" s="1055" t="s">
        <v>893</v>
      </c>
      <c r="E543" s="1055" t="s">
        <v>893</v>
      </c>
      <c r="F543" s="1056">
        <v>-54011</v>
      </c>
      <c r="G543" s="1056">
        <v>0</v>
      </c>
      <c r="H543" s="1056">
        <v>5399</v>
      </c>
      <c r="I543" s="1056">
        <v>-59410</v>
      </c>
      <c r="K543" s="1037">
        <f t="shared" si="8"/>
        <v>6</v>
      </c>
    </row>
    <row r="544" spans="1:11" ht="12.75">
      <c r="A544" s="1054">
        <v>23690107</v>
      </c>
      <c r="B544" s="1055" t="s">
        <v>1489</v>
      </c>
      <c r="C544" s="1055" t="s">
        <v>734</v>
      </c>
      <c r="D544" s="1055" t="s">
        <v>893</v>
      </c>
      <c r="E544" s="1055" t="s">
        <v>893</v>
      </c>
      <c r="F544" s="1056">
        <v>-11171</v>
      </c>
      <c r="G544" s="1056">
        <v>0</v>
      </c>
      <c r="H544" s="1056">
        <v>0</v>
      </c>
      <c r="I544" s="1056">
        <v>-11171</v>
      </c>
      <c r="K544" s="1037">
        <f t="shared" si="8"/>
        <v>8</v>
      </c>
    </row>
    <row r="545" spans="1:11" ht="12.75">
      <c r="A545" s="1054">
        <v>23690107</v>
      </c>
      <c r="B545" s="1055" t="s">
        <v>1489</v>
      </c>
      <c r="C545" s="1055" t="s">
        <v>734</v>
      </c>
      <c r="D545" s="1055" t="s">
        <v>1083</v>
      </c>
      <c r="E545" s="1055" t="s">
        <v>256</v>
      </c>
      <c r="F545" s="1056">
        <v>-11171</v>
      </c>
      <c r="G545" s="1056">
        <v>0</v>
      </c>
      <c r="H545" s="1056">
        <v>0</v>
      </c>
      <c r="I545" s="1056">
        <v>-11171</v>
      </c>
      <c r="K545" s="1037">
        <f t="shared" si="8"/>
        <v>8</v>
      </c>
    </row>
    <row r="546" spans="1:11" ht="12.75">
      <c r="A546" s="1054">
        <v>23690108</v>
      </c>
      <c r="B546" s="1055" t="s">
        <v>1489</v>
      </c>
      <c r="C546" s="1055" t="s">
        <v>1319</v>
      </c>
      <c r="D546" s="1055" t="s">
        <v>893</v>
      </c>
      <c r="E546" s="1055" t="s">
        <v>893</v>
      </c>
      <c r="F546" s="1056">
        <v>-42840</v>
      </c>
      <c r="G546" s="1056">
        <v>0</v>
      </c>
      <c r="H546" s="1056">
        <v>5399</v>
      </c>
      <c r="I546" s="1056">
        <v>-48239</v>
      </c>
      <c r="K546" s="1037">
        <f t="shared" si="8"/>
        <v>8</v>
      </c>
    </row>
    <row r="547" spans="1:11" ht="12.75">
      <c r="A547" s="1054">
        <v>23690108</v>
      </c>
      <c r="B547" s="1055" t="s">
        <v>1489</v>
      </c>
      <c r="C547" s="1055" t="s">
        <v>1319</v>
      </c>
      <c r="D547" s="1055" t="s">
        <v>1083</v>
      </c>
      <c r="E547" s="1055" t="s">
        <v>256</v>
      </c>
      <c r="F547" s="1056">
        <v>-42840</v>
      </c>
      <c r="G547" s="1056">
        <v>0</v>
      </c>
      <c r="H547" s="1056">
        <v>5399</v>
      </c>
      <c r="I547" s="1056">
        <v>-48239</v>
      </c>
      <c r="K547" s="1037">
        <f t="shared" si="8"/>
        <v>8</v>
      </c>
    </row>
    <row r="548" spans="1:11" ht="12.75">
      <c r="A548" s="1054">
        <v>236999</v>
      </c>
      <c r="B548" s="1055" t="s">
        <v>893</v>
      </c>
      <c r="C548" s="1055" t="s">
        <v>326</v>
      </c>
      <c r="D548" s="1055" t="s">
        <v>893</v>
      </c>
      <c r="E548" s="1055" t="s">
        <v>893</v>
      </c>
      <c r="F548" s="1056">
        <v>54011</v>
      </c>
      <c r="G548" s="1056">
        <v>5399</v>
      </c>
      <c r="H548" s="1056">
        <v>0</v>
      </c>
      <c r="I548" s="1056">
        <v>59410</v>
      </c>
      <c r="K548" s="1037">
        <f t="shared" si="8"/>
        <v>6</v>
      </c>
    </row>
    <row r="549" spans="1:11" ht="12.75">
      <c r="A549" s="1054">
        <v>2370</v>
      </c>
      <c r="B549" s="1055" t="s">
        <v>893</v>
      </c>
      <c r="C549" s="1055" t="s">
        <v>357</v>
      </c>
      <c r="D549" s="1055" t="s">
        <v>893</v>
      </c>
      <c r="E549" s="1055" t="s">
        <v>893</v>
      </c>
      <c r="F549" s="1056">
        <v>-587</v>
      </c>
      <c r="G549" s="1056">
        <v>595</v>
      </c>
      <c r="H549" s="1056">
        <v>579</v>
      </c>
      <c r="I549" s="1056">
        <v>-571</v>
      </c>
      <c r="K549" s="1037">
        <f t="shared" si="8"/>
        <v>4</v>
      </c>
    </row>
    <row r="550" spans="1:11" ht="12.75">
      <c r="A550" s="1054">
        <v>237030</v>
      </c>
      <c r="B550" s="1055" t="s">
        <v>1489</v>
      </c>
      <c r="C550" s="1055" t="s">
        <v>1567</v>
      </c>
      <c r="D550" s="1055" t="s">
        <v>893</v>
      </c>
      <c r="E550" s="1055" t="s">
        <v>893</v>
      </c>
      <c r="F550" s="1056">
        <v>-587</v>
      </c>
      <c r="G550" s="1056">
        <v>595</v>
      </c>
      <c r="H550" s="1056">
        <v>579</v>
      </c>
      <c r="I550" s="1056">
        <v>-571</v>
      </c>
      <c r="K550" s="1037">
        <f t="shared" si="8"/>
        <v>6</v>
      </c>
    </row>
    <row r="551" spans="1:11" ht="12.75">
      <c r="A551" s="1054">
        <v>23703001</v>
      </c>
      <c r="B551" s="1055" t="s">
        <v>1489</v>
      </c>
      <c r="C551" s="1055" t="s">
        <v>754</v>
      </c>
      <c r="D551" s="1055" t="s">
        <v>893</v>
      </c>
      <c r="E551" s="1055" t="s">
        <v>893</v>
      </c>
      <c r="F551" s="1056">
        <v>-587</v>
      </c>
      <c r="G551" s="1056">
        <v>595</v>
      </c>
      <c r="H551" s="1056">
        <v>579</v>
      </c>
      <c r="I551" s="1056">
        <v>-571</v>
      </c>
      <c r="K551" s="1037">
        <f t="shared" si="8"/>
        <v>8</v>
      </c>
    </row>
    <row r="552" spans="1:11" ht="12.75">
      <c r="A552" s="1054">
        <v>23703001</v>
      </c>
      <c r="B552" s="1055" t="s">
        <v>1489</v>
      </c>
      <c r="C552" s="1055" t="s">
        <v>754</v>
      </c>
      <c r="D552" s="1055" t="s">
        <v>1043</v>
      </c>
      <c r="E552" s="1055" t="s">
        <v>318</v>
      </c>
      <c r="F552" s="1056">
        <v>-587</v>
      </c>
      <c r="G552" s="1056">
        <v>595</v>
      </c>
      <c r="H552" s="1056">
        <v>579</v>
      </c>
      <c r="I552" s="1056">
        <v>-571</v>
      </c>
      <c r="K552" s="1037">
        <f t="shared" si="8"/>
        <v>8</v>
      </c>
    </row>
    <row r="553" spans="1:11" ht="12.75">
      <c r="A553" s="1054">
        <v>2380</v>
      </c>
      <c r="B553" s="1055" t="s">
        <v>893</v>
      </c>
      <c r="C553" s="1055" t="s">
        <v>343</v>
      </c>
      <c r="D553" s="1055" t="s">
        <v>893</v>
      </c>
      <c r="E553" s="1055" t="s">
        <v>893</v>
      </c>
      <c r="F553" s="1056">
        <v>-28125</v>
      </c>
      <c r="G553" s="1056">
        <v>0</v>
      </c>
      <c r="H553" s="1056">
        <v>818</v>
      </c>
      <c r="I553" s="1056">
        <v>-28943</v>
      </c>
      <c r="K553" s="1037">
        <f t="shared" si="8"/>
        <v>4</v>
      </c>
    </row>
    <row r="554" spans="1:11" ht="12.75">
      <c r="A554" s="1054">
        <v>238095</v>
      </c>
      <c r="B554" s="1055" t="s">
        <v>893</v>
      </c>
      <c r="C554" s="1055" t="s">
        <v>323</v>
      </c>
      <c r="D554" s="1055" t="s">
        <v>893</v>
      </c>
      <c r="E554" s="1055" t="s">
        <v>893</v>
      </c>
      <c r="F554" s="1056">
        <v>-28125</v>
      </c>
      <c r="G554" s="1056">
        <v>0</v>
      </c>
      <c r="H554" s="1056">
        <v>818</v>
      </c>
      <c r="I554" s="1056">
        <v>-28943</v>
      </c>
      <c r="K554" s="1037">
        <f t="shared" si="8"/>
        <v>6</v>
      </c>
    </row>
    <row r="555" spans="1:11" ht="12.75">
      <c r="A555" s="1054">
        <v>23809501</v>
      </c>
      <c r="B555" s="1055" t="s">
        <v>893</v>
      </c>
      <c r="C555" s="1055" t="s">
        <v>323</v>
      </c>
      <c r="D555" s="1055" t="s">
        <v>893</v>
      </c>
      <c r="E555" s="1055" t="s">
        <v>893</v>
      </c>
      <c r="F555" s="1056">
        <v>-14843</v>
      </c>
      <c r="G555" s="1056">
        <v>0</v>
      </c>
      <c r="H555" s="1056">
        <v>466</v>
      </c>
      <c r="I555" s="1056">
        <v>-15309</v>
      </c>
      <c r="K555" s="1037">
        <f t="shared" si="8"/>
        <v>8</v>
      </c>
    </row>
    <row r="556" spans="1:11" ht="12.75">
      <c r="A556" s="1054">
        <v>23809501</v>
      </c>
      <c r="B556" s="1055" t="s">
        <v>893</v>
      </c>
      <c r="C556" s="1055" t="s">
        <v>323</v>
      </c>
      <c r="D556" s="1055" t="s">
        <v>1034</v>
      </c>
      <c r="E556" s="1055" t="s">
        <v>504</v>
      </c>
      <c r="F556" s="1056">
        <v>-14697</v>
      </c>
      <c r="G556" s="1056">
        <v>0</v>
      </c>
      <c r="H556" s="1056">
        <v>466</v>
      </c>
      <c r="I556" s="1056">
        <v>-15163</v>
      </c>
      <c r="K556" s="1037">
        <f t="shared" si="8"/>
        <v>8</v>
      </c>
    </row>
    <row r="557" spans="1:11" ht="12.75">
      <c r="A557" s="1054">
        <v>23809501</v>
      </c>
      <c r="B557" s="1055" t="s">
        <v>893</v>
      </c>
      <c r="C557" s="1055" t="s">
        <v>323</v>
      </c>
      <c r="D557" s="1055" t="s">
        <v>1062</v>
      </c>
      <c r="E557" s="1055" t="s">
        <v>510</v>
      </c>
      <c r="F557" s="1056">
        <v>-146</v>
      </c>
      <c r="G557" s="1056">
        <v>0</v>
      </c>
      <c r="H557" s="1056">
        <v>0</v>
      </c>
      <c r="I557" s="1056">
        <v>-146</v>
      </c>
      <c r="K557" s="1037">
        <f t="shared" si="8"/>
        <v>8</v>
      </c>
    </row>
    <row r="558" spans="1:11" ht="12.75">
      <c r="A558" s="1054">
        <v>23809501</v>
      </c>
      <c r="B558" s="1055" t="s">
        <v>893</v>
      </c>
      <c r="C558" s="1055" t="s">
        <v>323</v>
      </c>
      <c r="D558" s="1055" t="s">
        <v>1057</v>
      </c>
      <c r="E558" s="1055" t="s">
        <v>818</v>
      </c>
      <c r="F558" s="1056">
        <v>0</v>
      </c>
      <c r="G558" s="1056">
        <v>0</v>
      </c>
      <c r="H558" s="1056">
        <v>0</v>
      </c>
      <c r="I558" s="1056">
        <v>0</v>
      </c>
      <c r="K558" s="1037">
        <f t="shared" si="8"/>
        <v>8</v>
      </c>
    </row>
    <row r="559" spans="1:11" ht="12.75">
      <c r="A559" s="1054">
        <v>23809501</v>
      </c>
      <c r="B559" s="1055" t="s">
        <v>893</v>
      </c>
      <c r="C559" s="1055" t="s">
        <v>323</v>
      </c>
      <c r="D559" s="1055" t="s">
        <v>1059</v>
      </c>
      <c r="E559" s="1055" t="s">
        <v>819</v>
      </c>
      <c r="F559" s="1056">
        <v>0</v>
      </c>
      <c r="G559" s="1056">
        <v>0</v>
      </c>
      <c r="H559" s="1056">
        <v>0</v>
      </c>
      <c r="I559" s="1056">
        <v>0</v>
      </c>
      <c r="K559" s="1037">
        <f t="shared" si="8"/>
        <v>8</v>
      </c>
    </row>
    <row r="560" spans="1:11" ht="12.75">
      <c r="A560" s="1054">
        <v>23809502</v>
      </c>
      <c r="B560" s="1055" t="s">
        <v>1489</v>
      </c>
      <c r="C560" s="1055" t="s">
        <v>1219</v>
      </c>
      <c r="D560" s="1055" t="s">
        <v>893</v>
      </c>
      <c r="E560" s="1055" t="s">
        <v>893</v>
      </c>
      <c r="F560" s="1056">
        <v>0</v>
      </c>
      <c r="G560" s="1056">
        <v>0</v>
      </c>
      <c r="H560" s="1056">
        <v>0</v>
      </c>
      <c r="I560" s="1056">
        <v>0</v>
      </c>
      <c r="K560" s="1037">
        <f t="shared" si="8"/>
        <v>8</v>
      </c>
    </row>
    <row r="561" spans="1:11" ht="12.75">
      <c r="A561" s="1054">
        <v>23809503</v>
      </c>
      <c r="B561" s="1055" t="s">
        <v>1489</v>
      </c>
      <c r="C561" s="1055" t="s">
        <v>735</v>
      </c>
      <c r="D561" s="1055" t="s">
        <v>893</v>
      </c>
      <c r="E561" s="1055" t="s">
        <v>893</v>
      </c>
      <c r="F561" s="1056">
        <v>-1</v>
      </c>
      <c r="G561" s="1056">
        <v>0</v>
      </c>
      <c r="H561" s="1056">
        <v>352</v>
      </c>
      <c r="I561" s="1056">
        <v>-353</v>
      </c>
      <c r="K561" s="1037">
        <f t="shared" si="8"/>
        <v>8</v>
      </c>
    </row>
    <row r="562" spans="1:11" ht="12.75">
      <c r="A562" s="1054">
        <v>23809503</v>
      </c>
      <c r="B562" s="1055" t="s">
        <v>1489</v>
      </c>
      <c r="C562" s="1055" t="s">
        <v>735</v>
      </c>
      <c r="D562" s="1055" t="s">
        <v>1285</v>
      </c>
      <c r="E562" s="1055" t="s">
        <v>786</v>
      </c>
      <c r="F562" s="1056">
        <v>0</v>
      </c>
      <c r="G562" s="1056">
        <v>0</v>
      </c>
      <c r="H562" s="1056">
        <v>348</v>
      </c>
      <c r="I562" s="1056">
        <v>-348</v>
      </c>
      <c r="K562" s="1037">
        <f t="shared" si="8"/>
        <v>8</v>
      </c>
    </row>
    <row r="563" spans="1:11" ht="12.75">
      <c r="A563" s="1054">
        <v>23809503</v>
      </c>
      <c r="B563" s="1055" t="s">
        <v>1489</v>
      </c>
      <c r="C563" s="1055" t="s">
        <v>735</v>
      </c>
      <c r="D563" s="1055" t="s">
        <v>1418</v>
      </c>
      <c r="E563" s="1055" t="s">
        <v>1419</v>
      </c>
      <c r="F563" s="1056">
        <v>0</v>
      </c>
      <c r="G563" s="1056">
        <v>0</v>
      </c>
      <c r="H563" s="1056">
        <v>4</v>
      </c>
      <c r="I563" s="1056">
        <v>-4</v>
      </c>
      <c r="K563" s="1037">
        <f t="shared" si="8"/>
        <v>8</v>
      </c>
    </row>
    <row r="564" spans="1:11" ht="12.75">
      <c r="A564" s="1054">
        <v>23809503</v>
      </c>
      <c r="B564" s="1055" t="s">
        <v>1489</v>
      </c>
      <c r="C564" s="1055" t="s">
        <v>735</v>
      </c>
      <c r="D564" s="1055" t="s">
        <v>1222</v>
      </c>
      <c r="E564" s="1055" t="s">
        <v>332</v>
      </c>
      <c r="F564" s="1056">
        <v>-1</v>
      </c>
      <c r="G564" s="1056">
        <v>0</v>
      </c>
      <c r="H564" s="1056">
        <v>0</v>
      </c>
      <c r="I564" s="1056">
        <v>-1</v>
      </c>
      <c r="K564" s="1037">
        <f t="shared" si="8"/>
        <v>8</v>
      </c>
    </row>
    <row r="565" spans="1:11" ht="12.75">
      <c r="A565" s="1054">
        <v>23809503</v>
      </c>
      <c r="B565" s="1055" t="s">
        <v>1489</v>
      </c>
      <c r="C565" s="1055" t="s">
        <v>735</v>
      </c>
      <c r="D565" s="1055" t="s">
        <v>1171</v>
      </c>
      <c r="E565" s="1055" t="s">
        <v>335</v>
      </c>
      <c r="F565" s="1056">
        <v>0</v>
      </c>
      <c r="G565" s="1056">
        <v>0</v>
      </c>
      <c r="H565" s="1056">
        <v>0</v>
      </c>
      <c r="I565" s="1056">
        <v>0</v>
      </c>
      <c r="K565" s="1037">
        <f t="shared" si="8"/>
        <v>8</v>
      </c>
    </row>
    <row r="566" spans="1:11" ht="12.75">
      <c r="A566" s="1054">
        <v>23809503</v>
      </c>
      <c r="B566" s="1055" t="s">
        <v>1489</v>
      </c>
      <c r="C566" s="1055" t="s">
        <v>735</v>
      </c>
      <c r="D566" s="1055" t="s">
        <v>1168</v>
      </c>
      <c r="E566" s="1055" t="s">
        <v>1169</v>
      </c>
      <c r="F566" s="1056">
        <v>0</v>
      </c>
      <c r="G566" s="1056">
        <v>0</v>
      </c>
      <c r="H566" s="1056">
        <v>0</v>
      </c>
      <c r="I566" s="1056">
        <v>0</v>
      </c>
      <c r="K566" s="1037">
        <f t="shared" si="8"/>
        <v>8</v>
      </c>
    </row>
    <row r="567" spans="1:11" ht="12.75">
      <c r="A567" s="1054">
        <v>23809504</v>
      </c>
      <c r="B567" s="1055" t="s">
        <v>1489</v>
      </c>
      <c r="C567" s="1055" t="s">
        <v>736</v>
      </c>
      <c r="D567" s="1055" t="s">
        <v>893</v>
      </c>
      <c r="E567" s="1055" t="s">
        <v>893</v>
      </c>
      <c r="F567" s="1056">
        <v>0</v>
      </c>
      <c r="G567" s="1056">
        <v>0</v>
      </c>
      <c r="H567" s="1056">
        <v>0</v>
      </c>
      <c r="I567" s="1056">
        <v>0</v>
      </c>
      <c r="K567" s="1037">
        <f t="shared" si="8"/>
        <v>8</v>
      </c>
    </row>
    <row r="568" spans="1:11" ht="12.75">
      <c r="A568" s="1054">
        <v>23809504</v>
      </c>
      <c r="B568" s="1055" t="s">
        <v>1489</v>
      </c>
      <c r="C568" s="1055" t="s">
        <v>736</v>
      </c>
      <c r="D568" s="1055" t="s">
        <v>1040</v>
      </c>
      <c r="E568" s="1055" t="s">
        <v>406</v>
      </c>
      <c r="F568" s="1056">
        <v>0</v>
      </c>
      <c r="G568" s="1056">
        <v>0</v>
      </c>
      <c r="H568" s="1056">
        <v>0</v>
      </c>
      <c r="I568" s="1056">
        <v>0</v>
      </c>
      <c r="K568" s="1037">
        <f t="shared" si="8"/>
        <v>8</v>
      </c>
    </row>
    <row r="569" spans="1:11" ht="12.75">
      <c r="A569" s="1054">
        <v>23809505</v>
      </c>
      <c r="B569" s="1055" t="s">
        <v>1489</v>
      </c>
      <c r="C569" s="1055" t="s">
        <v>1675</v>
      </c>
      <c r="D569" s="1055" t="s">
        <v>893</v>
      </c>
      <c r="E569" s="1055" t="s">
        <v>893</v>
      </c>
      <c r="F569" s="1056">
        <v>-13281</v>
      </c>
      <c r="G569" s="1056">
        <v>0</v>
      </c>
      <c r="H569" s="1056">
        <v>0</v>
      </c>
      <c r="I569" s="1056">
        <v>-13281</v>
      </c>
      <c r="K569" s="1037">
        <f t="shared" si="8"/>
        <v>8</v>
      </c>
    </row>
    <row r="570" spans="1:11" ht="12.75">
      <c r="A570" s="1054">
        <v>23809505</v>
      </c>
      <c r="B570" s="1055" t="s">
        <v>1489</v>
      </c>
      <c r="C570" s="1055" t="s">
        <v>1675</v>
      </c>
      <c r="D570" s="1055" t="s">
        <v>1041</v>
      </c>
      <c r="E570" s="1055" t="s">
        <v>661</v>
      </c>
      <c r="F570" s="1056">
        <v>-13281</v>
      </c>
      <c r="G570" s="1056">
        <v>0</v>
      </c>
      <c r="H570" s="1056">
        <v>0</v>
      </c>
      <c r="I570" s="1056">
        <v>-13281</v>
      </c>
      <c r="K570" s="1037">
        <f t="shared" si="8"/>
        <v>8</v>
      </c>
    </row>
    <row r="571" spans="1:11" ht="12.75">
      <c r="A571" s="1054">
        <v>24</v>
      </c>
      <c r="B571" s="1055" t="s">
        <v>1489</v>
      </c>
      <c r="C571" s="1055" t="s">
        <v>737</v>
      </c>
      <c r="D571" s="1055" t="s">
        <v>893</v>
      </c>
      <c r="E571" s="1055" t="s">
        <v>893</v>
      </c>
      <c r="F571" s="1056">
        <v>-149830</v>
      </c>
      <c r="G571" s="1056">
        <v>140766</v>
      </c>
      <c r="H571" s="1056">
        <v>169317</v>
      </c>
      <c r="I571" s="1056">
        <v>-178380</v>
      </c>
      <c r="K571" s="1037">
        <f t="shared" si="8"/>
        <v>2</v>
      </c>
    </row>
    <row r="572" spans="1:11" ht="12.75">
      <c r="A572" s="1054">
        <v>2402</v>
      </c>
      <c r="B572" s="1055" t="s">
        <v>1489</v>
      </c>
      <c r="C572" s="1055" t="s">
        <v>738</v>
      </c>
      <c r="D572" s="1055" t="s">
        <v>893</v>
      </c>
      <c r="E572" s="1055" t="s">
        <v>893</v>
      </c>
      <c r="F572" s="1056">
        <v>-4118</v>
      </c>
      <c r="G572" s="1056">
        <v>0</v>
      </c>
      <c r="H572" s="1056">
        <v>0</v>
      </c>
      <c r="I572" s="1056">
        <v>-4118</v>
      </c>
      <c r="K572" s="1037">
        <f t="shared" si="8"/>
        <v>4</v>
      </c>
    </row>
    <row r="573" spans="1:11" ht="12.75">
      <c r="A573" s="1054">
        <v>240201</v>
      </c>
      <c r="B573" s="1055" t="s">
        <v>1489</v>
      </c>
      <c r="C573" s="1055" t="s">
        <v>738</v>
      </c>
      <c r="D573" s="1055" t="s">
        <v>893</v>
      </c>
      <c r="E573" s="1055" t="s">
        <v>893</v>
      </c>
      <c r="F573" s="1056">
        <v>-4118</v>
      </c>
      <c r="G573" s="1056">
        <v>0</v>
      </c>
      <c r="H573" s="1056">
        <v>0</v>
      </c>
      <c r="I573" s="1056">
        <v>-4118</v>
      </c>
      <c r="K573" s="1037">
        <f t="shared" si="8"/>
        <v>6</v>
      </c>
    </row>
    <row r="574" spans="1:11" ht="12.75">
      <c r="A574" s="1054">
        <v>240201</v>
      </c>
      <c r="B574" s="1055" t="s">
        <v>1489</v>
      </c>
      <c r="C574" s="1055" t="s">
        <v>738</v>
      </c>
      <c r="D574" s="1055" t="s">
        <v>1222</v>
      </c>
      <c r="E574" s="1055" t="s">
        <v>332</v>
      </c>
      <c r="F574" s="1056">
        <v>-4118</v>
      </c>
      <c r="G574" s="1056">
        <v>0</v>
      </c>
      <c r="H574" s="1056">
        <v>0</v>
      </c>
      <c r="I574" s="1056">
        <v>-4118</v>
      </c>
      <c r="K574" s="1037">
        <f t="shared" si="8"/>
        <v>6</v>
      </c>
    </row>
    <row r="575" spans="1:11" ht="12.75">
      <c r="A575" s="1054">
        <v>2404</v>
      </c>
      <c r="B575" s="1055" t="s">
        <v>893</v>
      </c>
      <c r="C575" s="1055" t="s">
        <v>527</v>
      </c>
      <c r="D575" s="1055" t="s">
        <v>893</v>
      </c>
      <c r="E575" s="1055" t="s">
        <v>893</v>
      </c>
      <c r="F575" s="1056">
        <v>-17704</v>
      </c>
      <c r="G575" s="1056">
        <v>1021</v>
      </c>
      <c r="H575" s="1056">
        <v>0</v>
      </c>
      <c r="I575" s="1056">
        <v>-16683</v>
      </c>
      <c r="K575" s="1037">
        <f t="shared" si="8"/>
        <v>4</v>
      </c>
    </row>
    <row r="576" spans="1:11" ht="12.75">
      <c r="A576" s="1054">
        <v>240405</v>
      </c>
      <c r="B576" s="1055" t="s">
        <v>893</v>
      </c>
      <c r="C576" s="1055" t="s">
        <v>469</v>
      </c>
      <c r="D576" s="1055" t="s">
        <v>893</v>
      </c>
      <c r="E576" s="1055" t="s">
        <v>893</v>
      </c>
      <c r="F576" s="1056">
        <v>-17704</v>
      </c>
      <c r="G576" s="1056">
        <v>1021</v>
      </c>
      <c r="H576" s="1056">
        <v>0</v>
      </c>
      <c r="I576" s="1056">
        <v>-16683</v>
      </c>
      <c r="K576" s="1037">
        <f t="shared" si="8"/>
        <v>6</v>
      </c>
    </row>
    <row r="577" spans="1:11" ht="12.75">
      <c r="A577" s="1054">
        <v>24040502</v>
      </c>
      <c r="B577" s="1055" t="s">
        <v>1489</v>
      </c>
      <c r="C577" s="1055" t="s">
        <v>469</v>
      </c>
      <c r="D577" s="1055" t="s">
        <v>893</v>
      </c>
      <c r="E577" s="1055" t="s">
        <v>893</v>
      </c>
      <c r="F577" s="1056">
        <v>-17704</v>
      </c>
      <c r="G577" s="1056">
        <v>1021</v>
      </c>
      <c r="H577" s="1056">
        <v>0</v>
      </c>
      <c r="I577" s="1056">
        <v>-16683</v>
      </c>
      <c r="K577" s="1037">
        <f t="shared" si="8"/>
        <v>8</v>
      </c>
    </row>
    <row r="578" spans="1:11" ht="12.75">
      <c r="A578" s="1054">
        <v>2406</v>
      </c>
      <c r="B578" s="1055" t="s">
        <v>893</v>
      </c>
      <c r="C578" s="1055" t="s">
        <v>739</v>
      </c>
      <c r="D578" s="1055" t="s">
        <v>893</v>
      </c>
      <c r="E578" s="1055" t="s">
        <v>893</v>
      </c>
      <c r="F578" s="1056">
        <v>-97225</v>
      </c>
      <c r="G578" s="1056">
        <v>15852</v>
      </c>
      <c r="H578" s="1056">
        <v>76206</v>
      </c>
      <c r="I578" s="1056">
        <v>-157579</v>
      </c>
      <c r="K578" s="1037">
        <f t="shared" si="8"/>
        <v>4</v>
      </c>
    </row>
    <row r="579" spans="1:11" ht="12.75">
      <c r="A579" s="1054">
        <v>240605</v>
      </c>
      <c r="B579" s="1055" t="s">
        <v>893</v>
      </c>
      <c r="C579" s="1055" t="s">
        <v>740</v>
      </c>
      <c r="D579" s="1055" t="s">
        <v>893</v>
      </c>
      <c r="E579" s="1055" t="s">
        <v>893</v>
      </c>
      <c r="F579" s="1056">
        <v>-15852</v>
      </c>
      <c r="G579" s="1056">
        <v>15852</v>
      </c>
      <c r="H579" s="1056">
        <v>14503</v>
      </c>
      <c r="I579" s="1056">
        <v>-14503</v>
      </c>
      <c r="K579" s="1037">
        <f t="shared" si="8"/>
        <v>6</v>
      </c>
    </row>
    <row r="580" spans="1:11" ht="12.75">
      <c r="A580" s="1054">
        <v>240605</v>
      </c>
      <c r="B580" s="1055" t="s">
        <v>893</v>
      </c>
      <c r="C580" s="1055" t="s">
        <v>740</v>
      </c>
      <c r="D580" s="1055" t="s">
        <v>1067</v>
      </c>
      <c r="E580" s="1055" t="s">
        <v>1068</v>
      </c>
      <c r="F580" s="1056">
        <v>0</v>
      </c>
      <c r="G580" s="1056">
        <v>0</v>
      </c>
      <c r="H580" s="1056">
        <v>0</v>
      </c>
      <c r="I580" s="1056">
        <v>0</v>
      </c>
      <c r="K580" s="1037">
        <f t="shared" si="8"/>
        <v>6</v>
      </c>
    </row>
    <row r="581" spans="1:11" ht="12.75">
      <c r="A581" s="1054">
        <v>240605</v>
      </c>
      <c r="B581" s="1055" t="s">
        <v>893</v>
      </c>
      <c r="C581" s="1055" t="s">
        <v>740</v>
      </c>
      <c r="D581" s="1055" t="s">
        <v>1222</v>
      </c>
      <c r="E581" s="1055" t="s">
        <v>332</v>
      </c>
      <c r="F581" s="1056">
        <v>-15852</v>
      </c>
      <c r="G581" s="1056">
        <v>15852</v>
      </c>
      <c r="H581" s="1056">
        <v>14503</v>
      </c>
      <c r="I581" s="1056">
        <v>-14503</v>
      </c>
      <c r="K581" s="1037">
        <f t="shared" ref="K581:K644" si="9">+LEN(A581)</f>
        <v>6</v>
      </c>
    </row>
    <row r="582" spans="1:11" ht="12.75">
      <c r="A582" s="1054">
        <v>240610</v>
      </c>
      <c r="B582" s="1055" t="s">
        <v>893</v>
      </c>
      <c r="C582" s="1055" t="s">
        <v>741</v>
      </c>
      <c r="D582" s="1055" t="s">
        <v>893</v>
      </c>
      <c r="E582" s="1055" t="s">
        <v>893</v>
      </c>
      <c r="F582" s="1056">
        <v>-81373</v>
      </c>
      <c r="G582" s="1056">
        <v>0</v>
      </c>
      <c r="H582" s="1056">
        <v>61703</v>
      </c>
      <c r="I582" s="1056">
        <v>-143076</v>
      </c>
      <c r="K582" s="1037">
        <f t="shared" si="9"/>
        <v>6</v>
      </c>
    </row>
    <row r="583" spans="1:11" ht="12.75">
      <c r="A583" s="1054">
        <v>240610</v>
      </c>
      <c r="B583" s="1055" t="s">
        <v>893</v>
      </c>
      <c r="C583" s="1055" t="s">
        <v>741</v>
      </c>
      <c r="D583" s="1055" t="s">
        <v>1067</v>
      </c>
      <c r="E583" s="1055" t="s">
        <v>1068</v>
      </c>
      <c r="F583" s="1056">
        <v>0</v>
      </c>
      <c r="G583" s="1056">
        <v>0</v>
      </c>
      <c r="H583" s="1056">
        <v>0</v>
      </c>
      <c r="I583" s="1056">
        <v>0</v>
      </c>
      <c r="K583" s="1037">
        <f t="shared" si="9"/>
        <v>6</v>
      </c>
    </row>
    <row r="584" spans="1:11" ht="12.75">
      <c r="A584" s="1054">
        <v>240610</v>
      </c>
      <c r="B584" s="1055" t="s">
        <v>893</v>
      </c>
      <c r="C584" s="1055" t="s">
        <v>741</v>
      </c>
      <c r="D584" s="1055" t="s">
        <v>1222</v>
      </c>
      <c r="E584" s="1055" t="s">
        <v>332</v>
      </c>
      <c r="F584" s="1056">
        <v>-81373</v>
      </c>
      <c r="G584" s="1056">
        <v>0</v>
      </c>
      <c r="H584" s="1056">
        <v>61703</v>
      </c>
      <c r="I584" s="1056">
        <v>-143076</v>
      </c>
      <c r="K584" s="1037">
        <f t="shared" si="9"/>
        <v>6</v>
      </c>
    </row>
    <row r="585" spans="1:11" ht="12.75">
      <c r="A585" s="1054">
        <v>2408</v>
      </c>
      <c r="B585" s="1055" t="s">
        <v>893</v>
      </c>
      <c r="C585" s="1055" t="s">
        <v>344</v>
      </c>
      <c r="D585" s="1055" t="s">
        <v>893</v>
      </c>
      <c r="E585" s="1055" t="s">
        <v>893</v>
      </c>
      <c r="F585" s="1056">
        <v>-30782</v>
      </c>
      <c r="G585" s="1056">
        <v>123893</v>
      </c>
      <c r="H585" s="1056">
        <v>93111</v>
      </c>
      <c r="I585" s="1056">
        <v>0</v>
      </c>
      <c r="K585" s="1037">
        <f t="shared" si="9"/>
        <v>4</v>
      </c>
    </row>
    <row r="586" spans="1:11" ht="12.75">
      <c r="A586" s="1054">
        <v>240805</v>
      </c>
      <c r="B586" s="1055" t="s">
        <v>893</v>
      </c>
      <c r="C586" s="1055" t="s">
        <v>345</v>
      </c>
      <c r="D586" s="1055" t="s">
        <v>893</v>
      </c>
      <c r="E586" s="1055" t="s">
        <v>893</v>
      </c>
      <c r="F586" s="1056">
        <v>-493741</v>
      </c>
      <c r="G586" s="1056">
        <v>69</v>
      </c>
      <c r="H586" s="1056">
        <v>93010</v>
      </c>
      <c r="I586" s="1056">
        <v>-586682</v>
      </c>
      <c r="K586" s="1037">
        <f t="shared" si="9"/>
        <v>6</v>
      </c>
    </row>
    <row r="587" spans="1:11" ht="12.75">
      <c r="A587" s="1054">
        <v>24080506</v>
      </c>
      <c r="B587" s="1055" t="s">
        <v>893</v>
      </c>
      <c r="C587" s="1055" t="s">
        <v>528</v>
      </c>
      <c r="D587" s="1055" t="s">
        <v>893</v>
      </c>
      <c r="E587" s="1055" t="s">
        <v>893</v>
      </c>
      <c r="F587" s="1056">
        <v>-490074</v>
      </c>
      <c r="G587" s="1056">
        <v>0</v>
      </c>
      <c r="H587" s="1056">
        <v>91634</v>
      </c>
      <c r="I587" s="1056">
        <v>-581708</v>
      </c>
      <c r="K587" s="1037">
        <f t="shared" si="9"/>
        <v>8</v>
      </c>
    </row>
    <row r="588" spans="1:11" ht="12.75">
      <c r="A588" s="1054">
        <v>24080506</v>
      </c>
      <c r="B588" s="1055" t="s">
        <v>893</v>
      </c>
      <c r="C588" s="1055" t="s">
        <v>528</v>
      </c>
      <c r="D588" s="1055" t="s">
        <v>1271</v>
      </c>
      <c r="E588" s="1055" t="s">
        <v>782</v>
      </c>
      <c r="F588" s="1056">
        <v>-2</v>
      </c>
      <c r="G588" s="1056">
        <v>0</v>
      </c>
      <c r="H588" s="1056">
        <v>0</v>
      </c>
      <c r="I588" s="1056">
        <v>-2</v>
      </c>
      <c r="K588" s="1037">
        <f t="shared" si="9"/>
        <v>8</v>
      </c>
    </row>
    <row r="589" spans="1:11" ht="12.75">
      <c r="A589" s="1054">
        <v>24080506</v>
      </c>
      <c r="B589" s="1055" t="s">
        <v>893</v>
      </c>
      <c r="C589" s="1055" t="s">
        <v>528</v>
      </c>
      <c r="D589" s="1055" t="s">
        <v>1043</v>
      </c>
      <c r="E589" s="1055" t="s">
        <v>318</v>
      </c>
      <c r="F589" s="1056">
        <v>-16</v>
      </c>
      <c r="G589" s="1056">
        <v>0</v>
      </c>
      <c r="H589" s="1056">
        <v>0</v>
      </c>
      <c r="I589" s="1056">
        <v>-16</v>
      </c>
      <c r="K589" s="1037">
        <f t="shared" si="9"/>
        <v>8</v>
      </c>
    </row>
    <row r="590" spans="1:11" ht="12.75">
      <c r="A590" s="1054">
        <v>24080506</v>
      </c>
      <c r="B590" s="1055" t="s">
        <v>893</v>
      </c>
      <c r="C590" s="1055" t="s">
        <v>528</v>
      </c>
      <c r="D590" s="1055" t="s">
        <v>1223</v>
      </c>
      <c r="E590" s="1055" t="s">
        <v>742</v>
      </c>
      <c r="F590" s="1056">
        <v>-487211</v>
      </c>
      <c r="G590" s="1056">
        <v>0</v>
      </c>
      <c r="H590" s="1056">
        <v>91461</v>
      </c>
      <c r="I590" s="1056">
        <v>-578672</v>
      </c>
      <c r="K590" s="1037">
        <f t="shared" si="9"/>
        <v>8</v>
      </c>
    </row>
    <row r="591" spans="1:11" ht="12.75">
      <c r="A591" s="1054">
        <v>24080506</v>
      </c>
      <c r="B591" s="1055" t="s">
        <v>893</v>
      </c>
      <c r="C591" s="1055" t="s">
        <v>528</v>
      </c>
      <c r="D591" s="1055" t="s">
        <v>1830</v>
      </c>
      <c r="E591" s="1055" t="s">
        <v>1831</v>
      </c>
      <c r="F591" s="1056">
        <v>-7</v>
      </c>
      <c r="G591" s="1056">
        <v>0</v>
      </c>
      <c r="H591" s="1056">
        <v>0</v>
      </c>
      <c r="I591" s="1056">
        <v>-7</v>
      </c>
      <c r="K591" s="1037">
        <f t="shared" si="9"/>
        <v>8</v>
      </c>
    </row>
    <row r="592" spans="1:11" ht="12.75">
      <c r="A592" s="1054">
        <v>24080506</v>
      </c>
      <c r="B592" s="1055" t="s">
        <v>893</v>
      </c>
      <c r="C592" s="1055" t="s">
        <v>528</v>
      </c>
      <c r="D592" s="1055" t="s">
        <v>1676</v>
      </c>
      <c r="E592" s="1055" t="s">
        <v>1677</v>
      </c>
      <c r="F592" s="1056">
        <v>-4</v>
      </c>
      <c r="G592" s="1056">
        <v>0</v>
      </c>
      <c r="H592" s="1056">
        <v>0</v>
      </c>
      <c r="I592" s="1056">
        <v>-4</v>
      </c>
      <c r="K592" s="1037">
        <f t="shared" si="9"/>
        <v>8</v>
      </c>
    </row>
    <row r="593" spans="1:11" ht="12.75">
      <c r="A593" s="1054">
        <v>24080506</v>
      </c>
      <c r="B593" s="1055" t="s">
        <v>893</v>
      </c>
      <c r="C593" s="1055" t="s">
        <v>528</v>
      </c>
      <c r="D593" s="1055" t="s">
        <v>1740</v>
      </c>
      <c r="E593" s="1055" t="s">
        <v>1741</v>
      </c>
      <c r="F593" s="1056">
        <v>-6</v>
      </c>
      <c r="G593" s="1056">
        <v>0</v>
      </c>
      <c r="H593" s="1056">
        <v>0</v>
      </c>
      <c r="I593" s="1056">
        <v>-6</v>
      </c>
      <c r="K593" s="1037">
        <f t="shared" si="9"/>
        <v>8</v>
      </c>
    </row>
    <row r="594" spans="1:11" ht="12.75">
      <c r="A594" s="1054">
        <v>24080506</v>
      </c>
      <c r="B594" s="1055" t="s">
        <v>893</v>
      </c>
      <c r="C594" s="1055" t="s">
        <v>528</v>
      </c>
      <c r="D594" s="1055" t="s">
        <v>1742</v>
      </c>
      <c r="E594" s="1055" t="s">
        <v>1743</v>
      </c>
      <c r="F594" s="1056">
        <v>-14</v>
      </c>
      <c r="G594" s="1056">
        <v>0</v>
      </c>
      <c r="H594" s="1056">
        <v>0</v>
      </c>
      <c r="I594" s="1056">
        <v>-14</v>
      </c>
      <c r="K594" s="1037">
        <f t="shared" si="9"/>
        <v>8</v>
      </c>
    </row>
    <row r="595" spans="1:11" ht="12.75">
      <c r="A595" s="1054">
        <v>24080506</v>
      </c>
      <c r="B595" s="1055" t="s">
        <v>893</v>
      </c>
      <c r="C595" s="1055" t="s">
        <v>528</v>
      </c>
      <c r="D595" s="1055" t="s">
        <v>1744</v>
      </c>
      <c r="E595" s="1055" t="s">
        <v>1745</v>
      </c>
      <c r="F595" s="1056">
        <v>-14</v>
      </c>
      <c r="G595" s="1056">
        <v>0</v>
      </c>
      <c r="H595" s="1056">
        <v>0</v>
      </c>
      <c r="I595" s="1056">
        <v>-14</v>
      </c>
      <c r="K595" s="1037">
        <f t="shared" si="9"/>
        <v>8</v>
      </c>
    </row>
    <row r="596" spans="1:11" ht="12.75">
      <c r="A596" s="1054">
        <v>24080506</v>
      </c>
      <c r="B596" s="1055" t="s">
        <v>893</v>
      </c>
      <c r="C596" s="1055" t="s">
        <v>528</v>
      </c>
      <c r="D596" s="1055" t="s">
        <v>1832</v>
      </c>
      <c r="E596" s="1055" t="s">
        <v>1833</v>
      </c>
      <c r="F596" s="1056">
        <v>-31</v>
      </c>
      <c r="G596" s="1056">
        <v>0</v>
      </c>
      <c r="H596" s="1056">
        <v>0</v>
      </c>
      <c r="I596" s="1056">
        <v>-31</v>
      </c>
      <c r="K596" s="1037">
        <f t="shared" si="9"/>
        <v>8</v>
      </c>
    </row>
    <row r="597" spans="1:11" ht="12.75">
      <c r="A597" s="1054">
        <v>24080506</v>
      </c>
      <c r="B597" s="1055" t="s">
        <v>893</v>
      </c>
      <c r="C597" s="1055" t="s">
        <v>528</v>
      </c>
      <c r="D597" s="1055" t="s">
        <v>1678</v>
      </c>
      <c r="E597" s="1055" t="s">
        <v>1679</v>
      </c>
      <c r="F597" s="1056">
        <v>-5</v>
      </c>
      <c r="G597" s="1056">
        <v>0</v>
      </c>
      <c r="H597" s="1056">
        <v>0</v>
      </c>
      <c r="I597" s="1056">
        <v>-5</v>
      </c>
      <c r="K597" s="1037">
        <f t="shared" si="9"/>
        <v>8</v>
      </c>
    </row>
    <row r="598" spans="1:11" ht="12.75">
      <c r="A598" s="1054">
        <v>24080506</v>
      </c>
      <c r="B598" s="1055" t="s">
        <v>893</v>
      </c>
      <c r="C598" s="1055" t="s">
        <v>528</v>
      </c>
      <c r="D598" s="1055" t="s">
        <v>1516</v>
      </c>
      <c r="E598" s="1055" t="s">
        <v>1517</v>
      </c>
      <c r="F598" s="1056">
        <v>-7</v>
      </c>
      <c r="G598" s="1056">
        <v>0</v>
      </c>
      <c r="H598" s="1056">
        <v>0</v>
      </c>
      <c r="I598" s="1056">
        <v>-7</v>
      </c>
      <c r="K598" s="1037">
        <f t="shared" si="9"/>
        <v>8</v>
      </c>
    </row>
    <row r="599" spans="1:11" ht="12.75">
      <c r="A599" s="1054">
        <v>24080506</v>
      </c>
      <c r="B599" s="1055" t="s">
        <v>893</v>
      </c>
      <c r="C599" s="1055" t="s">
        <v>528</v>
      </c>
      <c r="D599" s="1055" t="s">
        <v>1568</v>
      </c>
      <c r="E599" s="1055" t="s">
        <v>1569</v>
      </c>
      <c r="F599" s="1056">
        <v>-9</v>
      </c>
      <c r="G599" s="1056">
        <v>0</v>
      </c>
      <c r="H599" s="1056">
        <v>0</v>
      </c>
      <c r="I599" s="1056">
        <v>-9</v>
      </c>
      <c r="K599" s="1037">
        <f t="shared" si="9"/>
        <v>8</v>
      </c>
    </row>
    <row r="600" spans="1:11" ht="12.75">
      <c r="A600" s="1054">
        <v>24080506</v>
      </c>
      <c r="B600" s="1055" t="s">
        <v>893</v>
      </c>
      <c r="C600" s="1055" t="s">
        <v>528</v>
      </c>
      <c r="D600" s="1055" t="s">
        <v>1570</v>
      </c>
      <c r="E600" s="1055" t="s">
        <v>1571</v>
      </c>
      <c r="F600" s="1056">
        <v>-22</v>
      </c>
      <c r="G600" s="1056">
        <v>0</v>
      </c>
      <c r="H600" s="1056">
        <v>0</v>
      </c>
      <c r="I600" s="1056">
        <v>-22</v>
      </c>
      <c r="K600" s="1037">
        <f t="shared" si="9"/>
        <v>8</v>
      </c>
    </row>
    <row r="601" spans="1:11" ht="12.75">
      <c r="A601" s="1054">
        <v>24080506</v>
      </c>
      <c r="B601" s="1055" t="s">
        <v>893</v>
      </c>
      <c r="C601" s="1055" t="s">
        <v>528</v>
      </c>
      <c r="D601" s="1055" t="s">
        <v>1746</v>
      </c>
      <c r="E601" s="1055" t="s">
        <v>1747</v>
      </c>
      <c r="F601" s="1056">
        <v>-13</v>
      </c>
      <c r="G601" s="1056">
        <v>0</v>
      </c>
      <c r="H601" s="1056">
        <v>0</v>
      </c>
      <c r="I601" s="1056">
        <v>-13</v>
      </c>
      <c r="K601" s="1037">
        <f t="shared" si="9"/>
        <v>8</v>
      </c>
    </row>
    <row r="602" spans="1:11" ht="12.75">
      <c r="A602" s="1054">
        <v>24080506</v>
      </c>
      <c r="B602" s="1055" t="s">
        <v>893</v>
      </c>
      <c r="C602" s="1055" t="s">
        <v>528</v>
      </c>
      <c r="D602" s="1055" t="s">
        <v>1889</v>
      </c>
      <c r="E602" s="1055" t="s">
        <v>1890</v>
      </c>
      <c r="F602" s="1056">
        <v>0</v>
      </c>
      <c r="G602" s="1056">
        <v>0</v>
      </c>
      <c r="H602" s="1056">
        <v>3</v>
      </c>
      <c r="I602" s="1056">
        <v>-3</v>
      </c>
      <c r="K602" s="1037">
        <f t="shared" si="9"/>
        <v>8</v>
      </c>
    </row>
    <row r="603" spans="1:11" ht="12.75">
      <c r="A603" s="1054">
        <v>24080506</v>
      </c>
      <c r="B603" s="1055" t="s">
        <v>893</v>
      </c>
      <c r="C603" s="1055" t="s">
        <v>528</v>
      </c>
      <c r="D603" s="1055" t="s">
        <v>1748</v>
      </c>
      <c r="E603" s="1055" t="s">
        <v>1749</v>
      </c>
      <c r="F603" s="1056">
        <v>-3</v>
      </c>
      <c r="G603" s="1056">
        <v>0</v>
      </c>
      <c r="H603" s="1056">
        <v>0</v>
      </c>
      <c r="I603" s="1056">
        <v>-3</v>
      </c>
      <c r="K603" s="1037">
        <f t="shared" si="9"/>
        <v>8</v>
      </c>
    </row>
    <row r="604" spans="1:11" ht="12.75">
      <c r="A604" s="1054">
        <v>24080506</v>
      </c>
      <c r="B604" s="1055" t="s">
        <v>893</v>
      </c>
      <c r="C604" s="1055" t="s">
        <v>528</v>
      </c>
      <c r="D604" s="1055" t="s">
        <v>1750</v>
      </c>
      <c r="E604" s="1055" t="s">
        <v>1751</v>
      </c>
      <c r="F604" s="1056">
        <v>-4</v>
      </c>
      <c r="G604" s="1056">
        <v>0</v>
      </c>
      <c r="H604" s="1056">
        <v>0</v>
      </c>
      <c r="I604" s="1056">
        <v>-4</v>
      </c>
      <c r="K604" s="1037">
        <f t="shared" si="9"/>
        <v>8</v>
      </c>
    </row>
    <row r="605" spans="1:11" ht="12.75">
      <c r="A605" s="1054">
        <v>24080506</v>
      </c>
      <c r="B605" s="1055" t="s">
        <v>893</v>
      </c>
      <c r="C605" s="1055" t="s">
        <v>528</v>
      </c>
      <c r="D605" s="1055" t="s">
        <v>1062</v>
      </c>
      <c r="E605" s="1055" t="s">
        <v>510</v>
      </c>
      <c r="F605" s="1056">
        <v>-2678</v>
      </c>
      <c r="G605" s="1056">
        <v>0</v>
      </c>
      <c r="H605" s="1056">
        <v>171</v>
      </c>
      <c r="I605" s="1056">
        <v>-2849</v>
      </c>
      <c r="K605" s="1037">
        <f t="shared" si="9"/>
        <v>8</v>
      </c>
    </row>
    <row r="606" spans="1:11" ht="12.75">
      <c r="A606" s="1054">
        <v>24080506</v>
      </c>
      <c r="B606" s="1055" t="s">
        <v>893</v>
      </c>
      <c r="C606" s="1055" t="s">
        <v>528</v>
      </c>
      <c r="D606" s="1055" t="s">
        <v>1680</v>
      </c>
      <c r="E606" s="1055" t="s">
        <v>1681</v>
      </c>
      <c r="F606" s="1056">
        <v>-13</v>
      </c>
      <c r="G606" s="1056">
        <v>0</v>
      </c>
      <c r="H606" s="1056">
        <v>0</v>
      </c>
      <c r="I606" s="1056">
        <v>-13</v>
      </c>
      <c r="K606" s="1037">
        <f t="shared" si="9"/>
        <v>8</v>
      </c>
    </row>
    <row r="607" spans="1:11" ht="12.75">
      <c r="A607" s="1054">
        <v>24080506</v>
      </c>
      <c r="B607" s="1055" t="s">
        <v>893</v>
      </c>
      <c r="C607" s="1055" t="s">
        <v>528</v>
      </c>
      <c r="D607" s="1055" t="s">
        <v>1306</v>
      </c>
      <c r="E607" s="1055" t="s">
        <v>997</v>
      </c>
      <c r="F607" s="1056">
        <v>-13</v>
      </c>
      <c r="G607" s="1056">
        <v>0</v>
      </c>
      <c r="H607" s="1056">
        <v>0</v>
      </c>
      <c r="I607" s="1056">
        <v>-13</v>
      </c>
      <c r="K607" s="1037">
        <f t="shared" si="9"/>
        <v>8</v>
      </c>
    </row>
    <row r="608" spans="1:11" ht="12.75">
      <c r="A608" s="1054">
        <v>24080507</v>
      </c>
      <c r="B608" s="1055" t="s">
        <v>1489</v>
      </c>
      <c r="C608" s="1055" t="s">
        <v>1518</v>
      </c>
      <c r="D608" s="1055" t="s">
        <v>893</v>
      </c>
      <c r="E608" s="1055" t="s">
        <v>893</v>
      </c>
      <c r="F608" s="1056">
        <v>-3547</v>
      </c>
      <c r="G608" s="1056">
        <v>0</v>
      </c>
      <c r="H608" s="1056">
        <v>1330</v>
      </c>
      <c r="I608" s="1056">
        <v>-4877</v>
      </c>
      <c r="K608" s="1037">
        <f t="shared" si="9"/>
        <v>8</v>
      </c>
    </row>
    <row r="609" spans="1:11" ht="12.75">
      <c r="A609" s="1054">
        <v>24080507</v>
      </c>
      <c r="B609" s="1055" t="s">
        <v>1489</v>
      </c>
      <c r="C609" s="1055" t="s">
        <v>1518</v>
      </c>
      <c r="D609" s="1055" t="s">
        <v>1491</v>
      </c>
      <c r="E609" s="1055" t="s">
        <v>1492</v>
      </c>
      <c r="F609" s="1056">
        <v>-3192</v>
      </c>
      <c r="G609" s="1056">
        <v>0</v>
      </c>
      <c r="H609" s="1056">
        <v>1330</v>
      </c>
      <c r="I609" s="1056">
        <v>-4522</v>
      </c>
      <c r="K609" s="1037">
        <f t="shared" si="9"/>
        <v>8</v>
      </c>
    </row>
    <row r="610" spans="1:11" ht="12.75">
      <c r="A610" s="1054">
        <v>24080507</v>
      </c>
      <c r="B610" s="1055" t="s">
        <v>1489</v>
      </c>
      <c r="C610" s="1055" t="s">
        <v>1518</v>
      </c>
      <c r="D610" s="1055" t="s">
        <v>1510</v>
      </c>
      <c r="E610" s="1055" t="s">
        <v>1511</v>
      </c>
      <c r="F610" s="1056">
        <v>-355</v>
      </c>
      <c r="G610" s="1056">
        <v>0</v>
      </c>
      <c r="H610" s="1056">
        <v>0</v>
      </c>
      <c r="I610" s="1056">
        <v>-355</v>
      </c>
      <c r="K610" s="1037">
        <f t="shared" si="9"/>
        <v>8</v>
      </c>
    </row>
    <row r="611" spans="1:11" ht="12.75">
      <c r="A611" s="1054">
        <v>24080514</v>
      </c>
      <c r="B611" s="1055" t="s">
        <v>1489</v>
      </c>
      <c r="C611" s="1055" t="s">
        <v>1834</v>
      </c>
      <c r="D611" s="1055" t="s">
        <v>893</v>
      </c>
      <c r="E611" s="1055" t="s">
        <v>893</v>
      </c>
      <c r="F611" s="1056">
        <v>-2</v>
      </c>
      <c r="G611" s="1056">
        <v>0</v>
      </c>
      <c r="H611" s="1056">
        <v>0</v>
      </c>
      <c r="I611" s="1056">
        <v>-2</v>
      </c>
      <c r="K611" s="1037">
        <f t="shared" si="9"/>
        <v>8</v>
      </c>
    </row>
    <row r="612" spans="1:11" ht="12.75">
      <c r="A612" s="1054">
        <v>24080514</v>
      </c>
      <c r="B612" s="1055" t="s">
        <v>1489</v>
      </c>
      <c r="C612" s="1055" t="s">
        <v>1834</v>
      </c>
      <c r="D612" s="1055" t="s">
        <v>1077</v>
      </c>
      <c r="E612" s="1055" t="s">
        <v>1078</v>
      </c>
      <c r="F612" s="1056">
        <v>-2</v>
      </c>
      <c r="G612" s="1056">
        <v>0</v>
      </c>
      <c r="H612" s="1056">
        <v>0</v>
      </c>
      <c r="I612" s="1056">
        <v>-2</v>
      </c>
      <c r="K612" s="1037">
        <f t="shared" si="9"/>
        <v>8</v>
      </c>
    </row>
    <row r="613" spans="1:11" ht="12.75">
      <c r="A613" s="1054">
        <v>24080515</v>
      </c>
      <c r="B613" s="1055" t="s">
        <v>893</v>
      </c>
      <c r="C613" s="1055" t="s">
        <v>529</v>
      </c>
      <c r="D613" s="1055" t="s">
        <v>893</v>
      </c>
      <c r="E613" s="1055" t="s">
        <v>893</v>
      </c>
      <c r="F613" s="1056">
        <v>-225</v>
      </c>
      <c r="G613" s="1056">
        <v>0</v>
      </c>
      <c r="H613" s="1056">
        <v>36</v>
      </c>
      <c r="I613" s="1056">
        <v>-261</v>
      </c>
      <c r="K613" s="1037">
        <f t="shared" si="9"/>
        <v>8</v>
      </c>
    </row>
    <row r="614" spans="1:11" ht="12.75">
      <c r="A614" s="1054">
        <v>24080515</v>
      </c>
      <c r="B614" s="1055" t="s">
        <v>893</v>
      </c>
      <c r="C614" s="1055" t="s">
        <v>529</v>
      </c>
      <c r="D614" s="1055" t="s">
        <v>1071</v>
      </c>
      <c r="E614" s="1055" t="s">
        <v>700</v>
      </c>
      <c r="F614" s="1056">
        <v>-13</v>
      </c>
      <c r="G614" s="1056">
        <v>0</v>
      </c>
      <c r="H614" s="1056">
        <v>4</v>
      </c>
      <c r="I614" s="1056">
        <v>-17</v>
      </c>
      <c r="K614" s="1037">
        <f t="shared" si="9"/>
        <v>8</v>
      </c>
    </row>
    <row r="615" spans="1:11" ht="12.75">
      <c r="A615" s="1054">
        <v>24080515</v>
      </c>
      <c r="B615" s="1055" t="s">
        <v>893</v>
      </c>
      <c r="C615" s="1055" t="s">
        <v>529</v>
      </c>
      <c r="D615" s="1055" t="s">
        <v>1072</v>
      </c>
      <c r="E615" s="1055" t="s">
        <v>512</v>
      </c>
      <c r="F615" s="1056">
        <v>-59</v>
      </c>
      <c r="G615" s="1056">
        <v>0</v>
      </c>
      <c r="H615" s="1056">
        <v>1</v>
      </c>
      <c r="I615" s="1056">
        <v>-60</v>
      </c>
      <c r="K615" s="1037">
        <f t="shared" si="9"/>
        <v>8</v>
      </c>
    </row>
    <row r="616" spans="1:11" ht="12.75">
      <c r="A616" s="1054">
        <v>24080515</v>
      </c>
      <c r="B616" s="1055" t="s">
        <v>893</v>
      </c>
      <c r="C616" s="1055" t="s">
        <v>529</v>
      </c>
      <c r="D616" s="1055" t="s">
        <v>1551</v>
      </c>
      <c r="E616" s="1055" t="s">
        <v>1552</v>
      </c>
      <c r="F616" s="1056">
        <v>-82</v>
      </c>
      <c r="G616" s="1056">
        <v>0</v>
      </c>
      <c r="H616" s="1056">
        <v>9</v>
      </c>
      <c r="I616" s="1056">
        <v>-91</v>
      </c>
      <c r="K616" s="1037">
        <f t="shared" si="9"/>
        <v>8</v>
      </c>
    </row>
    <row r="617" spans="1:11" ht="12.75">
      <c r="A617" s="1054">
        <v>24080515</v>
      </c>
      <c r="B617" s="1055" t="s">
        <v>893</v>
      </c>
      <c r="C617" s="1055" t="s">
        <v>529</v>
      </c>
      <c r="D617" s="1055" t="s">
        <v>1034</v>
      </c>
      <c r="E617" s="1055" t="s">
        <v>504</v>
      </c>
      <c r="F617" s="1056">
        <v>-54</v>
      </c>
      <c r="G617" s="1056">
        <v>0</v>
      </c>
      <c r="H617" s="1056">
        <v>0</v>
      </c>
      <c r="I617" s="1056">
        <v>-54</v>
      </c>
      <c r="K617" s="1037">
        <f t="shared" si="9"/>
        <v>8</v>
      </c>
    </row>
    <row r="618" spans="1:11" ht="12.75">
      <c r="A618" s="1054">
        <v>24080515</v>
      </c>
      <c r="B618" s="1055" t="s">
        <v>893</v>
      </c>
      <c r="C618" s="1055" t="s">
        <v>529</v>
      </c>
      <c r="D618" s="1055" t="s">
        <v>1074</v>
      </c>
      <c r="E618" s="1055" t="s">
        <v>257</v>
      </c>
      <c r="F618" s="1056">
        <v>0</v>
      </c>
      <c r="G618" s="1056">
        <v>0</v>
      </c>
      <c r="H618" s="1056">
        <v>16</v>
      </c>
      <c r="I618" s="1056">
        <v>-16</v>
      </c>
      <c r="K618" s="1037">
        <f t="shared" si="9"/>
        <v>8</v>
      </c>
    </row>
    <row r="619" spans="1:11" ht="12.75">
      <c r="A619" s="1054">
        <v>24080515</v>
      </c>
      <c r="B619" s="1055" t="s">
        <v>893</v>
      </c>
      <c r="C619" s="1055" t="s">
        <v>529</v>
      </c>
      <c r="D619" s="1055" t="s">
        <v>1077</v>
      </c>
      <c r="E619" s="1055" t="s">
        <v>1078</v>
      </c>
      <c r="F619" s="1056">
        <v>-1</v>
      </c>
      <c r="G619" s="1056">
        <v>0</v>
      </c>
      <c r="H619" s="1056">
        <v>0</v>
      </c>
      <c r="I619" s="1056">
        <v>-1</v>
      </c>
      <c r="K619" s="1037">
        <f t="shared" si="9"/>
        <v>8</v>
      </c>
    </row>
    <row r="620" spans="1:11" ht="12.75">
      <c r="A620" s="1054">
        <v>24080515</v>
      </c>
      <c r="B620" s="1055" t="s">
        <v>893</v>
      </c>
      <c r="C620" s="1055" t="s">
        <v>529</v>
      </c>
      <c r="D620" s="1055" t="s">
        <v>1307</v>
      </c>
      <c r="E620" s="1055" t="s">
        <v>992</v>
      </c>
      <c r="F620" s="1056">
        <v>-16</v>
      </c>
      <c r="G620" s="1056">
        <v>0</v>
      </c>
      <c r="H620" s="1056">
        <v>6</v>
      </c>
      <c r="I620" s="1056">
        <v>-22</v>
      </c>
      <c r="K620" s="1037">
        <f t="shared" si="9"/>
        <v>8</v>
      </c>
    </row>
    <row r="621" spans="1:11" ht="12.75">
      <c r="A621" s="1054">
        <v>24080599</v>
      </c>
      <c r="B621" s="1055" t="s">
        <v>1489</v>
      </c>
      <c r="C621" s="1055" t="s">
        <v>915</v>
      </c>
      <c r="D621" s="1055" t="s">
        <v>893</v>
      </c>
      <c r="E621" s="1055" t="s">
        <v>893</v>
      </c>
      <c r="F621" s="1056">
        <v>105</v>
      </c>
      <c r="G621" s="1056">
        <v>69</v>
      </c>
      <c r="H621" s="1056">
        <v>10</v>
      </c>
      <c r="I621" s="1056">
        <v>164</v>
      </c>
      <c r="K621" s="1037">
        <f t="shared" si="9"/>
        <v>8</v>
      </c>
    </row>
    <row r="622" spans="1:11" ht="12.75">
      <c r="A622" s="1054">
        <v>24080599</v>
      </c>
      <c r="B622" s="1055" t="s">
        <v>1489</v>
      </c>
      <c r="C622" s="1055" t="s">
        <v>915</v>
      </c>
      <c r="D622" s="1055" t="s">
        <v>1223</v>
      </c>
      <c r="E622" s="1055" t="s">
        <v>742</v>
      </c>
      <c r="F622" s="1056">
        <v>105</v>
      </c>
      <c r="G622" s="1056">
        <v>69</v>
      </c>
      <c r="H622" s="1056">
        <v>10</v>
      </c>
      <c r="I622" s="1056">
        <v>164</v>
      </c>
      <c r="K622" s="1037">
        <f t="shared" si="9"/>
        <v>8</v>
      </c>
    </row>
    <row r="623" spans="1:11" ht="12.75">
      <c r="A623" s="1054">
        <v>240810</v>
      </c>
      <c r="B623" s="1055" t="s">
        <v>893</v>
      </c>
      <c r="C623" s="1055" t="s">
        <v>346</v>
      </c>
      <c r="D623" s="1055" t="s">
        <v>893</v>
      </c>
      <c r="E623" s="1055" t="s">
        <v>893</v>
      </c>
      <c r="F623" s="1056">
        <v>264677</v>
      </c>
      <c r="G623" s="1056">
        <v>55004</v>
      </c>
      <c r="H623" s="1056">
        <v>0</v>
      </c>
      <c r="I623" s="1056">
        <v>319680</v>
      </c>
      <c r="K623" s="1037">
        <f t="shared" si="9"/>
        <v>6</v>
      </c>
    </row>
    <row r="624" spans="1:11" ht="12.75">
      <c r="A624" s="1054">
        <v>24081004</v>
      </c>
      <c r="B624" s="1055" t="s">
        <v>893</v>
      </c>
      <c r="C624" s="1055" t="s">
        <v>530</v>
      </c>
      <c r="D624" s="1055" t="s">
        <v>893</v>
      </c>
      <c r="E624" s="1055" t="s">
        <v>893</v>
      </c>
      <c r="F624" s="1056">
        <v>116203</v>
      </c>
      <c r="G624" s="1056">
        <v>26474</v>
      </c>
      <c r="H624" s="1056">
        <v>0</v>
      </c>
      <c r="I624" s="1056">
        <v>142677</v>
      </c>
      <c r="K624" s="1037">
        <f t="shared" si="9"/>
        <v>8</v>
      </c>
    </row>
    <row r="625" spans="1:11" ht="12.75">
      <c r="A625" s="1054">
        <v>24081004</v>
      </c>
      <c r="B625" s="1055" t="s">
        <v>893</v>
      </c>
      <c r="C625" s="1055" t="s">
        <v>530</v>
      </c>
      <c r="D625" s="1055" t="s">
        <v>1180</v>
      </c>
      <c r="E625" s="1055" t="s">
        <v>1014</v>
      </c>
      <c r="F625" s="1056">
        <v>5299</v>
      </c>
      <c r="G625" s="1056">
        <v>0</v>
      </c>
      <c r="H625" s="1056">
        <v>0</v>
      </c>
      <c r="I625" s="1056">
        <v>5299</v>
      </c>
      <c r="K625" s="1037">
        <f t="shared" si="9"/>
        <v>8</v>
      </c>
    </row>
    <row r="626" spans="1:11" ht="12.75">
      <c r="A626" s="1054">
        <v>24081004</v>
      </c>
      <c r="B626" s="1055" t="s">
        <v>893</v>
      </c>
      <c r="C626" s="1055" t="s">
        <v>530</v>
      </c>
      <c r="D626" s="1055" t="s">
        <v>1331</v>
      </c>
      <c r="E626" s="1055" t="s">
        <v>1332</v>
      </c>
      <c r="F626" s="1056">
        <v>1</v>
      </c>
      <c r="G626" s="1056">
        <v>0</v>
      </c>
      <c r="H626" s="1056">
        <v>0</v>
      </c>
      <c r="I626" s="1056">
        <v>1</v>
      </c>
      <c r="K626" s="1037">
        <f t="shared" si="9"/>
        <v>8</v>
      </c>
    </row>
    <row r="627" spans="1:11" ht="12.75">
      <c r="A627" s="1054">
        <v>24081004</v>
      </c>
      <c r="B627" s="1055" t="s">
        <v>893</v>
      </c>
      <c r="C627" s="1055" t="s">
        <v>530</v>
      </c>
      <c r="D627" s="1055" t="s">
        <v>1032</v>
      </c>
      <c r="E627" s="1055" t="s">
        <v>508</v>
      </c>
      <c r="F627" s="1056">
        <v>1860</v>
      </c>
      <c r="G627" s="1056">
        <v>0</v>
      </c>
      <c r="H627" s="1056">
        <v>0</v>
      </c>
      <c r="I627" s="1056">
        <v>1860</v>
      </c>
      <c r="K627" s="1037">
        <f t="shared" si="9"/>
        <v>8</v>
      </c>
    </row>
    <row r="628" spans="1:11" ht="12.75">
      <c r="A628" s="1054">
        <v>24081004</v>
      </c>
      <c r="B628" s="1055" t="s">
        <v>893</v>
      </c>
      <c r="C628" s="1055" t="s">
        <v>530</v>
      </c>
      <c r="D628" s="1055" t="s">
        <v>1185</v>
      </c>
      <c r="E628" s="1055" t="s">
        <v>1017</v>
      </c>
      <c r="F628" s="1056">
        <v>1843</v>
      </c>
      <c r="G628" s="1056">
        <v>0</v>
      </c>
      <c r="H628" s="1056">
        <v>0</v>
      </c>
      <c r="I628" s="1056">
        <v>1843</v>
      </c>
      <c r="K628" s="1037">
        <f t="shared" si="9"/>
        <v>8</v>
      </c>
    </row>
    <row r="629" spans="1:11" ht="12.75">
      <c r="A629" s="1054">
        <v>24081004</v>
      </c>
      <c r="B629" s="1055" t="s">
        <v>893</v>
      </c>
      <c r="C629" s="1055" t="s">
        <v>530</v>
      </c>
      <c r="D629" s="1055" t="s">
        <v>1186</v>
      </c>
      <c r="E629" s="1055" t="s">
        <v>1018</v>
      </c>
      <c r="F629" s="1056">
        <v>4401</v>
      </c>
      <c r="G629" s="1056">
        <v>957</v>
      </c>
      <c r="H629" s="1056">
        <v>0</v>
      </c>
      <c r="I629" s="1056">
        <v>5358</v>
      </c>
      <c r="K629" s="1037">
        <f t="shared" si="9"/>
        <v>8</v>
      </c>
    </row>
    <row r="630" spans="1:11" ht="12.75">
      <c r="A630" s="1054">
        <v>24081004</v>
      </c>
      <c r="B630" s="1055" t="s">
        <v>893</v>
      </c>
      <c r="C630" s="1055" t="s">
        <v>530</v>
      </c>
      <c r="D630" s="1055" t="s">
        <v>1295</v>
      </c>
      <c r="E630" s="1055" t="s">
        <v>963</v>
      </c>
      <c r="F630" s="1056">
        <v>7127</v>
      </c>
      <c r="G630" s="1056">
        <v>1425</v>
      </c>
      <c r="H630" s="1056">
        <v>0</v>
      </c>
      <c r="I630" s="1056">
        <v>8552</v>
      </c>
      <c r="K630" s="1037">
        <f t="shared" si="9"/>
        <v>8</v>
      </c>
    </row>
    <row r="631" spans="1:11" ht="12.75">
      <c r="A631" s="1054">
        <v>24081004</v>
      </c>
      <c r="B631" s="1055" t="s">
        <v>893</v>
      </c>
      <c r="C631" s="1055" t="s">
        <v>530</v>
      </c>
      <c r="D631" s="1055" t="s">
        <v>1066</v>
      </c>
      <c r="E631" s="1055" t="s">
        <v>662</v>
      </c>
      <c r="F631" s="1056">
        <v>3</v>
      </c>
      <c r="G631" s="1056">
        <v>0</v>
      </c>
      <c r="H631" s="1056">
        <v>0</v>
      </c>
      <c r="I631" s="1056">
        <v>3</v>
      </c>
      <c r="K631" s="1037">
        <f t="shared" si="9"/>
        <v>8</v>
      </c>
    </row>
    <row r="632" spans="1:11" ht="12.75">
      <c r="A632" s="1054">
        <v>24081004</v>
      </c>
      <c r="B632" s="1055" t="s">
        <v>893</v>
      </c>
      <c r="C632" s="1055" t="s">
        <v>530</v>
      </c>
      <c r="D632" s="1055" t="s">
        <v>1312</v>
      </c>
      <c r="E632" s="1055" t="s">
        <v>1824</v>
      </c>
      <c r="F632" s="1056">
        <v>1879</v>
      </c>
      <c r="G632" s="1056">
        <v>376</v>
      </c>
      <c r="H632" s="1056">
        <v>0</v>
      </c>
      <c r="I632" s="1056">
        <v>2254</v>
      </c>
      <c r="K632" s="1037">
        <f t="shared" si="9"/>
        <v>8</v>
      </c>
    </row>
    <row r="633" spans="1:11" ht="12.75">
      <c r="A633" s="1054">
        <v>24081004</v>
      </c>
      <c r="B633" s="1055" t="s">
        <v>893</v>
      </c>
      <c r="C633" s="1055" t="s">
        <v>530</v>
      </c>
      <c r="D633" s="1055" t="s">
        <v>1224</v>
      </c>
      <c r="E633" s="1055" t="s">
        <v>1225</v>
      </c>
      <c r="F633" s="1056">
        <v>3644</v>
      </c>
      <c r="G633" s="1056">
        <v>729</v>
      </c>
      <c r="H633" s="1056">
        <v>0</v>
      </c>
      <c r="I633" s="1056">
        <v>4373</v>
      </c>
      <c r="K633" s="1037">
        <f t="shared" si="9"/>
        <v>8</v>
      </c>
    </row>
    <row r="634" spans="1:11" ht="12.75">
      <c r="A634" s="1054">
        <v>24081004</v>
      </c>
      <c r="B634" s="1055" t="s">
        <v>893</v>
      </c>
      <c r="C634" s="1055" t="s">
        <v>530</v>
      </c>
      <c r="D634" s="1055" t="s">
        <v>1190</v>
      </c>
      <c r="E634" s="1055" t="s">
        <v>577</v>
      </c>
      <c r="F634" s="1056">
        <v>1127</v>
      </c>
      <c r="G634" s="1056">
        <v>282</v>
      </c>
      <c r="H634" s="1056">
        <v>0</v>
      </c>
      <c r="I634" s="1056">
        <v>1410</v>
      </c>
      <c r="K634" s="1037">
        <f t="shared" si="9"/>
        <v>8</v>
      </c>
    </row>
    <row r="635" spans="1:11" ht="12.75">
      <c r="A635" s="1054">
        <v>24081004</v>
      </c>
      <c r="B635" s="1055" t="s">
        <v>893</v>
      </c>
      <c r="C635" s="1055" t="s">
        <v>530</v>
      </c>
      <c r="D635" s="1055" t="s">
        <v>1171</v>
      </c>
      <c r="E635" s="1055" t="s">
        <v>335</v>
      </c>
      <c r="F635" s="1056">
        <v>128</v>
      </c>
      <c r="G635" s="1056">
        <v>52</v>
      </c>
      <c r="H635" s="1056">
        <v>0</v>
      </c>
      <c r="I635" s="1056">
        <v>180</v>
      </c>
      <c r="K635" s="1037">
        <f t="shared" si="9"/>
        <v>8</v>
      </c>
    </row>
    <row r="636" spans="1:11" ht="12.75">
      <c r="A636" s="1054">
        <v>24081004</v>
      </c>
      <c r="B636" s="1055" t="s">
        <v>893</v>
      </c>
      <c r="C636" s="1055" t="s">
        <v>530</v>
      </c>
      <c r="D636" s="1055" t="s">
        <v>1691</v>
      </c>
      <c r="E636" s="1055" t="s">
        <v>1692</v>
      </c>
      <c r="F636" s="1056">
        <v>213</v>
      </c>
      <c r="G636" s="1056">
        <v>0</v>
      </c>
      <c r="H636" s="1056">
        <v>0</v>
      </c>
      <c r="I636" s="1056">
        <v>213</v>
      </c>
      <c r="K636" s="1037">
        <f t="shared" si="9"/>
        <v>8</v>
      </c>
    </row>
    <row r="637" spans="1:11" ht="12.75">
      <c r="A637" s="1054">
        <v>24081004</v>
      </c>
      <c r="B637" s="1055" t="s">
        <v>893</v>
      </c>
      <c r="C637" s="1055" t="s">
        <v>530</v>
      </c>
      <c r="D637" s="1055" t="s">
        <v>1172</v>
      </c>
      <c r="E637" s="1055" t="s">
        <v>1173</v>
      </c>
      <c r="F637" s="1056">
        <v>61</v>
      </c>
      <c r="G637" s="1056">
        <v>12</v>
      </c>
      <c r="H637" s="1056">
        <v>0</v>
      </c>
      <c r="I637" s="1056">
        <v>74</v>
      </c>
      <c r="K637" s="1037">
        <f t="shared" si="9"/>
        <v>8</v>
      </c>
    </row>
    <row r="638" spans="1:11" ht="12.75">
      <c r="A638" s="1054">
        <v>24081004</v>
      </c>
      <c r="B638" s="1055" t="s">
        <v>893</v>
      </c>
      <c r="C638" s="1055" t="s">
        <v>530</v>
      </c>
      <c r="D638" s="1055" t="s">
        <v>1881</v>
      </c>
      <c r="E638" s="1055" t="s">
        <v>1882</v>
      </c>
      <c r="F638" s="1056">
        <v>0</v>
      </c>
      <c r="G638" s="1056">
        <v>4627</v>
      </c>
      <c r="H638" s="1056">
        <v>0</v>
      </c>
      <c r="I638" s="1056">
        <v>4627</v>
      </c>
      <c r="K638" s="1037">
        <f t="shared" si="9"/>
        <v>8</v>
      </c>
    </row>
    <row r="639" spans="1:11" ht="12.75">
      <c r="A639" s="1054">
        <v>24081004</v>
      </c>
      <c r="B639" s="1055" t="s">
        <v>893</v>
      </c>
      <c r="C639" s="1055" t="s">
        <v>530</v>
      </c>
      <c r="D639" s="1055" t="s">
        <v>1168</v>
      </c>
      <c r="E639" s="1055" t="s">
        <v>1169</v>
      </c>
      <c r="F639" s="1056">
        <v>1128</v>
      </c>
      <c r="G639" s="1056">
        <v>93</v>
      </c>
      <c r="H639" s="1056">
        <v>0</v>
      </c>
      <c r="I639" s="1056">
        <v>1220</v>
      </c>
      <c r="K639" s="1037">
        <f t="shared" si="9"/>
        <v>8</v>
      </c>
    </row>
    <row r="640" spans="1:11" ht="12.75">
      <c r="A640" s="1054">
        <v>24081004</v>
      </c>
      <c r="B640" s="1055" t="s">
        <v>893</v>
      </c>
      <c r="C640" s="1055" t="s">
        <v>530</v>
      </c>
      <c r="D640" s="1055" t="s">
        <v>1491</v>
      </c>
      <c r="E640" s="1055" t="s">
        <v>1492</v>
      </c>
      <c r="F640" s="1056">
        <v>746</v>
      </c>
      <c r="G640" s="1056">
        <v>199</v>
      </c>
      <c r="H640" s="1056">
        <v>0</v>
      </c>
      <c r="I640" s="1056">
        <v>945</v>
      </c>
      <c r="K640" s="1037">
        <f t="shared" si="9"/>
        <v>8</v>
      </c>
    </row>
    <row r="641" spans="1:11" ht="12.75">
      <c r="A641" s="1054">
        <v>24081004</v>
      </c>
      <c r="B641" s="1055" t="s">
        <v>893</v>
      </c>
      <c r="C641" s="1055" t="s">
        <v>530</v>
      </c>
      <c r="D641" s="1055" t="s">
        <v>1213</v>
      </c>
      <c r="E641" s="1055" t="s">
        <v>1214</v>
      </c>
      <c r="F641" s="1056">
        <v>5552</v>
      </c>
      <c r="G641" s="1056">
        <v>1110</v>
      </c>
      <c r="H641" s="1056">
        <v>0</v>
      </c>
      <c r="I641" s="1056">
        <v>6663</v>
      </c>
      <c r="K641" s="1037">
        <f t="shared" si="9"/>
        <v>8</v>
      </c>
    </row>
    <row r="642" spans="1:11" ht="12.75">
      <c r="A642" s="1054">
        <v>24081004</v>
      </c>
      <c r="B642" s="1055" t="s">
        <v>893</v>
      </c>
      <c r="C642" s="1055" t="s">
        <v>530</v>
      </c>
      <c r="D642" s="1055" t="s">
        <v>1195</v>
      </c>
      <c r="E642" s="1055" t="s">
        <v>1022</v>
      </c>
      <c r="F642" s="1056">
        <v>12520</v>
      </c>
      <c r="G642" s="1056">
        <v>2521</v>
      </c>
      <c r="H642" s="1056">
        <v>0</v>
      </c>
      <c r="I642" s="1056">
        <v>15041</v>
      </c>
      <c r="K642" s="1037">
        <f t="shared" si="9"/>
        <v>8</v>
      </c>
    </row>
    <row r="643" spans="1:11" ht="12.75">
      <c r="A643" s="1054">
        <v>24081004</v>
      </c>
      <c r="B643" s="1055" t="s">
        <v>893</v>
      </c>
      <c r="C643" s="1055" t="s">
        <v>530</v>
      </c>
      <c r="D643" s="1055" t="s">
        <v>1201</v>
      </c>
      <c r="E643" s="1055" t="s">
        <v>679</v>
      </c>
      <c r="F643" s="1056">
        <v>104</v>
      </c>
      <c r="G643" s="1056">
        <v>21</v>
      </c>
      <c r="H643" s="1056">
        <v>0</v>
      </c>
      <c r="I643" s="1056">
        <v>125</v>
      </c>
      <c r="K643" s="1037">
        <f t="shared" si="9"/>
        <v>8</v>
      </c>
    </row>
    <row r="644" spans="1:11" ht="12.75">
      <c r="A644" s="1054">
        <v>24081004</v>
      </c>
      <c r="B644" s="1055" t="s">
        <v>893</v>
      </c>
      <c r="C644" s="1055" t="s">
        <v>530</v>
      </c>
      <c r="D644" s="1055" t="s">
        <v>1046</v>
      </c>
      <c r="E644" s="1055" t="s">
        <v>1026</v>
      </c>
      <c r="F644" s="1056">
        <v>30</v>
      </c>
      <c r="G644" s="1056">
        <v>3</v>
      </c>
      <c r="H644" s="1056">
        <v>0</v>
      </c>
      <c r="I644" s="1056">
        <v>34</v>
      </c>
      <c r="K644" s="1037">
        <f t="shared" si="9"/>
        <v>8</v>
      </c>
    </row>
    <row r="645" spans="1:11" ht="12.75">
      <c r="A645" s="1054">
        <v>24081004</v>
      </c>
      <c r="B645" s="1055" t="s">
        <v>893</v>
      </c>
      <c r="C645" s="1055" t="s">
        <v>530</v>
      </c>
      <c r="D645" s="1055" t="s">
        <v>1034</v>
      </c>
      <c r="E645" s="1055" t="s">
        <v>504</v>
      </c>
      <c r="F645" s="1056">
        <v>4156</v>
      </c>
      <c r="G645" s="1056">
        <v>694</v>
      </c>
      <c r="H645" s="1056">
        <v>0</v>
      </c>
      <c r="I645" s="1056">
        <v>4849</v>
      </c>
      <c r="K645" s="1037">
        <f t="shared" ref="K645:K708" si="10">+LEN(A645)</f>
        <v>8</v>
      </c>
    </row>
    <row r="646" spans="1:11" ht="12.75">
      <c r="A646" s="1054">
        <v>24081004</v>
      </c>
      <c r="B646" s="1055" t="s">
        <v>893</v>
      </c>
      <c r="C646" s="1055" t="s">
        <v>530</v>
      </c>
      <c r="D646" s="1055" t="s">
        <v>1215</v>
      </c>
      <c r="E646" s="1055" t="s">
        <v>1216</v>
      </c>
      <c r="F646" s="1056">
        <v>8583</v>
      </c>
      <c r="G646" s="1056">
        <v>1717</v>
      </c>
      <c r="H646" s="1056">
        <v>0</v>
      </c>
      <c r="I646" s="1056">
        <v>10300</v>
      </c>
      <c r="K646" s="1037">
        <f t="shared" si="10"/>
        <v>8</v>
      </c>
    </row>
    <row r="647" spans="1:11" ht="12.75">
      <c r="A647" s="1054">
        <v>24081004</v>
      </c>
      <c r="B647" s="1055" t="s">
        <v>893</v>
      </c>
      <c r="C647" s="1055" t="s">
        <v>530</v>
      </c>
      <c r="D647" s="1055" t="s">
        <v>1237</v>
      </c>
      <c r="E647" s="1055" t="s">
        <v>338</v>
      </c>
      <c r="F647" s="1056">
        <v>27</v>
      </c>
      <c r="G647" s="1056">
        <v>0</v>
      </c>
      <c r="H647" s="1056">
        <v>0</v>
      </c>
      <c r="I647" s="1056">
        <v>27</v>
      </c>
      <c r="K647" s="1037">
        <f t="shared" si="10"/>
        <v>8</v>
      </c>
    </row>
    <row r="648" spans="1:11" ht="12.75">
      <c r="A648" s="1054">
        <v>24081004</v>
      </c>
      <c r="B648" s="1055" t="s">
        <v>893</v>
      </c>
      <c r="C648" s="1055" t="s">
        <v>530</v>
      </c>
      <c r="D648" s="1055" t="s">
        <v>1217</v>
      </c>
      <c r="E648" s="1055" t="s">
        <v>1218</v>
      </c>
      <c r="F648" s="1056">
        <v>10433</v>
      </c>
      <c r="G648" s="1056">
        <v>2087</v>
      </c>
      <c r="H648" s="1056">
        <v>0</v>
      </c>
      <c r="I648" s="1056">
        <v>12519</v>
      </c>
      <c r="K648" s="1037">
        <f t="shared" si="10"/>
        <v>8</v>
      </c>
    </row>
    <row r="649" spans="1:11" ht="12.75">
      <c r="A649" s="1054">
        <v>24081004</v>
      </c>
      <c r="B649" s="1055" t="s">
        <v>893</v>
      </c>
      <c r="C649" s="1055" t="s">
        <v>530</v>
      </c>
      <c r="D649" s="1055" t="s">
        <v>1825</v>
      </c>
      <c r="E649" s="1055" t="s">
        <v>1826</v>
      </c>
      <c r="F649" s="1056">
        <v>0</v>
      </c>
      <c r="G649" s="1056">
        <v>7</v>
      </c>
      <c r="H649" s="1056">
        <v>0</v>
      </c>
      <c r="I649" s="1056">
        <v>7</v>
      </c>
      <c r="K649" s="1037">
        <f t="shared" si="10"/>
        <v>8</v>
      </c>
    </row>
    <row r="650" spans="1:11" ht="12.75">
      <c r="A650" s="1054">
        <v>24081004</v>
      </c>
      <c r="B650" s="1055" t="s">
        <v>893</v>
      </c>
      <c r="C650" s="1055" t="s">
        <v>530</v>
      </c>
      <c r="D650" s="1055" t="s">
        <v>1202</v>
      </c>
      <c r="E650" s="1055" t="s">
        <v>446</v>
      </c>
      <c r="F650" s="1056">
        <v>936</v>
      </c>
      <c r="G650" s="1056">
        <v>187</v>
      </c>
      <c r="H650" s="1056">
        <v>0</v>
      </c>
      <c r="I650" s="1056">
        <v>1124</v>
      </c>
      <c r="K650" s="1037">
        <f t="shared" si="10"/>
        <v>8</v>
      </c>
    </row>
    <row r="651" spans="1:11" ht="12.75">
      <c r="A651" s="1054">
        <v>24081004</v>
      </c>
      <c r="B651" s="1055" t="s">
        <v>893</v>
      </c>
      <c r="C651" s="1055" t="s">
        <v>530</v>
      </c>
      <c r="D651" s="1055" t="s">
        <v>1203</v>
      </c>
      <c r="E651" s="1055" t="s">
        <v>1827</v>
      </c>
      <c r="F651" s="1056">
        <v>1655</v>
      </c>
      <c r="G651" s="1056">
        <v>175</v>
      </c>
      <c r="H651" s="1056">
        <v>0</v>
      </c>
      <c r="I651" s="1056">
        <v>1830</v>
      </c>
      <c r="K651" s="1037">
        <f t="shared" si="10"/>
        <v>8</v>
      </c>
    </row>
    <row r="652" spans="1:11" ht="12.75">
      <c r="A652" s="1054">
        <v>24081004</v>
      </c>
      <c r="B652" s="1055" t="s">
        <v>893</v>
      </c>
      <c r="C652" s="1055" t="s">
        <v>530</v>
      </c>
      <c r="D652" s="1055" t="s">
        <v>1035</v>
      </c>
      <c r="E652" s="1055" t="s">
        <v>573</v>
      </c>
      <c r="F652" s="1056">
        <v>1266</v>
      </c>
      <c r="G652" s="1056">
        <v>128</v>
      </c>
      <c r="H652" s="1056">
        <v>0</v>
      </c>
      <c r="I652" s="1056">
        <v>1395</v>
      </c>
      <c r="K652" s="1037">
        <f t="shared" si="10"/>
        <v>8</v>
      </c>
    </row>
    <row r="653" spans="1:11" ht="12.75">
      <c r="A653" s="1054">
        <v>24081004</v>
      </c>
      <c r="B653" s="1055" t="s">
        <v>893</v>
      </c>
      <c r="C653" s="1055" t="s">
        <v>530</v>
      </c>
      <c r="D653" s="1055" t="s">
        <v>1240</v>
      </c>
      <c r="E653" s="1055" t="s">
        <v>1241</v>
      </c>
      <c r="F653" s="1056">
        <v>23</v>
      </c>
      <c r="G653" s="1056">
        <v>0</v>
      </c>
      <c r="H653" s="1056">
        <v>0</v>
      </c>
      <c r="I653" s="1056">
        <v>23</v>
      </c>
      <c r="K653" s="1037">
        <f t="shared" si="10"/>
        <v>8</v>
      </c>
    </row>
    <row r="654" spans="1:11" ht="12.75">
      <c r="A654" s="1054">
        <v>24081004</v>
      </c>
      <c r="B654" s="1055" t="s">
        <v>893</v>
      </c>
      <c r="C654" s="1055" t="s">
        <v>530</v>
      </c>
      <c r="D654" s="1055" t="s">
        <v>1207</v>
      </c>
      <c r="E654" s="1055" t="s">
        <v>1028</v>
      </c>
      <c r="F654" s="1056">
        <v>12918</v>
      </c>
      <c r="G654" s="1056">
        <v>1842</v>
      </c>
      <c r="H654" s="1056">
        <v>0</v>
      </c>
      <c r="I654" s="1056">
        <v>14760</v>
      </c>
      <c r="K654" s="1037">
        <f t="shared" si="10"/>
        <v>8</v>
      </c>
    </row>
    <row r="655" spans="1:11" ht="12.75">
      <c r="A655" s="1054">
        <v>24081004</v>
      </c>
      <c r="B655" s="1055" t="s">
        <v>893</v>
      </c>
      <c r="C655" s="1055" t="s">
        <v>530</v>
      </c>
      <c r="D655" s="1055" t="s">
        <v>1482</v>
      </c>
      <c r="E655" s="1055" t="s">
        <v>1483</v>
      </c>
      <c r="F655" s="1056">
        <v>8495</v>
      </c>
      <c r="G655" s="1056">
        <v>3089</v>
      </c>
      <c r="H655" s="1056">
        <v>0</v>
      </c>
      <c r="I655" s="1056">
        <v>11584</v>
      </c>
      <c r="K655" s="1037">
        <f t="shared" si="10"/>
        <v>8</v>
      </c>
    </row>
    <row r="656" spans="1:11" ht="12.75">
      <c r="A656" s="1054">
        <v>24081004</v>
      </c>
      <c r="B656" s="1055" t="s">
        <v>893</v>
      </c>
      <c r="C656" s="1055" t="s">
        <v>530</v>
      </c>
      <c r="D656" s="1055" t="s">
        <v>1208</v>
      </c>
      <c r="E656" s="1055" t="s">
        <v>428</v>
      </c>
      <c r="F656" s="1056">
        <v>8816</v>
      </c>
      <c r="G656" s="1056">
        <v>1763</v>
      </c>
      <c r="H656" s="1056">
        <v>0</v>
      </c>
      <c r="I656" s="1056">
        <v>10579</v>
      </c>
      <c r="K656" s="1037">
        <f t="shared" si="10"/>
        <v>8</v>
      </c>
    </row>
    <row r="657" spans="1:11" ht="12.75">
      <c r="A657" s="1054">
        <v>24081004</v>
      </c>
      <c r="B657" s="1055" t="s">
        <v>893</v>
      </c>
      <c r="C657" s="1055" t="s">
        <v>530</v>
      </c>
      <c r="D657" s="1055" t="s">
        <v>1315</v>
      </c>
      <c r="E657" s="1055" t="s">
        <v>996</v>
      </c>
      <c r="F657" s="1056">
        <v>228</v>
      </c>
      <c r="G657" s="1056">
        <v>0</v>
      </c>
      <c r="H657" s="1056">
        <v>0</v>
      </c>
      <c r="I657" s="1056">
        <v>228</v>
      </c>
      <c r="K657" s="1037">
        <f t="shared" si="10"/>
        <v>8</v>
      </c>
    </row>
    <row r="658" spans="1:11" ht="12.75">
      <c r="A658" s="1054">
        <v>24081004</v>
      </c>
      <c r="B658" s="1055" t="s">
        <v>893</v>
      </c>
      <c r="C658" s="1055" t="s">
        <v>530</v>
      </c>
      <c r="D658" s="1055" t="s">
        <v>1036</v>
      </c>
      <c r="E658" s="1055" t="s">
        <v>1037</v>
      </c>
      <c r="F658" s="1056">
        <v>2615</v>
      </c>
      <c r="G658" s="1056">
        <v>415</v>
      </c>
      <c r="H658" s="1056">
        <v>0</v>
      </c>
      <c r="I658" s="1056">
        <v>3030</v>
      </c>
      <c r="K658" s="1037">
        <f t="shared" si="10"/>
        <v>8</v>
      </c>
    </row>
    <row r="659" spans="1:11" ht="12.75">
      <c r="A659" s="1054">
        <v>24081004</v>
      </c>
      <c r="B659" s="1055" t="s">
        <v>893</v>
      </c>
      <c r="C659" s="1055" t="s">
        <v>530</v>
      </c>
      <c r="D659" s="1055" t="s">
        <v>1513</v>
      </c>
      <c r="E659" s="1055" t="s">
        <v>1514</v>
      </c>
      <c r="F659" s="1056">
        <v>81</v>
      </c>
      <c r="G659" s="1056">
        <v>0</v>
      </c>
      <c r="H659" s="1056">
        <v>0</v>
      </c>
      <c r="I659" s="1056">
        <v>81</v>
      </c>
      <c r="K659" s="1037">
        <f t="shared" si="10"/>
        <v>8</v>
      </c>
    </row>
    <row r="660" spans="1:11" ht="12.75">
      <c r="A660" s="1054">
        <v>24081004</v>
      </c>
      <c r="B660" s="1055" t="s">
        <v>893</v>
      </c>
      <c r="C660" s="1055" t="s">
        <v>530</v>
      </c>
      <c r="D660" s="1055" t="s">
        <v>1038</v>
      </c>
      <c r="E660" s="1055" t="s">
        <v>505</v>
      </c>
      <c r="F660" s="1056">
        <v>33</v>
      </c>
      <c r="G660" s="1056">
        <v>4</v>
      </c>
      <c r="H660" s="1056">
        <v>0</v>
      </c>
      <c r="I660" s="1056">
        <v>37</v>
      </c>
      <c r="K660" s="1037">
        <f t="shared" si="10"/>
        <v>8</v>
      </c>
    </row>
    <row r="661" spans="1:11" ht="12.75">
      <c r="A661" s="1054">
        <v>24081004</v>
      </c>
      <c r="B661" s="1055" t="s">
        <v>893</v>
      </c>
      <c r="C661" s="1055" t="s">
        <v>530</v>
      </c>
      <c r="D661" s="1055" t="s">
        <v>1294</v>
      </c>
      <c r="E661" s="1055" t="s">
        <v>779</v>
      </c>
      <c r="F661" s="1056">
        <v>76</v>
      </c>
      <c r="G661" s="1056">
        <v>0</v>
      </c>
      <c r="H661" s="1056">
        <v>0</v>
      </c>
      <c r="I661" s="1056">
        <v>76</v>
      </c>
      <c r="K661" s="1037">
        <f t="shared" si="10"/>
        <v>8</v>
      </c>
    </row>
    <row r="662" spans="1:11" ht="12.75">
      <c r="A662" s="1054">
        <v>24081004</v>
      </c>
      <c r="B662" s="1055" t="s">
        <v>893</v>
      </c>
      <c r="C662" s="1055" t="s">
        <v>530</v>
      </c>
      <c r="D662" s="1055" t="s">
        <v>1062</v>
      </c>
      <c r="E662" s="1055" t="s">
        <v>510</v>
      </c>
      <c r="F662" s="1056">
        <v>2139</v>
      </c>
      <c r="G662" s="1056">
        <v>484</v>
      </c>
      <c r="H662" s="1056">
        <v>0</v>
      </c>
      <c r="I662" s="1056">
        <v>2623</v>
      </c>
      <c r="K662" s="1037">
        <f t="shared" si="10"/>
        <v>8</v>
      </c>
    </row>
    <row r="663" spans="1:11" ht="12.75">
      <c r="A663" s="1054">
        <v>24081004</v>
      </c>
      <c r="B663" s="1055" t="s">
        <v>893</v>
      </c>
      <c r="C663" s="1055" t="s">
        <v>530</v>
      </c>
      <c r="D663" s="1055" t="s">
        <v>1039</v>
      </c>
      <c r="E663" s="1055" t="s">
        <v>681</v>
      </c>
      <c r="F663" s="1056">
        <v>6026</v>
      </c>
      <c r="G663" s="1056">
        <v>1475</v>
      </c>
      <c r="H663" s="1056">
        <v>0</v>
      </c>
      <c r="I663" s="1056">
        <v>7501</v>
      </c>
      <c r="K663" s="1037">
        <f t="shared" si="10"/>
        <v>8</v>
      </c>
    </row>
    <row r="664" spans="1:11" ht="12.75">
      <c r="A664" s="1054">
        <v>24081004</v>
      </c>
      <c r="B664" s="1055" t="s">
        <v>893</v>
      </c>
      <c r="C664" s="1055" t="s">
        <v>530</v>
      </c>
      <c r="D664" s="1055" t="s">
        <v>1316</v>
      </c>
      <c r="E664" s="1055" t="s">
        <v>985</v>
      </c>
      <c r="F664" s="1056">
        <v>33</v>
      </c>
      <c r="G664" s="1056">
        <v>0</v>
      </c>
      <c r="H664" s="1056">
        <v>0</v>
      </c>
      <c r="I664" s="1056">
        <v>33</v>
      </c>
      <c r="K664" s="1037">
        <f t="shared" si="10"/>
        <v>8</v>
      </c>
    </row>
    <row r="665" spans="1:11" ht="12.75">
      <c r="A665" s="1054">
        <v>24081009</v>
      </c>
      <c r="B665" s="1055" t="s">
        <v>893</v>
      </c>
      <c r="C665" s="1055" t="s">
        <v>531</v>
      </c>
      <c r="D665" s="1055" t="s">
        <v>893</v>
      </c>
      <c r="E665" s="1055" t="s">
        <v>893</v>
      </c>
      <c r="F665" s="1056">
        <v>4879</v>
      </c>
      <c r="G665" s="1056">
        <v>1633</v>
      </c>
      <c r="H665" s="1056">
        <v>0</v>
      </c>
      <c r="I665" s="1056">
        <v>6512</v>
      </c>
      <c r="K665" s="1037">
        <f t="shared" si="10"/>
        <v>8</v>
      </c>
    </row>
    <row r="666" spans="1:11" ht="12.75">
      <c r="A666" s="1054">
        <v>24081009</v>
      </c>
      <c r="B666" s="1055" t="s">
        <v>893</v>
      </c>
      <c r="C666" s="1055" t="s">
        <v>531</v>
      </c>
      <c r="D666" s="1055" t="s">
        <v>1329</v>
      </c>
      <c r="E666" s="1055" t="s">
        <v>1330</v>
      </c>
      <c r="F666" s="1056">
        <v>32</v>
      </c>
      <c r="G666" s="1056">
        <v>0</v>
      </c>
      <c r="H666" s="1056">
        <v>0</v>
      </c>
      <c r="I666" s="1056">
        <v>32</v>
      </c>
      <c r="K666" s="1037">
        <f t="shared" si="10"/>
        <v>8</v>
      </c>
    </row>
    <row r="667" spans="1:11" ht="12.75">
      <c r="A667" s="1054">
        <v>24081009</v>
      </c>
      <c r="B667" s="1055" t="s">
        <v>893</v>
      </c>
      <c r="C667" s="1055" t="s">
        <v>531</v>
      </c>
      <c r="D667" s="1055" t="s">
        <v>1469</v>
      </c>
      <c r="E667" s="1055" t="s">
        <v>1470</v>
      </c>
      <c r="F667" s="1056">
        <v>7</v>
      </c>
      <c r="G667" s="1056">
        <v>0</v>
      </c>
      <c r="H667" s="1056">
        <v>0</v>
      </c>
      <c r="I667" s="1056">
        <v>7</v>
      </c>
      <c r="K667" s="1037">
        <f t="shared" si="10"/>
        <v>8</v>
      </c>
    </row>
    <row r="668" spans="1:11" ht="12.75">
      <c r="A668" s="1054">
        <v>24081009</v>
      </c>
      <c r="B668" s="1055" t="s">
        <v>893</v>
      </c>
      <c r="C668" s="1055" t="s">
        <v>531</v>
      </c>
      <c r="D668" s="1055" t="s">
        <v>1331</v>
      </c>
      <c r="E668" s="1055" t="s">
        <v>1332</v>
      </c>
      <c r="F668" s="1056">
        <v>92</v>
      </c>
      <c r="G668" s="1056">
        <v>35</v>
      </c>
      <c r="H668" s="1056">
        <v>0</v>
      </c>
      <c r="I668" s="1056">
        <v>127</v>
      </c>
      <c r="K668" s="1037">
        <f t="shared" si="10"/>
        <v>8</v>
      </c>
    </row>
    <row r="669" spans="1:11" ht="12.75">
      <c r="A669" s="1054">
        <v>24081009</v>
      </c>
      <c r="B669" s="1055" t="s">
        <v>893</v>
      </c>
      <c r="C669" s="1055" t="s">
        <v>531</v>
      </c>
      <c r="D669" s="1055" t="s">
        <v>1228</v>
      </c>
      <c r="E669" s="1055" t="s">
        <v>1229</v>
      </c>
      <c r="F669" s="1056">
        <v>24</v>
      </c>
      <c r="G669" s="1056">
        <v>0</v>
      </c>
      <c r="H669" s="1056">
        <v>0</v>
      </c>
      <c r="I669" s="1056">
        <v>24</v>
      </c>
      <c r="K669" s="1037">
        <f t="shared" si="10"/>
        <v>8</v>
      </c>
    </row>
    <row r="670" spans="1:11" ht="12.75">
      <c r="A670" s="1054">
        <v>24081009</v>
      </c>
      <c r="B670" s="1055" t="s">
        <v>893</v>
      </c>
      <c r="C670" s="1055" t="s">
        <v>531</v>
      </c>
      <c r="D670" s="1055" t="s">
        <v>1105</v>
      </c>
      <c r="E670" s="1055" t="s">
        <v>1106</v>
      </c>
      <c r="F670" s="1056">
        <v>34</v>
      </c>
      <c r="G670" s="1056">
        <v>0</v>
      </c>
      <c r="H670" s="1056">
        <v>0</v>
      </c>
      <c r="I670" s="1056">
        <v>34</v>
      </c>
      <c r="K670" s="1037">
        <f t="shared" si="10"/>
        <v>8</v>
      </c>
    </row>
    <row r="671" spans="1:11" ht="12.75">
      <c r="A671" s="1054">
        <v>24081009</v>
      </c>
      <c r="B671" s="1055" t="s">
        <v>893</v>
      </c>
      <c r="C671" s="1055" t="s">
        <v>531</v>
      </c>
      <c r="D671" s="1055" t="s">
        <v>1817</v>
      </c>
      <c r="E671" s="1055" t="s">
        <v>1818</v>
      </c>
      <c r="F671" s="1056">
        <v>23</v>
      </c>
      <c r="G671" s="1056">
        <v>0</v>
      </c>
      <c r="H671" s="1056">
        <v>0</v>
      </c>
      <c r="I671" s="1056">
        <v>23</v>
      </c>
      <c r="K671" s="1037">
        <f t="shared" si="10"/>
        <v>8</v>
      </c>
    </row>
    <row r="672" spans="1:11" ht="12.75">
      <c r="A672" s="1054">
        <v>24081009</v>
      </c>
      <c r="B672" s="1055" t="s">
        <v>893</v>
      </c>
      <c r="C672" s="1055" t="s">
        <v>531</v>
      </c>
      <c r="D672" s="1055" t="s">
        <v>1752</v>
      </c>
      <c r="E672" s="1055" t="s">
        <v>1753</v>
      </c>
      <c r="F672" s="1056">
        <v>3</v>
      </c>
      <c r="G672" s="1056">
        <v>3</v>
      </c>
      <c r="H672" s="1056">
        <v>0</v>
      </c>
      <c r="I672" s="1056">
        <v>7</v>
      </c>
      <c r="K672" s="1037">
        <f t="shared" si="10"/>
        <v>8</v>
      </c>
    </row>
    <row r="673" spans="1:11" ht="12.75">
      <c r="A673" s="1054">
        <v>24081009</v>
      </c>
      <c r="B673" s="1055" t="s">
        <v>893</v>
      </c>
      <c r="C673" s="1055" t="s">
        <v>531</v>
      </c>
      <c r="D673" s="1055" t="s">
        <v>1336</v>
      </c>
      <c r="E673" s="1055" t="s">
        <v>1337</v>
      </c>
      <c r="F673" s="1056">
        <v>5</v>
      </c>
      <c r="G673" s="1056">
        <v>0</v>
      </c>
      <c r="H673" s="1056">
        <v>0</v>
      </c>
      <c r="I673" s="1056">
        <v>5</v>
      </c>
      <c r="K673" s="1037">
        <f t="shared" si="10"/>
        <v>8</v>
      </c>
    </row>
    <row r="674" spans="1:11" ht="12.75">
      <c r="A674" s="1054">
        <v>24081009</v>
      </c>
      <c r="B674" s="1055" t="s">
        <v>893</v>
      </c>
      <c r="C674" s="1055" t="s">
        <v>531</v>
      </c>
      <c r="D674" s="1055" t="s">
        <v>1230</v>
      </c>
      <c r="E674" s="1055" t="s">
        <v>1231</v>
      </c>
      <c r="F674" s="1056">
        <v>37</v>
      </c>
      <c r="G674" s="1056">
        <v>20</v>
      </c>
      <c r="H674" s="1056">
        <v>0</v>
      </c>
      <c r="I674" s="1056">
        <v>57</v>
      </c>
      <c r="K674" s="1037">
        <f t="shared" si="10"/>
        <v>8</v>
      </c>
    </row>
    <row r="675" spans="1:11" ht="12.75">
      <c r="A675" s="1054">
        <v>24081009</v>
      </c>
      <c r="B675" s="1055" t="s">
        <v>893</v>
      </c>
      <c r="C675" s="1055" t="s">
        <v>531</v>
      </c>
      <c r="D675" s="1055" t="s">
        <v>1558</v>
      </c>
      <c r="E675" s="1055" t="s">
        <v>1559</v>
      </c>
      <c r="F675" s="1056">
        <v>256</v>
      </c>
      <c r="G675" s="1056">
        <v>0</v>
      </c>
      <c r="H675" s="1056">
        <v>0</v>
      </c>
      <c r="I675" s="1056">
        <v>256</v>
      </c>
      <c r="K675" s="1037">
        <f t="shared" si="10"/>
        <v>8</v>
      </c>
    </row>
    <row r="676" spans="1:11" ht="12.75">
      <c r="A676" s="1054">
        <v>24081009</v>
      </c>
      <c r="B676" s="1055" t="s">
        <v>893</v>
      </c>
      <c r="C676" s="1055" t="s">
        <v>531</v>
      </c>
      <c r="D676" s="1055" t="s">
        <v>1326</v>
      </c>
      <c r="E676" s="1055" t="s">
        <v>1327</v>
      </c>
      <c r="F676" s="1056">
        <v>56</v>
      </c>
      <c r="G676" s="1056">
        <v>0</v>
      </c>
      <c r="H676" s="1056">
        <v>0</v>
      </c>
      <c r="I676" s="1056">
        <v>56</v>
      </c>
      <c r="K676" s="1037">
        <f t="shared" si="10"/>
        <v>8</v>
      </c>
    </row>
    <row r="677" spans="1:11" ht="12.75">
      <c r="A677" s="1054">
        <v>24081009</v>
      </c>
      <c r="B677" s="1055" t="s">
        <v>893</v>
      </c>
      <c r="C677" s="1055" t="s">
        <v>531</v>
      </c>
      <c r="D677" s="1055" t="s">
        <v>1572</v>
      </c>
      <c r="E677" s="1055" t="s">
        <v>1573</v>
      </c>
      <c r="F677" s="1056">
        <v>1</v>
      </c>
      <c r="G677" s="1056">
        <v>0</v>
      </c>
      <c r="H677" s="1056">
        <v>0</v>
      </c>
      <c r="I677" s="1056">
        <v>1</v>
      </c>
      <c r="K677" s="1037">
        <f t="shared" si="10"/>
        <v>8</v>
      </c>
    </row>
    <row r="678" spans="1:11" ht="12.75">
      <c r="A678" s="1054">
        <v>24081009</v>
      </c>
      <c r="B678" s="1055" t="s">
        <v>893</v>
      </c>
      <c r="C678" s="1055" t="s">
        <v>531</v>
      </c>
      <c r="D678" s="1055" t="s">
        <v>1340</v>
      </c>
      <c r="E678" s="1055" t="s">
        <v>1737</v>
      </c>
      <c r="F678" s="1056">
        <v>8</v>
      </c>
      <c r="G678" s="1056">
        <v>0</v>
      </c>
      <c r="H678" s="1056">
        <v>0</v>
      </c>
      <c r="I678" s="1056">
        <v>8</v>
      </c>
      <c r="K678" s="1037">
        <f t="shared" si="10"/>
        <v>8</v>
      </c>
    </row>
    <row r="679" spans="1:11" ht="12.75">
      <c r="A679" s="1054">
        <v>24081009</v>
      </c>
      <c r="B679" s="1055" t="s">
        <v>893</v>
      </c>
      <c r="C679" s="1055" t="s">
        <v>531</v>
      </c>
      <c r="D679" s="1055" t="s">
        <v>1232</v>
      </c>
      <c r="E679" s="1055" t="s">
        <v>1233</v>
      </c>
      <c r="F679" s="1056">
        <v>17</v>
      </c>
      <c r="G679" s="1056">
        <v>0</v>
      </c>
      <c r="H679" s="1056">
        <v>0</v>
      </c>
      <c r="I679" s="1056">
        <v>17</v>
      </c>
      <c r="K679" s="1037">
        <f t="shared" si="10"/>
        <v>8</v>
      </c>
    </row>
    <row r="680" spans="1:11" ht="12.75">
      <c r="A680" s="1054">
        <v>24081009</v>
      </c>
      <c r="B680" s="1055" t="s">
        <v>893</v>
      </c>
      <c r="C680" s="1055" t="s">
        <v>531</v>
      </c>
      <c r="D680" s="1055" t="s">
        <v>1234</v>
      </c>
      <c r="E680" s="1055" t="s">
        <v>913</v>
      </c>
      <c r="F680" s="1056">
        <v>1572</v>
      </c>
      <c r="G680" s="1056">
        <v>0</v>
      </c>
      <c r="H680" s="1056">
        <v>0</v>
      </c>
      <c r="I680" s="1056">
        <v>1572</v>
      </c>
      <c r="K680" s="1037">
        <f t="shared" si="10"/>
        <v>8</v>
      </c>
    </row>
    <row r="681" spans="1:11" ht="12.75">
      <c r="A681" s="1054">
        <v>24081009</v>
      </c>
      <c r="B681" s="1055" t="s">
        <v>893</v>
      </c>
      <c r="C681" s="1055" t="s">
        <v>531</v>
      </c>
      <c r="D681" s="1055" t="s">
        <v>1691</v>
      </c>
      <c r="E681" s="1055" t="s">
        <v>1692</v>
      </c>
      <c r="F681" s="1056">
        <v>58</v>
      </c>
      <c r="G681" s="1056">
        <v>0</v>
      </c>
      <c r="H681" s="1056">
        <v>0</v>
      </c>
      <c r="I681" s="1056">
        <v>58</v>
      </c>
      <c r="K681" s="1037">
        <f t="shared" si="10"/>
        <v>8</v>
      </c>
    </row>
    <row r="682" spans="1:11" ht="12.75">
      <c r="A682" s="1054">
        <v>24081009</v>
      </c>
      <c r="B682" s="1055" t="s">
        <v>893</v>
      </c>
      <c r="C682" s="1055" t="s">
        <v>531</v>
      </c>
      <c r="D682" s="1055" t="s">
        <v>1109</v>
      </c>
      <c r="E682" s="1055" t="s">
        <v>1110</v>
      </c>
      <c r="F682" s="1056">
        <v>226</v>
      </c>
      <c r="G682" s="1056">
        <v>651</v>
      </c>
      <c r="H682" s="1056">
        <v>0</v>
      </c>
      <c r="I682" s="1056">
        <v>877</v>
      </c>
      <c r="K682" s="1037">
        <f t="shared" si="10"/>
        <v>8</v>
      </c>
    </row>
    <row r="683" spans="1:11" ht="12.75">
      <c r="A683" s="1054">
        <v>24081009</v>
      </c>
      <c r="B683" s="1055" t="s">
        <v>893</v>
      </c>
      <c r="C683" s="1055" t="s">
        <v>531</v>
      </c>
      <c r="D683" s="1055" t="s">
        <v>1619</v>
      </c>
      <c r="E683" s="1055" t="s">
        <v>1620</v>
      </c>
      <c r="F683" s="1056">
        <v>0</v>
      </c>
      <c r="G683" s="1056">
        <v>14</v>
      </c>
      <c r="H683" s="1056">
        <v>0</v>
      </c>
      <c r="I683" s="1056">
        <v>14</v>
      </c>
      <c r="K683" s="1037">
        <f t="shared" si="10"/>
        <v>8</v>
      </c>
    </row>
    <row r="684" spans="1:11" ht="12.75">
      <c r="A684" s="1054">
        <v>24081009</v>
      </c>
      <c r="B684" s="1055" t="s">
        <v>893</v>
      </c>
      <c r="C684" s="1055" t="s">
        <v>531</v>
      </c>
      <c r="D684" s="1055" t="s">
        <v>1069</v>
      </c>
      <c r="E684" s="1055" t="s">
        <v>1070</v>
      </c>
      <c r="F684" s="1056">
        <v>68</v>
      </c>
      <c r="G684" s="1056">
        <v>7</v>
      </c>
      <c r="H684" s="1056">
        <v>0</v>
      </c>
      <c r="I684" s="1056">
        <v>75</v>
      </c>
      <c r="K684" s="1037">
        <f t="shared" si="10"/>
        <v>8</v>
      </c>
    </row>
    <row r="685" spans="1:11" ht="12.75">
      <c r="A685" s="1054">
        <v>24081009</v>
      </c>
      <c r="B685" s="1055" t="s">
        <v>893</v>
      </c>
      <c r="C685" s="1055" t="s">
        <v>531</v>
      </c>
      <c r="D685" s="1055" t="s">
        <v>1197</v>
      </c>
      <c r="E685" s="1055" t="s">
        <v>481</v>
      </c>
      <c r="F685" s="1056">
        <v>1046</v>
      </c>
      <c r="G685" s="1056">
        <v>218</v>
      </c>
      <c r="H685" s="1056">
        <v>0</v>
      </c>
      <c r="I685" s="1056">
        <v>1264</v>
      </c>
      <c r="K685" s="1037">
        <f t="shared" si="10"/>
        <v>8</v>
      </c>
    </row>
    <row r="686" spans="1:11" ht="12.75">
      <c r="A686" s="1054">
        <v>24081009</v>
      </c>
      <c r="B686" s="1055" t="s">
        <v>893</v>
      </c>
      <c r="C686" s="1055" t="s">
        <v>531</v>
      </c>
      <c r="D686" s="1055" t="s">
        <v>1290</v>
      </c>
      <c r="E686" s="1055" t="s">
        <v>1291</v>
      </c>
      <c r="F686" s="1056">
        <v>1</v>
      </c>
      <c r="G686" s="1056">
        <v>8</v>
      </c>
      <c r="H686" s="1056">
        <v>0</v>
      </c>
      <c r="I686" s="1056">
        <v>9</v>
      </c>
      <c r="K686" s="1037">
        <f t="shared" si="10"/>
        <v>8</v>
      </c>
    </row>
    <row r="687" spans="1:11" ht="12.75">
      <c r="A687" s="1054">
        <v>24081009</v>
      </c>
      <c r="B687" s="1055" t="s">
        <v>893</v>
      </c>
      <c r="C687" s="1055" t="s">
        <v>531</v>
      </c>
      <c r="D687" s="1055" t="s">
        <v>1345</v>
      </c>
      <c r="E687" s="1055" t="s">
        <v>1754</v>
      </c>
      <c r="F687" s="1056">
        <v>1</v>
      </c>
      <c r="G687" s="1056">
        <v>0</v>
      </c>
      <c r="H687" s="1056">
        <v>0</v>
      </c>
      <c r="I687" s="1056">
        <v>1</v>
      </c>
      <c r="K687" s="1037">
        <f t="shared" si="10"/>
        <v>8</v>
      </c>
    </row>
    <row r="688" spans="1:11" ht="12.75">
      <c r="A688" s="1054">
        <v>24081009</v>
      </c>
      <c r="B688" s="1055" t="s">
        <v>893</v>
      </c>
      <c r="C688" s="1055" t="s">
        <v>531</v>
      </c>
      <c r="D688" s="1055" t="s">
        <v>1235</v>
      </c>
      <c r="E688" s="1055" t="s">
        <v>1236</v>
      </c>
      <c r="F688" s="1056">
        <v>32</v>
      </c>
      <c r="G688" s="1056">
        <v>0</v>
      </c>
      <c r="H688" s="1056">
        <v>0</v>
      </c>
      <c r="I688" s="1056">
        <v>32</v>
      </c>
      <c r="K688" s="1037">
        <f t="shared" si="10"/>
        <v>8</v>
      </c>
    </row>
    <row r="689" spans="1:11" ht="12.75">
      <c r="A689" s="1054">
        <v>24081009</v>
      </c>
      <c r="B689" s="1055" t="s">
        <v>893</v>
      </c>
      <c r="C689" s="1055" t="s">
        <v>531</v>
      </c>
      <c r="D689" s="1055" t="s">
        <v>1346</v>
      </c>
      <c r="E689" s="1055" t="s">
        <v>1347</v>
      </c>
      <c r="F689" s="1056">
        <v>69</v>
      </c>
      <c r="G689" s="1056">
        <v>44</v>
      </c>
      <c r="H689" s="1056">
        <v>0</v>
      </c>
      <c r="I689" s="1056">
        <v>113</v>
      </c>
      <c r="K689" s="1037">
        <f t="shared" si="10"/>
        <v>8</v>
      </c>
    </row>
    <row r="690" spans="1:11" ht="12.75">
      <c r="A690" s="1054">
        <v>24081009</v>
      </c>
      <c r="B690" s="1055" t="s">
        <v>893</v>
      </c>
      <c r="C690" s="1055" t="s">
        <v>531</v>
      </c>
      <c r="D690" s="1055" t="s">
        <v>1348</v>
      </c>
      <c r="E690" s="1055" t="s">
        <v>1349</v>
      </c>
      <c r="F690" s="1056">
        <v>1</v>
      </c>
      <c r="G690" s="1056">
        <v>0</v>
      </c>
      <c r="H690" s="1056">
        <v>0</v>
      </c>
      <c r="I690" s="1056">
        <v>1</v>
      </c>
      <c r="K690" s="1037">
        <f t="shared" si="10"/>
        <v>8</v>
      </c>
    </row>
    <row r="691" spans="1:11" ht="12.75">
      <c r="A691" s="1054">
        <v>24081009</v>
      </c>
      <c r="B691" s="1055" t="s">
        <v>893</v>
      </c>
      <c r="C691" s="1055" t="s">
        <v>531</v>
      </c>
      <c r="D691" s="1055" t="s">
        <v>1237</v>
      </c>
      <c r="E691" s="1055" t="s">
        <v>338</v>
      </c>
      <c r="F691" s="1056">
        <v>6</v>
      </c>
      <c r="G691" s="1056">
        <v>0</v>
      </c>
      <c r="H691" s="1056">
        <v>0</v>
      </c>
      <c r="I691" s="1056">
        <v>6</v>
      </c>
      <c r="K691" s="1037">
        <f t="shared" si="10"/>
        <v>8</v>
      </c>
    </row>
    <row r="692" spans="1:11" ht="12.75">
      <c r="A692" s="1054">
        <v>24081009</v>
      </c>
      <c r="B692" s="1055" t="s">
        <v>893</v>
      </c>
      <c r="C692" s="1055" t="s">
        <v>531</v>
      </c>
      <c r="D692" s="1055" t="s">
        <v>1350</v>
      </c>
      <c r="E692" s="1055" t="s">
        <v>1351</v>
      </c>
      <c r="F692" s="1056">
        <v>1</v>
      </c>
      <c r="G692" s="1056">
        <v>0</v>
      </c>
      <c r="H692" s="1056">
        <v>0</v>
      </c>
      <c r="I692" s="1056">
        <v>1</v>
      </c>
      <c r="K692" s="1037">
        <f t="shared" si="10"/>
        <v>8</v>
      </c>
    </row>
    <row r="693" spans="1:11" ht="12.75">
      <c r="A693" s="1054">
        <v>24081009</v>
      </c>
      <c r="B693" s="1055" t="s">
        <v>893</v>
      </c>
      <c r="C693" s="1055" t="s">
        <v>531</v>
      </c>
      <c r="D693" s="1055" t="s">
        <v>1825</v>
      </c>
      <c r="E693" s="1055" t="s">
        <v>1826</v>
      </c>
      <c r="F693" s="1056">
        <v>20</v>
      </c>
      <c r="G693" s="1056">
        <v>0</v>
      </c>
      <c r="H693" s="1056">
        <v>0</v>
      </c>
      <c r="I693" s="1056">
        <v>20</v>
      </c>
      <c r="K693" s="1037">
        <f t="shared" si="10"/>
        <v>8</v>
      </c>
    </row>
    <row r="694" spans="1:11" ht="12.75">
      <c r="A694" s="1054">
        <v>24081009</v>
      </c>
      <c r="B694" s="1055" t="s">
        <v>893</v>
      </c>
      <c r="C694" s="1055" t="s">
        <v>531</v>
      </c>
      <c r="D694" s="1055" t="s">
        <v>1308</v>
      </c>
      <c r="E694" s="1055" t="s">
        <v>993</v>
      </c>
      <c r="F694" s="1056">
        <v>0</v>
      </c>
      <c r="G694" s="1056">
        <v>405</v>
      </c>
      <c r="H694" s="1056">
        <v>0</v>
      </c>
      <c r="I694" s="1056">
        <v>405</v>
      </c>
      <c r="K694" s="1037">
        <f t="shared" si="10"/>
        <v>8</v>
      </c>
    </row>
    <row r="695" spans="1:11" ht="12.75">
      <c r="A695" s="1054">
        <v>24081009</v>
      </c>
      <c r="B695" s="1055" t="s">
        <v>893</v>
      </c>
      <c r="C695" s="1055" t="s">
        <v>531</v>
      </c>
      <c r="D695" s="1055" t="s">
        <v>1075</v>
      </c>
      <c r="E695" s="1055" t="s">
        <v>325</v>
      </c>
      <c r="F695" s="1056">
        <v>759</v>
      </c>
      <c r="G695" s="1056">
        <v>0</v>
      </c>
      <c r="H695" s="1056">
        <v>0</v>
      </c>
      <c r="I695" s="1056">
        <v>759</v>
      </c>
      <c r="K695" s="1037">
        <f t="shared" si="10"/>
        <v>8</v>
      </c>
    </row>
    <row r="696" spans="1:11" ht="12.75">
      <c r="A696" s="1054">
        <v>24081009</v>
      </c>
      <c r="B696" s="1055" t="s">
        <v>893</v>
      </c>
      <c r="C696" s="1055" t="s">
        <v>531</v>
      </c>
      <c r="D696" s="1055" t="s">
        <v>1755</v>
      </c>
      <c r="E696" s="1055" t="s">
        <v>1756</v>
      </c>
      <c r="F696" s="1056">
        <v>18</v>
      </c>
      <c r="G696" s="1056">
        <v>0</v>
      </c>
      <c r="H696" s="1056">
        <v>0</v>
      </c>
      <c r="I696" s="1056">
        <v>18</v>
      </c>
      <c r="K696" s="1037">
        <f t="shared" si="10"/>
        <v>8</v>
      </c>
    </row>
    <row r="697" spans="1:11" ht="12.75">
      <c r="A697" s="1054">
        <v>24081009</v>
      </c>
      <c r="B697" s="1055" t="s">
        <v>893</v>
      </c>
      <c r="C697" s="1055" t="s">
        <v>531</v>
      </c>
      <c r="D697" s="1055" t="s">
        <v>1352</v>
      </c>
      <c r="E697" s="1055" t="s">
        <v>1353</v>
      </c>
      <c r="F697" s="1056">
        <v>1</v>
      </c>
      <c r="G697" s="1056">
        <v>0</v>
      </c>
      <c r="H697" s="1056">
        <v>0</v>
      </c>
      <c r="I697" s="1056">
        <v>1</v>
      </c>
      <c r="K697" s="1037">
        <f t="shared" si="10"/>
        <v>8</v>
      </c>
    </row>
    <row r="698" spans="1:11" ht="12.75">
      <c r="A698" s="1054">
        <v>24081009</v>
      </c>
      <c r="B698" s="1055" t="s">
        <v>893</v>
      </c>
      <c r="C698" s="1055" t="s">
        <v>531</v>
      </c>
      <c r="D698" s="1055" t="s">
        <v>1835</v>
      </c>
      <c r="E698" s="1055" t="s">
        <v>1836</v>
      </c>
      <c r="F698" s="1056">
        <v>8</v>
      </c>
      <c r="G698" s="1056">
        <v>0</v>
      </c>
      <c r="H698" s="1056">
        <v>0</v>
      </c>
      <c r="I698" s="1056">
        <v>8</v>
      </c>
      <c r="K698" s="1037">
        <f t="shared" si="10"/>
        <v>8</v>
      </c>
    </row>
    <row r="699" spans="1:11" ht="12.75">
      <c r="A699" s="1054">
        <v>24081009</v>
      </c>
      <c r="B699" s="1055" t="s">
        <v>893</v>
      </c>
      <c r="C699" s="1055" t="s">
        <v>531</v>
      </c>
      <c r="D699" s="1055" t="s">
        <v>1837</v>
      </c>
      <c r="E699" s="1055" t="s">
        <v>1838</v>
      </c>
      <c r="F699" s="1056">
        <v>4</v>
      </c>
      <c r="G699" s="1056">
        <v>0</v>
      </c>
      <c r="H699" s="1056">
        <v>0</v>
      </c>
      <c r="I699" s="1056">
        <v>4</v>
      </c>
      <c r="K699" s="1037">
        <f t="shared" si="10"/>
        <v>8</v>
      </c>
    </row>
    <row r="700" spans="1:11" ht="12.75">
      <c r="A700" s="1054">
        <v>24081009</v>
      </c>
      <c r="B700" s="1055" t="s">
        <v>893</v>
      </c>
      <c r="C700" s="1055" t="s">
        <v>531</v>
      </c>
      <c r="D700" s="1055" t="s">
        <v>1238</v>
      </c>
      <c r="E700" s="1055" t="s">
        <v>1239</v>
      </c>
      <c r="F700" s="1056">
        <v>124</v>
      </c>
      <c r="G700" s="1056">
        <v>46</v>
      </c>
      <c r="H700" s="1056">
        <v>0</v>
      </c>
      <c r="I700" s="1056">
        <v>169</v>
      </c>
      <c r="K700" s="1037">
        <f t="shared" si="10"/>
        <v>8</v>
      </c>
    </row>
    <row r="701" spans="1:11" ht="12.75">
      <c r="A701" s="1054">
        <v>24081009</v>
      </c>
      <c r="B701" s="1055" t="s">
        <v>893</v>
      </c>
      <c r="C701" s="1055" t="s">
        <v>531</v>
      </c>
      <c r="D701" s="1055" t="s">
        <v>1240</v>
      </c>
      <c r="E701" s="1055" t="s">
        <v>1241</v>
      </c>
      <c r="F701" s="1056">
        <v>11</v>
      </c>
      <c r="G701" s="1056">
        <v>0</v>
      </c>
      <c r="H701" s="1056">
        <v>0</v>
      </c>
      <c r="I701" s="1056">
        <v>11</v>
      </c>
      <c r="K701" s="1037">
        <f t="shared" si="10"/>
        <v>8</v>
      </c>
    </row>
    <row r="702" spans="1:11" ht="12.75">
      <c r="A702" s="1054">
        <v>24081009</v>
      </c>
      <c r="B702" s="1055" t="s">
        <v>893</v>
      </c>
      <c r="C702" s="1055" t="s">
        <v>531</v>
      </c>
      <c r="D702" s="1055" t="s">
        <v>1883</v>
      </c>
      <c r="E702" s="1055" t="s">
        <v>1884</v>
      </c>
      <c r="F702" s="1056">
        <v>0</v>
      </c>
      <c r="G702" s="1056">
        <v>145</v>
      </c>
      <c r="H702" s="1056">
        <v>0</v>
      </c>
      <c r="I702" s="1056">
        <v>145</v>
      </c>
      <c r="K702" s="1037">
        <f t="shared" si="10"/>
        <v>8</v>
      </c>
    </row>
    <row r="703" spans="1:11" ht="12.75">
      <c r="A703" s="1054">
        <v>24081009</v>
      </c>
      <c r="B703" s="1055" t="s">
        <v>893</v>
      </c>
      <c r="C703" s="1055" t="s">
        <v>531</v>
      </c>
      <c r="D703" s="1055" t="s">
        <v>1839</v>
      </c>
      <c r="E703" s="1055" t="s">
        <v>1840</v>
      </c>
      <c r="F703" s="1056">
        <v>27</v>
      </c>
      <c r="G703" s="1056">
        <v>0</v>
      </c>
      <c r="H703" s="1056">
        <v>0</v>
      </c>
      <c r="I703" s="1056">
        <v>27</v>
      </c>
      <c r="K703" s="1037">
        <f t="shared" si="10"/>
        <v>8</v>
      </c>
    </row>
    <row r="704" spans="1:11" ht="12.75">
      <c r="A704" s="1054">
        <v>24081009</v>
      </c>
      <c r="B704" s="1055" t="s">
        <v>893</v>
      </c>
      <c r="C704" s="1055" t="s">
        <v>531</v>
      </c>
      <c r="D704" s="1055" t="s">
        <v>1682</v>
      </c>
      <c r="E704" s="1055" t="s">
        <v>1683</v>
      </c>
      <c r="F704" s="1056">
        <v>12</v>
      </c>
      <c r="G704" s="1056">
        <v>0</v>
      </c>
      <c r="H704" s="1056">
        <v>0</v>
      </c>
      <c r="I704" s="1056">
        <v>12</v>
      </c>
      <c r="K704" s="1037">
        <f t="shared" si="10"/>
        <v>8</v>
      </c>
    </row>
    <row r="705" spans="1:11" ht="12.75">
      <c r="A705" s="1054">
        <v>24081009</v>
      </c>
      <c r="B705" s="1055" t="s">
        <v>893</v>
      </c>
      <c r="C705" s="1055" t="s">
        <v>531</v>
      </c>
      <c r="D705" s="1055" t="s">
        <v>1226</v>
      </c>
      <c r="E705" s="1055" t="s">
        <v>1227</v>
      </c>
      <c r="F705" s="1056">
        <v>25</v>
      </c>
      <c r="G705" s="1056">
        <v>0</v>
      </c>
      <c r="H705" s="1056">
        <v>0</v>
      </c>
      <c r="I705" s="1056">
        <v>25</v>
      </c>
      <c r="K705" s="1037">
        <f t="shared" si="10"/>
        <v>8</v>
      </c>
    </row>
    <row r="706" spans="1:11" ht="12.75">
      <c r="A706" s="1054">
        <v>24081009</v>
      </c>
      <c r="B706" s="1055" t="s">
        <v>893</v>
      </c>
      <c r="C706" s="1055" t="s">
        <v>531</v>
      </c>
      <c r="D706" s="1055" t="s">
        <v>1036</v>
      </c>
      <c r="E706" s="1055" t="s">
        <v>1037</v>
      </c>
      <c r="F706" s="1056">
        <v>0</v>
      </c>
      <c r="G706" s="1056">
        <v>3</v>
      </c>
      <c r="H706" s="1056">
        <v>0</v>
      </c>
      <c r="I706" s="1056">
        <v>3</v>
      </c>
      <c r="K706" s="1037">
        <f t="shared" si="10"/>
        <v>8</v>
      </c>
    </row>
    <row r="707" spans="1:11" ht="12.75">
      <c r="A707" s="1054">
        <v>24081009</v>
      </c>
      <c r="B707" s="1055" t="s">
        <v>893</v>
      </c>
      <c r="C707" s="1055" t="s">
        <v>531</v>
      </c>
      <c r="D707" s="1055" t="s">
        <v>1077</v>
      </c>
      <c r="E707" s="1055" t="s">
        <v>1078</v>
      </c>
      <c r="F707" s="1056">
        <v>5</v>
      </c>
      <c r="G707" s="1056">
        <v>0</v>
      </c>
      <c r="H707" s="1056">
        <v>0</v>
      </c>
      <c r="I707" s="1056">
        <v>5</v>
      </c>
      <c r="K707" s="1037">
        <f t="shared" si="10"/>
        <v>8</v>
      </c>
    </row>
    <row r="708" spans="1:11" ht="12.75">
      <c r="A708" s="1054">
        <v>24081009</v>
      </c>
      <c r="B708" s="1055" t="s">
        <v>893</v>
      </c>
      <c r="C708" s="1055" t="s">
        <v>531</v>
      </c>
      <c r="D708" s="1055" t="s">
        <v>1294</v>
      </c>
      <c r="E708" s="1055" t="s">
        <v>779</v>
      </c>
      <c r="F708" s="1056">
        <v>14</v>
      </c>
      <c r="G708" s="1056">
        <v>0</v>
      </c>
      <c r="H708" s="1056">
        <v>0</v>
      </c>
      <c r="I708" s="1056">
        <v>14</v>
      </c>
      <c r="K708" s="1037">
        <f t="shared" si="10"/>
        <v>8</v>
      </c>
    </row>
    <row r="709" spans="1:11" ht="12.75">
      <c r="A709" s="1054">
        <v>24081009</v>
      </c>
      <c r="B709" s="1055" t="s">
        <v>893</v>
      </c>
      <c r="C709" s="1055" t="s">
        <v>531</v>
      </c>
      <c r="D709" s="1055" t="s">
        <v>1467</v>
      </c>
      <c r="E709" s="1055" t="s">
        <v>1468</v>
      </c>
      <c r="F709" s="1056">
        <v>85</v>
      </c>
      <c r="G709" s="1056">
        <v>0</v>
      </c>
      <c r="H709" s="1056">
        <v>0</v>
      </c>
      <c r="I709" s="1056">
        <v>85</v>
      </c>
      <c r="K709" s="1037">
        <f t="shared" ref="K709:K772" si="11">+LEN(A709)</f>
        <v>8</v>
      </c>
    </row>
    <row r="710" spans="1:11" ht="12.75">
      <c r="A710" s="1054">
        <v>24081009</v>
      </c>
      <c r="B710" s="1055" t="s">
        <v>893</v>
      </c>
      <c r="C710" s="1055" t="s">
        <v>531</v>
      </c>
      <c r="D710" s="1055" t="s">
        <v>1738</v>
      </c>
      <c r="E710" s="1055" t="s">
        <v>1739</v>
      </c>
      <c r="F710" s="1056">
        <v>9</v>
      </c>
      <c r="G710" s="1056">
        <v>0</v>
      </c>
      <c r="H710" s="1056">
        <v>0</v>
      </c>
      <c r="I710" s="1056">
        <v>9</v>
      </c>
      <c r="K710" s="1037">
        <f t="shared" si="11"/>
        <v>8</v>
      </c>
    </row>
    <row r="711" spans="1:11" ht="12.75">
      <c r="A711" s="1054">
        <v>24081009</v>
      </c>
      <c r="B711" s="1055" t="s">
        <v>893</v>
      </c>
      <c r="C711" s="1055" t="s">
        <v>531</v>
      </c>
      <c r="D711" s="1055" t="s">
        <v>1684</v>
      </c>
      <c r="E711" s="1055" t="s">
        <v>1685</v>
      </c>
      <c r="F711" s="1056">
        <v>7</v>
      </c>
      <c r="G711" s="1056">
        <v>0</v>
      </c>
      <c r="H711" s="1056">
        <v>0</v>
      </c>
      <c r="I711" s="1056">
        <v>7</v>
      </c>
      <c r="K711" s="1037">
        <f t="shared" si="11"/>
        <v>8</v>
      </c>
    </row>
    <row r="712" spans="1:11" ht="12.75">
      <c r="A712" s="1054">
        <v>24081009</v>
      </c>
      <c r="B712" s="1055" t="s">
        <v>893</v>
      </c>
      <c r="C712" s="1055" t="s">
        <v>531</v>
      </c>
      <c r="D712" s="1055" t="s">
        <v>1354</v>
      </c>
      <c r="E712" s="1055" t="s">
        <v>1355</v>
      </c>
      <c r="F712" s="1056">
        <v>24</v>
      </c>
      <c r="G712" s="1056">
        <v>31</v>
      </c>
      <c r="H712" s="1056">
        <v>0</v>
      </c>
      <c r="I712" s="1056">
        <v>54</v>
      </c>
      <c r="K712" s="1037">
        <f t="shared" si="11"/>
        <v>8</v>
      </c>
    </row>
    <row r="713" spans="1:11" ht="12.75">
      <c r="A713" s="1054">
        <v>24081009</v>
      </c>
      <c r="B713" s="1055" t="s">
        <v>893</v>
      </c>
      <c r="C713" s="1055" t="s">
        <v>531</v>
      </c>
      <c r="D713" s="1055" t="s">
        <v>1316</v>
      </c>
      <c r="E713" s="1055" t="s">
        <v>985</v>
      </c>
      <c r="F713" s="1056">
        <v>39</v>
      </c>
      <c r="G713" s="1056">
        <v>0</v>
      </c>
      <c r="H713" s="1056">
        <v>0</v>
      </c>
      <c r="I713" s="1056">
        <v>39</v>
      </c>
      <c r="K713" s="1037">
        <f t="shared" si="11"/>
        <v>8</v>
      </c>
    </row>
    <row r="714" spans="1:11" ht="12.75">
      <c r="A714" s="1054">
        <v>24081009</v>
      </c>
      <c r="B714" s="1055" t="s">
        <v>893</v>
      </c>
      <c r="C714" s="1055" t="s">
        <v>531</v>
      </c>
      <c r="D714" s="1055" t="s">
        <v>1413</v>
      </c>
      <c r="E714" s="1055" t="s">
        <v>1414</v>
      </c>
      <c r="F714" s="1056">
        <v>5</v>
      </c>
      <c r="G714" s="1056">
        <v>4</v>
      </c>
      <c r="H714" s="1056">
        <v>0</v>
      </c>
      <c r="I714" s="1056">
        <v>9</v>
      </c>
      <c r="K714" s="1037">
        <f t="shared" si="11"/>
        <v>8</v>
      </c>
    </row>
    <row r="715" spans="1:11" ht="12.75">
      <c r="A715" s="1054">
        <v>24081009</v>
      </c>
      <c r="B715" s="1055" t="s">
        <v>893</v>
      </c>
      <c r="C715" s="1055" t="s">
        <v>531</v>
      </c>
      <c r="D715" s="1055" t="s">
        <v>1307</v>
      </c>
      <c r="E715" s="1055" t="s">
        <v>992</v>
      </c>
      <c r="F715" s="1056">
        <v>3</v>
      </c>
      <c r="G715" s="1056">
        <v>0</v>
      </c>
      <c r="H715" s="1056">
        <v>0</v>
      </c>
      <c r="I715" s="1056">
        <v>3</v>
      </c>
      <c r="K715" s="1037">
        <f t="shared" si="11"/>
        <v>8</v>
      </c>
    </row>
    <row r="716" spans="1:11" ht="12.75">
      <c r="A716" s="1054">
        <v>24081009</v>
      </c>
      <c r="B716" s="1055" t="s">
        <v>893</v>
      </c>
      <c r="C716" s="1055" t="s">
        <v>531</v>
      </c>
      <c r="D716" s="1055" t="s">
        <v>1757</v>
      </c>
      <c r="E716" s="1055" t="s">
        <v>1758</v>
      </c>
      <c r="F716" s="1056">
        <v>3</v>
      </c>
      <c r="G716" s="1056">
        <v>0</v>
      </c>
      <c r="H716" s="1056">
        <v>0</v>
      </c>
      <c r="I716" s="1056">
        <v>3</v>
      </c>
      <c r="K716" s="1037">
        <f t="shared" si="11"/>
        <v>8</v>
      </c>
    </row>
    <row r="717" spans="1:11" ht="12.75">
      <c r="A717" s="1054">
        <v>24081011</v>
      </c>
      <c r="B717" s="1055" t="s">
        <v>893</v>
      </c>
      <c r="C717" s="1055" t="s">
        <v>532</v>
      </c>
      <c r="D717" s="1055" t="s">
        <v>893</v>
      </c>
      <c r="E717" s="1055" t="s">
        <v>893</v>
      </c>
      <c r="F717" s="1056">
        <v>6924</v>
      </c>
      <c r="G717" s="1056">
        <v>1447</v>
      </c>
      <c r="H717" s="1056">
        <v>0</v>
      </c>
      <c r="I717" s="1056">
        <v>8371</v>
      </c>
      <c r="K717" s="1037">
        <f t="shared" si="11"/>
        <v>8</v>
      </c>
    </row>
    <row r="718" spans="1:11" ht="12.75">
      <c r="A718" s="1054">
        <v>24081011</v>
      </c>
      <c r="B718" s="1055" t="s">
        <v>893</v>
      </c>
      <c r="C718" s="1055" t="s">
        <v>532</v>
      </c>
      <c r="D718" s="1055" t="s">
        <v>1034</v>
      </c>
      <c r="E718" s="1055" t="s">
        <v>504</v>
      </c>
      <c r="F718" s="1056">
        <v>6921</v>
      </c>
      <c r="G718" s="1056">
        <v>1447</v>
      </c>
      <c r="H718" s="1056">
        <v>0</v>
      </c>
      <c r="I718" s="1056">
        <v>8368</v>
      </c>
      <c r="K718" s="1037">
        <f t="shared" si="11"/>
        <v>8</v>
      </c>
    </row>
    <row r="719" spans="1:11" ht="12.75">
      <c r="A719" s="1054">
        <v>24081011</v>
      </c>
      <c r="B719" s="1055" t="s">
        <v>893</v>
      </c>
      <c r="C719" s="1055" t="s">
        <v>532</v>
      </c>
      <c r="D719" s="1055" t="s">
        <v>1077</v>
      </c>
      <c r="E719" s="1055" t="s">
        <v>1078</v>
      </c>
      <c r="F719" s="1056">
        <v>3</v>
      </c>
      <c r="G719" s="1056">
        <v>0</v>
      </c>
      <c r="H719" s="1056">
        <v>0</v>
      </c>
      <c r="I719" s="1056">
        <v>3</v>
      </c>
      <c r="K719" s="1037">
        <f t="shared" si="11"/>
        <v>8</v>
      </c>
    </row>
    <row r="720" spans="1:11" ht="12.75">
      <c r="A720" s="1054">
        <v>24081012</v>
      </c>
      <c r="B720" s="1055" t="s">
        <v>893</v>
      </c>
      <c r="C720" s="1055" t="s">
        <v>533</v>
      </c>
      <c r="D720" s="1055" t="s">
        <v>893</v>
      </c>
      <c r="E720" s="1055" t="s">
        <v>893</v>
      </c>
      <c r="F720" s="1056">
        <v>135765</v>
      </c>
      <c r="G720" s="1056">
        <v>25215</v>
      </c>
      <c r="H720" s="1056">
        <v>0</v>
      </c>
      <c r="I720" s="1056">
        <v>160981</v>
      </c>
      <c r="K720" s="1037">
        <f t="shared" si="11"/>
        <v>8</v>
      </c>
    </row>
    <row r="721" spans="1:11" ht="12.75">
      <c r="A721" s="1054">
        <v>24081012</v>
      </c>
      <c r="B721" s="1055" t="s">
        <v>893</v>
      </c>
      <c r="C721" s="1055" t="s">
        <v>533</v>
      </c>
      <c r="D721" s="1055" t="s">
        <v>1549</v>
      </c>
      <c r="E721" s="1055" t="s">
        <v>1550</v>
      </c>
      <c r="F721" s="1056">
        <v>0</v>
      </c>
      <c r="G721" s="1056">
        <v>0</v>
      </c>
      <c r="H721" s="1056">
        <v>0</v>
      </c>
      <c r="I721" s="1056">
        <v>0</v>
      </c>
      <c r="K721" s="1037">
        <f t="shared" si="11"/>
        <v>8</v>
      </c>
    </row>
    <row r="722" spans="1:11" ht="12.75">
      <c r="A722" s="1054">
        <v>24081012</v>
      </c>
      <c r="B722" s="1055" t="s">
        <v>893</v>
      </c>
      <c r="C722" s="1055" t="s">
        <v>533</v>
      </c>
      <c r="D722" s="1055" t="s">
        <v>1069</v>
      </c>
      <c r="E722" s="1055" t="s">
        <v>1070</v>
      </c>
      <c r="F722" s="1056">
        <v>19</v>
      </c>
      <c r="G722" s="1056">
        <v>4</v>
      </c>
      <c r="H722" s="1056">
        <v>0</v>
      </c>
      <c r="I722" s="1056">
        <v>23</v>
      </c>
      <c r="K722" s="1037">
        <f t="shared" si="11"/>
        <v>8</v>
      </c>
    </row>
    <row r="723" spans="1:11" ht="12.75">
      <c r="A723" s="1054">
        <v>24081012</v>
      </c>
      <c r="B723" s="1055" t="s">
        <v>893</v>
      </c>
      <c r="C723" s="1055" t="s">
        <v>533</v>
      </c>
      <c r="D723" s="1055" t="s">
        <v>1071</v>
      </c>
      <c r="E723" s="1055" t="s">
        <v>700</v>
      </c>
      <c r="F723" s="1056">
        <v>3849</v>
      </c>
      <c r="G723" s="1056">
        <v>693</v>
      </c>
      <c r="H723" s="1056">
        <v>0</v>
      </c>
      <c r="I723" s="1056">
        <v>4542</v>
      </c>
      <c r="K723" s="1037">
        <f t="shared" si="11"/>
        <v>8</v>
      </c>
    </row>
    <row r="724" spans="1:11" ht="12.75">
      <c r="A724" s="1054">
        <v>24081012</v>
      </c>
      <c r="B724" s="1055" t="s">
        <v>893</v>
      </c>
      <c r="C724" s="1055" t="s">
        <v>533</v>
      </c>
      <c r="D724" s="1055" t="s">
        <v>1072</v>
      </c>
      <c r="E724" s="1055" t="s">
        <v>512</v>
      </c>
      <c r="F724" s="1056">
        <v>1117</v>
      </c>
      <c r="G724" s="1056">
        <v>175</v>
      </c>
      <c r="H724" s="1056">
        <v>0</v>
      </c>
      <c r="I724" s="1056">
        <v>1292</v>
      </c>
      <c r="K724" s="1037">
        <f t="shared" si="11"/>
        <v>8</v>
      </c>
    </row>
    <row r="725" spans="1:11" ht="12.75">
      <c r="A725" s="1054">
        <v>24081012</v>
      </c>
      <c r="B725" s="1055" t="s">
        <v>893</v>
      </c>
      <c r="C725" s="1055" t="s">
        <v>533</v>
      </c>
      <c r="D725" s="1055" t="s">
        <v>1551</v>
      </c>
      <c r="E725" s="1055" t="s">
        <v>1552</v>
      </c>
      <c r="F725" s="1056">
        <v>1640</v>
      </c>
      <c r="G725" s="1056">
        <v>367</v>
      </c>
      <c r="H725" s="1056">
        <v>0</v>
      </c>
      <c r="I725" s="1056">
        <v>2007</v>
      </c>
      <c r="K725" s="1037">
        <f t="shared" si="11"/>
        <v>8</v>
      </c>
    </row>
    <row r="726" spans="1:11" ht="12.75">
      <c r="A726" s="1054">
        <v>24081012</v>
      </c>
      <c r="B726" s="1055" t="s">
        <v>893</v>
      </c>
      <c r="C726" s="1055" t="s">
        <v>533</v>
      </c>
      <c r="D726" s="1055" t="s">
        <v>1034</v>
      </c>
      <c r="E726" s="1055" t="s">
        <v>504</v>
      </c>
      <c r="F726" s="1056">
        <v>102804</v>
      </c>
      <c r="G726" s="1056">
        <v>19004</v>
      </c>
      <c r="H726" s="1056">
        <v>0</v>
      </c>
      <c r="I726" s="1056">
        <v>121808</v>
      </c>
      <c r="K726" s="1037">
        <f t="shared" si="11"/>
        <v>8</v>
      </c>
    </row>
    <row r="727" spans="1:11" ht="12.75">
      <c r="A727" s="1054">
        <v>24081012</v>
      </c>
      <c r="B727" s="1055" t="s">
        <v>893</v>
      </c>
      <c r="C727" s="1055" t="s">
        <v>533</v>
      </c>
      <c r="D727" s="1055" t="s">
        <v>1073</v>
      </c>
      <c r="E727" s="1055" t="s">
        <v>701</v>
      </c>
      <c r="F727" s="1056">
        <v>674</v>
      </c>
      <c r="G727" s="1056">
        <v>0</v>
      </c>
      <c r="H727" s="1056">
        <v>0</v>
      </c>
      <c r="I727" s="1056">
        <v>674</v>
      </c>
      <c r="K727" s="1037">
        <f t="shared" si="11"/>
        <v>8</v>
      </c>
    </row>
    <row r="728" spans="1:11" ht="12.75">
      <c r="A728" s="1054">
        <v>24081012</v>
      </c>
      <c r="B728" s="1055" t="s">
        <v>893</v>
      </c>
      <c r="C728" s="1055" t="s">
        <v>533</v>
      </c>
      <c r="D728" s="1055" t="s">
        <v>1348</v>
      </c>
      <c r="E728" s="1055" t="s">
        <v>1349</v>
      </c>
      <c r="F728" s="1056">
        <v>0</v>
      </c>
      <c r="G728" s="1056">
        <v>0</v>
      </c>
      <c r="H728" s="1056">
        <v>0</v>
      </c>
      <c r="I728" s="1056">
        <v>0</v>
      </c>
      <c r="K728" s="1037">
        <f t="shared" si="11"/>
        <v>8</v>
      </c>
    </row>
    <row r="729" spans="1:11" ht="12.75">
      <c r="A729" s="1054">
        <v>24081012</v>
      </c>
      <c r="B729" s="1055" t="s">
        <v>893</v>
      </c>
      <c r="C729" s="1055" t="s">
        <v>533</v>
      </c>
      <c r="D729" s="1055" t="s">
        <v>1074</v>
      </c>
      <c r="E729" s="1055" t="s">
        <v>257</v>
      </c>
      <c r="F729" s="1056">
        <v>24683</v>
      </c>
      <c r="G729" s="1056">
        <v>4645</v>
      </c>
      <c r="H729" s="1056">
        <v>0</v>
      </c>
      <c r="I729" s="1056">
        <v>29328</v>
      </c>
      <c r="K729" s="1037">
        <f t="shared" si="11"/>
        <v>8</v>
      </c>
    </row>
    <row r="730" spans="1:11" ht="12.75">
      <c r="A730" s="1054">
        <v>24081012</v>
      </c>
      <c r="B730" s="1055" t="s">
        <v>893</v>
      </c>
      <c r="C730" s="1055" t="s">
        <v>533</v>
      </c>
      <c r="D730" s="1055" t="s">
        <v>1075</v>
      </c>
      <c r="E730" s="1055" t="s">
        <v>325</v>
      </c>
      <c r="F730" s="1056">
        <v>28</v>
      </c>
      <c r="G730" s="1056">
        <v>149</v>
      </c>
      <c r="H730" s="1056">
        <v>0</v>
      </c>
      <c r="I730" s="1056">
        <v>177</v>
      </c>
      <c r="K730" s="1037">
        <f t="shared" si="11"/>
        <v>8</v>
      </c>
    </row>
    <row r="731" spans="1:11" ht="12.75">
      <c r="A731" s="1054">
        <v>24081012</v>
      </c>
      <c r="B731" s="1055" t="s">
        <v>893</v>
      </c>
      <c r="C731" s="1055" t="s">
        <v>533</v>
      </c>
      <c r="D731" s="1055" t="s">
        <v>1076</v>
      </c>
      <c r="E731" s="1055" t="s">
        <v>1027</v>
      </c>
      <c r="F731" s="1056">
        <v>210</v>
      </c>
      <c r="G731" s="1056">
        <v>0</v>
      </c>
      <c r="H731" s="1056">
        <v>0</v>
      </c>
      <c r="I731" s="1056">
        <v>210</v>
      </c>
      <c r="K731" s="1037">
        <f t="shared" si="11"/>
        <v>8</v>
      </c>
    </row>
    <row r="732" spans="1:11" ht="12.75">
      <c r="A732" s="1054">
        <v>24081012</v>
      </c>
      <c r="B732" s="1055" t="s">
        <v>893</v>
      </c>
      <c r="C732" s="1055" t="s">
        <v>533</v>
      </c>
      <c r="D732" s="1055" t="s">
        <v>1238</v>
      </c>
      <c r="E732" s="1055" t="s">
        <v>1239</v>
      </c>
      <c r="F732" s="1056">
        <v>0</v>
      </c>
      <c r="G732" s="1056">
        <v>6</v>
      </c>
      <c r="H732" s="1056">
        <v>0</v>
      </c>
      <c r="I732" s="1056">
        <v>6</v>
      </c>
      <c r="K732" s="1037">
        <f t="shared" si="11"/>
        <v>8</v>
      </c>
    </row>
    <row r="733" spans="1:11" ht="12.75">
      <c r="A733" s="1054">
        <v>24081012</v>
      </c>
      <c r="B733" s="1055" t="s">
        <v>893</v>
      </c>
      <c r="C733" s="1055" t="s">
        <v>533</v>
      </c>
      <c r="D733" s="1055" t="s">
        <v>1077</v>
      </c>
      <c r="E733" s="1055" t="s">
        <v>1078</v>
      </c>
      <c r="F733" s="1056">
        <v>223</v>
      </c>
      <c r="G733" s="1056">
        <v>87</v>
      </c>
      <c r="H733" s="1056">
        <v>0</v>
      </c>
      <c r="I733" s="1056">
        <v>310</v>
      </c>
      <c r="K733" s="1037">
        <f t="shared" si="11"/>
        <v>8</v>
      </c>
    </row>
    <row r="734" spans="1:11" ht="12.75">
      <c r="A734" s="1054">
        <v>24081012</v>
      </c>
      <c r="B734" s="1055" t="s">
        <v>893</v>
      </c>
      <c r="C734" s="1055" t="s">
        <v>533</v>
      </c>
      <c r="D734" s="1055" t="s">
        <v>1062</v>
      </c>
      <c r="E734" s="1055" t="s">
        <v>510</v>
      </c>
      <c r="F734" s="1056">
        <v>31</v>
      </c>
      <c r="G734" s="1056">
        <v>0</v>
      </c>
      <c r="H734" s="1056">
        <v>0</v>
      </c>
      <c r="I734" s="1056">
        <v>31</v>
      </c>
      <c r="K734" s="1037">
        <f t="shared" si="11"/>
        <v>8</v>
      </c>
    </row>
    <row r="735" spans="1:11" ht="12.75">
      <c r="A735" s="1054">
        <v>24081012</v>
      </c>
      <c r="B735" s="1055" t="s">
        <v>893</v>
      </c>
      <c r="C735" s="1055" t="s">
        <v>533</v>
      </c>
      <c r="D735" s="1055" t="s">
        <v>1413</v>
      </c>
      <c r="E735" s="1055" t="s">
        <v>1414</v>
      </c>
      <c r="F735" s="1056">
        <v>0</v>
      </c>
      <c r="G735" s="1056">
        <v>1</v>
      </c>
      <c r="H735" s="1056">
        <v>0</v>
      </c>
      <c r="I735" s="1056">
        <v>1</v>
      </c>
      <c r="K735" s="1037">
        <f t="shared" si="11"/>
        <v>8</v>
      </c>
    </row>
    <row r="736" spans="1:11" ht="12.75">
      <c r="A736" s="1054">
        <v>24081012</v>
      </c>
      <c r="B736" s="1055" t="s">
        <v>893</v>
      </c>
      <c r="C736" s="1055" t="s">
        <v>533</v>
      </c>
      <c r="D736" s="1055" t="s">
        <v>1307</v>
      </c>
      <c r="E736" s="1055" t="s">
        <v>992</v>
      </c>
      <c r="F736" s="1056">
        <v>486</v>
      </c>
      <c r="G736" s="1056">
        <v>84</v>
      </c>
      <c r="H736" s="1056">
        <v>0</v>
      </c>
      <c r="I736" s="1056">
        <v>571</v>
      </c>
      <c r="K736" s="1037">
        <f t="shared" si="11"/>
        <v>8</v>
      </c>
    </row>
    <row r="737" spans="1:11" ht="12.75">
      <c r="A737" s="1054">
        <v>24081099</v>
      </c>
      <c r="B737" s="1055" t="s">
        <v>1489</v>
      </c>
      <c r="C737" s="1055" t="s">
        <v>916</v>
      </c>
      <c r="D737" s="1055" t="s">
        <v>893</v>
      </c>
      <c r="E737" s="1055" t="s">
        <v>893</v>
      </c>
      <c r="F737" s="1056">
        <v>905</v>
      </c>
      <c r="G737" s="1056">
        <v>235</v>
      </c>
      <c r="H737" s="1056">
        <v>0</v>
      </c>
      <c r="I737" s="1056">
        <v>1140</v>
      </c>
      <c r="K737" s="1037">
        <f t="shared" si="11"/>
        <v>8</v>
      </c>
    </row>
    <row r="738" spans="1:11" ht="12.75">
      <c r="A738" s="1054">
        <v>24081099</v>
      </c>
      <c r="B738" s="1055" t="s">
        <v>1489</v>
      </c>
      <c r="C738" s="1055" t="s">
        <v>916</v>
      </c>
      <c r="D738" s="1055" t="s">
        <v>1223</v>
      </c>
      <c r="E738" s="1055" t="s">
        <v>742</v>
      </c>
      <c r="F738" s="1056">
        <v>905</v>
      </c>
      <c r="G738" s="1056">
        <v>235</v>
      </c>
      <c r="H738" s="1056">
        <v>0</v>
      </c>
      <c r="I738" s="1056">
        <v>1140</v>
      </c>
      <c r="K738" s="1037">
        <f t="shared" si="11"/>
        <v>8</v>
      </c>
    </row>
    <row r="739" spans="1:11" ht="12.75">
      <c r="A739" s="1054">
        <v>240811</v>
      </c>
      <c r="B739" s="1055" t="s">
        <v>893</v>
      </c>
      <c r="C739" s="1055" t="s">
        <v>930</v>
      </c>
      <c r="D739" s="1055" t="s">
        <v>893</v>
      </c>
      <c r="E739" s="1055" t="s">
        <v>893</v>
      </c>
      <c r="F739" s="1056">
        <v>-1990</v>
      </c>
      <c r="G739" s="1056">
        <v>0</v>
      </c>
      <c r="H739" s="1056">
        <v>101</v>
      </c>
      <c r="I739" s="1056">
        <v>-2091</v>
      </c>
      <c r="K739" s="1037">
        <f t="shared" si="11"/>
        <v>6</v>
      </c>
    </row>
    <row r="740" spans="1:11" ht="12.75">
      <c r="A740" s="1054">
        <v>24081106</v>
      </c>
      <c r="B740" s="1055" t="s">
        <v>1489</v>
      </c>
      <c r="C740" s="1055" t="s">
        <v>1574</v>
      </c>
      <c r="D740" s="1055" t="s">
        <v>893</v>
      </c>
      <c r="E740" s="1055" t="s">
        <v>893</v>
      </c>
      <c r="F740" s="1056">
        <v>-129</v>
      </c>
      <c r="G740" s="1056">
        <v>0</v>
      </c>
      <c r="H740" s="1056">
        <v>101</v>
      </c>
      <c r="I740" s="1056">
        <v>-230</v>
      </c>
      <c r="K740" s="1037">
        <f t="shared" si="11"/>
        <v>8</v>
      </c>
    </row>
    <row r="741" spans="1:11" ht="12.75">
      <c r="A741" s="1054">
        <v>24081106</v>
      </c>
      <c r="B741" s="1055" t="s">
        <v>1489</v>
      </c>
      <c r="C741" s="1055" t="s">
        <v>1574</v>
      </c>
      <c r="D741" s="1055" t="s">
        <v>1331</v>
      </c>
      <c r="E741" s="1055" t="s">
        <v>1332</v>
      </c>
      <c r="F741" s="1056">
        <v>-7</v>
      </c>
      <c r="G741" s="1056">
        <v>0</v>
      </c>
      <c r="H741" s="1056">
        <v>0</v>
      </c>
      <c r="I741" s="1056">
        <v>-7</v>
      </c>
      <c r="K741" s="1037">
        <f t="shared" si="11"/>
        <v>8</v>
      </c>
    </row>
    <row r="742" spans="1:11" ht="12.75">
      <c r="A742" s="1054">
        <v>24081106</v>
      </c>
      <c r="B742" s="1055" t="s">
        <v>1489</v>
      </c>
      <c r="C742" s="1055" t="s">
        <v>1574</v>
      </c>
      <c r="D742" s="1055" t="s">
        <v>1105</v>
      </c>
      <c r="E742" s="1055" t="s">
        <v>1106</v>
      </c>
      <c r="F742" s="1056">
        <v>0</v>
      </c>
      <c r="G742" s="1056">
        <v>0</v>
      </c>
      <c r="H742" s="1056">
        <v>34</v>
      </c>
      <c r="I742" s="1056">
        <v>-34</v>
      </c>
      <c r="K742" s="1037">
        <f t="shared" si="11"/>
        <v>8</v>
      </c>
    </row>
    <row r="743" spans="1:11" ht="12.75">
      <c r="A743" s="1054">
        <v>24081106</v>
      </c>
      <c r="B743" s="1055" t="s">
        <v>1489</v>
      </c>
      <c r="C743" s="1055" t="s">
        <v>1574</v>
      </c>
      <c r="D743" s="1055" t="s">
        <v>1069</v>
      </c>
      <c r="E743" s="1055" t="s">
        <v>1070</v>
      </c>
      <c r="F743" s="1056">
        <v>-1</v>
      </c>
      <c r="G743" s="1056">
        <v>0</v>
      </c>
      <c r="H743" s="1056">
        <v>0</v>
      </c>
      <c r="I743" s="1056">
        <v>-1</v>
      </c>
      <c r="K743" s="1037">
        <f t="shared" si="11"/>
        <v>8</v>
      </c>
    </row>
    <row r="744" spans="1:11" ht="12.75">
      <c r="A744" s="1054">
        <v>24081106</v>
      </c>
      <c r="B744" s="1055" t="s">
        <v>1489</v>
      </c>
      <c r="C744" s="1055" t="s">
        <v>1574</v>
      </c>
      <c r="D744" s="1055" t="s">
        <v>1235</v>
      </c>
      <c r="E744" s="1055" t="s">
        <v>1236</v>
      </c>
      <c r="F744" s="1056">
        <v>-17</v>
      </c>
      <c r="G744" s="1056">
        <v>0</v>
      </c>
      <c r="H744" s="1056">
        <v>0</v>
      </c>
      <c r="I744" s="1056">
        <v>-17</v>
      </c>
      <c r="K744" s="1037">
        <f t="shared" si="11"/>
        <v>8</v>
      </c>
    </row>
    <row r="745" spans="1:11" ht="12.75">
      <c r="A745" s="1054">
        <v>24081106</v>
      </c>
      <c r="B745" s="1055" t="s">
        <v>1489</v>
      </c>
      <c r="C745" s="1055" t="s">
        <v>1574</v>
      </c>
      <c r="D745" s="1055" t="s">
        <v>1346</v>
      </c>
      <c r="E745" s="1055" t="s">
        <v>1347</v>
      </c>
      <c r="F745" s="1056">
        <v>0</v>
      </c>
      <c r="G745" s="1056">
        <v>0</v>
      </c>
      <c r="H745" s="1056">
        <v>44</v>
      </c>
      <c r="I745" s="1056">
        <v>-44</v>
      </c>
      <c r="K745" s="1037">
        <f t="shared" si="11"/>
        <v>8</v>
      </c>
    </row>
    <row r="746" spans="1:11" ht="12.75">
      <c r="A746" s="1054">
        <v>24081106</v>
      </c>
      <c r="B746" s="1055" t="s">
        <v>1489</v>
      </c>
      <c r="C746" s="1055" t="s">
        <v>1574</v>
      </c>
      <c r="D746" s="1055" t="s">
        <v>1075</v>
      </c>
      <c r="E746" s="1055" t="s">
        <v>325</v>
      </c>
      <c r="F746" s="1056">
        <v>-93</v>
      </c>
      <c r="G746" s="1056">
        <v>0</v>
      </c>
      <c r="H746" s="1056">
        <v>17</v>
      </c>
      <c r="I746" s="1056">
        <v>-109</v>
      </c>
      <c r="K746" s="1037">
        <f t="shared" si="11"/>
        <v>8</v>
      </c>
    </row>
    <row r="747" spans="1:11" ht="12.75">
      <c r="A747" s="1054">
        <v>24081106</v>
      </c>
      <c r="B747" s="1055" t="s">
        <v>1489</v>
      </c>
      <c r="C747" s="1055" t="s">
        <v>1574</v>
      </c>
      <c r="D747" s="1055" t="s">
        <v>1077</v>
      </c>
      <c r="E747" s="1055" t="s">
        <v>1078</v>
      </c>
      <c r="F747" s="1056">
        <v>-11</v>
      </c>
      <c r="G747" s="1056">
        <v>0</v>
      </c>
      <c r="H747" s="1056">
        <v>0</v>
      </c>
      <c r="I747" s="1056">
        <v>-11</v>
      </c>
      <c r="K747" s="1037">
        <f t="shared" si="11"/>
        <v>8</v>
      </c>
    </row>
    <row r="748" spans="1:11" ht="12.75">
      <c r="A748" s="1054">
        <v>24081106</v>
      </c>
      <c r="B748" s="1055" t="s">
        <v>1489</v>
      </c>
      <c r="C748" s="1055" t="s">
        <v>1574</v>
      </c>
      <c r="D748" s="1055" t="s">
        <v>1354</v>
      </c>
      <c r="E748" s="1055" t="s">
        <v>1355</v>
      </c>
      <c r="F748" s="1056">
        <v>0</v>
      </c>
      <c r="G748" s="1056">
        <v>0</v>
      </c>
      <c r="H748" s="1056">
        <v>7</v>
      </c>
      <c r="I748" s="1056">
        <v>-7</v>
      </c>
      <c r="K748" s="1037">
        <f t="shared" si="11"/>
        <v>8</v>
      </c>
    </row>
    <row r="749" spans="1:11" ht="12.75">
      <c r="A749" s="1054">
        <v>24081107</v>
      </c>
      <c r="B749" s="1055" t="s">
        <v>1489</v>
      </c>
      <c r="C749" s="1055" t="s">
        <v>1007</v>
      </c>
      <c r="D749" s="1055" t="s">
        <v>893</v>
      </c>
      <c r="E749" s="1055" t="s">
        <v>893</v>
      </c>
      <c r="F749" s="1056">
        <v>-1861</v>
      </c>
      <c r="G749" s="1056">
        <v>0</v>
      </c>
      <c r="H749" s="1056">
        <v>0</v>
      </c>
      <c r="I749" s="1056">
        <v>-1861</v>
      </c>
      <c r="K749" s="1037">
        <f t="shared" si="11"/>
        <v>8</v>
      </c>
    </row>
    <row r="750" spans="1:11" ht="12.75">
      <c r="A750" s="1054">
        <v>24081107</v>
      </c>
      <c r="B750" s="1055" t="s">
        <v>1489</v>
      </c>
      <c r="C750" s="1055" t="s">
        <v>1007</v>
      </c>
      <c r="D750" s="1055" t="s">
        <v>1331</v>
      </c>
      <c r="E750" s="1055" t="s">
        <v>1332</v>
      </c>
      <c r="F750" s="1056">
        <v>-1</v>
      </c>
      <c r="G750" s="1056">
        <v>0</v>
      </c>
      <c r="H750" s="1056">
        <v>0</v>
      </c>
      <c r="I750" s="1056">
        <v>-1</v>
      </c>
      <c r="K750" s="1037">
        <f t="shared" si="11"/>
        <v>8</v>
      </c>
    </row>
    <row r="751" spans="1:11" ht="12.75">
      <c r="A751" s="1054">
        <v>24081107</v>
      </c>
      <c r="B751" s="1055" t="s">
        <v>1489</v>
      </c>
      <c r="C751" s="1055" t="s">
        <v>1007</v>
      </c>
      <c r="D751" s="1055" t="s">
        <v>1491</v>
      </c>
      <c r="E751" s="1055" t="s">
        <v>1492</v>
      </c>
      <c r="F751" s="1056">
        <v>-197</v>
      </c>
      <c r="G751" s="1056">
        <v>0</v>
      </c>
      <c r="H751" s="1056">
        <v>0</v>
      </c>
      <c r="I751" s="1056">
        <v>-197</v>
      </c>
      <c r="K751" s="1037">
        <f t="shared" si="11"/>
        <v>8</v>
      </c>
    </row>
    <row r="752" spans="1:11" ht="12.75">
      <c r="A752" s="1054">
        <v>24081107</v>
      </c>
      <c r="B752" s="1055" t="s">
        <v>1489</v>
      </c>
      <c r="C752" s="1055" t="s">
        <v>1007</v>
      </c>
      <c r="D752" s="1055" t="s">
        <v>1046</v>
      </c>
      <c r="E752" s="1055" t="s">
        <v>1026</v>
      </c>
      <c r="F752" s="1056">
        <v>-15</v>
      </c>
      <c r="G752" s="1056">
        <v>0</v>
      </c>
      <c r="H752" s="1056">
        <v>0</v>
      </c>
      <c r="I752" s="1056">
        <v>-15</v>
      </c>
      <c r="K752" s="1037">
        <f t="shared" si="11"/>
        <v>8</v>
      </c>
    </row>
    <row r="753" spans="1:11" ht="12.75">
      <c r="A753" s="1054">
        <v>24081107</v>
      </c>
      <c r="B753" s="1055" t="s">
        <v>1489</v>
      </c>
      <c r="C753" s="1055" t="s">
        <v>1007</v>
      </c>
      <c r="D753" s="1055" t="s">
        <v>1237</v>
      </c>
      <c r="E753" s="1055" t="s">
        <v>338</v>
      </c>
      <c r="F753" s="1056">
        <v>-6</v>
      </c>
      <c r="G753" s="1056">
        <v>0</v>
      </c>
      <c r="H753" s="1056">
        <v>0</v>
      </c>
      <c r="I753" s="1056">
        <v>-6</v>
      </c>
      <c r="K753" s="1037">
        <f t="shared" si="11"/>
        <v>8</v>
      </c>
    </row>
    <row r="754" spans="1:11" ht="12.75">
      <c r="A754" s="1054">
        <v>24081107</v>
      </c>
      <c r="B754" s="1055" t="s">
        <v>1489</v>
      </c>
      <c r="C754" s="1055" t="s">
        <v>1007</v>
      </c>
      <c r="D754" s="1055" t="s">
        <v>1240</v>
      </c>
      <c r="E754" s="1055" t="s">
        <v>1241</v>
      </c>
      <c r="F754" s="1056">
        <v>-23</v>
      </c>
      <c r="G754" s="1056">
        <v>0</v>
      </c>
      <c r="H754" s="1056">
        <v>0</v>
      </c>
      <c r="I754" s="1056">
        <v>-23</v>
      </c>
      <c r="K754" s="1037">
        <f t="shared" si="11"/>
        <v>8</v>
      </c>
    </row>
    <row r="755" spans="1:11" ht="12.75">
      <c r="A755" s="1054">
        <v>24081107</v>
      </c>
      <c r="B755" s="1055" t="s">
        <v>1489</v>
      </c>
      <c r="C755" s="1055" t="s">
        <v>1007</v>
      </c>
      <c r="D755" s="1055" t="s">
        <v>1207</v>
      </c>
      <c r="E755" s="1055" t="s">
        <v>1028</v>
      </c>
      <c r="F755" s="1056">
        <v>-534</v>
      </c>
      <c r="G755" s="1056">
        <v>0</v>
      </c>
      <c r="H755" s="1056">
        <v>0</v>
      </c>
      <c r="I755" s="1056">
        <v>-534</v>
      </c>
      <c r="K755" s="1037">
        <f t="shared" si="11"/>
        <v>8</v>
      </c>
    </row>
    <row r="756" spans="1:11" ht="12.75">
      <c r="A756" s="1054">
        <v>24081107</v>
      </c>
      <c r="B756" s="1055" t="s">
        <v>1489</v>
      </c>
      <c r="C756" s="1055" t="s">
        <v>1007</v>
      </c>
      <c r="D756" s="1055" t="s">
        <v>1482</v>
      </c>
      <c r="E756" s="1055" t="s">
        <v>1483</v>
      </c>
      <c r="F756" s="1056">
        <v>-548</v>
      </c>
      <c r="G756" s="1056">
        <v>0</v>
      </c>
      <c r="H756" s="1056">
        <v>0</v>
      </c>
      <c r="I756" s="1056">
        <v>-548</v>
      </c>
      <c r="K756" s="1037">
        <f t="shared" si="11"/>
        <v>8</v>
      </c>
    </row>
    <row r="757" spans="1:11" ht="12.75">
      <c r="A757" s="1054">
        <v>24081107</v>
      </c>
      <c r="B757" s="1055" t="s">
        <v>1489</v>
      </c>
      <c r="C757" s="1055" t="s">
        <v>1007</v>
      </c>
      <c r="D757" s="1055" t="s">
        <v>1036</v>
      </c>
      <c r="E757" s="1055" t="s">
        <v>1037</v>
      </c>
      <c r="F757" s="1056">
        <v>-537</v>
      </c>
      <c r="G757" s="1056">
        <v>0</v>
      </c>
      <c r="H757" s="1056">
        <v>0</v>
      </c>
      <c r="I757" s="1056">
        <v>-537</v>
      </c>
      <c r="K757" s="1037">
        <f t="shared" si="11"/>
        <v>8</v>
      </c>
    </row>
    <row r="758" spans="1:11" ht="12.75">
      <c r="A758" s="1054">
        <v>240825</v>
      </c>
      <c r="B758" s="1055" t="s">
        <v>893</v>
      </c>
      <c r="C758" s="1055" t="s">
        <v>826</v>
      </c>
      <c r="D758" s="1055" t="s">
        <v>893</v>
      </c>
      <c r="E758" s="1055" t="s">
        <v>893</v>
      </c>
      <c r="F758" s="1056">
        <v>35309</v>
      </c>
      <c r="G758" s="1056">
        <v>7118</v>
      </c>
      <c r="H758" s="1056">
        <v>0</v>
      </c>
      <c r="I758" s="1056">
        <v>42427</v>
      </c>
      <c r="K758" s="1037">
        <f t="shared" si="11"/>
        <v>6</v>
      </c>
    </row>
    <row r="759" spans="1:11" ht="12.75">
      <c r="A759" s="1054">
        <v>24082505</v>
      </c>
      <c r="B759" s="1055" t="s">
        <v>893</v>
      </c>
      <c r="C759" s="1055" t="s">
        <v>826</v>
      </c>
      <c r="D759" s="1055" t="s">
        <v>893</v>
      </c>
      <c r="E759" s="1055" t="s">
        <v>893</v>
      </c>
      <c r="F759" s="1056">
        <v>35309</v>
      </c>
      <c r="G759" s="1056">
        <v>7118</v>
      </c>
      <c r="H759" s="1056">
        <v>0</v>
      </c>
      <c r="I759" s="1056">
        <v>42427</v>
      </c>
      <c r="K759" s="1037">
        <f t="shared" si="11"/>
        <v>8</v>
      </c>
    </row>
    <row r="760" spans="1:11" ht="12.75">
      <c r="A760" s="1054">
        <v>24082505</v>
      </c>
      <c r="B760" s="1055" t="s">
        <v>893</v>
      </c>
      <c r="C760" s="1055" t="s">
        <v>826</v>
      </c>
      <c r="D760" s="1055" t="s">
        <v>1168</v>
      </c>
      <c r="E760" s="1055" t="s">
        <v>1169</v>
      </c>
      <c r="F760" s="1056">
        <v>35309</v>
      </c>
      <c r="G760" s="1056">
        <v>7118</v>
      </c>
      <c r="H760" s="1056">
        <v>0</v>
      </c>
      <c r="I760" s="1056">
        <v>42427</v>
      </c>
      <c r="K760" s="1037">
        <f t="shared" si="11"/>
        <v>8</v>
      </c>
    </row>
    <row r="761" spans="1:11" ht="12.75">
      <c r="A761" s="1054">
        <v>240899</v>
      </c>
      <c r="B761" s="1055" t="s">
        <v>893</v>
      </c>
      <c r="C761" s="1055" t="s">
        <v>340</v>
      </c>
      <c r="D761" s="1055" t="s">
        <v>893</v>
      </c>
      <c r="E761" s="1055" t="s">
        <v>893</v>
      </c>
      <c r="F761" s="1056">
        <v>164963</v>
      </c>
      <c r="G761" s="1056">
        <v>61703</v>
      </c>
      <c r="H761" s="1056">
        <v>0</v>
      </c>
      <c r="I761" s="1056">
        <v>226666</v>
      </c>
      <c r="K761" s="1037">
        <f t="shared" si="11"/>
        <v>6</v>
      </c>
    </row>
    <row r="762" spans="1:11" ht="12.75">
      <c r="A762" s="1054">
        <v>24089901</v>
      </c>
      <c r="B762" s="1055" t="s">
        <v>893</v>
      </c>
      <c r="C762" s="1055" t="s">
        <v>340</v>
      </c>
      <c r="D762" s="1055" t="s">
        <v>893</v>
      </c>
      <c r="E762" s="1055" t="s">
        <v>893</v>
      </c>
      <c r="F762" s="1056">
        <v>164963</v>
      </c>
      <c r="G762" s="1056">
        <v>61703</v>
      </c>
      <c r="H762" s="1056">
        <v>0</v>
      </c>
      <c r="I762" s="1056">
        <v>226666</v>
      </c>
      <c r="K762" s="1037">
        <f t="shared" si="11"/>
        <v>8</v>
      </c>
    </row>
    <row r="763" spans="1:11" ht="12.75">
      <c r="A763" s="1054">
        <v>25</v>
      </c>
      <c r="B763" s="1055" t="s">
        <v>893</v>
      </c>
      <c r="C763" s="1055" t="s">
        <v>534</v>
      </c>
      <c r="D763" s="1055" t="s">
        <v>893</v>
      </c>
      <c r="E763" s="1055" t="s">
        <v>893</v>
      </c>
      <c r="F763" s="1056">
        <v>-88048</v>
      </c>
      <c r="G763" s="1056">
        <v>140519</v>
      </c>
      <c r="H763" s="1056">
        <v>130095</v>
      </c>
      <c r="I763" s="1056">
        <v>-77624</v>
      </c>
      <c r="K763" s="1037">
        <f t="shared" si="11"/>
        <v>2</v>
      </c>
    </row>
    <row r="764" spans="1:11" ht="12.75">
      <c r="A764" s="1054">
        <v>2505</v>
      </c>
      <c r="B764" s="1055" t="s">
        <v>893</v>
      </c>
      <c r="C764" s="1055" t="s">
        <v>120</v>
      </c>
      <c r="D764" s="1055" t="s">
        <v>893</v>
      </c>
      <c r="E764" s="1055" t="s">
        <v>893</v>
      </c>
      <c r="F764" s="1056">
        <v>0</v>
      </c>
      <c r="G764" s="1056">
        <v>92918</v>
      </c>
      <c r="H764" s="1056">
        <v>92918</v>
      </c>
      <c r="I764" s="1056">
        <v>0</v>
      </c>
      <c r="K764" s="1037">
        <f t="shared" si="11"/>
        <v>4</v>
      </c>
    </row>
    <row r="765" spans="1:11" ht="12.75">
      <c r="A765" s="1054">
        <v>250505</v>
      </c>
      <c r="B765" s="1055" t="s">
        <v>893</v>
      </c>
      <c r="C765" s="1055" t="s">
        <v>120</v>
      </c>
      <c r="D765" s="1055" t="s">
        <v>893</v>
      </c>
      <c r="E765" s="1055" t="s">
        <v>893</v>
      </c>
      <c r="F765" s="1056">
        <v>0</v>
      </c>
      <c r="G765" s="1056">
        <v>92918</v>
      </c>
      <c r="H765" s="1056">
        <v>92918</v>
      </c>
      <c r="I765" s="1056">
        <v>0</v>
      </c>
      <c r="K765" s="1037">
        <f t="shared" si="11"/>
        <v>6</v>
      </c>
    </row>
    <row r="766" spans="1:11" ht="12.75">
      <c r="A766" s="1054">
        <v>25050501</v>
      </c>
      <c r="B766" s="1055" t="s">
        <v>893</v>
      </c>
      <c r="C766" s="1055" t="s">
        <v>120</v>
      </c>
      <c r="D766" s="1055" t="s">
        <v>893</v>
      </c>
      <c r="E766" s="1055" t="s">
        <v>893</v>
      </c>
      <c r="F766" s="1056">
        <v>0</v>
      </c>
      <c r="G766" s="1056">
        <v>92918</v>
      </c>
      <c r="H766" s="1056">
        <v>92918</v>
      </c>
      <c r="I766" s="1056">
        <v>0</v>
      </c>
      <c r="K766" s="1037">
        <f t="shared" si="11"/>
        <v>8</v>
      </c>
    </row>
    <row r="767" spans="1:11" ht="12.75">
      <c r="A767" s="1054">
        <v>25050501</v>
      </c>
      <c r="B767" s="1055" t="s">
        <v>893</v>
      </c>
      <c r="C767" s="1055" t="s">
        <v>120</v>
      </c>
      <c r="D767" s="1055" t="s">
        <v>1891</v>
      </c>
      <c r="E767" s="1055" t="s">
        <v>1892</v>
      </c>
      <c r="F767" s="1056">
        <v>0</v>
      </c>
      <c r="G767" s="1056">
        <v>2382</v>
      </c>
      <c r="H767" s="1056">
        <v>2382</v>
      </c>
      <c r="I767" s="1056">
        <v>0</v>
      </c>
      <c r="K767" s="1037">
        <f t="shared" si="11"/>
        <v>8</v>
      </c>
    </row>
    <row r="768" spans="1:11" ht="12.75">
      <c r="A768" s="1054">
        <v>25050501</v>
      </c>
      <c r="B768" s="1055" t="s">
        <v>893</v>
      </c>
      <c r="C768" s="1055" t="s">
        <v>120</v>
      </c>
      <c r="D768" s="1055" t="s">
        <v>1577</v>
      </c>
      <c r="E768" s="1055" t="s">
        <v>1578</v>
      </c>
      <c r="F768" s="1056">
        <v>0</v>
      </c>
      <c r="G768" s="1056">
        <v>3248</v>
      </c>
      <c r="H768" s="1056">
        <v>3248</v>
      </c>
      <c r="I768" s="1056">
        <v>0</v>
      </c>
      <c r="K768" s="1037">
        <f t="shared" si="11"/>
        <v>8</v>
      </c>
    </row>
    <row r="769" spans="1:11" ht="12.75">
      <c r="A769" s="1054">
        <v>25050501</v>
      </c>
      <c r="B769" s="1055" t="s">
        <v>893</v>
      </c>
      <c r="C769" s="1055" t="s">
        <v>120</v>
      </c>
      <c r="D769" s="1055" t="s">
        <v>1360</v>
      </c>
      <c r="E769" s="1055" t="s">
        <v>1361</v>
      </c>
      <c r="F769" s="1056">
        <v>0</v>
      </c>
      <c r="G769" s="1056">
        <v>4091</v>
      </c>
      <c r="H769" s="1056">
        <v>4091</v>
      </c>
      <c r="I769" s="1056">
        <v>0</v>
      </c>
      <c r="K769" s="1037">
        <f t="shared" si="11"/>
        <v>8</v>
      </c>
    </row>
    <row r="770" spans="1:11" ht="12.75">
      <c r="A770" s="1054">
        <v>25050501</v>
      </c>
      <c r="B770" s="1055" t="s">
        <v>893</v>
      </c>
      <c r="C770" s="1055" t="s">
        <v>120</v>
      </c>
      <c r="D770" s="1055" t="s">
        <v>1893</v>
      </c>
      <c r="E770" s="1055" t="s">
        <v>1894</v>
      </c>
      <c r="F770" s="1056">
        <v>0</v>
      </c>
      <c r="G770" s="1056">
        <v>2402</v>
      </c>
      <c r="H770" s="1056">
        <v>2402</v>
      </c>
      <c r="I770" s="1056">
        <v>0</v>
      </c>
      <c r="K770" s="1037">
        <f t="shared" si="11"/>
        <v>8</v>
      </c>
    </row>
    <row r="771" spans="1:11" ht="12.75">
      <c r="A771" s="1054">
        <v>25050501</v>
      </c>
      <c r="B771" s="1055" t="s">
        <v>893</v>
      </c>
      <c r="C771" s="1055" t="s">
        <v>120</v>
      </c>
      <c r="D771" s="1055" t="s">
        <v>1484</v>
      </c>
      <c r="E771" s="1055" t="s">
        <v>1485</v>
      </c>
      <c r="F771" s="1056">
        <v>0</v>
      </c>
      <c r="G771" s="1056">
        <v>3174</v>
      </c>
      <c r="H771" s="1056">
        <v>3174</v>
      </c>
      <c r="I771" s="1056">
        <v>0</v>
      </c>
      <c r="K771" s="1037">
        <f t="shared" si="11"/>
        <v>8</v>
      </c>
    </row>
    <row r="772" spans="1:11" ht="12.75">
      <c r="A772" s="1054">
        <v>25050501</v>
      </c>
      <c r="B772" s="1055" t="s">
        <v>893</v>
      </c>
      <c r="C772" s="1055" t="s">
        <v>120</v>
      </c>
      <c r="D772" s="1055" t="s">
        <v>1579</v>
      </c>
      <c r="E772" s="1055" t="s">
        <v>1580</v>
      </c>
      <c r="F772" s="1056">
        <v>0</v>
      </c>
      <c r="G772" s="1056">
        <v>3464</v>
      </c>
      <c r="H772" s="1056">
        <v>3464</v>
      </c>
      <c r="I772" s="1056">
        <v>0</v>
      </c>
      <c r="K772" s="1037">
        <f t="shared" si="11"/>
        <v>8</v>
      </c>
    </row>
    <row r="773" spans="1:11" ht="12.75">
      <c r="A773" s="1054">
        <v>25050501</v>
      </c>
      <c r="B773" s="1055" t="s">
        <v>893</v>
      </c>
      <c r="C773" s="1055" t="s">
        <v>120</v>
      </c>
      <c r="D773" s="1055" t="s">
        <v>1270</v>
      </c>
      <c r="E773" s="1055" t="s">
        <v>988</v>
      </c>
      <c r="F773" s="1056">
        <v>0</v>
      </c>
      <c r="G773" s="1056">
        <v>3854</v>
      </c>
      <c r="H773" s="1056">
        <v>3854</v>
      </c>
      <c r="I773" s="1056">
        <v>0</v>
      </c>
      <c r="K773" s="1037">
        <f t="shared" ref="K773:K836" si="12">+LEN(A773)</f>
        <v>8</v>
      </c>
    </row>
    <row r="774" spans="1:11" ht="12.75">
      <c r="A774" s="1054">
        <v>25050501</v>
      </c>
      <c r="B774" s="1055" t="s">
        <v>893</v>
      </c>
      <c r="C774" s="1055" t="s">
        <v>120</v>
      </c>
      <c r="D774" s="1055" t="s">
        <v>1272</v>
      </c>
      <c r="E774" s="1055" t="s">
        <v>1273</v>
      </c>
      <c r="F774" s="1056">
        <v>0</v>
      </c>
      <c r="G774" s="1056">
        <v>3843</v>
      </c>
      <c r="H774" s="1056">
        <v>3843</v>
      </c>
      <c r="I774" s="1056">
        <v>0</v>
      </c>
      <c r="K774" s="1037">
        <f t="shared" si="12"/>
        <v>8</v>
      </c>
    </row>
    <row r="775" spans="1:11" ht="12.75">
      <c r="A775" s="1054">
        <v>25050501</v>
      </c>
      <c r="B775" s="1055" t="s">
        <v>893</v>
      </c>
      <c r="C775" s="1055" t="s">
        <v>120</v>
      </c>
      <c r="D775" s="1055" t="s">
        <v>1420</v>
      </c>
      <c r="E775" s="1055" t="s">
        <v>1421</v>
      </c>
      <c r="F775" s="1056">
        <v>0</v>
      </c>
      <c r="G775" s="1056">
        <v>2017</v>
      </c>
      <c r="H775" s="1056">
        <v>2017</v>
      </c>
      <c r="I775" s="1056">
        <v>0</v>
      </c>
      <c r="K775" s="1037">
        <f t="shared" si="12"/>
        <v>8</v>
      </c>
    </row>
    <row r="776" spans="1:11" ht="12.75">
      <c r="A776" s="1054">
        <v>25050501</v>
      </c>
      <c r="B776" s="1055" t="s">
        <v>893</v>
      </c>
      <c r="C776" s="1055" t="s">
        <v>120</v>
      </c>
      <c r="D776" s="1055" t="s">
        <v>1841</v>
      </c>
      <c r="E776" s="1055" t="s">
        <v>1842</v>
      </c>
      <c r="F776" s="1056">
        <v>0</v>
      </c>
      <c r="G776" s="1056">
        <v>3787</v>
      </c>
      <c r="H776" s="1056">
        <v>3787</v>
      </c>
      <c r="I776" s="1056">
        <v>0</v>
      </c>
      <c r="K776" s="1037">
        <f t="shared" si="12"/>
        <v>8</v>
      </c>
    </row>
    <row r="777" spans="1:11" ht="12.75">
      <c r="A777" s="1054">
        <v>25050501</v>
      </c>
      <c r="B777" s="1055" t="s">
        <v>893</v>
      </c>
      <c r="C777" s="1055" t="s">
        <v>120</v>
      </c>
      <c r="D777" s="1055" t="s">
        <v>1895</v>
      </c>
      <c r="E777" s="1055" t="s">
        <v>1896</v>
      </c>
      <c r="F777" s="1056">
        <v>0</v>
      </c>
      <c r="G777" s="1056">
        <v>453</v>
      </c>
      <c r="H777" s="1056">
        <v>453</v>
      </c>
      <c r="I777" s="1056">
        <v>0</v>
      </c>
      <c r="K777" s="1037">
        <f t="shared" si="12"/>
        <v>8</v>
      </c>
    </row>
    <row r="778" spans="1:11" ht="12.75">
      <c r="A778" s="1054">
        <v>25050501</v>
      </c>
      <c r="B778" s="1055" t="s">
        <v>893</v>
      </c>
      <c r="C778" s="1055" t="s">
        <v>120</v>
      </c>
      <c r="D778" s="1055" t="s">
        <v>1320</v>
      </c>
      <c r="E778" s="1055" t="s">
        <v>1321</v>
      </c>
      <c r="F778" s="1056">
        <v>0</v>
      </c>
      <c r="G778" s="1056">
        <v>3224</v>
      </c>
      <c r="H778" s="1056">
        <v>3224</v>
      </c>
      <c r="I778" s="1056">
        <v>0</v>
      </c>
      <c r="K778" s="1037">
        <f t="shared" si="12"/>
        <v>8</v>
      </c>
    </row>
    <row r="779" spans="1:11" ht="12.75">
      <c r="A779" s="1054">
        <v>25050501</v>
      </c>
      <c r="B779" s="1055" t="s">
        <v>893</v>
      </c>
      <c r="C779" s="1055" t="s">
        <v>120</v>
      </c>
      <c r="D779" s="1055" t="s">
        <v>1274</v>
      </c>
      <c r="E779" s="1055" t="s">
        <v>989</v>
      </c>
      <c r="F779" s="1056">
        <v>0</v>
      </c>
      <c r="G779" s="1056">
        <v>3761</v>
      </c>
      <c r="H779" s="1056">
        <v>3761</v>
      </c>
      <c r="I779" s="1056">
        <v>0</v>
      </c>
      <c r="K779" s="1037">
        <f t="shared" si="12"/>
        <v>8</v>
      </c>
    </row>
    <row r="780" spans="1:11" ht="12.75">
      <c r="A780" s="1054">
        <v>25050501</v>
      </c>
      <c r="B780" s="1055" t="s">
        <v>893</v>
      </c>
      <c r="C780" s="1055" t="s">
        <v>120</v>
      </c>
      <c r="D780" s="1055" t="s">
        <v>1043</v>
      </c>
      <c r="E780" s="1055" t="s">
        <v>318</v>
      </c>
      <c r="F780" s="1056">
        <v>0</v>
      </c>
      <c r="G780" s="1056">
        <v>5580</v>
      </c>
      <c r="H780" s="1056">
        <v>5580</v>
      </c>
      <c r="I780" s="1056">
        <v>0</v>
      </c>
      <c r="K780" s="1037">
        <f t="shared" si="12"/>
        <v>8</v>
      </c>
    </row>
    <row r="781" spans="1:11" ht="12.75">
      <c r="A781" s="1054">
        <v>25050501</v>
      </c>
      <c r="B781" s="1055" t="s">
        <v>893</v>
      </c>
      <c r="C781" s="1055" t="s">
        <v>120</v>
      </c>
      <c r="D781" s="1055" t="s">
        <v>1370</v>
      </c>
      <c r="E781" s="1055" t="s">
        <v>1371</v>
      </c>
      <c r="F781" s="1056">
        <v>0</v>
      </c>
      <c r="G781" s="1056">
        <v>3096</v>
      </c>
      <c r="H781" s="1056">
        <v>3096</v>
      </c>
      <c r="I781" s="1056">
        <v>0</v>
      </c>
      <c r="K781" s="1037">
        <f t="shared" si="12"/>
        <v>8</v>
      </c>
    </row>
    <row r="782" spans="1:11" ht="12.75">
      <c r="A782" s="1054">
        <v>25050501</v>
      </c>
      <c r="B782" s="1055" t="s">
        <v>893</v>
      </c>
      <c r="C782" s="1055" t="s">
        <v>120</v>
      </c>
      <c r="D782" s="1055" t="s">
        <v>1843</v>
      </c>
      <c r="E782" s="1055" t="s">
        <v>1844</v>
      </c>
      <c r="F782" s="1056">
        <v>0</v>
      </c>
      <c r="G782" s="1056">
        <v>146</v>
      </c>
      <c r="H782" s="1056">
        <v>146</v>
      </c>
      <c r="I782" s="1056">
        <v>0</v>
      </c>
      <c r="K782" s="1037">
        <f t="shared" si="12"/>
        <v>8</v>
      </c>
    </row>
    <row r="783" spans="1:11" ht="12.75">
      <c r="A783" s="1054">
        <v>25050501</v>
      </c>
      <c r="B783" s="1055" t="s">
        <v>893</v>
      </c>
      <c r="C783" s="1055" t="s">
        <v>120</v>
      </c>
      <c r="D783" s="1055" t="s">
        <v>1521</v>
      </c>
      <c r="E783" s="1055" t="s">
        <v>1522</v>
      </c>
      <c r="F783" s="1056">
        <v>0</v>
      </c>
      <c r="G783" s="1056">
        <v>3548</v>
      </c>
      <c r="H783" s="1056">
        <v>3548</v>
      </c>
      <c r="I783" s="1056">
        <v>0</v>
      </c>
      <c r="K783" s="1037">
        <f t="shared" si="12"/>
        <v>8</v>
      </c>
    </row>
    <row r="784" spans="1:11" ht="12.75">
      <c r="A784" s="1054">
        <v>25050501</v>
      </c>
      <c r="B784" s="1055" t="s">
        <v>893</v>
      </c>
      <c r="C784" s="1055" t="s">
        <v>120</v>
      </c>
      <c r="D784" s="1055" t="s">
        <v>1426</v>
      </c>
      <c r="E784" s="1055" t="s">
        <v>1427</v>
      </c>
      <c r="F784" s="1056">
        <v>0</v>
      </c>
      <c r="G784" s="1056">
        <v>3310</v>
      </c>
      <c r="H784" s="1056">
        <v>3310</v>
      </c>
      <c r="I784" s="1056">
        <v>0</v>
      </c>
      <c r="K784" s="1037">
        <f t="shared" si="12"/>
        <v>8</v>
      </c>
    </row>
    <row r="785" spans="1:11" ht="12.75">
      <c r="A785" s="1054">
        <v>25050501</v>
      </c>
      <c r="B785" s="1055" t="s">
        <v>893</v>
      </c>
      <c r="C785" s="1055" t="s">
        <v>120</v>
      </c>
      <c r="D785" s="1055" t="s">
        <v>1374</v>
      </c>
      <c r="E785" s="1055" t="s">
        <v>1375</v>
      </c>
      <c r="F785" s="1056">
        <v>0</v>
      </c>
      <c r="G785" s="1056">
        <v>3040</v>
      </c>
      <c r="H785" s="1056">
        <v>3040</v>
      </c>
      <c r="I785" s="1056">
        <v>0</v>
      </c>
      <c r="K785" s="1037">
        <f t="shared" si="12"/>
        <v>8</v>
      </c>
    </row>
    <row r="786" spans="1:11" ht="12.75">
      <c r="A786" s="1054">
        <v>25050501</v>
      </c>
      <c r="B786" s="1055" t="s">
        <v>893</v>
      </c>
      <c r="C786" s="1055" t="s">
        <v>120</v>
      </c>
      <c r="D786" s="1055" t="s">
        <v>1249</v>
      </c>
      <c r="E786" s="1055" t="s">
        <v>583</v>
      </c>
      <c r="F786" s="1056">
        <v>0</v>
      </c>
      <c r="G786" s="1056">
        <v>5386</v>
      </c>
      <c r="H786" s="1056">
        <v>5386</v>
      </c>
      <c r="I786" s="1056">
        <v>0</v>
      </c>
      <c r="K786" s="1037">
        <f t="shared" si="12"/>
        <v>8</v>
      </c>
    </row>
    <row r="787" spans="1:11" ht="12.75">
      <c r="A787" s="1054">
        <v>25050501</v>
      </c>
      <c r="B787" s="1055" t="s">
        <v>893</v>
      </c>
      <c r="C787" s="1055" t="s">
        <v>120</v>
      </c>
      <c r="D787" s="1055" t="s">
        <v>1845</v>
      </c>
      <c r="E787" s="1055" t="s">
        <v>1846</v>
      </c>
      <c r="F787" s="1056">
        <v>0</v>
      </c>
      <c r="G787" s="1056">
        <v>2527</v>
      </c>
      <c r="H787" s="1056">
        <v>2527</v>
      </c>
      <c r="I787" s="1056">
        <v>0</v>
      </c>
      <c r="K787" s="1037">
        <f t="shared" si="12"/>
        <v>8</v>
      </c>
    </row>
    <row r="788" spans="1:11" ht="12.75">
      <c r="A788" s="1054">
        <v>25050501</v>
      </c>
      <c r="B788" s="1055" t="s">
        <v>893</v>
      </c>
      <c r="C788" s="1055" t="s">
        <v>120</v>
      </c>
      <c r="D788" s="1055" t="s">
        <v>1897</v>
      </c>
      <c r="E788" s="1055" t="s">
        <v>1898</v>
      </c>
      <c r="F788" s="1056">
        <v>0</v>
      </c>
      <c r="G788" s="1056">
        <v>540</v>
      </c>
      <c r="H788" s="1056">
        <v>540</v>
      </c>
      <c r="I788" s="1056">
        <v>0</v>
      </c>
      <c r="K788" s="1037">
        <f t="shared" si="12"/>
        <v>8</v>
      </c>
    </row>
    <row r="789" spans="1:11" ht="12.75">
      <c r="A789" s="1054">
        <v>25050501</v>
      </c>
      <c r="B789" s="1055" t="s">
        <v>893</v>
      </c>
      <c r="C789" s="1055" t="s">
        <v>120</v>
      </c>
      <c r="D789" s="1055" t="s">
        <v>1250</v>
      </c>
      <c r="E789" s="1055" t="s">
        <v>1251</v>
      </c>
      <c r="F789" s="1056">
        <v>0</v>
      </c>
      <c r="G789" s="1056">
        <v>3190</v>
      </c>
      <c r="H789" s="1056">
        <v>3190</v>
      </c>
      <c r="I789" s="1056">
        <v>0</v>
      </c>
      <c r="K789" s="1037">
        <f t="shared" si="12"/>
        <v>8</v>
      </c>
    </row>
    <row r="790" spans="1:11" ht="12.75">
      <c r="A790" s="1054">
        <v>25050501</v>
      </c>
      <c r="B790" s="1055" t="s">
        <v>893</v>
      </c>
      <c r="C790" s="1055" t="s">
        <v>120</v>
      </c>
      <c r="D790" s="1055" t="s">
        <v>1899</v>
      </c>
      <c r="E790" s="1055" t="s">
        <v>1900</v>
      </c>
      <c r="F790" s="1056">
        <v>0</v>
      </c>
      <c r="G790" s="1056">
        <v>3542</v>
      </c>
      <c r="H790" s="1056">
        <v>3542</v>
      </c>
      <c r="I790" s="1056">
        <v>0</v>
      </c>
      <c r="K790" s="1037">
        <f t="shared" si="12"/>
        <v>8</v>
      </c>
    </row>
    <row r="791" spans="1:11" ht="12.75">
      <c r="A791" s="1054">
        <v>25050501</v>
      </c>
      <c r="B791" s="1055" t="s">
        <v>893</v>
      </c>
      <c r="C791" s="1055" t="s">
        <v>120</v>
      </c>
      <c r="D791" s="1055" t="s">
        <v>1901</v>
      </c>
      <c r="E791" s="1055" t="s">
        <v>1902</v>
      </c>
      <c r="F791" s="1056">
        <v>0</v>
      </c>
      <c r="G791" s="1056">
        <v>1013</v>
      </c>
      <c r="H791" s="1056">
        <v>1013</v>
      </c>
      <c r="I791" s="1056">
        <v>0</v>
      </c>
      <c r="K791" s="1037">
        <f t="shared" si="12"/>
        <v>8</v>
      </c>
    </row>
    <row r="792" spans="1:11" ht="12.75">
      <c r="A792" s="1054">
        <v>25050501</v>
      </c>
      <c r="B792" s="1055" t="s">
        <v>893</v>
      </c>
      <c r="C792" s="1055" t="s">
        <v>120</v>
      </c>
      <c r="D792" s="1055" t="s">
        <v>1849</v>
      </c>
      <c r="E792" s="1055" t="s">
        <v>1850</v>
      </c>
      <c r="F792" s="1056">
        <v>0</v>
      </c>
      <c r="G792" s="1056">
        <v>2467</v>
      </c>
      <c r="H792" s="1056">
        <v>2467</v>
      </c>
      <c r="I792" s="1056">
        <v>0</v>
      </c>
      <c r="K792" s="1037">
        <f t="shared" si="12"/>
        <v>8</v>
      </c>
    </row>
    <row r="793" spans="1:11" ht="12.75">
      <c r="A793" s="1054">
        <v>25050501</v>
      </c>
      <c r="B793" s="1055" t="s">
        <v>893</v>
      </c>
      <c r="C793" s="1055" t="s">
        <v>120</v>
      </c>
      <c r="D793" s="1055" t="s">
        <v>1275</v>
      </c>
      <c r="E793" s="1055" t="s">
        <v>991</v>
      </c>
      <c r="F793" s="1056">
        <v>0</v>
      </c>
      <c r="G793" s="1056">
        <v>3204</v>
      </c>
      <c r="H793" s="1056">
        <v>3204</v>
      </c>
      <c r="I793" s="1056">
        <v>0</v>
      </c>
      <c r="K793" s="1037">
        <f t="shared" si="12"/>
        <v>8</v>
      </c>
    </row>
    <row r="794" spans="1:11" ht="12.75">
      <c r="A794" s="1054">
        <v>25050501</v>
      </c>
      <c r="B794" s="1055" t="s">
        <v>893</v>
      </c>
      <c r="C794" s="1055" t="s">
        <v>120</v>
      </c>
      <c r="D794" s="1055" t="s">
        <v>1585</v>
      </c>
      <c r="E794" s="1055" t="s">
        <v>1586</v>
      </c>
      <c r="F794" s="1056">
        <v>0</v>
      </c>
      <c r="G794" s="1056">
        <v>2487</v>
      </c>
      <c r="H794" s="1056">
        <v>2487</v>
      </c>
      <c r="I794" s="1056">
        <v>0</v>
      </c>
      <c r="K794" s="1037">
        <f t="shared" si="12"/>
        <v>8</v>
      </c>
    </row>
    <row r="795" spans="1:11" ht="12.75">
      <c r="A795" s="1054">
        <v>25050501</v>
      </c>
      <c r="B795" s="1055" t="s">
        <v>893</v>
      </c>
      <c r="C795" s="1055" t="s">
        <v>120</v>
      </c>
      <c r="D795" s="1055" t="s">
        <v>1382</v>
      </c>
      <c r="E795" s="1055" t="s">
        <v>1763</v>
      </c>
      <c r="F795" s="1056">
        <v>0</v>
      </c>
      <c r="G795" s="1056">
        <v>3848</v>
      </c>
      <c r="H795" s="1056">
        <v>3848</v>
      </c>
      <c r="I795" s="1056">
        <v>0</v>
      </c>
      <c r="K795" s="1037">
        <f t="shared" si="12"/>
        <v>8</v>
      </c>
    </row>
    <row r="796" spans="1:11" ht="12.75">
      <c r="A796" s="1054">
        <v>25050501</v>
      </c>
      <c r="B796" s="1055" t="s">
        <v>893</v>
      </c>
      <c r="C796" s="1055" t="s">
        <v>120</v>
      </c>
      <c r="D796" s="1055" t="s">
        <v>1383</v>
      </c>
      <c r="E796" s="1055" t="s">
        <v>1384</v>
      </c>
      <c r="F796" s="1056">
        <v>0</v>
      </c>
      <c r="G796" s="1056">
        <v>3217</v>
      </c>
      <c r="H796" s="1056">
        <v>3217</v>
      </c>
      <c r="I796" s="1056">
        <v>0</v>
      </c>
      <c r="K796" s="1037">
        <f t="shared" si="12"/>
        <v>8</v>
      </c>
    </row>
    <row r="797" spans="1:11" ht="12.75">
      <c r="A797" s="1054">
        <v>25050501</v>
      </c>
      <c r="B797" s="1055" t="s">
        <v>893</v>
      </c>
      <c r="C797" s="1055" t="s">
        <v>120</v>
      </c>
      <c r="D797" s="1055" t="s">
        <v>1587</v>
      </c>
      <c r="E797" s="1055" t="s">
        <v>1588</v>
      </c>
      <c r="F797" s="1056">
        <v>0</v>
      </c>
      <c r="G797" s="1056">
        <v>3075</v>
      </c>
      <c r="H797" s="1056">
        <v>3075</v>
      </c>
      <c r="I797" s="1056">
        <v>0</v>
      </c>
      <c r="K797" s="1037">
        <f t="shared" si="12"/>
        <v>8</v>
      </c>
    </row>
    <row r="798" spans="1:11" ht="12.75">
      <c r="A798" s="1054">
        <v>2510</v>
      </c>
      <c r="B798" s="1055" t="s">
        <v>893</v>
      </c>
      <c r="C798" s="1055" t="s">
        <v>347</v>
      </c>
      <c r="D798" s="1055" t="s">
        <v>893</v>
      </c>
      <c r="E798" s="1055" t="s">
        <v>893</v>
      </c>
      <c r="F798" s="1056">
        <v>0</v>
      </c>
      <c r="G798" s="1056">
        <v>0</v>
      </c>
      <c r="H798" s="1056">
        <v>0</v>
      </c>
      <c r="I798" s="1056">
        <v>0</v>
      </c>
      <c r="K798" s="1037">
        <f t="shared" si="12"/>
        <v>4</v>
      </c>
    </row>
    <row r="799" spans="1:11" ht="12.75">
      <c r="A799" s="1054">
        <v>251010</v>
      </c>
      <c r="B799" s="1055" t="s">
        <v>893</v>
      </c>
      <c r="C799" s="1055" t="s">
        <v>348</v>
      </c>
      <c r="D799" s="1055" t="s">
        <v>893</v>
      </c>
      <c r="E799" s="1055" t="s">
        <v>893</v>
      </c>
      <c r="F799" s="1056">
        <v>0</v>
      </c>
      <c r="G799" s="1056">
        <v>0</v>
      </c>
      <c r="H799" s="1056">
        <v>0</v>
      </c>
      <c r="I799" s="1056">
        <v>0</v>
      </c>
      <c r="K799" s="1037">
        <f t="shared" si="12"/>
        <v>6</v>
      </c>
    </row>
    <row r="800" spans="1:11" ht="12.75">
      <c r="A800" s="1054">
        <v>25101001</v>
      </c>
      <c r="B800" s="1055" t="s">
        <v>893</v>
      </c>
      <c r="C800" s="1055" t="s">
        <v>348</v>
      </c>
      <c r="D800" s="1055" t="s">
        <v>893</v>
      </c>
      <c r="E800" s="1055" t="s">
        <v>893</v>
      </c>
      <c r="F800" s="1056">
        <v>0</v>
      </c>
      <c r="G800" s="1056">
        <v>0</v>
      </c>
      <c r="H800" s="1056">
        <v>0</v>
      </c>
      <c r="I800" s="1056">
        <v>0</v>
      </c>
      <c r="K800" s="1037">
        <f t="shared" si="12"/>
        <v>8</v>
      </c>
    </row>
    <row r="801" spans="1:11" ht="12.75">
      <c r="A801" s="1054">
        <v>2515</v>
      </c>
      <c r="B801" s="1055" t="s">
        <v>893</v>
      </c>
      <c r="C801" s="1055" t="s">
        <v>349</v>
      </c>
      <c r="D801" s="1055" t="s">
        <v>893</v>
      </c>
      <c r="E801" s="1055" t="s">
        <v>893</v>
      </c>
      <c r="F801" s="1056">
        <v>0</v>
      </c>
      <c r="G801" s="1056">
        <v>0</v>
      </c>
      <c r="H801" s="1056">
        <v>0</v>
      </c>
      <c r="I801" s="1056">
        <v>0</v>
      </c>
      <c r="K801" s="1037">
        <f t="shared" si="12"/>
        <v>4</v>
      </c>
    </row>
    <row r="802" spans="1:11" ht="12.75">
      <c r="A802" s="1054">
        <v>251505</v>
      </c>
      <c r="B802" s="1055" t="s">
        <v>893</v>
      </c>
      <c r="C802" s="1055" t="s">
        <v>349</v>
      </c>
      <c r="D802" s="1055" t="s">
        <v>893</v>
      </c>
      <c r="E802" s="1055" t="s">
        <v>893</v>
      </c>
      <c r="F802" s="1056">
        <v>0</v>
      </c>
      <c r="G802" s="1056">
        <v>0</v>
      </c>
      <c r="H802" s="1056">
        <v>0</v>
      </c>
      <c r="I802" s="1056">
        <v>0</v>
      </c>
      <c r="K802" s="1037">
        <f t="shared" si="12"/>
        <v>6</v>
      </c>
    </row>
    <row r="803" spans="1:11" ht="12.75">
      <c r="A803" s="1054">
        <v>25150501</v>
      </c>
      <c r="B803" s="1055" t="s">
        <v>893</v>
      </c>
      <c r="C803" s="1055" t="s">
        <v>349</v>
      </c>
      <c r="D803" s="1055" t="s">
        <v>893</v>
      </c>
      <c r="E803" s="1055" t="s">
        <v>893</v>
      </c>
      <c r="F803" s="1056">
        <v>0</v>
      </c>
      <c r="G803" s="1056">
        <v>0</v>
      </c>
      <c r="H803" s="1056">
        <v>0</v>
      </c>
      <c r="I803" s="1056">
        <v>0</v>
      </c>
      <c r="K803" s="1037">
        <f t="shared" si="12"/>
        <v>8</v>
      </c>
    </row>
    <row r="804" spans="1:11" ht="12.75">
      <c r="A804" s="1054">
        <v>25150502</v>
      </c>
      <c r="B804" s="1055" t="s">
        <v>1489</v>
      </c>
      <c r="C804" s="1055" t="s">
        <v>535</v>
      </c>
      <c r="D804" s="1055" t="s">
        <v>893</v>
      </c>
      <c r="E804" s="1055" t="s">
        <v>893</v>
      </c>
      <c r="F804" s="1056">
        <v>0</v>
      </c>
      <c r="G804" s="1056">
        <v>0</v>
      </c>
      <c r="H804" s="1056">
        <v>0</v>
      </c>
      <c r="I804" s="1056">
        <v>0</v>
      </c>
      <c r="K804" s="1037">
        <f t="shared" si="12"/>
        <v>8</v>
      </c>
    </row>
    <row r="805" spans="1:11" ht="12.75">
      <c r="A805" s="1054">
        <v>2520</v>
      </c>
      <c r="B805" s="1055" t="s">
        <v>893</v>
      </c>
      <c r="C805" s="1055" t="s">
        <v>350</v>
      </c>
      <c r="D805" s="1055" t="s">
        <v>893</v>
      </c>
      <c r="E805" s="1055" t="s">
        <v>893</v>
      </c>
      <c r="F805" s="1056">
        <v>0</v>
      </c>
      <c r="G805" s="1056">
        <v>0</v>
      </c>
      <c r="H805" s="1056">
        <v>0</v>
      </c>
      <c r="I805" s="1056">
        <v>0</v>
      </c>
      <c r="K805" s="1037">
        <f t="shared" si="12"/>
        <v>4</v>
      </c>
    </row>
    <row r="806" spans="1:11" ht="12.75">
      <c r="A806" s="1054">
        <v>252005</v>
      </c>
      <c r="B806" s="1055" t="s">
        <v>893</v>
      </c>
      <c r="C806" s="1055" t="s">
        <v>350</v>
      </c>
      <c r="D806" s="1055" t="s">
        <v>893</v>
      </c>
      <c r="E806" s="1055" t="s">
        <v>893</v>
      </c>
      <c r="F806" s="1056">
        <v>0</v>
      </c>
      <c r="G806" s="1056">
        <v>0</v>
      </c>
      <c r="H806" s="1056">
        <v>0</v>
      </c>
      <c r="I806" s="1056">
        <v>0</v>
      </c>
      <c r="K806" s="1037">
        <f t="shared" si="12"/>
        <v>6</v>
      </c>
    </row>
    <row r="807" spans="1:11" ht="12.75">
      <c r="A807" s="1054">
        <v>25200501</v>
      </c>
      <c r="B807" s="1055" t="s">
        <v>893</v>
      </c>
      <c r="C807" s="1055" t="s">
        <v>350</v>
      </c>
      <c r="D807" s="1055" t="s">
        <v>893</v>
      </c>
      <c r="E807" s="1055" t="s">
        <v>893</v>
      </c>
      <c r="F807" s="1056">
        <v>0</v>
      </c>
      <c r="G807" s="1056">
        <v>0</v>
      </c>
      <c r="H807" s="1056">
        <v>0</v>
      </c>
      <c r="I807" s="1056">
        <v>0</v>
      </c>
      <c r="K807" s="1037">
        <f t="shared" si="12"/>
        <v>8</v>
      </c>
    </row>
    <row r="808" spans="1:11" ht="12.75">
      <c r="A808" s="1054">
        <v>2525</v>
      </c>
      <c r="B808" s="1055" t="s">
        <v>893</v>
      </c>
      <c r="C808" s="1055" t="s">
        <v>351</v>
      </c>
      <c r="D808" s="1055" t="s">
        <v>893</v>
      </c>
      <c r="E808" s="1055" t="s">
        <v>893</v>
      </c>
      <c r="F808" s="1056">
        <v>-16674</v>
      </c>
      <c r="G808" s="1056">
        <v>799</v>
      </c>
      <c r="H808" s="1056">
        <v>0</v>
      </c>
      <c r="I808" s="1056">
        <v>-15875</v>
      </c>
      <c r="K808" s="1037">
        <f t="shared" si="12"/>
        <v>4</v>
      </c>
    </row>
    <row r="809" spans="1:11" ht="12.75">
      <c r="A809" s="1054">
        <v>252505</v>
      </c>
      <c r="B809" s="1055" t="s">
        <v>893</v>
      </c>
      <c r="C809" s="1055" t="s">
        <v>351</v>
      </c>
      <c r="D809" s="1055" t="s">
        <v>893</v>
      </c>
      <c r="E809" s="1055" t="s">
        <v>893</v>
      </c>
      <c r="F809" s="1056">
        <v>-16674</v>
      </c>
      <c r="G809" s="1056">
        <v>799</v>
      </c>
      <c r="H809" s="1056">
        <v>0</v>
      </c>
      <c r="I809" s="1056">
        <v>-15875</v>
      </c>
      <c r="K809" s="1037">
        <f t="shared" si="12"/>
        <v>6</v>
      </c>
    </row>
    <row r="810" spans="1:11" ht="12.75">
      <c r="A810" s="1054">
        <v>25250501</v>
      </c>
      <c r="B810" s="1055" t="s">
        <v>893</v>
      </c>
      <c r="C810" s="1055" t="s">
        <v>351</v>
      </c>
      <c r="D810" s="1055" t="s">
        <v>893</v>
      </c>
      <c r="E810" s="1055" t="s">
        <v>893</v>
      </c>
      <c r="F810" s="1056">
        <v>-16674</v>
      </c>
      <c r="G810" s="1056">
        <v>799</v>
      </c>
      <c r="H810" s="1056">
        <v>0</v>
      </c>
      <c r="I810" s="1056">
        <v>-15875</v>
      </c>
      <c r="K810" s="1037">
        <f t="shared" si="12"/>
        <v>8</v>
      </c>
    </row>
    <row r="811" spans="1:11" ht="12.75">
      <c r="A811" s="1054">
        <v>25250501</v>
      </c>
      <c r="B811" s="1055" t="s">
        <v>893</v>
      </c>
      <c r="C811" s="1055" t="s">
        <v>351</v>
      </c>
      <c r="D811" s="1055" t="s">
        <v>1360</v>
      </c>
      <c r="E811" s="1055" t="s">
        <v>1361</v>
      </c>
      <c r="F811" s="1056">
        <v>-929</v>
      </c>
      <c r="G811" s="1056">
        <v>0</v>
      </c>
      <c r="H811" s="1056">
        <v>0</v>
      </c>
      <c r="I811" s="1056">
        <v>-929</v>
      </c>
      <c r="K811" s="1037">
        <f t="shared" si="12"/>
        <v>8</v>
      </c>
    </row>
    <row r="812" spans="1:11" ht="12.75">
      <c r="A812" s="1054">
        <v>25250501</v>
      </c>
      <c r="B812" s="1055" t="s">
        <v>893</v>
      </c>
      <c r="C812" s="1055" t="s">
        <v>351</v>
      </c>
      <c r="D812" s="1055" t="s">
        <v>1484</v>
      </c>
      <c r="E812" s="1055" t="s">
        <v>1485</v>
      </c>
      <c r="F812" s="1056">
        <v>-481</v>
      </c>
      <c r="G812" s="1056">
        <v>0</v>
      </c>
      <c r="H812" s="1056">
        <v>0</v>
      </c>
      <c r="I812" s="1056">
        <v>-481</v>
      </c>
      <c r="K812" s="1037">
        <f t="shared" si="12"/>
        <v>8</v>
      </c>
    </row>
    <row r="813" spans="1:11" ht="12.75">
      <c r="A813" s="1054">
        <v>25250501</v>
      </c>
      <c r="B813" s="1055" t="s">
        <v>893</v>
      </c>
      <c r="C813" s="1055" t="s">
        <v>351</v>
      </c>
      <c r="D813" s="1055" t="s">
        <v>1270</v>
      </c>
      <c r="E813" s="1055" t="s">
        <v>988</v>
      </c>
      <c r="F813" s="1056">
        <v>-2019</v>
      </c>
      <c r="G813" s="1056">
        <v>0</v>
      </c>
      <c r="H813" s="1056">
        <v>0</v>
      </c>
      <c r="I813" s="1056">
        <v>-2019</v>
      </c>
      <c r="K813" s="1037">
        <f t="shared" si="12"/>
        <v>8</v>
      </c>
    </row>
    <row r="814" spans="1:11" ht="12.75">
      <c r="A814" s="1054">
        <v>25250501</v>
      </c>
      <c r="B814" s="1055" t="s">
        <v>893</v>
      </c>
      <c r="C814" s="1055" t="s">
        <v>351</v>
      </c>
      <c r="D814" s="1055" t="s">
        <v>1271</v>
      </c>
      <c r="E814" s="1055" t="s">
        <v>782</v>
      </c>
      <c r="F814" s="1056">
        <v>-1510</v>
      </c>
      <c r="G814" s="1056">
        <v>0</v>
      </c>
      <c r="H814" s="1056">
        <v>0</v>
      </c>
      <c r="I814" s="1056">
        <v>-1510</v>
      </c>
      <c r="K814" s="1037">
        <f t="shared" si="12"/>
        <v>8</v>
      </c>
    </row>
    <row r="815" spans="1:11" ht="12.75">
      <c r="A815" s="1054">
        <v>25250501</v>
      </c>
      <c r="B815" s="1055" t="s">
        <v>893</v>
      </c>
      <c r="C815" s="1055" t="s">
        <v>351</v>
      </c>
      <c r="D815" s="1055" t="s">
        <v>1420</v>
      </c>
      <c r="E815" s="1055" t="s">
        <v>1421</v>
      </c>
      <c r="F815" s="1056">
        <v>-326</v>
      </c>
      <c r="G815" s="1056">
        <v>0</v>
      </c>
      <c r="H815" s="1056">
        <v>0</v>
      </c>
      <c r="I815" s="1056">
        <v>-326</v>
      </c>
      <c r="K815" s="1037">
        <f t="shared" si="12"/>
        <v>8</v>
      </c>
    </row>
    <row r="816" spans="1:11" ht="12.75">
      <c r="A816" s="1054">
        <v>25250501</v>
      </c>
      <c r="B816" s="1055" t="s">
        <v>893</v>
      </c>
      <c r="C816" s="1055" t="s">
        <v>351</v>
      </c>
      <c r="D816" s="1055" t="s">
        <v>1320</v>
      </c>
      <c r="E816" s="1055" t="s">
        <v>1321</v>
      </c>
      <c r="F816" s="1056">
        <v>-278</v>
      </c>
      <c r="G816" s="1056">
        <v>0</v>
      </c>
      <c r="H816" s="1056">
        <v>0</v>
      </c>
      <c r="I816" s="1056">
        <v>-278</v>
      </c>
      <c r="K816" s="1037">
        <f t="shared" si="12"/>
        <v>8</v>
      </c>
    </row>
    <row r="817" spans="1:11" ht="12.75">
      <c r="A817" s="1054">
        <v>25250501</v>
      </c>
      <c r="B817" s="1055" t="s">
        <v>893</v>
      </c>
      <c r="C817" s="1055" t="s">
        <v>351</v>
      </c>
      <c r="D817" s="1055" t="s">
        <v>1274</v>
      </c>
      <c r="E817" s="1055" t="s">
        <v>989</v>
      </c>
      <c r="F817" s="1056">
        <v>-2034</v>
      </c>
      <c r="G817" s="1056">
        <v>0</v>
      </c>
      <c r="H817" s="1056">
        <v>0</v>
      </c>
      <c r="I817" s="1056">
        <v>-2034</v>
      </c>
      <c r="K817" s="1037">
        <f t="shared" si="12"/>
        <v>8</v>
      </c>
    </row>
    <row r="818" spans="1:11" ht="12.75">
      <c r="A818" s="1054">
        <v>25250501</v>
      </c>
      <c r="B818" s="1055" t="s">
        <v>893</v>
      </c>
      <c r="C818" s="1055" t="s">
        <v>351</v>
      </c>
      <c r="D818" s="1055" t="s">
        <v>1370</v>
      </c>
      <c r="E818" s="1055" t="s">
        <v>1371</v>
      </c>
      <c r="F818" s="1056">
        <v>-1117</v>
      </c>
      <c r="G818" s="1056">
        <v>0</v>
      </c>
      <c r="H818" s="1056">
        <v>0</v>
      </c>
      <c r="I818" s="1056">
        <v>-1117</v>
      </c>
      <c r="K818" s="1037">
        <f t="shared" si="12"/>
        <v>8</v>
      </c>
    </row>
    <row r="819" spans="1:11" ht="12.75">
      <c r="A819" s="1054">
        <v>25250501</v>
      </c>
      <c r="B819" s="1055" t="s">
        <v>893</v>
      </c>
      <c r="C819" s="1055" t="s">
        <v>351</v>
      </c>
      <c r="D819" s="1055" t="s">
        <v>1426</v>
      </c>
      <c r="E819" s="1055" t="s">
        <v>1427</v>
      </c>
      <c r="F819" s="1056">
        <v>-253</v>
      </c>
      <c r="G819" s="1056">
        <v>0</v>
      </c>
      <c r="H819" s="1056">
        <v>0</v>
      </c>
      <c r="I819" s="1056">
        <v>-253</v>
      </c>
      <c r="K819" s="1037">
        <f t="shared" si="12"/>
        <v>8</v>
      </c>
    </row>
    <row r="820" spans="1:11" ht="12.75">
      <c r="A820" s="1054">
        <v>25250501</v>
      </c>
      <c r="B820" s="1055" t="s">
        <v>893</v>
      </c>
      <c r="C820" s="1055" t="s">
        <v>351</v>
      </c>
      <c r="D820" s="1055" t="s">
        <v>1374</v>
      </c>
      <c r="E820" s="1055" t="s">
        <v>1375</v>
      </c>
      <c r="F820" s="1056">
        <v>-509</v>
      </c>
      <c r="G820" s="1056">
        <v>0</v>
      </c>
      <c r="H820" s="1056">
        <v>0</v>
      </c>
      <c r="I820" s="1056">
        <v>-509</v>
      </c>
      <c r="K820" s="1037">
        <f t="shared" si="12"/>
        <v>8</v>
      </c>
    </row>
    <row r="821" spans="1:11" ht="12.75">
      <c r="A821" s="1054">
        <v>25250501</v>
      </c>
      <c r="B821" s="1055" t="s">
        <v>893</v>
      </c>
      <c r="C821" s="1055" t="s">
        <v>351</v>
      </c>
      <c r="D821" s="1055" t="s">
        <v>1249</v>
      </c>
      <c r="E821" s="1055" t="s">
        <v>583</v>
      </c>
      <c r="F821" s="1056">
        <v>-1220</v>
      </c>
      <c r="G821" s="1056">
        <v>0</v>
      </c>
      <c r="H821" s="1056">
        <v>0</v>
      </c>
      <c r="I821" s="1056">
        <v>-1220</v>
      </c>
      <c r="K821" s="1037">
        <f t="shared" si="12"/>
        <v>8</v>
      </c>
    </row>
    <row r="822" spans="1:11" ht="12.75">
      <c r="A822" s="1054">
        <v>25250501</v>
      </c>
      <c r="B822" s="1055" t="s">
        <v>893</v>
      </c>
      <c r="C822" s="1055" t="s">
        <v>351</v>
      </c>
      <c r="D822" s="1055" t="s">
        <v>1250</v>
      </c>
      <c r="E822" s="1055" t="s">
        <v>1251</v>
      </c>
      <c r="F822" s="1056">
        <v>-618</v>
      </c>
      <c r="G822" s="1056">
        <v>0</v>
      </c>
      <c r="H822" s="1056">
        <v>0</v>
      </c>
      <c r="I822" s="1056">
        <v>-618</v>
      </c>
      <c r="K822" s="1037">
        <f t="shared" si="12"/>
        <v>8</v>
      </c>
    </row>
    <row r="823" spans="1:11" ht="12.75">
      <c r="A823" s="1054">
        <v>25250501</v>
      </c>
      <c r="B823" s="1055" t="s">
        <v>893</v>
      </c>
      <c r="C823" s="1055" t="s">
        <v>351</v>
      </c>
      <c r="D823" s="1055" t="s">
        <v>1303</v>
      </c>
      <c r="E823" s="1055" t="s">
        <v>806</v>
      </c>
      <c r="F823" s="1056">
        <v>-1194</v>
      </c>
      <c r="G823" s="1056">
        <v>0</v>
      </c>
      <c r="H823" s="1056">
        <v>0</v>
      </c>
      <c r="I823" s="1056">
        <v>-1194</v>
      </c>
      <c r="K823" s="1037">
        <f t="shared" si="12"/>
        <v>8</v>
      </c>
    </row>
    <row r="824" spans="1:11" ht="12.75">
      <c r="A824" s="1054">
        <v>25250501</v>
      </c>
      <c r="B824" s="1055" t="s">
        <v>893</v>
      </c>
      <c r="C824" s="1055" t="s">
        <v>351</v>
      </c>
      <c r="D824" s="1055" t="s">
        <v>1480</v>
      </c>
      <c r="E824" s="1055" t="s">
        <v>1481</v>
      </c>
      <c r="F824" s="1056">
        <v>-1434</v>
      </c>
      <c r="G824" s="1056">
        <v>0</v>
      </c>
      <c r="H824" s="1056">
        <v>0</v>
      </c>
      <c r="I824" s="1056">
        <v>-1434</v>
      </c>
      <c r="K824" s="1037">
        <f t="shared" si="12"/>
        <v>8</v>
      </c>
    </row>
    <row r="825" spans="1:11" ht="12.75">
      <c r="A825" s="1054">
        <v>25250501</v>
      </c>
      <c r="B825" s="1055" t="s">
        <v>893</v>
      </c>
      <c r="C825" s="1055" t="s">
        <v>351</v>
      </c>
      <c r="D825" s="1055" t="s">
        <v>1275</v>
      </c>
      <c r="E825" s="1055" t="s">
        <v>991</v>
      </c>
      <c r="F825" s="1056">
        <v>-902</v>
      </c>
      <c r="G825" s="1056">
        <v>799</v>
      </c>
      <c r="H825" s="1056">
        <v>0</v>
      </c>
      <c r="I825" s="1056">
        <v>-103</v>
      </c>
      <c r="K825" s="1037">
        <f t="shared" si="12"/>
        <v>8</v>
      </c>
    </row>
    <row r="826" spans="1:11" ht="12.75">
      <c r="A826" s="1054">
        <v>25250501</v>
      </c>
      <c r="B826" s="1055" t="s">
        <v>893</v>
      </c>
      <c r="C826" s="1055" t="s">
        <v>351</v>
      </c>
      <c r="D826" s="1055" t="s">
        <v>1382</v>
      </c>
      <c r="E826" s="1055" t="s">
        <v>1763</v>
      </c>
      <c r="F826" s="1056">
        <v>-573</v>
      </c>
      <c r="G826" s="1056">
        <v>0</v>
      </c>
      <c r="H826" s="1056">
        <v>0</v>
      </c>
      <c r="I826" s="1056">
        <v>-573</v>
      </c>
      <c r="K826" s="1037">
        <f t="shared" si="12"/>
        <v>8</v>
      </c>
    </row>
    <row r="827" spans="1:11" ht="12.75">
      <c r="A827" s="1054">
        <v>25250501</v>
      </c>
      <c r="B827" s="1055" t="s">
        <v>893</v>
      </c>
      <c r="C827" s="1055" t="s">
        <v>351</v>
      </c>
      <c r="D827" s="1055" t="s">
        <v>1383</v>
      </c>
      <c r="E827" s="1055" t="s">
        <v>1384</v>
      </c>
      <c r="F827" s="1056">
        <v>-997</v>
      </c>
      <c r="G827" s="1056">
        <v>0</v>
      </c>
      <c r="H827" s="1056">
        <v>0</v>
      </c>
      <c r="I827" s="1056">
        <v>-997</v>
      </c>
      <c r="K827" s="1037">
        <f t="shared" si="12"/>
        <v>8</v>
      </c>
    </row>
    <row r="828" spans="1:11" ht="12.75">
      <c r="A828" s="1054">
        <v>25250501</v>
      </c>
      <c r="B828" s="1055" t="s">
        <v>893</v>
      </c>
      <c r="C828" s="1055" t="s">
        <v>351</v>
      </c>
      <c r="D828" s="1055" t="s">
        <v>1430</v>
      </c>
      <c r="E828" s="1055" t="s">
        <v>1431</v>
      </c>
      <c r="F828" s="1056">
        <v>-277</v>
      </c>
      <c r="G828" s="1056">
        <v>0</v>
      </c>
      <c r="H828" s="1056">
        <v>0</v>
      </c>
      <c r="I828" s="1056">
        <v>-277</v>
      </c>
      <c r="K828" s="1037">
        <f t="shared" si="12"/>
        <v>8</v>
      </c>
    </row>
    <row r="829" spans="1:11" ht="12.75">
      <c r="A829" s="1054">
        <v>2530</v>
      </c>
      <c r="B829" s="1055" t="s">
        <v>1489</v>
      </c>
      <c r="C829" s="1055" t="s">
        <v>745</v>
      </c>
      <c r="D829" s="1055" t="s">
        <v>893</v>
      </c>
      <c r="E829" s="1055" t="s">
        <v>893</v>
      </c>
      <c r="F829" s="1056">
        <v>-55445</v>
      </c>
      <c r="G829" s="1056">
        <v>30505</v>
      </c>
      <c r="H829" s="1056">
        <v>18821</v>
      </c>
      <c r="I829" s="1056">
        <v>-43761</v>
      </c>
      <c r="K829" s="1037">
        <f t="shared" si="12"/>
        <v>4</v>
      </c>
    </row>
    <row r="830" spans="1:11" ht="12.75">
      <c r="A830" s="1054">
        <v>253005</v>
      </c>
      <c r="B830" s="1055" t="s">
        <v>893</v>
      </c>
      <c r="C830" s="1055" t="s">
        <v>352</v>
      </c>
      <c r="D830" s="1055" t="s">
        <v>893</v>
      </c>
      <c r="E830" s="1055" t="s">
        <v>893</v>
      </c>
      <c r="F830" s="1056">
        <v>-20018</v>
      </c>
      <c r="G830" s="1056">
        <v>176</v>
      </c>
      <c r="H830" s="1056">
        <v>5608</v>
      </c>
      <c r="I830" s="1056">
        <v>-25449</v>
      </c>
      <c r="K830" s="1037">
        <f t="shared" si="12"/>
        <v>6</v>
      </c>
    </row>
    <row r="831" spans="1:11" ht="12.75">
      <c r="A831" s="1054">
        <v>25300505</v>
      </c>
      <c r="B831" s="1055" t="s">
        <v>893</v>
      </c>
      <c r="C831" s="1055" t="s">
        <v>408</v>
      </c>
      <c r="D831" s="1055" t="s">
        <v>893</v>
      </c>
      <c r="E831" s="1055" t="s">
        <v>893</v>
      </c>
      <c r="F831" s="1056">
        <v>-29177</v>
      </c>
      <c r="G831" s="1056">
        <v>0</v>
      </c>
      <c r="H831" s="1056">
        <v>5608</v>
      </c>
      <c r="I831" s="1056">
        <v>-34785</v>
      </c>
      <c r="K831" s="1037">
        <f t="shared" si="12"/>
        <v>8</v>
      </c>
    </row>
    <row r="832" spans="1:11" ht="12.75">
      <c r="A832" s="1054">
        <v>25300505</v>
      </c>
      <c r="B832" s="1055" t="s">
        <v>893</v>
      </c>
      <c r="C832" s="1055" t="s">
        <v>408</v>
      </c>
      <c r="D832" s="1055" t="s">
        <v>1575</v>
      </c>
      <c r="E832" s="1055" t="s">
        <v>1576</v>
      </c>
      <c r="F832" s="1056">
        <v>-510</v>
      </c>
      <c r="G832" s="1056">
        <v>0</v>
      </c>
      <c r="H832" s="1056">
        <v>0</v>
      </c>
      <c r="I832" s="1056">
        <v>-510</v>
      </c>
      <c r="K832" s="1037">
        <f t="shared" si="12"/>
        <v>8</v>
      </c>
    </row>
    <row r="833" spans="1:11" ht="12.75">
      <c r="A833" s="1054">
        <v>25300505</v>
      </c>
      <c r="B833" s="1055" t="s">
        <v>893</v>
      </c>
      <c r="C833" s="1055" t="s">
        <v>408</v>
      </c>
      <c r="D833" s="1055" t="s">
        <v>1891</v>
      </c>
      <c r="E833" s="1055" t="s">
        <v>1892</v>
      </c>
      <c r="F833" s="1056">
        <v>0</v>
      </c>
      <c r="G833" s="1056">
        <v>0</v>
      </c>
      <c r="H833" s="1056">
        <v>199</v>
      </c>
      <c r="I833" s="1056">
        <v>-199</v>
      </c>
      <c r="K833" s="1037">
        <f t="shared" si="12"/>
        <v>8</v>
      </c>
    </row>
    <row r="834" spans="1:11" ht="12.75">
      <c r="A834" s="1054">
        <v>25300505</v>
      </c>
      <c r="B834" s="1055" t="s">
        <v>893</v>
      </c>
      <c r="C834" s="1055" t="s">
        <v>408</v>
      </c>
      <c r="D834" s="1055" t="s">
        <v>1577</v>
      </c>
      <c r="E834" s="1055" t="s">
        <v>1578</v>
      </c>
      <c r="F834" s="1056">
        <v>-560</v>
      </c>
      <c r="G834" s="1056">
        <v>0</v>
      </c>
      <c r="H834" s="1056">
        <v>211</v>
      </c>
      <c r="I834" s="1056">
        <v>-771</v>
      </c>
      <c r="K834" s="1037">
        <f t="shared" si="12"/>
        <v>8</v>
      </c>
    </row>
    <row r="835" spans="1:11" ht="12.75">
      <c r="A835" s="1054">
        <v>25300505</v>
      </c>
      <c r="B835" s="1055" t="s">
        <v>893</v>
      </c>
      <c r="C835" s="1055" t="s">
        <v>408</v>
      </c>
      <c r="D835" s="1055" t="s">
        <v>1360</v>
      </c>
      <c r="E835" s="1055" t="s">
        <v>1361</v>
      </c>
      <c r="F835" s="1056">
        <v>-1261</v>
      </c>
      <c r="G835" s="1056">
        <v>0</v>
      </c>
      <c r="H835" s="1056">
        <v>252</v>
      </c>
      <c r="I835" s="1056">
        <v>-1513</v>
      </c>
      <c r="K835" s="1037">
        <f t="shared" si="12"/>
        <v>8</v>
      </c>
    </row>
    <row r="836" spans="1:11" ht="12.75">
      <c r="A836" s="1054">
        <v>25300505</v>
      </c>
      <c r="B836" s="1055" t="s">
        <v>893</v>
      </c>
      <c r="C836" s="1055" t="s">
        <v>408</v>
      </c>
      <c r="D836" s="1055" t="s">
        <v>1893</v>
      </c>
      <c r="E836" s="1055" t="s">
        <v>1894</v>
      </c>
      <c r="F836" s="1056">
        <v>0</v>
      </c>
      <c r="G836" s="1056">
        <v>0</v>
      </c>
      <c r="H836" s="1056">
        <v>201</v>
      </c>
      <c r="I836" s="1056">
        <v>-201</v>
      </c>
      <c r="K836" s="1037">
        <f t="shared" si="12"/>
        <v>8</v>
      </c>
    </row>
    <row r="837" spans="1:11" ht="12.75">
      <c r="A837" s="1054">
        <v>25300505</v>
      </c>
      <c r="B837" s="1055" t="s">
        <v>893</v>
      </c>
      <c r="C837" s="1055" t="s">
        <v>408</v>
      </c>
      <c r="D837" s="1055" t="s">
        <v>1298</v>
      </c>
      <c r="E837" s="1055" t="s">
        <v>987</v>
      </c>
      <c r="F837" s="1056">
        <v>-785</v>
      </c>
      <c r="G837" s="1056">
        <v>0</v>
      </c>
      <c r="H837" s="1056">
        <v>0</v>
      </c>
      <c r="I837" s="1056">
        <v>-785</v>
      </c>
      <c r="K837" s="1037">
        <f t="shared" ref="K837:K900" si="13">+LEN(A837)</f>
        <v>8</v>
      </c>
    </row>
    <row r="838" spans="1:11" ht="12.75">
      <c r="A838" s="1054">
        <v>25300505</v>
      </c>
      <c r="B838" s="1055" t="s">
        <v>893</v>
      </c>
      <c r="C838" s="1055" t="s">
        <v>408</v>
      </c>
      <c r="D838" s="1055" t="s">
        <v>1484</v>
      </c>
      <c r="E838" s="1055" t="s">
        <v>1485</v>
      </c>
      <c r="F838" s="1056">
        <v>-891</v>
      </c>
      <c r="G838" s="1056">
        <v>0</v>
      </c>
      <c r="H838" s="1056">
        <v>188</v>
      </c>
      <c r="I838" s="1056">
        <v>-1078</v>
      </c>
      <c r="K838" s="1037">
        <f t="shared" si="13"/>
        <v>8</v>
      </c>
    </row>
    <row r="839" spans="1:11" ht="12.75">
      <c r="A839" s="1054">
        <v>25300505</v>
      </c>
      <c r="B839" s="1055" t="s">
        <v>893</v>
      </c>
      <c r="C839" s="1055" t="s">
        <v>408</v>
      </c>
      <c r="D839" s="1055" t="s">
        <v>1579</v>
      </c>
      <c r="E839" s="1055" t="s">
        <v>1580</v>
      </c>
      <c r="F839" s="1056">
        <v>-625</v>
      </c>
      <c r="G839" s="1056">
        <v>0</v>
      </c>
      <c r="H839" s="1056">
        <v>241</v>
      </c>
      <c r="I839" s="1056">
        <v>-865</v>
      </c>
      <c r="K839" s="1037">
        <f t="shared" si="13"/>
        <v>8</v>
      </c>
    </row>
    <row r="840" spans="1:11" ht="12.75">
      <c r="A840" s="1054">
        <v>25300505</v>
      </c>
      <c r="B840" s="1055" t="s">
        <v>893</v>
      </c>
      <c r="C840" s="1055" t="s">
        <v>408</v>
      </c>
      <c r="D840" s="1055" t="s">
        <v>1270</v>
      </c>
      <c r="E840" s="1055" t="s">
        <v>988</v>
      </c>
      <c r="F840" s="1056">
        <v>-1099</v>
      </c>
      <c r="G840" s="1056">
        <v>0</v>
      </c>
      <c r="H840" s="1056">
        <v>228</v>
      </c>
      <c r="I840" s="1056">
        <v>-1327</v>
      </c>
      <c r="K840" s="1037">
        <f t="shared" si="13"/>
        <v>8</v>
      </c>
    </row>
    <row r="841" spans="1:11" ht="12.75">
      <c r="A841" s="1054">
        <v>25300505</v>
      </c>
      <c r="B841" s="1055" t="s">
        <v>893</v>
      </c>
      <c r="C841" s="1055" t="s">
        <v>408</v>
      </c>
      <c r="D841" s="1055" t="s">
        <v>1271</v>
      </c>
      <c r="E841" s="1055" t="s">
        <v>782</v>
      </c>
      <c r="F841" s="1056">
        <v>-222</v>
      </c>
      <c r="G841" s="1056">
        <v>0</v>
      </c>
      <c r="H841" s="1056">
        <v>0</v>
      </c>
      <c r="I841" s="1056">
        <v>-222</v>
      </c>
      <c r="K841" s="1037">
        <f t="shared" si="13"/>
        <v>8</v>
      </c>
    </row>
    <row r="842" spans="1:11" ht="12.75">
      <c r="A842" s="1054">
        <v>25300505</v>
      </c>
      <c r="B842" s="1055" t="s">
        <v>893</v>
      </c>
      <c r="C842" s="1055" t="s">
        <v>408</v>
      </c>
      <c r="D842" s="1055" t="s">
        <v>1272</v>
      </c>
      <c r="E842" s="1055" t="s">
        <v>1273</v>
      </c>
      <c r="F842" s="1056">
        <v>0</v>
      </c>
      <c r="G842" s="1056">
        <v>0</v>
      </c>
      <c r="H842" s="1056">
        <v>230</v>
      </c>
      <c r="I842" s="1056">
        <v>-230</v>
      </c>
      <c r="K842" s="1037">
        <f t="shared" si="13"/>
        <v>8</v>
      </c>
    </row>
    <row r="843" spans="1:11" ht="12.75">
      <c r="A843" s="1054">
        <v>25300505</v>
      </c>
      <c r="B843" s="1055" t="s">
        <v>893</v>
      </c>
      <c r="C843" s="1055" t="s">
        <v>408</v>
      </c>
      <c r="D843" s="1055" t="s">
        <v>1420</v>
      </c>
      <c r="E843" s="1055" t="s">
        <v>1421</v>
      </c>
      <c r="F843" s="1056">
        <v>-868</v>
      </c>
      <c r="G843" s="1056">
        <v>0</v>
      </c>
      <c r="H843" s="1056">
        <v>89</v>
      </c>
      <c r="I843" s="1056">
        <v>-957</v>
      </c>
      <c r="K843" s="1037">
        <f t="shared" si="13"/>
        <v>8</v>
      </c>
    </row>
    <row r="844" spans="1:11" ht="12.75">
      <c r="A844" s="1054">
        <v>25300505</v>
      </c>
      <c r="B844" s="1055" t="s">
        <v>893</v>
      </c>
      <c r="C844" s="1055" t="s">
        <v>408</v>
      </c>
      <c r="D844" s="1055" t="s">
        <v>1493</v>
      </c>
      <c r="E844" s="1055" t="s">
        <v>1494</v>
      </c>
      <c r="F844" s="1056">
        <v>-934</v>
      </c>
      <c r="G844" s="1056">
        <v>0</v>
      </c>
      <c r="H844" s="1056">
        <v>0</v>
      </c>
      <c r="I844" s="1056">
        <v>-934</v>
      </c>
      <c r="K844" s="1037">
        <f t="shared" si="13"/>
        <v>8</v>
      </c>
    </row>
    <row r="845" spans="1:11" ht="12.75">
      <c r="A845" s="1054">
        <v>25300505</v>
      </c>
      <c r="B845" s="1055" t="s">
        <v>893</v>
      </c>
      <c r="C845" s="1055" t="s">
        <v>408</v>
      </c>
      <c r="D845" s="1055" t="s">
        <v>1841</v>
      </c>
      <c r="E845" s="1055" t="s">
        <v>1842</v>
      </c>
      <c r="F845" s="1056">
        <v>-51</v>
      </c>
      <c r="G845" s="1056">
        <v>0</v>
      </c>
      <c r="H845" s="1056">
        <v>167</v>
      </c>
      <c r="I845" s="1056">
        <v>-218</v>
      </c>
      <c r="K845" s="1037">
        <f t="shared" si="13"/>
        <v>8</v>
      </c>
    </row>
    <row r="846" spans="1:11" ht="12.75">
      <c r="A846" s="1054">
        <v>25300505</v>
      </c>
      <c r="B846" s="1055" t="s">
        <v>893</v>
      </c>
      <c r="C846" s="1055" t="s">
        <v>408</v>
      </c>
      <c r="D846" s="1055" t="s">
        <v>1519</v>
      </c>
      <c r="E846" s="1055" t="s">
        <v>1520</v>
      </c>
      <c r="F846" s="1056">
        <v>-89</v>
      </c>
      <c r="G846" s="1056">
        <v>0</v>
      </c>
      <c r="H846" s="1056">
        <v>0</v>
      </c>
      <c r="I846" s="1056">
        <v>-89</v>
      </c>
      <c r="K846" s="1037">
        <f t="shared" si="13"/>
        <v>8</v>
      </c>
    </row>
    <row r="847" spans="1:11" ht="12.75">
      <c r="A847" s="1054">
        <v>25300505</v>
      </c>
      <c r="B847" s="1055" t="s">
        <v>893</v>
      </c>
      <c r="C847" s="1055" t="s">
        <v>408</v>
      </c>
      <c r="D847" s="1055" t="s">
        <v>1368</v>
      </c>
      <c r="E847" s="1055" t="s">
        <v>1369</v>
      </c>
      <c r="F847" s="1056">
        <v>-44</v>
      </c>
      <c r="G847" s="1056">
        <v>0</v>
      </c>
      <c r="H847" s="1056">
        <v>0</v>
      </c>
      <c r="I847" s="1056">
        <v>-44</v>
      </c>
      <c r="K847" s="1037">
        <f t="shared" si="13"/>
        <v>8</v>
      </c>
    </row>
    <row r="848" spans="1:11" ht="12.75">
      <c r="A848" s="1054">
        <v>25300505</v>
      </c>
      <c r="B848" s="1055" t="s">
        <v>893</v>
      </c>
      <c r="C848" s="1055" t="s">
        <v>408</v>
      </c>
      <c r="D848" s="1055" t="s">
        <v>1895</v>
      </c>
      <c r="E848" s="1055" t="s">
        <v>1896</v>
      </c>
      <c r="F848" s="1056">
        <v>0</v>
      </c>
      <c r="G848" s="1056">
        <v>0</v>
      </c>
      <c r="H848" s="1056">
        <v>33</v>
      </c>
      <c r="I848" s="1056">
        <v>-33</v>
      </c>
      <c r="K848" s="1037">
        <f t="shared" si="13"/>
        <v>8</v>
      </c>
    </row>
    <row r="849" spans="1:11" ht="12.75">
      <c r="A849" s="1054">
        <v>25300505</v>
      </c>
      <c r="B849" s="1055" t="s">
        <v>893</v>
      </c>
      <c r="C849" s="1055" t="s">
        <v>408</v>
      </c>
      <c r="D849" s="1055" t="s">
        <v>1495</v>
      </c>
      <c r="E849" s="1055" t="s">
        <v>1496</v>
      </c>
      <c r="F849" s="1056">
        <v>-74</v>
      </c>
      <c r="G849" s="1056">
        <v>0</v>
      </c>
      <c r="H849" s="1056">
        <v>0</v>
      </c>
      <c r="I849" s="1056">
        <v>-74</v>
      </c>
      <c r="K849" s="1037">
        <f t="shared" si="13"/>
        <v>8</v>
      </c>
    </row>
    <row r="850" spans="1:11" ht="12.75">
      <c r="A850" s="1054">
        <v>25300505</v>
      </c>
      <c r="B850" s="1055" t="s">
        <v>893</v>
      </c>
      <c r="C850" s="1055" t="s">
        <v>408</v>
      </c>
      <c r="D850" s="1055" t="s">
        <v>1320</v>
      </c>
      <c r="E850" s="1055" t="s">
        <v>1321</v>
      </c>
      <c r="F850" s="1056">
        <v>-910</v>
      </c>
      <c r="G850" s="1056">
        <v>0</v>
      </c>
      <c r="H850" s="1056">
        <v>194</v>
      </c>
      <c r="I850" s="1056">
        <v>-1104</v>
      </c>
      <c r="K850" s="1037">
        <f t="shared" si="13"/>
        <v>8</v>
      </c>
    </row>
    <row r="851" spans="1:11" ht="12.75">
      <c r="A851" s="1054">
        <v>25300505</v>
      </c>
      <c r="B851" s="1055" t="s">
        <v>893</v>
      </c>
      <c r="C851" s="1055" t="s">
        <v>408</v>
      </c>
      <c r="D851" s="1055" t="s">
        <v>1274</v>
      </c>
      <c r="E851" s="1055" t="s">
        <v>989</v>
      </c>
      <c r="F851" s="1056">
        <v>-1122</v>
      </c>
      <c r="G851" s="1056">
        <v>0</v>
      </c>
      <c r="H851" s="1056">
        <v>218</v>
      </c>
      <c r="I851" s="1056">
        <v>-1339</v>
      </c>
      <c r="K851" s="1037">
        <f t="shared" si="13"/>
        <v>8</v>
      </c>
    </row>
    <row r="852" spans="1:11" ht="12.75">
      <c r="A852" s="1054">
        <v>25300505</v>
      </c>
      <c r="B852" s="1055" t="s">
        <v>893</v>
      </c>
      <c r="C852" s="1055" t="s">
        <v>408</v>
      </c>
      <c r="D852" s="1055" t="s">
        <v>1497</v>
      </c>
      <c r="E852" s="1055" t="s">
        <v>1498</v>
      </c>
      <c r="F852" s="1056">
        <v>-659</v>
      </c>
      <c r="G852" s="1056">
        <v>0</v>
      </c>
      <c r="H852" s="1056">
        <v>0</v>
      </c>
      <c r="I852" s="1056">
        <v>-659</v>
      </c>
      <c r="K852" s="1037">
        <f t="shared" si="13"/>
        <v>8</v>
      </c>
    </row>
    <row r="853" spans="1:11" ht="12.75">
      <c r="A853" s="1054">
        <v>25300505</v>
      </c>
      <c r="B853" s="1055" t="s">
        <v>893</v>
      </c>
      <c r="C853" s="1055" t="s">
        <v>408</v>
      </c>
      <c r="D853" s="1055" t="s">
        <v>1043</v>
      </c>
      <c r="E853" s="1055" t="s">
        <v>318</v>
      </c>
      <c r="F853" s="1056">
        <v>-1421</v>
      </c>
      <c r="G853" s="1056">
        <v>0</v>
      </c>
      <c r="H853" s="1056">
        <v>360</v>
      </c>
      <c r="I853" s="1056">
        <v>-1781</v>
      </c>
      <c r="K853" s="1037">
        <f t="shared" si="13"/>
        <v>8</v>
      </c>
    </row>
    <row r="854" spans="1:11" ht="12.75">
      <c r="A854" s="1054">
        <v>25300505</v>
      </c>
      <c r="B854" s="1055" t="s">
        <v>893</v>
      </c>
      <c r="C854" s="1055" t="s">
        <v>408</v>
      </c>
      <c r="D854" s="1055" t="s">
        <v>1370</v>
      </c>
      <c r="E854" s="1055" t="s">
        <v>1371</v>
      </c>
      <c r="F854" s="1056">
        <v>-746</v>
      </c>
      <c r="G854" s="1056">
        <v>0</v>
      </c>
      <c r="H854" s="1056">
        <v>188</v>
      </c>
      <c r="I854" s="1056">
        <v>-934</v>
      </c>
      <c r="K854" s="1037">
        <f t="shared" si="13"/>
        <v>8</v>
      </c>
    </row>
    <row r="855" spans="1:11" ht="12.75">
      <c r="A855" s="1054">
        <v>25300505</v>
      </c>
      <c r="B855" s="1055" t="s">
        <v>893</v>
      </c>
      <c r="C855" s="1055" t="s">
        <v>408</v>
      </c>
      <c r="D855" s="1055" t="s">
        <v>1843</v>
      </c>
      <c r="E855" s="1055" t="s">
        <v>1844</v>
      </c>
      <c r="F855" s="1056">
        <v>-143</v>
      </c>
      <c r="G855" s="1056">
        <v>0</v>
      </c>
      <c r="H855" s="1056">
        <v>0</v>
      </c>
      <c r="I855" s="1056">
        <v>-143</v>
      </c>
      <c r="K855" s="1037">
        <f t="shared" si="13"/>
        <v>8</v>
      </c>
    </row>
    <row r="856" spans="1:11" ht="12.75">
      <c r="A856" s="1054">
        <v>25300505</v>
      </c>
      <c r="B856" s="1055" t="s">
        <v>893</v>
      </c>
      <c r="C856" s="1055" t="s">
        <v>408</v>
      </c>
      <c r="D856" s="1055" t="s">
        <v>1759</v>
      </c>
      <c r="E856" s="1055" t="s">
        <v>1760</v>
      </c>
      <c r="F856" s="1056">
        <v>-149</v>
      </c>
      <c r="G856" s="1056">
        <v>0</v>
      </c>
      <c r="H856" s="1056">
        <v>0</v>
      </c>
      <c r="I856" s="1056">
        <v>-149</v>
      </c>
      <c r="K856" s="1037">
        <f t="shared" si="13"/>
        <v>8</v>
      </c>
    </row>
    <row r="857" spans="1:11" ht="12.75">
      <c r="A857" s="1054">
        <v>25300505</v>
      </c>
      <c r="B857" s="1055" t="s">
        <v>893</v>
      </c>
      <c r="C857" s="1055" t="s">
        <v>408</v>
      </c>
      <c r="D857" s="1055" t="s">
        <v>1581</v>
      </c>
      <c r="E857" s="1055" t="s">
        <v>1582</v>
      </c>
      <c r="F857" s="1056">
        <v>-494</v>
      </c>
      <c r="G857" s="1056">
        <v>0</v>
      </c>
      <c r="H857" s="1056">
        <v>0</v>
      </c>
      <c r="I857" s="1056">
        <v>-494</v>
      </c>
      <c r="K857" s="1037">
        <f t="shared" si="13"/>
        <v>8</v>
      </c>
    </row>
    <row r="858" spans="1:11" ht="12.75">
      <c r="A858" s="1054">
        <v>25300505</v>
      </c>
      <c r="B858" s="1055" t="s">
        <v>893</v>
      </c>
      <c r="C858" s="1055" t="s">
        <v>408</v>
      </c>
      <c r="D858" s="1055" t="s">
        <v>1521</v>
      </c>
      <c r="E858" s="1055" t="s">
        <v>1522</v>
      </c>
      <c r="F858" s="1056">
        <v>-961</v>
      </c>
      <c r="G858" s="1056">
        <v>0</v>
      </c>
      <c r="H858" s="1056">
        <v>213</v>
      </c>
      <c r="I858" s="1056">
        <v>-1174</v>
      </c>
      <c r="K858" s="1037">
        <f t="shared" si="13"/>
        <v>8</v>
      </c>
    </row>
    <row r="859" spans="1:11" ht="12.75">
      <c r="A859" s="1054">
        <v>25300505</v>
      </c>
      <c r="B859" s="1055" t="s">
        <v>893</v>
      </c>
      <c r="C859" s="1055" t="s">
        <v>408</v>
      </c>
      <c r="D859" s="1055" t="s">
        <v>1426</v>
      </c>
      <c r="E859" s="1055" t="s">
        <v>1427</v>
      </c>
      <c r="F859" s="1056">
        <v>-949</v>
      </c>
      <c r="G859" s="1056">
        <v>0</v>
      </c>
      <c r="H859" s="1056">
        <v>200</v>
      </c>
      <c r="I859" s="1056">
        <v>-1149</v>
      </c>
      <c r="K859" s="1037">
        <f t="shared" si="13"/>
        <v>8</v>
      </c>
    </row>
    <row r="860" spans="1:11" ht="12.75">
      <c r="A860" s="1054">
        <v>25300505</v>
      </c>
      <c r="B860" s="1055" t="s">
        <v>893</v>
      </c>
      <c r="C860" s="1055" t="s">
        <v>408</v>
      </c>
      <c r="D860" s="1055" t="s">
        <v>1583</v>
      </c>
      <c r="E860" s="1055" t="s">
        <v>1584</v>
      </c>
      <c r="F860" s="1056">
        <v>-128</v>
      </c>
      <c r="G860" s="1056">
        <v>0</v>
      </c>
      <c r="H860" s="1056">
        <v>0</v>
      </c>
      <c r="I860" s="1056">
        <v>-128</v>
      </c>
      <c r="K860" s="1037">
        <f t="shared" si="13"/>
        <v>8</v>
      </c>
    </row>
    <row r="861" spans="1:11" ht="12.75">
      <c r="A861" s="1054">
        <v>25300505</v>
      </c>
      <c r="B861" s="1055" t="s">
        <v>893</v>
      </c>
      <c r="C861" s="1055" t="s">
        <v>408</v>
      </c>
      <c r="D861" s="1055" t="s">
        <v>1374</v>
      </c>
      <c r="E861" s="1055" t="s">
        <v>1375</v>
      </c>
      <c r="F861" s="1056">
        <v>-907</v>
      </c>
      <c r="G861" s="1056">
        <v>0</v>
      </c>
      <c r="H861" s="1056">
        <v>198</v>
      </c>
      <c r="I861" s="1056">
        <v>-1105</v>
      </c>
      <c r="K861" s="1037">
        <f t="shared" si="13"/>
        <v>8</v>
      </c>
    </row>
    <row r="862" spans="1:11" ht="12.75">
      <c r="A862" s="1054">
        <v>25300505</v>
      </c>
      <c r="B862" s="1055" t="s">
        <v>893</v>
      </c>
      <c r="C862" s="1055" t="s">
        <v>408</v>
      </c>
      <c r="D862" s="1055" t="s">
        <v>1249</v>
      </c>
      <c r="E862" s="1055" t="s">
        <v>583</v>
      </c>
      <c r="F862" s="1056">
        <v>-1580</v>
      </c>
      <c r="G862" s="1056">
        <v>0</v>
      </c>
      <c r="H862" s="1056">
        <v>318</v>
      </c>
      <c r="I862" s="1056">
        <v>-1898</v>
      </c>
      <c r="K862" s="1037">
        <f t="shared" si="13"/>
        <v>8</v>
      </c>
    </row>
    <row r="863" spans="1:11" ht="12.75">
      <c r="A863" s="1054">
        <v>25300505</v>
      </c>
      <c r="B863" s="1055" t="s">
        <v>893</v>
      </c>
      <c r="C863" s="1055" t="s">
        <v>408</v>
      </c>
      <c r="D863" s="1055" t="s">
        <v>1376</v>
      </c>
      <c r="E863" s="1055" t="s">
        <v>1377</v>
      </c>
      <c r="F863" s="1056">
        <v>-1063</v>
      </c>
      <c r="G863" s="1056">
        <v>0</v>
      </c>
      <c r="H863" s="1056">
        <v>0</v>
      </c>
      <c r="I863" s="1056">
        <v>-1063</v>
      </c>
      <c r="K863" s="1037">
        <f t="shared" si="13"/>
        <v>8</v>
      </c>
    </row>
    <row r="864" spans="1:11" ht="12.75">
      <c r="A864" s="1054">
        <v>25300505</v>
      </c>
      <c r="B864" s="1055" t="s">
        <v>893</v>
      </c>
      <c r="C864" s="1055" t="s">
        <v>408</v>
      </c>
      <c r="D864" s="1055" t="s">
        <v>1845</v>
      </c>
      <c r="E864" s="1055" t="s">
        <v>1846</v>
      </c>
      <c r="F864" s="1056">
        <v>-123</v>
      </c>
      <c r="G864" s="1056">
        <v>0</v>
      </c>
      <c r="H864" s="1056">
        <v>199</v>
      </c>
      <c r="I864" s="1056">
        <v>-323</v>
      </c>
      <c r="K864" s="1037">
        <f t="shared" si="13"/>
        <v>8</v>
      </c>
    </row>
    <row r="865" spans="1:11" ht="12.75">
      <c r="A865" s="1054">
        <v>25300505</v>
      </c>
      <c r="B865" s="1055" t="s">
        <v>893</v>
      </c>
      <c r="C865" s="1055" t="s">
        <v>408</v>
      </c>
      <c r="D865" s="1055" t="s">
        <v>1306</v>
      </c>
      <c r="E865" s="1055" t="s">
        <v>997</v>
      </c>
      <c r="F865" s="1056">
        <v>-765</v>
      </c>
      <c r="G865" s="1056">
        <v>0</v>
      </c>
      <c r="H865" s="1056">
        <v>0</v>
      </c>
      <c r="I865" s="1056">
        <v>-765</v>
      </c>
      <c r="K865" s="1037">
        <f t="shared" si="13"/>
        <v>8</v>
      </c>
    </row>
    <row r="866" spans="1:11" ht="12.75">
      <c r="A866" s="1054">
        <v>25300505</v>
      </c>
      <c r="B866" s="1055" t="s">
        <v>893</v>
      </c>
      <c r="C866" s="1055" t="s">
        <v>408</v>
      </c>
      <c r="D866" s="1055" t="s">
        <v>1897</v>
      </c>
      <c r="E866" s="1055" t="s">
        <v>1898</v>
      </c>
      <c r="F866" s="1056">
        <v>0</v>
      </c>
      <c r="G866" s="1056">
        <v>0</v>
      </c>
      <c r="H866" s="1056">
        <v>45</v>
      </c>
      <c r="I866" s="1056">
        <v>-45</v>
      </c>
      <c r="K866" s="1037">
        <f t="shared" si="13"/>
        <v>8</v>
      </c>
    </row>
    <row r="867" spans="1:11" ht="12.75">
      <c r="A867" s="1054">
        <v>25300505</v>
      </c>
      <c r="B867" s="1055" t="s">
        <v>893</v>
      </c>
      <c r="C867" s="1055" t="s">
        <v>408</v>
      </c>
      <c r="D867" s="1055" t="s">
        <v>1250</v>
      </c>
      <c r="E867" s="1055" t="s">
        <v>1251</v>
      </c>
      <c r="F867" s="1056">
        <v>-940</v>
      </c>
      <c r="G867" s="1056">
        <v>0</v>
      </c>
      <c r="H867" s="1056">
        <v>188</v>
      </c>
      <c r="I867" s="1056">
        <v>-1129</v>
      </c>
      <c r="K867" s="1037">
        <f t="shared" si="13"/>
        <v>8</v>
      </c>
    </row>
    <row r="868" spans="1:11" ht="12.75">
      <c r="A868" s="1054">
        <v>25300505</v>
      </c>
      <c r="B868" s="1055" t="s">
        <v>893</v>
      </c>
      <c r="C868" s="1055" t="s">
        <v>408</v>
      </c>
      <c r="D868" s="1055" t="s">
        <v>1899</v>
      </c>
      <c r="E868" s="1055" t="s">
        <v>1900</v>
      </c>
      <c r="F868" s="1056">
        <v>0</v>
      </c>
      <c r="G868" s="1056">
        <v>0</v>
      </c>
      <c r="H868" s="1056">
        <v>17</v>
      </c>
      <c r="I868" s="1056">
        <v>-17</v>
      </c>
      <c r="K868" s="1037">
        <f t="shared" si="13"/>
        <v>8</v>
      </c>
    </row>
    <row r="869" spans="1:11" ht="12.75">
      <c r="A869" s="1054">
        <v>25300505</v>
      </c>
      <c r="B869" s="1055" t="s">
        <v>893</v>
      </c>
      <c r="C869" s="1055" t="s">
        <v>408</v>
      </c>
      <c r="D869" s="1055" t="s">
        <v>1901</v>
      </c>
      <c r="E869" s="1055" t="s">
        <v>1902</v>
      </c>
      <c r="F869" s="1056">
        <v>0</v>
      </c>
      <c r="G869" s="1056">
        <v>0</v>
      </c>
      <c r="H869" s="1056">
        <v>83</v>
      </c>
      <c r="I869" s="1056">
        <v>-83</v>
      </c>
      <c r="K869" s="1037">
        <f t="shared" si="13"/>
        <v>8</v>
      </c>
    </row>
    <row r="870" spans="1:11" ht="12.75">
      <c r="A870" s="1054">
        <v>25300505</v>
      </c>
      <c r="B870" s="1055" t="s">
        <v>893</v>
      </c>
      <c r="C870" s="1055" t="s">
        <v>408</v>
      </c>
      <c r="D870" s="1055" t="s">
        <v>1686</v>
      </c>
      <c r="E870" s="1055" t="s">
        <v>1687</v>
      </c>
      <c r="F870" s="1056">
        <v>-549</v>
      </c>
      <c r="G870" s="1056">
        <v>0</v>
      </c>
      <c r="H870" s="1056">
        <v>0</v>
      </c>
      <c r="I870" s="1056">
        <v>-549</v>
      </c>
      <c r="K870" s="1037">
        <f t="shared" si="13"/>
        <v>8</v>
      </c>
    </row>
    <row r="871" spans="1:11" ht="12.75">
      <c r="A871" s="1054">
        <v>25300505</v>
      </c>
      <c r="B871" s="1055" t="s">
        <v>893</v>
      </c>
      <c r="C871" s="1055" t="s">
        <v>408</v>
      </c>
      <c r="D871" s="1055" t="s">
        <v>1303</v>
      </c>
      <c r="E871" s="1055" t="s">
        <v>806</v>
      </c>
      <c r="F871" s="1056">
        <v>-353</v>
      </c>
      <c r="G871" s="1056">
        <v>0</v>
      </c>
      <c r="H871" s="1056">
        <v>0</v>
      </c>
      <c r="I871" s="1056">
        <v>-353</v>
      </c>
      <c r="K871" s="1037">
        <f t="shared" si="13"/>
        <v>8</v>
      </c>
    </row>
    <row r="872" spans="1:11" ht="12.75">
      <c r="A872" s="1054">
        <v>25300505</v>
      </c>
      <c r="B872" s="1055" t="s">
        <v>893</v>
      </c>
      <c r="C872" s="1055" t="s">
        <v>408</v>
      </c>
      <c r="D872" s="1055" t="s">
        <v>1499</v>
      </c>
      <c r="E872" s="1055" t="s">
        <v>1500</v>
      </c>
      <c r="F872" s="1056">
        <v>-119</v>
      </c>
      <c r="G872" s="1056">
        <v>0</v>
      </c>
      <c r="H872" s="1056">
        <v>0</v>
      </c>
      <c r="I872" s="1056">
        <v>-119</v>
      </c>
      <c r="K872" s="1037">
        <f t="shared" si="13"/>
        <v>8</v>
      </c>
    </row>
    <row r="873" spans="1:11" ht="12.75">
      <c r="A873" s="1054">
        <v>25300505</v>
      </c>
      <c r="B873" s="1055" t="s">
        <v>893</v>
      </c>
      <c r="C873" s="1055" t="s">
        <v>408</v>
      </c>
      <c r="D873" s="1055" t="s">
        <v>1523</v>
      </c>
      <c r="E873" s="1055" t="s">
        <v>1524</v>
      </c>
      <c r="F873" s="1056">
        <v>-305</v>
      </c>
      <c r="G873" s="1056">
        <v>0</v>
      </c>
      <c r="H873" s="1056">
        <v>0</v>
      </c>
      <c r="I873" s="1056">
        <v>-305</v>
      </c>
      <c r="K873" s="1037">
        <f t="shared" si="13"/>
        <v>8</v>
      </c>
    </row>
    <row r="874" spans="1:11" ht="12.75">
      <c r="A874" s="1054">
        <v>25300505</v>
      </c>
      <c r="B874" s="1055" t="s">
        <v>893</v>
      </c>
      <c r="C874" s="1055" t="s">
        <v>408</v>
      </c>
      <c r="D874" s="1055" t="s">
        <v>1480</v>
      </c>
      <c r="E874" s="1055" t="s">
        <v>1481</v>
      </c>
      <c r="F874" s="1056">
        <v>-229</v>
      </c>
      <c r="G874" s="1056">
        <v>0</v>
      </c>
      <c r="H874" s="1056">
        <v>0</v>
      </c>
      <c r="I874" s="1056">
        <v>-229</v>
      </c>
      <c r="K874" s="1037">
        <f t="shared" si="13"/>
        <v>8</v>
      </c>
    </row>
    <row r="875" spans="1:11" ht="12.75">
      <c r="A875" s="1054">
        <v>25300505</v>
      </c>
      <c r="B875" s="1055" t="s">
        <v>893</v>
      </c>
      <c r="C875" s="1055" t="s">
        <v>408</v>
      </c>
      <c r="D875" s="1055" t="s">
        <v>1847</v>
      </c>
      <c r="E875" s="1055" t="s">
        <v>1848</v>
      </c>
      <c r="F875" s="1056">
        <v>-89</v>
      </c>
      <c r="G875" s="1056">
        <v>0</v>
      </c>
      <c r="H875" s="1056">
        <v>0</v>
      </c>
      <c r="I875" s="1056">
        <v>-89</v>
      </c>
      <c r="K875" s="1037">
        <f t="shared" si="13"/>
        <v>8</v>
      </c>
    </row>
    <row r="876" spans="1:11" ht="12.75">
      <c r="A876" s="1054">
        <v>25300505</v>
      </c>
      <c r="B876" s="1055" t="s">
        <v>893</v>
      </c>
      <c r="C876" s="1055" t="s">
        <v>408</v>
      </c>
      <c r="D876" s="1055" t="s">
        <v>1761</v>
      </c>
      <c r="E876" s="1055" t="s">
        <v>1762</v>
      </c>
      <c r="F876" s="1056">
        <v>-287</v>
      </c>
      <c r="G876" s="1056">
        <v>0</v>
      </c>
      <c r="H876" s="1056">
        <v>0</v>
      </c>
      <c r="I876" s="1056">
        <v>-287</v>
      </c>
      <c r="K876" s="1037">
        <f t="shared" si="13"/>
        <v>8</v>
      </c>
    </row>
    <row r="877" spans="1:11" ht="12.75">
      <c r="A877" s="1054">
        <v>25300505</v>
      </c>
      <c r="B877" s="1055" t="s">
        <v>893</v>
      </c>
      <c r="C877" s="1055" t="s">
        <v>408</v>
      </c>
      <c r="D877" s="1055" t="s">
        <v>1428</v>
      </c>
      <c r="E877" s="1055" t="s">
        <v>1429</v>
      </c>
      <c r="F877" s="1056">
        <v>-357</v>
      </c>
      <c r="G877" s="1056">
        <v>0</v>
      </c>
      <c r="H877" s="1056">
        <v>0</v>
      </c>
      <c r="I877" s="1056">
        <v>-357</v>
      </c>
      <c r="K877" s="1037">
        <f t="shared" si="13"/>
        <v>8</v>
      </c>
    </row>
    <row r="878" spans="1:11" ht="12.75">
      <c r="A878" s="1054">
        <v>25300505</v>
      </c>
      <c r="B878" s="1055" t="s">
        <v>893</v>
      </c>
      <c r="C878" s="1055" t="s">
        <v>408</v>
      </c>
      <c r="D878" s="1055" t="s">
        <v>1849</v>
      </c>
      <c r="E878" s="1055" t="s">
        <v>1850</v>
      </c>
      <c r="F878" s="1056">
        <v>-105</v>
      </c>
      <c r="G878" s="1056">
        <v>0</v>
      </c>
      <c r="H878" s="1056">
        <v>196</v>
      </c>
      <c r="I878" s="1056">
        <v>-301</v>
      </c>
      <c r="K878" s="1037">
        <f t="shared" si="13"/>
        <v>8</v>
      </c>
    </row>
    <row r="879" spans="1:11" ht="12.75">
      <c r="A879" s="1054">
        <v>25300505</v>
      </c>
      <c r="B879" s="1055" t="s">
        <v>893</v>
      </c>
      <c r="C879" s="1055" t="s">
        <v>408</v>
      </c>
      <c r="D879" s="1055" t="s">
        <v>1275</v>
      </c>
      <c r="E879" s="1055" t="s">
        <v>991</v>
      </c>
      <c r="F879" s="1056">
        <v>-964</v>
      </c>
      <c r="G879" s="1056">
        <v>0</v>
      </c>
      <c r="H879" s="1056">
        <v>187</v>
      </c>
      <c r="I879" s="1056">
        <v>-1152</v>
      </c>
      <c r="K879" s="1037">
        <f t="shared" si="13"/>
        <v>8</v>
      </c>
    </row>
    <row r="880" spans="1:11" ht="12.75">
      <c r="A880" s="1054">
        <v>25300505</v>
      </c>
      <c r="B880" s="1055" t="s">
        <v>893</v>
      </c>
      <c r="C880" s="1055" t="s">
        <v>408</v>
      </c>
      <c r="D880" s="1055" t="s">
        <v>1380</v>
      </c>
      <c r="E880" s="1055" t="s">
        <v>1381</v>
      </c>
      <c r="F880" s="1056">
        <v>-347</v>
      </c>
      <c r="G880" s="1056">
        <v>0</v>
      </c>
      <c r="H880" s="1056">
        <v>0</v>
      </c>
      <c r="I880" s="1056">
        <v>-347</v>
      </c>
      <c r="K880" s="1037">
        <f t="shared" si="13"/>
        <v>8</v>
      </c>
    </row>
    <row r="881" spans="1:11" ht="12.75">
      <c r="A881" s="1054">
        <v>25300505</v>
      </c>
      <c r="B881" s="1055" t="s">
        <v>893</v>
      </c>
      <c r="C881" s="1055" t="s">
        <v>408</v>
      </c>
      <c r="D881" s="1055" t="s">
        <v>1585</v>
      </c>
      <c r="E881" s="1055" t="s">
        <v>1586</v>
      </c>
      <c r="F881" s="1056">
        <v>-584</v>
      </c>
      <c r="G881" s="1056">
        <v>0</v>
      </c>
      <c r="H881" s="1056">
        <v>156</v>
      </c>
      <c r="I881" s="1056">
        <v>-740</v>
      </c>
      <c r="K881" s="1037">
        <f t="shared" si="13"/>
        <v>8</v>
      </c>
    </row>
    <row r="882" spans="1:11" ht="12.75">
      <c r="A882" s="1054">
        <v>25300505</v>
      </c>
      <c r="B882" s="1055" t="s">
        <v>893</v>
      </c>
      <c r="C882" s="1055" t="s">
        <v>408</v>
      </c>
      <c r="D882" s="1055" t="s">
        <v>1382</v>
      </c>
      <c r="E882" s="1055" t="s">
        <v>1763</v>
      </c>
      <c r="F882" s="1056">
        <v>-1109</v>
      </c>
      <c r="G882" s="1056">
        <v>0</v>
      </c>
      <c r="H882" s="1056">
        <v>227</v>
      </c>
      <c r="I882" s="1056">
        <v>-1337</v>
      </c>
      <c r="K882" s="1037">
        <f t="shared" si="13"/>
        <v>8</v>
      </c>
    </row>
    <row r="883" spans="1:11" ht="12.75">
      <c r="A883" s="1054">
        <v>25300505</v>
      </c>
      <c r="B883" s="1055" t="s">
        <v>893</v>
      </c>
      <c r="C883" s="1055" t="s">
        <v>408</v>
      </c>
      <c r="D883" s="1055" t="s">
        <v>1440</v>
      </c>
      <c r="E883" s="1055" t="s">
        <v>1441</v>
      </c>
      <c r="F883" s="1056">
        <v>-704</v>
      </c>
      <c r="G883" s="1056">
        <v>0</v>
      </c>
      <c r="H883" s="1056">
        <v>0</v>
      </c>
      <c r="I883" s="1056">
        <v>-704</v>
      </c>
      <c r="K883" s="1037">
        <f t="shared" si="13"/>
        <v>8</v>
      </c>
    </row>
    <row r="884" spans="1:11" ht="12.75">
      <c r="A884" s="1054">
        <v>25300505</v>
      </c>
      <c r="B884" s="1055" t="s">
        <v>893</v>
      </c>
      <c r="C884" s="1055" t="s">
        <v>408</v>
      </c>
      <c r="D884" s="1055" t="s">
        <v>1383</v>
      </c>
      <c r="E884" s="1055" t="s">
        <v>1384</v>
      </c>
      <c r="F884" s="1056">
        <v>-1070</v>
      </c>
      <c r="G884" s="1056">
        <v>0</v>
      </c>
      <c r="H884" s="1056">
        <v>190</v>
      </c>
      <c r="I884" s="1056">
        <v>-1260</v>
      </c>
      <c r="K884" s="1037">
        <f t="shared" si="13"/>
        <v>8</v>
      </c>
    </row>
    <row r="885" spans="1:11" ht="12.75">
      <c r="A885" s="1054">
        <v>25300505</v>
      </c>
      <c r="B885" s="1055" t="s">
        <v>893</v>
      </c>
      <c r="C885" s="1055" t="s">
        <v>408</v>
      </c>
      <c r="D885" s="1055" t="s">
        <v>1430</v>
      </c>
      <c r="E885" s="1055" t="s">
        <v>1431</v>
      </c>
      <c r="F885" s="1056">
        <v>-196</v>
      </c>
      <c r="G885" s="1056">
        <v>0</v>
      </c>
      <c r="H885" s="1056">
        <v>0</v>
      </c>
      <c r="I885" s="1056">
        <v>-196</v>
      </c>
      <c r="K885" s="1037">
        <f t="shared" si="13"/>
        <v>8</v>
      </c>
    </row>
    <row r="886" spans="1:11" ht="12.75">
      <c r="A886" s="1054">
        <v>25300505</v>
      </c>
      <c r="B886" s="1055" t="s">
        <v>893</v>
      </c>
      <c r="C886" s="1055" t="s">
        <v>408</v>
      </c>
      <c r="D886" s="1055" t="s">
        <v>1587</v>
      </c>
      <c r="E886" s="1055" t="s">
        <v>1588</v>
      </c>
      <c r="F886" s="1056">
        <v>-738</v>
      </c>
      <c r="G886" s="1056">
        <v>0</v>
      </c>
      <c r="H886" s="1056">
        <v>192</v>
      </c>
      <c r="I886" s="1056">
        <v>-930</v>
      </c>
      <c r="K886" s="1037">
        <f t="shared" si="13"/>
        <v>8</v>
      </c>
    </row>
    <row r="887" spans="1:11" ht="12.75">
      <c r="A887" s="1054">
        <v>25300510</v>
      </c>
      <c r="B887" s="1055" t="s">
        <v>893</v>
      </c>
      <c r="C887" s="1055" t="s">
        <v>353</v>
      </c>
      <c r="D887" s="1055" t="s">
        <v>893</v>
      </c>
      <c r="E887" s="1055" t="s">
        <v>893</v>
      </c>
      <c r="F887" s="1056">
        <v>9160</v>
      </c>
      <c r="G887" s="1056">
        <v>176</v>
      </c>
      <c r="H887" s="1056">
        <v>0</v>
      </c>
      <c r="I887" s="1056">
        <v>9336</v>
      </c>
      <c r="K887" s="1037">
        <f t="shared" si="13"/>
        <v>8</v>
      </c>
    </row>
    <row r="888" spans="1:11" ht="12.75">
      <c r="A888" s="1054">
        <v>25300510</v>
      </c>
      <c r="B888" s="1055" t="s">
        <v>893</v>
      </c>
      <c r="C888" s="1055" t="s">
        <v>353</v>
      </c>
      <c r="D888" s="1055" t="s">
        <v>1575</v>
      </c>
      <c r="E888" s="1055" t="s">
        <v>1576</v>
      </c>
      <c r="F888" s="1056">
        <v>510</v>
      </c>
      <c r="G888" s="1056">
        <v>0</v>
      </c>
      <c r="H888" s="1056">
        <v>0</v>
      </c>
      <c r="I888" s="1056">
        <v>510</v>
      </c>
      <c r="K888" s="1037">
        <f t="shared" si="13"/>
        <v>8</v>
      </c>
    </row>
    <row r="889" spans="1:11" ht="12.75">
      <c r="A889" s="1054">
        <v>25300510</v>
      </c>
      <c r="B889" s="1055" t="s">
        <v>893</v>
      </c>
      <c r="C889" s="1055" t="s">
        <v>353</v>
      </c>
      <c r="D889" s="1055" t="s">
        <v>1577</v>
      </c>
      <c r="E889" s="1055" t="s">
        <v>1578</v>
      </c>
      <c r="F889" s="1056">
        <v>17</v>
      </c>
      <c r="G889" s="1056">
        <v>0</v>
      </c>
      <c r="H889" s="1056">
        <v>0</v>
      </c>
      <c r="I889" s="1056">
        <v>17</v>
      </c>
      <c r="K889" s="1037">
        <f t="shared" si="13"/>
        <v>8</v>
      </c>
    </row>
    <row r="890" spans="1:11" ht="12.75">
      <c r="A890" s="1054">
        <v>25300510</v>
      </c>
      <c r="B890" s="1055" t="s">
        <v>893</v>
      </c>
      <c r="C890" s="1055" t="s">
        <v>353</v>
      </c>
      <c r="D890" s="1055" t="s">
        <v>1298</v>
      </c>
      <c r="E890" s="1055" t="s">
        <v>987</v>
      </c>
      <c r="F890" s="1056">
        <v>785</v>
      </c>
      <c r="G890" s="1056">
        <v>0</v>
      </c>
      <c r="H890" s="1056">
        <v>0</v>
      </c>
      <c r="I890" s="1056">
        <v>785</v>
      </c>
      <c r="K890" s="1037">
        <f t="shared" si="13"/>
        <v>8</v>
      </c>
    </row>
    <row r="891" spans="1:11" ht="12.75">
      <c r="A891" s="1054">
        <v>25300510</v>
      </c>
      <c r="B891" s="1055" t="s">
        <v>893</v>
      </c>
      <c r="C891" s="1055" t="s">
        <v>353</v>
      </c>
      <c r="D891" s="1055" t="s">
        <v>1493</v>
      </c>
      <c r="E891" s="1055" t="s">
        <v>1494</v>
      </c>
      <c r="F891" s="1056">
        <v>934</v>
      </c>
      <c r="G891" s="1056">
        <v>0</v>
      </c>
      <c r="H891" s="1056">
        <v>0</v>
      </c>
      <c r="I891" s="1056">
        <v>934</v>
      </c>
      <c r="K891" s="1037">
        <f t="shared" si="13"/>
        <v>8</v>
      </c>
    </row>
    <row r="892" spans="1:11" ht="12.75">
      <c r="A892" s="1054">
        <v>25300510</v>
      </c>
      <c r="B892" s="1055" t="s">
        <v>893</v>
      </c>
      <c r="C892" s="1055" t="s">
        <v>353</v>
      </c>
      <c r="D892" s="1055" t="s">
        <v>1519</v>
      </c>
      <c r="E892" s="1055" t="s">
        <v>1520</v>
      </c>
      <c r="F892" s="1056">
        <v>89</v>
      </c>
      <c r="G892" s="1056">
        <v>0</v>
      </c>
      <c r="H892" s="1056">
        <v>0</v>
      </c>
      <c r="I892" s="1056">
        <v>89</v>
      </c>
      <c r="K892" s="1037">
        <f t="shared" si="13"/>
        <v>8</v>
      </c>
    </row>
    <row r="893" spans="1:11" ht="12.75">
      <c r="A893" s="1054">
        <v>25300510</v>
      </c>
      <c r="B893" s="1055" t="s">
        <v>893</v>
      </c>
      <c r="C893" s="1055" t="s">
        <v>353</v>
      </c>
      <c r="D893" s="1055" t="s">
        <v>1368</v>
      </c>
      <c r="E893" s="1055" t="s">
        <v>1369</v>
      </c>
      <c r="F893" s="1056">
        <v>44</v>
      </c>
      <c r="G893" s="1056">
        <v>0</v>
      </c>
      <c r="H893" s="1056">
        <v>0</v>
      </c>
      <c r="I893" s="1056">
        <v>44</v>
      </c>
      <c r="K893" s="1037">
        <f t="shared" si="13"/>
        <v>8</v>
      </c>
    </row>
    <row r="894" spans="1:11" ht="12.75">
      <c r="A894" s="1054">
        <v>25300510</v>
      </c>
      <c r="B894" s="1055" t="s">
        <v>893</v>
      </c>
      <c r="C894" s="1055" t="s">
        <v>353</v>
      </c>
      <c r="D894" s="1055" t="s">
        <v>1895</v>
      </c>
      <c r="E894" s="1055" t="s">
        <v>1896</v>
      </c>
      <c r="F894" s="1056">
        <v>0</v>
      </c>
      <c r="G894" s="1056">
        <v>33</v>
      </c>
      <c r="H894" s="1056">
        <v>0</v>
      </c>
      <c r="I894" s="1056">
        <v>33</v>
      </c>
      <c r="K894" s="1037">
        <f t="shared" si="13"/>
        <v>8</v>
      </c>
    </row>
    <row r="895" spans="1:11" ht="12.75">
      <c r="A895" s="1054">
        <v>25300510</v>
      </c>
      <c r="B895" s="1055" t="s">
        <v>893</v>
      </c>
      <c r="C895" s="1055" t="s">
        <v>353</v>
      </c>
      <c r="D895" s="1055" t="s">
        <v>1495</v>
      </c>
      <c r="E895" s="1055" t="s">
        <v>1496</v>
      </c>
      <c r="F895" s="1056">
        <v>75</v>
      </c>
      <c r="G895" s="1056">
        <v>0</v>
      </c>
      <c r="H895" s="1056">
        <v>0</v>
      </c>
      <c r="I895" s="1056">
        <v>75</v>
      </c>
      <c r="K895" s="1037">
        <f t="shared" si="13"/>
        <v>8</v>
      </c>
    </row>
    <row r="896" spans="1:11" ht="12.75">
      <c r="A896" s="1054">
        <v>25300510</v>
      </c>
      <c r="B896" s="1055" t="s">
        <v>893</v>
      </c>
      <c r="C896" s="1055" t="s">
        <v>353</v>
      </c>
      <c r="D896" s="1055" t="s">
        <v>1497</v>
      </c>
      <c r="E896" s="1055" t="s">
        <v>1498</v>
      </c>
      <c r="F896" s="1056">
        <v>659</v>
      </c>
      <c r="G896" s="1056">
        <v>0</v>
      </c>
      <c r="H896" s="1056">
        <v>0</v>
      </c>
      <c r="I896" s="1056">
        <v>659</v>
      </c>
      <c r="K896" s="1037">
        <f t="shared" si="13"/>
        <v>8</v>
      </c>
    </row>
    <row r="897" spans="1:11" ht="12.75">
      <c r="A897" s="1054">
        <v>25300510</v>
      </c>
      <c r="B897" s="1055" t="s">
        <v>893</v>
      </c>
      <c r="C897" s="1055" t="s">
        <v>353</v>
      </c>
      <c r="D897" s="1055" t="s">
        <v>1843</v>
      </c>
      <c r="E897" s="1055" t="s">
        <v>1844</v>
      </c>
      <c r="F897" s="1056">
        <v>0</v>
      </c>
      <c r="G897" s="1056">
        <v>143</v>
      </c>
      <c r="H897" s="1056">
        <v>0</v>
      </c>
      <c r="I897" s="1056">
        <v>143</v>
      </c>
      <c r="K897" s="1037">
        <f t="shared" si="13"/>
        <v>8</v>
      </c>
    </row>
    <row r="898" spans="1:11" ht="12.75">
      <c r="A898" s="1054">
        <v>25300510</v>
      </c>
      <c r="B898" s="1055" t="s">
        <v>893</v>
      </c>
      <c r="C898" s="1055" t="s">
        <v>353</v>
      </c>
      <c r="D898" s="1055" t="s">
        <v>1759</v>
      </c>
      <c r="E898" s="1055" t="s">
        <v>1760</v>
      </c>
      <c r="F898" s="1056">
        <v>149</v>
      </c>
      <c r="G898" s="1056">
        <v>0</v>
      </c>
      <c r="H898" s="1056">
        <v>0</v>
      </c>
      <c r="I898" s="1056">
        <v>149</v>
      </c>
      <c r="K898" s="1037">
        <f t="shared" si="13"/>
        <v>8</v>
      </c>
    </row>
    <row r="899" spans="1:11" ht="12.75">
      <c r="A899" s="1054">
        <v>25300510</v>
      </c>
      <c r="B899" s="1055" t="s">
        <v>893</v>
      </c>
      <c r="C899" s="1055" t="s">
        <v>353</v>
      </c>
      <c r="D899" s="1055" t="s">
        <v>1581</v>
      </c>
      <c r="E899" s="1055" t="s">
        <v>1582</v>
      </c>
      <c r="F899" s="1056">
        <v>494</v>
      </c>
      <c r="G899" s="1056">
        <v>0</v>
      </c>
      <c r="H899" s="1056">
        <v>0</v>
      </c>
      <c r="I899" s="1056">
        <v>494</v>
      </c>
      <c r="K899" s="1037">
        <f t="shared" si="13"/>
        <v>8</v>
      </c>
    </row>
    <row r="900" spans="1:11" ht="12.75">
      <c r="A900" s="1054">
        <v>25300510</v>
      </c>
      <c r="B900" s="1055" t="s">
        <v>893</v>
      </c>
      <c r="C900" s="1055" t="s">
        <v>353</v>
      </c>
      <c r="D900" s="1055" t="s">
        <v>1583</v>
      </c>
      <c r="E900" s="1055" t="s">
        <v>1584</v>
      </c>
      <c r="F900" s="1056">
        <v>128</v>
      </c>
      <c r="G900" s="1056">
        <v>0</v>
      </c>
      <c r="H900" s="1056">
        <v>0</v>
      </c>
      <c r="I900" s="1056">
        <v>128</v>
      </c>
      <c r="K900" s="1037">
        <f t="shared" si="13"/>
        <v>8</v>
      </c>
    </row>
    <row r="901" spans="1:11" ht="12.75">
      <c r="A901" s="1054">
        <v>25300510</v>
      </c>
      <c r="B901" s="1055" t="s">
        <v>893</v>
      </c>
      <c r="C901" s="1055" t="s">
        <v>353</v>
      </c>
      <c r="D901" s="1055" t="s">
        <v>1376</v>
      </c>
      <c r="E901" s="1055" t="s">
        <v>1377</v>
      </c>
      <c r="F901" s="1056">
        <v>1063</v>
      </c>
      <c r="G901" s="1056">
        <v>0</v>
      </c>
      <c r="H901" s="1056">
        <v>0</v>
      </c>
      <c r="I901" s="1056">
        <v>1063</v>
      </c>
      <c r="K901" s="1037">
        <f t="shared" ref="K901:K964" si="14">+LEN(A901)</f>
        <v>8</v>
      </c>
    </row>
    <row r="902" spans="1:11" ht="12.75">
      <c r="A902" s="1054">
        <v>25300510</v>
      </c>
      <c r="B902" s="1055" t="s">
        <v>893</v>
      </c>
      <c r="C902" s="1055" t="s">
        <v>353</v>
      </c>
      <c r="D902" s="1055" t="s">
        <v>1306</v>
      </c>
      <c r="E902" s="1055" t="s">
        <v>997</v>
      </c>
      <c r="F902" s="1056">
        <v>765</v>
      </c>
      <c r="G902" s="1056">
        <v>0</v>
      </c>
      <c r="H902" s="1056">
        <v>0</v>
      </c>
      <c r="I902" s="1056">
        <v>765</v>
      </c>
      <c r="K902" s="1037">
        <f t="shared" si="14"/>
        <v>8</v>
      </c>
    </row>
    <row r="903" spans="1:11" ht="12.75">
      <c r="A903" s="1054">
        <v>25300510</v>
      </c>
      <c r="B903" s="1055" t="s">
        <v>893</v>
      </c>
      <c r="C903" s="1055" t="s">
        <v>353</v>
      </c>
      <c r="D903" s="1055" t="s">
        <v>1686</v>
      </c>
      <c r="E903" s="1055" t="s">
        <v>1687</v>
      </c>
      <c r="F903" s="1056">
        <v>958</v>
      </c>
      <c r="G903" s="1056">
        <v>0</v>
      </c>
      <c r="H903" s="1056">
        <v>0</v>
      </c>
      <c r="I903" s="1056">
        <v>958</v>
      </c>
      <c r="K903" s="1037">
        <f t="shared" si="14"/>
        <v>8</v>
      </c>
    </row>
    <row r="904" spans="1:11" ht="12.75">
      <c r="A904" s="1054">
        <v>25300510</v>
      </c>
      <c r="B904" s="1055" t="s">
        <v>893</v>
      </c>
      <c r="C904" s="1055" t="s">
        <v>353</v>
      </c>
      <c r="D904" s="1055" t="s">
        <v>1523</v>
      </c>
      <c r="E904" s="1055" t="s">
        <v>1524</v>
      </c>
      <c r="F904" s="1056">
        <v>305</v>
      </c>
      <c r="G904" s="1056">
        <v>0</v>
      </c>
      <c r="H904" s="1056">
        <v>0</v>
      </c>
      <c r="I904" s="1056">
        <v>305</v>
      </c>
      <c r="K904" s="1037">
        <f t="shared" si="14"/>
        <v>8</v>
      </c>
    </row>
    <row r="905" spans="1:11" ht="12.75">
      <c r="A905" s="1054">
        <v>25300510</v>
      </c>
      <c r="B905" s="1055" t="s">
        <v>893</v>
      </c>
      <c r="C905" s="1055" t="s">
        <v>353</v>
      </c>
      <c r="D905" s="1055" t="s">
        <v>1847</v>
      </c>
      <c r="E905" s="1055" t="s">
        <v>1848</v>
      </c>
      <c r="F905" s="1056">
        <v>89</v>
      </c>
      <c r="G905" s="1056">
        <v>0</v>
      </c>
      <c r="H905" s="1056">
        <v>0</v>
      </c>
      <c r="I905" s="1056">
        <v>89</v>
      </c>
      <c r="K905" s="1037">
        <f t="shared" si="14"/>
        <v>8</v>
      </c>
    </row>
    <row r="906" spans="1:11" ht="12.75">
      <c r="A906" s="1054">
        <v>25300510</v>
      </c>
      <c r="B906" s="1055" t="s">
        <v>893</v>
      </c>
      <c r="C906" s="1055" t="s">
        <v>353</v>
      </c>
      <c r="D906" s="1055" t="s">
        <v>1761</v>
      </c>
      <c r="E906" s="1055" t="s">
        <v>1762</v>
      </c>
      <c r="F906" s="1056">
        <v>689</v>
      </c>
      <c r="G906" s="1056">
        <v>0</v>
      </c>
      <c r="H906" s="1056">
        <v>0</v>
      </c>
      <c r="I906" s="1056">
        <v>689</v>
      </c>
      <c r="K906" s="1037">
        <f t="shared" si="14"/>
        <v>8</v>
      </c>
    </row>
    <row r="907" spans="1:11" ht="12.75">
      <c r="A907" s="1054">
        <v>25300510</v>
      </c>
      <c r="B907" s="1055" t="s">
        <v>893</v>
      </c>
      <c r="C907" s="1055" t="s">
        <v>353</v>
      </c>
      <c r="D907" s="1055" t="s">
        <v>1428</v>
      </c>
      <c r="E907" s="1055" t="s">
        <v>1429</v>
      </c>
      <c r="F907" s="1056">
        <v>357</v>
      </c>
      <c r="G907" s="1056">
        <v>0</v>
      </c>
      <c r="H907" s="1056">
        <v>0</v>
      </c>
      <c r="I907" s="1056">
        <v>357</v>
      </c>
      <c r="K907" s="1037">
        <f t="shared" si="14"/>
        <v>8</v>
      </c>
    </row>
    <row r="908" spans="1:11" ht="12.75">
      <c r="A908" s="1054">
        <v>25300510</v>
      </c>
      <c r="B908" s="1055" t="s">
        <v>893</v>
      </c>
      <c r="C908" s="1055" t="s">
        <v>353</v>
      </c>
      <c r="D908" s="1055" t="s">
        <v>1380</v>
      </c>
      <c r="E908" s="1055" t="s">
        <v>1381</v>
      </c>
      <c r="F908" s="1056">
        <v>347</v>
      </c>
      <c r="G908" s="1056">
        <v>0</v>
      </c>
      <c r="H908" s="1056">
        <v>0</v>
      </c>
      <c r="I908" s="1056">
        <v>347</v>
      </c>
      <c r="K908" s="1037">
        <f t="shared" si="14"/>
        <v>8</v>
      </c>
    </row>
    <row r="909" spans="1:11" ht="12.75">
      <c r="A909" s="1054">
        <v>25300510</v>
      </c>
      <c r="B909" s="1055" t="s">
        <v>893</v>
      </c>
      <c r="C909" s="1055" t="s">
        <v>353</v>
      </c>
      <c r="D909" s="1055" t="s">
        <v>1440</v>
      </c>
      <c r="E909" s="1055" t="s">
        <v>1441</v>
      </c>
      <c r="F909" s="1056">
        <v>704</v>
      </c>
      <c r="G909" s="1056">
        <v>0</v>
      </c>
      <c r="H909" s="1056">
        <v>0</v>
      </c>
      <c r="I909" s="1056">
        <v>704</v>
      </c>
      <c r="K909" s="1037">
        <f t="shared" si="14"/>
        <v>8</v>
      </c>
    </row>
    <row r="910" spans="1:11" ht="12.75">
      <c r="A910" s="1054">
        <v>253010</v>
      </c>
      <c r="B910" s="1055" t="s">
        <v>893</v>
      </c>
      <c r="C910" s="1055" t="s">
        <v>349</v>
      </c>
      <c r="D910" s="1055" t="s">
        <v>893</v>
      </c>
      <c r="E910" s="1055" t="s">
        <v>893</v>
      </c>
      <c r="F910" s="1056">
        <v>-979</v>
      </c>
      <c r="G910" s="1056">
        <v>1</v>
      </c>
      <c r="H910" s="1056">
        <v>515</v>
      </c>
      <c r="I910" s="1056">
        <v>-1493</v>
      </c>
      <c r="K910" s="1037">
        <f t="shared" si="14"/>
        <v>6</v>
      </c>
    </row>
    <row r="911" spans="1:11" ht="12.75">
      <c r="A911" s="1054">
        <v>25301005</v>
      </c>
      <c r="B911" s="1055" t="s">
        <v>893</v>
      </c>
      <c r="C911" s="1055" t="s">
        <v>409</v>
      </c>
      <c r="D911" s="1055" t="s">
        <v>893</v>
      </c>
      <c r="E911" s="1055" t="s">
        <v>893</v>
      </c>
      <c r="F911" s="1056">
        <v>-1295</v>
      </c>
      <c r="G911" s="1056">
        <v>0</v>
      </c>
      <c r="H911" s="1056">
        <v>515</v>
      </c>
      <c r="I911" s="1056">
        <v>-1811</v>
      </c>
      <c r="K911" s="1037">
        <f t="shared" si="14"/>
        <v>8</v>
      </c>
    </row>
    <row r="912" spans="1:11" ht="12.75">
      <c r="A912" s="1054">
        <v>25301005</v>
      </c>
      <c r="B912" s="1055" t="s">
        <v>893</v>
      </c>
      <c r="C912" s="1055" t="s">
        <v>409</v>
      </c>
      <c r="D912" s="1055" t="s">
        <v>1575</v>
      </c>
      <c r="E912" s="1055" t="s">
        <v>1576</v>
      </c>
      <c r="F912" s="1056">
        <v>-15</v>
      </c>
      <c r="G912" s="1056">
        <v>0</v>
      </c>
      <c r="H912" s="1056">
        <v>0</v>
      </c>
      <c r="I912" s="1056">
        <v>-15</v>
      </c>
      <c r="K912" s="1037">
        <f t="shared" si="14"/>
        <v>8</v>
      </c>
    </row>
    <row r="913" spans="1:11" ht="12.75">
      <c r="A913" s="1054">
        <v>25301005</v>
      </c>
      <c r="B913" s="1055" t="s">
        <v>893</v>
      </c>
      <c r="C913" s="1055" t="s">
        <v>409</v>
      </c>
      <c r="D913" s="1055" t="s">
        <v>1891</v>
      </c>
      <c r="E913" s="1055" t="s">
        <v>1892</v>
      </c>
      <c r="F913" s="1056">
        <v>0</v>
      </c>
      <c r="G913" s="1056">
        <v>0</v>
      </c>
      <c r="H913" s="1056">
        <v>2</v>
      </c>
      <c r="I913" s="1056">
        <v>-2</v>
      </c>
      <c r="K913" s="1037">
        <f t="shared" si="14"/>
        <v>8</v>
      </c>
    </row>
    <row r="914" spans="1:11" ht="12.75">
      <c r="A914" s="1054">
        <v>25301005</v>
      </c>
      <c r="B914" s="1055" t="s">
        <v>893</v>
      </c>
      <c r="C914" s="1055" t="s">
        <v>409</v>
      </c>
      <c r="D914" s="1055" t="s">
        <v>1577</v>
      </c>
      <c r="E914" s="1055" t="s">
        <v>1578</v>
      </c>
      <c r="F914" s="1056">
        <v>-35</v>
      </c>
      <c r="G914" s="1056">
        <v>0</v>
      </c>
      <c r="H914" s="1056">
        <v>20</v>
      </c>
      <c r="I914" s="1056">
        <v>-56</v>
      </c>
      <c r="K914" s="1037">
        <f t="shared" si="14"/>
        <v>8</v>
      </c>
    </row>
    <row r="915" spans="1:11" ht="12.75">
      <c r="A915" s="1054">
        <v>25301005</v>
      </c>
      <c r="B915" s="1055" t="s">
        <v>893</v>
      </c>
      <c r="C915" s="1055" t="s">
        <v>409</v>
      </c>
      <c r="D915" s="1055" t="s">
        <v>1360</v>
      </c>
      <c r="E915" s="1055" t="s">
        <v>1361</v>
      </c>
      <c r="F915" s="1056">
        <v>-63</v>
      </c>
      <c r="G915" s="1056">
        <v>0</v>
      </c>
      <c r="H915" s="1056">
        <v>28</v>
      </c>
      <c r="I915" s="1056">
        <v>-91</v>
      </c>
      <c r="K915" s="1037">
        <f t="shared" si="14"/>
        <v>8</v>
      </c>
    </row>
    <row r="916" spans="1:11" ht="12.75">
      <c r="A916" s="1054">
        <v>25301005</v>
      </c>
      <c r="B916" s="1055" t="s">
        <v>893</v>
      </c>
      <c r="C916" s="1055" t="s">
        <v>409</v>
      </c>
      <c r="D916" s="1055" t="s">
        <v>1893</v>
      </c>
      <c r="E916" s="1055" t="s">
        <v>1894</v>
      </c>
      <c r="F916" s="1056">
        <v>0</v>
      </c>
      <c r="G916" s="1056">
        <v>0</v>
      </c>
      <c r="H916" s="1056">
        <v>2</v>
      </c>
      <c r="I916" s="1056">
        <v>-2</v>
      </c>
      <c r="K916" s="1037">
        <f t="shared" si="14"/>
        <v>8</v>
      </c>
    </row>
    <row r="917" spans="1:11" ht="12.75">
      <c r="A917" s="1054">
        <v>25301005</v>
      </c>
      <c r="B917" s="1055" t="s">
        <v>893</v>
      </c>
      <c r="C917" s="1055" t="s">
        <v>409</v>
      </c>
      <c r="D917" s="1055" t="s">
        <v>1298</v>
      </c>
      <c r="E917" s="1055" t="s">
        <v>987</v>
      </c>
      <c r="F917" s="1056">
        <v>-31</v>
      </c>
      <c r="G917" s="1056">
        <v>0</v>
      </c>
      <c r="H917" s="1056">
        <v>0</v>
      </c>
      <c r="I917" s="1056">
        <v>-31</v>
      </c>
      <c r="K917" s="1037">
        <f t="shared" si="14"/>
        <v>8</v>
      </c>
    </row>
    <row r="918" spans="1:11" ht="12.75">
      <c r="A918" s="1054">
        <v>25301005</v>
      </c>
      <c r="B918" s="1055" t="s">
        <v>893</v>
      </c>
      <c r="C918" s="1055" t="s">
        <v>409</v>
      </c>
      <c r="D918" s="1055" t="s">
        <v>1484</v>
      </c>
      <c r="E918" s="1055" t="s">
        <v>1485</v>
      </c>
      <c r="F918" s="1056">
        <v>-45</v>
      </c>
      <c r="G918" s="1056">
        <v>0</v>
      </c>
      <c r="H918" s="1056">
        <v>20</v>
      </c>
      <c r="I918" s="1056">
        <v>-65</v>
      </c>
      <c r="K918" s="1037">
        <f t="shared" si="14"/>
        <v>8</v>
      </c>
    </row>
    <row r="919" spans="1:11" ht="12.75">
      <c r="A919" s="1054">
        <v>25301005</v>
      </c>
      <c r="B919" s="1055" t="s">
        <v>893</v>
      </c>
      <c r="C919" s="1055" t="s">
        <v>409</v>
      </c>
      <c r="D919" s="1055" t="s">
        <v>1579</v>
      </c>
      <c r="E919" s="1055" t="s">
        <v>1580</v>
      </c>
      <c r="F919" s="1056">
        <v>-40</v>
      </c>
      <c r="G919" s="1056">
        <v>0</v>
      </c>
      <c r="H919" s="1056">
        <v>23</v>
      </c>
      <c r="I919" s="1056">
        <v>-62</v>
      </c>
      <c r="K919" s="1037">
        <f t="shared" si="14"/>
        <v>8</v>
      </c>
    </row>
    <row r="920" spans="1:11" ht="12.75">
      <c r="A920" s="1054">
        <v>25301005</v>
      </c>
      <c r="B920" s="1055" t="s">
        <v>893</v>
      </c>
      <c r="C920" s="1055" t="s">
        <v>409</v>
      </c>
      <c r="D920" s="1055" t="s">
        <v>1270</v>
      </c>
      <c r="E920" s="1055" t="s">
        <v>988</v>
      </c>
      <c r="F920" s="1056">
        <v>-55</v>
      </c>
      <c r="G920" s="1056">
        <v>0</v>
      </c>
      <c r="H920" s="1056">
        <v>25</v>
      </c>
      <c r="I920" s="1056">
        <v>-80</v>
      </c>
      <c r="K920" s="1037">
        <f t="shared" si="14"/>
        <v>8</v>
      </c>
    </row>
    <row r="921" spans="1:11" ht="12.75">
      <c r="A921" s="1054">
        <v>25301005</v>
      </c>
      <c r="B921" s="1055" t="s">
        <v>893</v>
      </c>
      <c r="C921" s="1055" t="s">
        <v>409</v>
      </c>
      <c r="D921" s="1055" t="s">
        <v>1271</v>
      </c>
      <c r="E921" s="1055" t="s">
        <v>782</v>
      </c>
      <c r="F921" s="1056">
        <v>-2</v>
      </c>
      <c r="G921" s="1056">
        <v>0</v>
      </c>
      <c r="H921" s="1056">
        <v>0</v>
      </c>
      <c r="I921" s="1056">
        <v>-2</v>
      </c>
      <c r="K921" s="1037">
        <f t="shared" si="14"/>
        <v>8</v>
      </c>
    </row>
    <row r="922" spans="1:11" ht="12.75">
      <c r="A922" s="1054">
        <v>25301005</v>
      </c>
      <c r="B922" s="1055" t="s">
        <v>893</v>
      </c>
      <c r="C922" s="1055" t="s">
        <v>409</v>
      </c>
      <c r="D922" s="1055" t="s">
        <v>1272</v>
      </c>
      <c r="E922" s="1055" t="s">
        <v>1273</v>
      </c>
      <c r="F922" s="1056">
        <v>0</v>
      </c>
      <c r="G922" s="1056">
        <v>0</v>
      </c>
      <c r="H922" s="1056">
        <v>25</v>
      </c>
      <c r="I922" s="1056">
        <v>-25</v>
      </c>
      <c r="K922" s="1037">
        <f t="shared" si="14"/>
        <v>8</v>
      </c>
    </row>
    <row r="923" spans="1:11" ht="12.75">
      <c r="A923" s="1054">
        <v>25301005</v>
      </c>
      <c r="B923" s="1055" t="s">
        <v>893</v>
      </c>
      <c r="C923" s="1055" t="s">
        <v>409</v>
      </c>
      <c r="D923" s="1055" t="s">
        <v>1420</v>
      </c>
      <c r="E923" s="1055" t="s">
        <v>1421</v>
      </c>
      <c r="F923" s="1056">
        <v>-43</v>
      </c>
      <c r="G923" s="1056">
        <v>0</v>
      </c>
      <c r="H923" s="1056">
        <v>14</v>
      </c>
      <c r="I923" s="1056">
        <v>-57</v>
      </c>
      <c r="K923" s="1037">
        <f t="shared" si="14"/>
        <v>8</v>
      </c>
    </row>
    <row r="924" spans="1:11" ht="12.75">
      <c r="A924" s="1054">
        <v>25301005</v>
      </c>
      <c r="B924" s="1055" t="s">
        <v>893</v>
      </c>
      <c r="C924" s="1055" t="s">
        <v>409</v>
      </c>
      <c r="D924" s="1055" t="s">
        <v>1493</v>
      </c>
      <c r="E924" s="1055" t="s">
        <v>1494</v>
      </c>
      <c r="F924" s="1056">
        <v>-38</v>
      </c>
      <c r="G924" s="1056">
        <v>0</v>
      </c>
      <c r="H924" s="1056">
        <v>0</v>
      </c>
      <c r="I924" s="1056">
        <v>-38</v>
      </c>
      <c r="K924" s="1037">
        <f t="shared" si="14"/>
        <v>8</v>
      </c>
    </row>
    <row r="925" spans="1:11" ht="12.75">
      <c r="A925" s="1054">
        <v>25301005</v>
      </c>
      <c r="B925" s="1055" t="s">
        <v>893</v>
      </c>
      <c r="C925" s="1055" t="s">
        <v>409</v>
      </c>
      <c r="D925" s="1055" t="s">
        <v>1841</v>
      </c>
      <c r="E925" s="1055" t="s">
        <v>1842</v>
      </c>
      <c r="F925" s="1056">
        <v>-9</v>
      </c>
      <c r="G925" s="1056">
        <v>0</v>
      </c>
      <c r="H925" s="1056">
        <v>17</v>
      </c>
      <c r="I925" s="1056">
        <v>-26</v>
      </c>
      <c r="K925" s="1037">
        <f t="shared" si="14"/>
        <v>8</v>
      </c>
    </row>
    <row r="926" spans="1:11" ht="12.75">
      <c r="A926" s="1054">
        <v>25301005</v>
      </c>
      <c r="B926" s="1055" t="s">
        <v>893</v>
      </c>
      <c r="C926" s="1055" t="s">
        <v>409</v>
      </c>
      <c r="D926" s="1055" t="s">
        <v>1519</v>
      </c>
      <c r="E926" s="1055" t="s">
        <v>1520</v>
      </c>
      <c r="F926" s="1056">
        <v>0</v>
      </c>
      <c r="G926" s="1056">
        <v>0</v>
      </c>
      <c r="H926" s="1056">
        <v>0</v>
      </c>
      <c r="I926" s="1056">
        <v>0</v>
      </c>
      <c r="K926" s="1037">
        <f t="shared" si="14"/>
        <v>8</v>
      </c>
    </row>
    <row r="927" spans="1:11" ht="12.75">
      <c r="A927" s="1054">
        <v>25301005</v>
      </c>
      <c r="B927" s="1055" t="s">
        <v>893</v>
      </c>
      <c r="C927" s="1055" t="s">
        <v>409</v>
      </c>
      <c r="D927" s="1055" t="s">
        <v>1368</v>
      </c>
      <c r="E927" s="1055" t="s">
        <v>1369</v>
      </c>
      <c r="F927" s="1056">
        <v>0</v>
      </c>
      <c r="G927" s="1056">
        <v>0</v>
      </c>
      <c r="H927" s="1056">
        <v>0</v>
      </c>
      <c r="I927" s="1056">
        <v>0</v>
      </c>
      <c r="K927" s="1037">
        <f t="shared" si="14"/>
        <v>8</v>
      </c>
    </row>
    <row r="928" spans="1:11" ht="12.75">
      <c r="A928" s="1054">
        <v>25301005</v>
      </c>
      <c r="B928" s="1055" t="s">
        <v>893</v>
      </c>
      <c r="C928" s="1055" t="s">
        <v>409</v>
      </c>
      <c r="D928" s="1055" t="s">
        <v>1895</v>
      </c>
      <c r="E928" s="1055" t="s">
        <v>1896</v>
      </c>
      <c r="F928" s="1056">
        <v>0</v>
      </c>
      <c r="G928" s="1056">
        <v>0</v>
      </c>
      <c r="H928" s="1056">
        <v>0</v>
      </c>
      <c r="I928" s="1056">
        <v>0</v>
      </c>
      <c r="K928" s="1037">
        <f t="shared" si="14"/>
        <v>8</v>
      </c>
    </row>
    <row r="929" spans="1:11" ht="12.75">
      <c r="A929" s="1054">
        <v>25301005</v>
      </c>
      <c r="B929" s="1055" t="s">
        <v>893</v>
      </c>
      <c r="C929" s="1055" t="s">
        <v>409</v>
      </c>
      <c r="D929" s="1055" t="s">
        <v>1495</v>
      </c>
      <c r="E929" s="1055" t="s">
        <v>1496</v>
      </c>
      <c r="F929" s="1056">
        <v>0</v>
      </c>
      <c r="G929" s="1056">
        <v>0</v>
      </c>
      <c r="H929" s="1056">
        <v>0</v>
      </c>
      <c r="I929" s="1056">
        <v>0</v>
      </c>
      <c r="K929" s="1037">
        <f t="shared" si="14"/>
        <v>8</v>
      </c>
    </row>
    <row r="930" spans="1:11" ht="12.75">
      <c r="A930" s="1054">
        <v>25301005</v>
      </c>
      <c r="B930" s="1055" t="s">
        <v>893</v>
      </c>
      <c r="C930" s="1055" t="s">
        <v>409</v>
      </c>
      <c r="D930" s="1055" t="s">
        <v>1320</v>
      </c>
      <c r="E930" s="1055" t="s">
        <v>1321</v>
      </c>
      <c r="F930" s="1056">
        <v>-45</v>
      </c>
      <c r="G930" s="1056">
        <v>0</v>
      </c>
      <c r="H930" s="1056">
        <v>21</v>
      </c>
      <c r="I930" s="1056">
        <v>-66</v>
      </c>
      <c r="K930" s="1037">
        <f t="shared" si="14"/>
        <v>8</v>
      </c>
    </row>
    <row r="931" spans="1:11" ht="12.75">
      <c r="A931" s="1054">
        <v>25301005</v>
      </c>
      <c r="B931" s="1055" t="s">
        <v>893</v>
      </c>
      <c r="C931" s="1055" t="s">
        <v>409</v>
      </c>
      <c r="D931" s="1055" t="s">
        <v>1274</v>
      </c>
      <c r="E931" s="1055" t="s">
        <v>989</v>
      </c>
      <c r="F931" s="1056">
        <v>-56</v>
      </c>
      <c r="G931" s="1056">
        <v>0</v>
      </c>
      <c r="H931" s="1056">
        <v>24</v>
      </c>
      <c r="I931" s="1056">
        <v>-80</v>
      </c>
      <c r="K931" s="1037">
        <f t="shared" si="14"/>
        <v>8</v>
      </c>
    </row>
    <row r="932" spans="1:11" ht="12.75">
      <c r="A932" s="1054">
        <v>25301005</v>
      </c>
      <c r="B932" s="1055" t="s">
        <v>893</v>
      </c>
      <c r="C932" s="1055" t="s">
        <v>409</v>
      </c>
      <c r="D932" s="1055" t="s">
        <v>1497</v>
      </c>
      <c r="E932" s="1055" t="s">
        <v>1498</v>
      </c>
      <c r="F932" s="1056">
        <v>-24</v>
      </c>
      <c r="G932" s="1056">
        <v>0</v>
      </c>
      <c r="H932" s="1056">
        <v>0</v>
      </c>
      <c r="I932" s="1056">
        <v>-24</v>
      </c>
      <c r="K932" s="1037">
        <f t="shared" si="14"/>
        <v>8</v>
      </c>
    </row>
    <row r="933" spans="1:11" ht="12.75">
      <c r="A933" s="1054">
        <v>25301005</v>
      </c>
      <c r="B933" s="1055" t="s">
        <v>893</v>
      </c>
      <c r="C933" s="1055" t="s">
        <v>409</v>
      </c>
      <c r="D933" s="1055" t="s">
        <v>1043</v>
      </c>
      <c r="E933" s="1055" t="s">
        <v>318</v>
      </c>
      <c r="F933" s="1056">
        <v>-86</v>
      </c>
      <c r="G933" s="1056">
        <v>0</v>
      </c>
      <c r="H933" s="1056">
        <v>40</v>
      </c>
      <c r="I933" s="1056">
        <v>-126</v>
      </c>
      <c r="K933" s="1037">
        <f t="shared" si="14"/>
        <v>8</v>
      </c>
    </row>
    <row r="934" spans="1:11" ht="12.75">
      <c r="A934" s="1054">
        <v>25301005</v>
      </c>
      <c r="B934" s="1055" t="s">
        <v>893</v>
      </c>
      <c r="C934" s="1055" t="s">
        <v>409</v>
      </c>
      <c r="D934" s="1055" t="s">
        <v>1370</v>
      </c>
      <c r="E934" s="1055" t="s">
        <v>1371</v>
      </c>
      <c r="F934" s="1056">
        <v>-37</v>
      </c>
      <c r="G934" s="1056">
        <v>0</v>
      </c>
      <c r="H934" s="1056">
        <v>19</v>
      </c>
      <c r="I934" s="1056">
        <v>-56</v>
      </c>
      <c r="K934" s="1037">
        <f t="shared" si="14"/>
        <v>8</v>
      </c>
    </row>
    <row r="935" spans="1:11" ht="12.75">
      <c r="A935" s="1054">
        <v>25301005</v>
      </c>
      <c r="B935" s="1055" t="s">
        <v>893</v>
      </c>
      <c r="C935" s="1055" t="s">
        <v>409</v>
      </c>
      <c r="D935" s="1055" t="s">
        <v>1843</v>
      </c>
      <c r="E935" s="1055" t="s">
        <v>1844</v>
      </c>
      <c r="F935" s="1056">
        <v>-1</v>
      </c>
      <c r="G935" s="1056">
        <v>0</v>
      </c>
      <c r="H935" s="1056">
        <v>0</v>
      </c>
      <c r="I935" s="1056">
        <v>-1</v>
      </c>
      <c r="K935" s="1037">
        <f t="shared" si="14"/>
        <v>8</v>
      </c>
    </row>
    <row r="936" spans="1:11" ht="12.75">
      <c r="A936" s="1054">
        <v>25301005</v>
      </c>
      <c r="B936" s="1055" t="s">
        <v>893</v>
      </c>
      <c r="C936" s="1055" t="s">
        <v>409</v>
      </c>
      <c r="D936" s="1055" t="s">
        <v>1759</v>
      </c>
      <c r="E936" s="1055" t="s">
        <v>1760</v>
      </c>
      <c r="F936" s="1056">
        <v>-1</v>
      </c>
      <c r="G936" s="1056">
        <v>0</v>
      </c>
      <c r="H936" s="1056">
        <v>0</v>
      </c>
      <c r="I936" s="1056">
        <v>-1</v>
      </c>
      <c r="K936" s="1037">
        <f t="shared" si="14"/>
        <v>8</v>
      </c>
    </row>
    <row r="937" spans="1:11" ht="12.75">
      <c r="A937" s="1054">
        <v>25301005</v>
      </c>
      <c r="B937" s="1055" t="s">
        <v>893</v>
      </c>
      <c r="C937" s="1055" t="s">
        <v>409</v>
      </c>
      <c r="D937" s="1055" t="s">
        <v>1581</v>
      </c>
      <c r="E937" s="1055" t="s">
        <v>1582</v>
      </c>
      <c r="F937" s="1056">
        <v>-12</v>
      </c>
      <c r="G937" s="1056">
        <v>0</v>
      </c>
      <c r="H937" s="1056">
        <v>0</v>
      </c>
      <c r="I937" s="1056">
        <v>-12</v>
      </c>
      <c r="K937" s="1037">
        <f t="shared" si="14"/>
        <v>8</v>
      </c>
    </row>
    <row r="938" spans="1:11" ht="12.75">
      <c r="A938" s="1054">
        <v>25301005</v>
      </c>
      <c r="B938" s="1055" t="s">
        <v>893</v>
      </c>
      <c r="C938" s="1055" t="s">
        <v>409</v>
      </c>
      <c r="D938" s="1055" t="s">
        <v>1521</v>
      </c>
      <c r="E938" s="1055" t="s">
        <v>1522</v>
      </c>
      <c r="F938" s="1056">
        <v>-43</v>
      </c>
      <c r="G938" s="1056">
        <v>0</v>
      </c>
      <c r="H938" s="1056">
        <v>21</v>
      </c>
      <c r="I938" s="1056">
        <v>-65</v>
      </c>
      <c r="K938" s="1037">
        <f t="shared" si="14"/>
        <v>8</v>
      </c>
    </row>
    <row r="939" spans="1:11" ht="12.75">
      <c r="A939" s="1054">
        <v>25301005</v>
      </c>
      <c r="B939" s="1055" t="s">
        <v>893</v>
      </c>
      <c r="C939" s="1055" t="s">
        <v>409</v>
      </c>
      <c r="D939" s="1055" t="s">
        <v>1426</v>
      </c>
      <c r="E939" s="1055" t="s">
        <v>1427</v>
      </c>
      <c r="F939" s="1056">
        <v>-47</v>
      </c>
      <c r="G939" s="1056">
        <v>0</v>
      </c>
      <c r="H939" s="1056">
        <v>21</v>
      </c>
      <c r="I939" s="1056">
        <v>-69</v>
      </c>
      <c r="K939" s="1037">
        <f t="shared" si="14"/>
        <v>8</v>
      </c>
    </row>
    <row r="940" spans="1:11" ht="12.75">
      <c r="A940" s="1054">
        <v>25301005</v>
      </c>
      <c r="B940" s="1055" t="s">
        <v>893</v>
      </c>
      <c r="C940" s="1055" t="s">
        <v>409</v>
      </c>
      <c r="D940" s="1055" t="s">
        <v>1583</v>
      </c>
      <c r="E940" s="1055" t="s">
        <v>1584</v>
      </c>
      <c r="F940" s="1056">
        <v>-1</v>
      </c>
      <c r="G940" s="1056">
        <v>0</v>
      </c>
      <c r="H940" s="1056">
        <v>0</v>
      </c>
      <c r="I940" s="1056">
        <v>-1</v>
      </c>
      <c r="K940" s="1037">
        <f t="shared" si="14"/>
        <v>8</v>
      </c>
    </row>
    <row r="941" spans="1:11" ht="12.75">
      <c r="A941" s="1054">
        <v>25301005</v>
      </c>
      <c r="B941" s="1055" t="s">
        <v>893</v>
      </c>
      <c r="C941" s="1055" t="s">
        <v>409</v>
      </c>
      <c r="D941" s="1055" t="s">
        <v>1374</v>
      </c>
      <c r="E941" s="1055" t="s">
        <v>1375</v>
      </c>
      <c r="F941" s="1056">
        <v>-45</v>
      </c>
      <c r="G941" s="1056">
        <v>0</v>
      </c>
      <c r="H941" s="1056">
        <v>21</v>
      </c>
      <c r="I941" s="1056">
        <v>-66</v>
      </c>
      <c r="K941" s="1037">
        <f t="shared" si="14"/>
        <v>8</v>
      </c>
    </row>
    <row r="942" spans="1:11" ht="12.75">
      <c r="A942" s="1054">
        <v>25301005</v>
      </c>
      <c r="B942" s="1055" t="s">
        <v>893</v>
      </c>
      <c r="C942" s="1055" t="s">
        <v>409</v>
      </c>
      <c r="D942" s="1055" t="s">
        <v>1249</v>
      </c>
      <c r="E942" s="1055" t="s">
        <v>583</v>
      </c>
      <c r="F942" s="1056">
        <v>-79</v>
      </c>
      <c r="G942" s="1056">
        <v>0</v>
      </c>
      <c r="H942" s="1056">
        <v>35</v>
      </c>
      <c r="I942" s="1056">
        <v>-114</v>
      </c>
      <c r="K942" s="1037">
        <f t="shared" si="14"/>
        <v>8</v>
      </c>
    </row>
    <row r="943" spans="1:11" ht="12.75">
      <c r="A943" s="1054">
        <v>25301005</v>
      </c>
      <c r="B943" s="1055" t="s">
        <v>893</v>
      </c>
      <c r="C943" s="1055" t="s">
        <v>409</v>
      </c>
      <c r="D943" s="1055" t="s">
        <v>1376</v>
      </c>
      <c r="E943" s="1055" t="s">
        <v>1377</v>
      </c>
      <c r="F943" s="1056">
        <v>-50</v>
      </c>
      <c r="G943" s="1056">
        <v>0</v>
      </c>
      <c r="H943" s="1056">
        <v>0</v>
      </c>
      <c r="I943" s="1056">
        <v>-50</v>
      </c>
      <c r="K943" s="1037">
        <f t="shared" si="14"/>
        <v>8</v>
      </c>
    </row>
    <row r="944" spans="1:11" ht="12.75">
      <c r="A944" s="1054">
        <v>25301005</v>
      </c>
      <c r="B944" s="1055" t="s">
        <v>893</v>
      </c>
      <c r="C944" s="1055" t="s">
        <v>409</v>
      </c>
      <c r="D944" s="1055" t="s">
        <v>1845</v>
      </c>
      <c r="E944" s="1055" t="s">
        <v>1846</v>
      </c>
      <c r="F944" s="1056">
        <v>-1</v>
      </c>
      <c r="G944" s="1056">
        <v>0</v>
      </c>
      <c r="H944" s="1056">
        <v>5</v>
      </c>
      <c r="I944" s="1056">
        <v>-5</v>
      </c>
      <c r="K944" s="1037">
        <f t="shared" si="14"/>
        <v>8</v>
      </c>
    </row>
    <row r="945" spans="1:11" ht="12.75">
      <c r="A945" s="1054">
        <v>25301005</v>
      </c>
      <c r="B945" s="1055" t="s">
        <v>893</v>
      </c>
      <c r="C945" s="1055" t="s">
        <v>409</v>
      </c>
      <c r="D945" s="1055" t="s">
        <v>1306</v>
      </c>
      <c r="E945" s="1055" t="s">
        <v>997</v>
      </c>
      <c r="F945" s="1056">
        <v>-25</v>
      </c>
      <c r="G945" s="1056">
        <v>0</v>
      </c>
      <c r="H945" s="1056">
        <v>0</v>
      </c>
      <c r="I945" s="1056">
        <v>-25</v>
      </c>
      <c r="K945" s="1037">
        <f t="shared" si="14"/>
        <v>8</v>
      </c>
    </row>
    <row r="946" spans="1:11" ht="12.75">
      <c r="A946" s="1054">
        <v>25301005</v>
      </c>
      <c r="B946" s="1055" t="s">
        <v>893</v>
      </c>
      <c r="C946" s="1055" t="s">
        <v>409</v>
      </c>
      <c r="D946" s="1055" t="s">
        <v>1897</v>
      </c>
      <c r="E946" s="1055" t="s">
        <v>1898</v>
      </c>
      <c r="F946" s="1056">
        <v>0</v>
      </c>
      <c r="G946" s="1056">
        <v>0</v>
      </c>
      <c r="H946" s="1056">
        <v>0</v>
      </c>
      <c r="I946" s="1056">
        <v>0</v>
      </c>
      <c r="K946" s="1037">
        <f t="shared" si="14"/>
        <v>8</v>
      </c>
    </row>
    <row r="947" spans="1:11" ht="12.75">
      <c r="A947" s="1054">
        <v>25301005</v>
      </c>
      <c r="B947" s="1055" t="s">
        <v>893</v>
      </c>
      <c r="C947" s="1055" t="s">
        <v>409</v>
      </c>
      <c r="D947" s="1055" t="s">
        <v>1250</v>
      </c>
      <c r="E947" s="1055" t="s">
        <v>1251</v>
      </c>
      <c r="F947" s="1056">
        <v>-47</v>
      </c>
      <c r="G947" s="1056">
        <v>0</v>
      </c>
      <c r="H947" s="1056">
        <v>21</v>
      </c>
      <c r="I947" s="1056">
        <v>-68</v>
      </c>
      <c r="K947" s="1037">
        <f t="shared" si="14"/>
        <v>8</v>
      </c>
    </row>
    <row r="948" spans="1:11" ht="12.75">
      <c r="A948" s="1054">
        <v>25301005</v>
      </c>
      <c r="B948" s="1055" t="s">
        <v>893</v>
      </c>
      <c r="C948" s="1055" t="s">
        <v>409</v>
      </c>
      <c r="D948" s="1055" t="s">
        <v>1899</v>
      </c>
      <c r="E948" s="1055" t="s">
        <v>1900</v>
      </c>
      <c r="F948" s="1056">
        <v>0</v>
      </c>
      <c r="G948" s="1056">
        <v>0</v>
      </c>
      <c r="H948" s="1056">
        <v>11</v>
      </c>
      <c r="I948" s="1056">
        <v>-11</v>
      </c>
      <c r="K948" s="1037">
        <f t="shared" si="14"/>
        <v>8</v>
      </c>
    </row>
    <row r="949" spans="1:11" ht="12.75">
      <c r="A949" s="1054">
        <v>25301005</v>
      </c>
      <c r="B949" s="1055" t="s">
        <v>893</v>
      </c>
      <c r="C949" s="1055" t="s">
        <v>409</v>
      </c>
      <c r="D949" s="1055" t="s">
        <v>1901</v>
      </c>
      <c r="E949" s="1055" t="s">
        <v>1902</v>
      </c>
      <c r="F949" s="1056">
        <v>0</v>
      </c>
      <c r="G949" s="1056">
        <v>0</v>
      </c>
      <c r="H949" s="1056">
        <v>0</v>
      </c>
      <c r="I949" s="1056">
        <v>0</v>
      </c>
      <c r="K949" s="1037">
        <f t="shared" si="14"/>
        <v>8</v>
      </c>
    </row>
    <row r="950" spans="1:11" ht="12.75">
      <c r="A950" s="1054">
        <v>25301005</v>
      </c>
      <c r="B950" s="1055" t="s">
        <v>893</v>
      </c>
      <c r="C950" s="1055" t="s">
        <v>409</v>
      </c>
      <c r="D950" s="1055" t="s">
        <v>1686</v>
      </c>
      <c r="E950" s="1055" t="s">
        <v>1687</v>
      </c>
      <c r="F950" s="1056">
        <v>-37</v>
      </c>
      <c r="G950" s="1056">
        <v>0</v>
      </c>
      <c r="H950" s="1056">
        <v>0</v>
      </c>
      <c r="I950" s="1056">
        <v>-37</v>
      </c>
      <c r="K950" s="1037">
        <f t="shared" si="14"/>
        <v>8</v>
      </c>
    </row>
    <row r="951" spans="1:11" ht="12.75">
      <c r="A951" s="1054">
        <v>25301005</v>
      </c>
      <c r="B951" s="1055" t="s">
        <v>893</v>
      </c>
      <c r="C951" s="1055" t="s">
        <v>409</v>
      </c>
      <c r="D951" s="1055" t="s">
        <v>1303</v>
      </c>
      <c r="E951" s="1055" t="s">
        <v>806</v>
      </c>
      <c r="F951" s="1056">
        <v>-7</v>
      </c>
      <c r="G951" s="1056">
        <v>0</v>
      </c>
      <c r="H951" s="1056">
        <v>0</v>
      </c>
      <c r="I951" s="1056">
        <v>-7</v>
      </c>
      <c r="K951" s="1037">
        <f t="shared" si="14"/>
        <v>8</v>
      </c>
    </row>
    <row r="952" spans="1:11" ht="12.75">
      <c r="A952" s="1054">
        <v>25301005</v>
      </c>
      <c r="B952" s="1055" t="s">
        <v>893</v>
      </c>
      <c r="C952" s="1055" t="s">
        <v>409</v>
      </c>
      <c r="D952" s="1055" t="s">
        <v>1499</v>
      </c>
      <c r="E952" s="1055" t="s">
        <v>1500</v>
      </c>
      <c r="F952" s="1056">
        <v>-1</v>
      </c>
      <c r="G952" s="1056">
        <v>0</v>
      </c>
      <c r="H952" s="1056">
        <v>0</v>
      </c>
      <c r="I952" s="1056">
        <v>-1</v>
      </c>
      <c r="K952" s="1037">
        <f t="shared" si="14"/>
        <v>8</v>
      </c>
    </row>
    <row r="953" spans="1:11" ht="12.75">
      <c r="A953" s="1054">
        <v>25301005</v>
      </c>
      <c r="B953" s="1055" t="s">
        <v>893</v>
      </c>
      <c r="C953" s="1055" t="s">
        <v>409</v>
      </c>
      <c r="D953" s="1055" t="s">
        <v>1523</v>
      </c>
      <c r="E953" s="1055" t="s">
        <v>1524</v>
      </c>
      <c r="F953" s="1056">
        <v>-5</v>
      </c>
      <c r="G953" s="1056">
        <v>0</v>
      </c>
      <c r="H953" s="1056">
        <v>0</v>
      </c>
      <c r="I953" s="1056">
        <v>-5</v>
      </c>
      <c r="K953" s="1037">
        <f t="shared" si="14"/>
        <v>8</v>
      </c>
    </row>
    <row r="954" spans="1:11" ht="12.75">
      <c r="A954" s="1054">
        <v>25301005</v>
      </c>
      <c r="B954" s="1055" t="s">
        <v>893</v>
      </c>
      <c r="C954" s="1055" t="s">
        <v>409</v>
      </c>
      <c r="D954" s="1055" t="s">
        <v>1480</v>
      </c>
      <c r="E954" s="1055" t="s">
        <v>1481</v>
      </c>
      <c r="F954" s="1056">
        <v>-2</v>
      </c>
      <c r="G954" s="1056">
        <v>0</v>
      </c>
      <c r="H954" s="1056">
        <v>0</v>
      </c>
      <c r="I954" s="1056">
        <v>-2</v>
      </c>
      <c r="K954" s="1037">
        <f t="shared" si="14"/>
        <v>8</v>
      </c>
    </row>
    <row r="955" spans="1:11" ht="12.75">
      <c r="A955" s="1054">
        <v>25301005</v>
      </c>
      <c r="B955" s="1055" t="s">
        <v>893</v>
      </c>
      <c r="C955" s="1055" t="s">
        <v>409</v>
      </c>
      <c r="D955" s="1055" t="s">
        <v>1847</v>
      </c>
      <c r="E955" s="1055" t="s">
        <v>1848</v>
      </c>
      <c r="F955" s="1056">
        <v>0</v>
      </c>
      <c r="G955" s="1056">
        <v>0</v>
      </c>
      <c r="H955" s="1056">
        <v>0</v>
      </c>
      <c r="I955" s="1056">
        <v>0</v>
      </c>
      <c r="K955" s="1037">
        <f t="shared" si="14"/>
        <v>8</v>
      </c>
    </row>
    <row r="956" spans="1:11" ht="12.75">
      <c r="A956" s="1054">
        <v>25301005</v>
      </c>
      <c r="B956" s="1055" t="s">
        <v>893</v>
      </c>
      <c r="C956" s="1055" t="s">
        <v>409</v>
      </c>
      <c r="D956" s="1055" t="s">
        <v>1761</v>
      </c>
      <c r="E956" s="1055" t="s">
        <v>1762</v>
      </c>
      <c r="F956" s="1056">
        <v>-16</v>
      </c>
      <c r="G956" s="1056">
        <v>0</v>
      </c>
      <c r="H956" s="1056">
        <v>0</v>
      </c>
      <c r="I956" s="1056">
        <v>-16</v>
      </c>
      <c r="K956" s="1037">
        <f t="shared" si="14"/>
        <v>8</v>
      </c>
    </row>
    <row r="957" spans="1:11" ht="12.75">
      <c r="A957" s="1054">
        <v>25301005</v>
      </c>
      <c r="B957" s="1055" t="s">
        <v>893</v>
      </c>
      <c r="C957" s="1055" t="s">
        <v>409</v>
      </c>
      <c r="D957" s="1055" t="s">
        <v>1428</v>
      </c>
      <c r="E957" s="1055" t="s">
        <v>1429</v>
      </c>
      <c r="F957" s="1056">
        <v>-4</v>
      </c>
      <c r="G957" s="1056">
        <v>0</v>
      </c>
      <c r="H957" s="1056">
        <v>0</v>
      </c>
      <c r="I957" s="1056">
        <v>-4</v>
      </c>
      <c r="K957" s="1037">
        <f t="shared" si="14"/>
        <v>8</v>
      </c>
    </row>
    <row r="958" spans="1:11" ht="12.75">
      <c r="A958" s="1054">
        <v>25301005</v>
      </c>
      <c r="B958" s="1055" t="s">
        <v>893</v>
      </c>
      <c r="C958" s="1055" t="s">
        <v>409</v>
      </c>
      <c r="D958" s="1055" t="s">
        <v>1849</v>
      </c>
      <c r="E958" s="1055" t="s">
        <v>1850</v>
      </c>
      <c r="F958" s="1056">
        <v>-1</v>
      </c>
      <c r="G958" s="1056">
        <v>0</v>
      </c>
      <c r="H958" s="1056">
        <v>4</v>
      </c>
      <c r="I958" s="1056">
        <v>-5</v>
      </c>
      <c r="K958" s="1037">
        <f t="shared" si="14"/>
        <v>8</v>
      </c>
    </row>
    <row r="959" spans="1:11" ht="12.75">
      <c r="A959" s="1054">
        <v>25301005</v>
      </c>
      <c r="B959" s="1055" t="s">
        <v>893</v>
      </c>
      <c r="C959" s="1055" t="s">
        <v>409</v>
      </c>
      <c r="D959" s="1055" t="s">
        <v>1275</v>
      </c>
      <c r="E959" s="1055" t="s">
        <v>991</v>
      </c>
      <c r="F959" s="1056">
        <v>-48</v>
      </c>
      <c r="G959" s="1056">
        <v>0</v>
      </c>
      <c r="H959" s="1056">
        <v>21</v>
      </c>
      <c r="I959" s="1056">
        <v>-69</v>
      </c>
      <c r="K959" s="1037">
        <f t="shared" si="14"/>
        <v>8</v>
      </c>
    </row>
    <row r="960" spans="1:11" ht="12.75">
      <c r="A960" s="1054">
        <v>25301005</v>
      </c>
      <c r="B960" s="1055" t="s">
        <v>893</v>
      </c>
      <c r="C960" s="1055" t="s">
        <v>409</v>
      </c>
      <c r="D960" s="1055" t="s">
        <v>1380</v>
      </c>
      <c r="E960" s="1055" t="s">
        <v>1381</v>
      </c>
      <c r="F960" s="1056">
        <v>-7</v>
      </c>
      <c r="G960" s="1056">
        <v>0</v>
      </c>
      <c r="H960" s="1056">
        <v>0</v>
      </c>
      <c r="I960" s="1056">
        <v>-7</v>
      </c>
      <c r="K960" s="1037">
        <f t="shared" si="14"/>
        <v>8</v>
      </c>
    </row>
    <row r="961" spans="1:11" ht="12.75">
      <c r="A961" s="1054">
        <v>25301005</v>
      </c>
      <c r="B961" s="1055" t="s">
        <v>893</v>
      </c>
      <c r="C961" s="1055" t="s">
        <v>409</v>
      </c>
      <c r="D961" s="1055" t="s">
        <v>1585</v>
      </c>
      <c r="E961" s="1055" t="s">
        <v>1586</v>
      </c>
      <c r="F961" s="1056">
        <v>-20</v>
      </c>
      <c r="G961" s="1056">
        <v>0</v>
      </c>
      <c r="H961" s="1056">
        <v>13</v>
      </c>
      <c r="I961" s="1056">
        <v>-33</v>
      </c>
      <c r="K961" s="1037">
        <f t="shared" si="14"/>
        <v>8</v>
      </c>
    </row>
    <row r="962" spans="1:11" ht="12.75">
      <c r="A962" s="1054">
        <v>25301005</v>
      </c>
      <c r="B962" s="1055" t="s">
        <v>893</v>
      </c>
      <c r="C962" s="1055" t="s">
        <v>409</v>
      </c>
      <c r="D962" s="1055" t="s">
        <v>1382</v>
      </c>
      <c r="E962" s="1055" t="s">
        <v>1763</v>
      </c>
      <c r="F962" s="1056">
        <v>-55</v>
      </c>
      <c r="G962" s="1056">
        <v>0</v>
      </c>
      <c r="H962" s="1056">
        <v>25</v>
      </c>
      <c r="I962" s="1056">
        <v>-80</v>
      </c>
      <c r="K962" s="1037">
        <f t="shared" si="14"/>
        <v>8</v>
      </c>
    </row>
    <row r="963" spans="1:11" ht="12.75">
      <c r="A963" s="1054">
        <v>25301005</v>
      </c>
      <c r="B963" s="1055" t="s">
        <v>893</v>
      </c>
      <c r="C963" s="1055" t="s">
        <v>409</v>
      </c>
      <c r="D963" s="1055" t="s">
        <v>1440</v>
      </c>
      <c r="E963" s="1055" t="s">
        <v>1441</v>
      </c>
      <c r="F963" s="1056">
        <v>-29</v>
      </c>
      <c r="G963" s="1056">
        <v>0</v>
      </c>
      <c r="H963" s="1056">
        <v>0</v>
      </c>
      <c r="I963" s="1056">
        <v>-29</v>
      </c>
      <c r="K963" s="1037">
        <f t="shared" si="14"/>
        <v>8</v>
      </c>
    </row>
    <row r="964" spans="1:11" ht="12.75">
      <c r="A964" s="1054">
        <v>25301005</v>
      </c>
      <c r="B964" s="1055" t="s">
        <v>893</v>
      </c>
      <c r="C964" s="1055" t="s">
        <v>409</v>
      </c>
      <c r="D964" s="1055" t="s">
        <v>1383</v>
      </c>
      <c r="E964" s="1055" t="s">
        <v>1384</v>
      </c>
      <c r="F964" s="1056">
        <v>-53</v>
      </c>
      <c r="G964" s="1056">
        <v>0</v>
      </c>
      <c r="H964" s="1056">
        <v>22</v>
      </c>
      <c r="I964" s="1056">
        <v>-76</v>
      </c>
      <c r="K964" s="1037">
        <f t="shared" si="14"/>
        <v>8</v>
      </c>
    </row>
    <row r="965" spans="1:11" ht="12.75">
      <c r="A965" s="1054">
        <v>25301005</v>
      </c>
      <c r="B965" s="1055" t="s">
        <v>893</v>
      </c>
      <c r="C965" s="1055" t="s">
        <v>409</v>
      </c>
      <c r="D965" s="1055" t="s">
        <v>1430</v>
      </c>
      <c r="E965" s="1055" t="s">
        <v>1431</v>
      </c>
      <c r="F965" s="1056">
        <v>-2</v>
      </c>
      <c r="G965" s="1056">
        <v>0</v>
      </c>
      <c r="H965" s="1056">
        <v>0</v>
      </c>
      <c r="I965" s="1056">
        <v>-2</v>
      </c>
      <c r="K965" s="1037">
        <f t="shared" ref="K965:K1028" si="15">+LEN(A965)</f>
        <v>8</v>
      </c>
    </row>
    <row r="966" spans="1:11" ht="12.75">
      <c r="A966" s="1054">
        <v>25301005</v>
      </c>
      <c r="B966" s="1055" t="s">
        <v>893</v>
      </c>
      <c r="C966" s="1055" t="s">
        <v>409</v>
      </c>
      <c r="D966" s="1055" t="s">
        <v>1587</v>
      </c>
      <c r="E966" s="1055" t="s">
        <v>1588</v>
      </c>
      <c r="F966" s="1056">
        <v>-27</v>
      </c>
      <c r="G966" s="1056">
        <v>0</v>
      </c>
      <c r="H966" s="1056">
        <v>16</v>
      </c>
      <c r="I966" s="1056">
        <v>-44</v>
      </c>
      <c r="K966" s="1037">
        <f t="shared" si="15"/>
        <v>8</v>
      </c>
    </row>
    <row r="967" spans="1:11" ht="12.75">
      <c r="A967" s="1054">
        <v>25301010</v>
      </c>
      <c r="B967" s="1055" t="s">
        <v>893</v>
      </c>
      <c r="C967" s="1055" t="s">
        <v>354</v>
      </c>
      <c r="D967" s="1055" t="s">
        <v>893</v>
      </c>
      <c r="E967" s="1055" t="s">
        <v>893</v>
      </c>
      <c r="F967" s="1056">
        <v>317</v>
      </c>
      <c r="G967" s="1056">
        <v>1</v>
      </c>
      <c r="H967" s="1056">
        <v>0</v>
      </c>
      <c r="I967" s="1056">
        <v>318</v>
      </c>
      <c r="K967" s="1037">
        <f t="shared" si="15"/>
        <v>8</v>
      </c>
    </row>
    <row r="968" spans="1:11" ht="12.75">
      <c r="A968" s="1054">
        <v>25301010</v>
      </c>
      <c r="B968" s="1055" t="s">
        <v>893</v>
      </c>
      <c r="C968" s="1055" t="s">
        <v>354</v>
      </c>
      <c r="D968" s="1055" t="s">
        <v>1575</v>
      </c>
      <c r="E968" s="1055" t="s">
        <v>1576</v>
      </c>
      <c r="F968" s="1056">
        <v>15</v>
      </c>
      <c r="G968" s="1056">
        <v>0</v>
      </c>
      <c r="H968" s="1056">
        <v>0</v>
      </c>
      <c r="I968" s="1056">
        <v>15</v>
      </c>
      <c r="K968" s="1037">
        <f t="shared" si="15"/>
        <v>8</v>
      </c>
    </row>
    <row r="969" spans="1:11" ht="12.75">
      <c r="A969" s="1054">
        <v>25301010</v>
      </c>
      <c r="B969" s="1055" t="s">
        <v>893</v>
      </c>
      <c r="C969" s="1055" t="s">
        <v>354</v>
      </c>
      <c r="D969" s="1055" t="s">
        <v>1298</v>
      </c>
      <c r="E969" s="1055" t="s">
        <v>987</v>
      </c>
      <c r="F969" s="1056">
        <v>31</v>
      </c>
      <c r="G969" s="1056">
        <v>0</v>
      </c>
      <c r="H969" s="1056">
        <v>0</v>
      </c>
      <c r="I969" s="1056">
        <v>31</v>
      </c>
      <c r="K969" s="1037">
        <f t="shared" si="15"/>
        <v>8</v>
      </c>
    </row>
    <row r="970" spans="1:11" ht="12.75">
      <c r="A970" s="1054">
        <v>25301010</v>
      </c>
      <c r="B970" s="1055" t="s">
        <v>893</v>
      </c>
      <c r="C970" s="1055" t="s">
        <v>354</v>
      </c>
      <c r="D970" s="1055" t="s">
        <v>1493</v>
      </c>
      <c r="E970" s="1055" t="s">
        <v>1494</v>
      </c>
      <c r="F970" s="1056">
        <v>38</v>
      </c>
      <c r="G970" s="1056">
        <v>0</v>
      </c>
      <c r="H970" s="1056">
        <v>0</v>
      </c>
      <c r="I970" s="1056">
        <v>38</v>
      </c>
      <c r="K970" s="1037">
        <f t="shared" si="15"/>
        <v>8</v>
      </c>
    </row>
    <row r="971" spans="1:11" ht="12.75">
      <c r="A971" s="1054">
        <v>25301010</v>
      </c>
      <c r="B971" s="1055" t="s">
        <v>893</v>
      </c>
      <c r="C971" s="1055" t="s">
        <v>354</v>
      </c>
      <c r="D971" s="1055" t="s">
        <v>1519</v>
      </c>
      <c r="E971" s="1055" t="s">
        <v>1520</v>
      </c>
      <c r="F971" s="1056">
        <v>0</v>
      </c>
      <c r="G971" s="1056">
        <v>0</v>
      </c>
      <c r="H971" s="1056">
        <v>0</v>
      </c>
      <c r="I971" s="1056">
        <v>0</v>
      </c>
      <c r="K971" s="1037">
        <f t="shared" si="15"/>
        <v>8</v>
      </c>
    </row>
    <row r="972" spans="1:11" ht="12.75">
      <c r="A972" s="1054">
        <v>25301010</v>
      </c>
      <c r="B972" s="1055" t="s">
        <v>893</v>
      </c>
      <c r="C972" s="1055" t="s">
        <v>354</v>
      </c>
      <c r="D972" s="1055" t="s">
        <v>1368</v>
      </c>
      <c r="E972" s="1055" t="s">
        <v>1369</v>
      </c>
      <c r="F972" s="1056">
        <v>0</v>
      </c>
      <c r="G972" s="1056">
        <v>0</v>
      </c>
      <c r="H972" s="1056">
        <v>0</v>
      </c>
      <c r="I972" s="1056">
        <v>0</v>
      </c>
      <c r="K972" s="1037">
        <f t="shared" si="15"/>
        <v>8</v>
      </c>
    </row>
    <row r="973" spans="1:11" ht="12.75">
      <c r="A973" s="1054">
        <v>25301010</v>
      </c>
      <c r="B973" s="1055" t="s">
        <v>893</v>
      </c>
      <c r="C973" s="1055" t="s">
        <v>354</v>
      </c>
      <c r="D973" s="1055" t="s">
        <v>1895</v>
      </c>
      <c r="E973" s="1055" t="s">
        <v>1896</v>
      </c>
      <c r="F973" s="1056">
        <v>0</v>
      </c>
      <c r="G973" s="1056">
        <v>0</v>
      </c>
      <c r="H973" s="1056">
        <v>0</v>
      </c>
      <c r="I973" s="1056">
        <v>0</v>
      </c>
      <c r="K973" s="1037">
        <f t="shared" si="15"/>
        <v>8</v>
      </c>
    </row>
    <row r="974" spans="1:11" ht="12.75">
      <c r="A974" s="1054">
        <v>25301010</v>
      </c>
      <c r="B974" s="1055" t="s">
        <v>893</v>
      </c>
      <c r="C974" s="1055" t="s">
        <v>354</v>
      </c>
      <c r="D974" s="1055" t="s">
        <v>1495</v>
      </c>
      <c r="E974" s="1055" t="s">
        <v>1496</v>
      </c>
      <c r="F974" s="1056">
        <v>0</v>
      </c>
      <c r="G974" s="1056">
        <v>0</v>
      </c>
      <c r="H974" s="1056">
        <v>0</v>
      </c>
      <c r="I974" s="1056">
        <v>0</v>
      </c>
      <c r="K974" s="1037">
        <f t="shared" si="15"/>
        <v>8</v>
      </c>
    </row>
    <row r="975" spans="1:11" ht="12.75">
      <c r="A975" s="1054">
        <v>25301010</v>
      </c>
      <c r="B975" s="1055" t="s">
        <v>893</v>
      </c>
      <c r="C975" s="1055" t="s">
        <v>354</v>
      </c>
      <c r="D975" s="1055" t="s">
        <v>1497</v>
      </c>
      <c r="E975" s="1055" t="s">
        <v>1498</v>
      </c>
      <c r="F975" s="1056">
        <v>24</v>
      </c>
      <c r="G975" s="1056">
        <v>0</v>
      </c>
      <c r="H975" s="1056">
        <v>0</v>
      </c>
      <c r="I975" s="1056">
        <v>24</v>
      </c>
      <c r="K975" s="1037">
        <f t="shared" si="15"/>
        <v>8</v>
      </c>
    </row>
    <row r="976" spans="1:11" ht="12.75">
      <c r="A976" s="1054">
        <v>25301010</v>
      </c>
      <c r="B976" s="1055" t="s">
        <v>893</v>
      </c>
      <c r="C976" s="1055" t="s">
        <v>354</v>
      </c>
      <c r="D976" s="1055" t="s">
        <v>1843</v>
      </c>
      <c r="E976" s="1055" t="s">
        <v>1844</v>
      </c>
      <c r="F976" s="1056">
        <v>0</v>
      </c>
      <c r="G976" s="1056">
        <v>1</v>
      </c>
      <c r="H976" s="1056">
        <v>0</v>
      </c>
      <c r="I976" s="1056">
        <v>1</v>
      </c>
      <c r="K976" s="1037">
        <f t="shared" si="15"/>
        <v>8</v>
      </c>
    </row>
    <row r="977" spans="1:11" ht="12.75">
      <c r="A977" s="1054">
        <v>25301010</v>
      </c>
      <c r="B977" s="1055" t="s">
        <v>893</v>
      </c>
      <c r="C977" s="1055" t="s">
        <v>354</v>
      </c>
      <c r="D977" s="1055" t="s">
        <v>1759</v>
      </c>
      <c r="E977" s="1055" t="s">
        <v>1760</v>
      </c>
      <c r="F977" s="1056">
        <v>1</v>
      </c>
      <c r="G977" s="1056">
        <v>0</v>
      </c>
      <c r="H977" s="1056">
        <v>0</v>
      </c>
      <c r="I977" s="1056">
        <v>1</v>
      </c>
      <c r="K977" s="1037">
        <f t="shared" si="15"/>
        <v>8</v>
      </c>
    </row>
    <row r="978" spans="1:11" ht="12.75">
      <c r="A978" s="1054">
        <v>25301010</v>
      </c>
      <c r="B978" s="1055" t="s">
        <v>893</v>
      </c>
      <c r="C978" s="1055" t="s">
        <v>354</v>
      </c>
      <c r="D978" s="1055" t="s">
        <v>1581</v>
      </c>
      <c r="E978" s="1055" t="s">
        <v>1582</v>
      </c>
      <c r="F978" s="1056">
        <v>12</v>
      </c>
      <c r="G978" s="1056">
        <v>0</v>
      </c>
      <c r="H978" s="1056">
        <v>0</v>
      </c>
      <c r="I978" s="1056">
        <v>12</v>
      </c>
      <c r="K978" s="1037">
        <f t="shared" si="15"/>
        <v>8</v>
      </c>
    </row>
    <row r="979" spans="1:11" ht="12.75">
      <c r="A979" s="1054">
        <v>25301010</v>
      </c>
      <c r="B979" s="1055" t="s">
        <v>893</v>
      </c>
      <c r="C979" s="1055" t="s">
        <v>354</v>
      </c>
      <c r="D979" s="1055" t="s">
        <v>1583</v>
      </c>
      <c r="E979" s="1055" t="s">
        <v>1584</v>
      </c>
      <c r="F979" s="1056">
        <v>1</v>
      </c>
      <c r="G979" s="1056">
        <v>0</v>
      </c>
      <c r="H979" s="1056">
        <v>0</v>
      </c>
      <c r="I979" s="1056">
        <v>1</v>
      </c>
      <c r="K979" s="1037">
        <f t="shared" si="15"/>
        <v>8</v>
      </c>
    </row>
    <row r="980" spans="1:11" ht="12.75">
      <c r="A980" s="1054">
        <v>25301010</v>
      </c>
      <c r="B980" s="1055" t="s">
        <v>893</v>
      </c>
      <c r="C980" s="1055" t="s">
        <v>354</v>
      </c>
      <c r="D980" s="1055" t="s">
        <v>1376</v>
      </c>
      <c r="E980" s="1055" t="s">
        <v>1377</v>
      </c>
      <c r="F980" s="1056">
        <v>50</v>
      </c>
      <c r="G980" s="1056">
        <v>0</v>
      </c>
      <c r="H980" s="1056">
        <v>0</v>
      </c>
      <c r="I980" s="1056">
        <v>50</v>
      </c>
      <c r="K980" s="1037">
        <f t="shared" si="15"/>
        <v>8</v>
      </c>
    </row>
    <row r="981" spans="1:11" ht="12.75">
      <c r="A981" s="1054">
        <v>25301010</v>
      </c>
      <c r="B981" s="1055" t="s">
        <v>893</v>
      </c>
      <c r="C981" s="1055" t="s">
        <v>354</v>
      </c>
      <c r="D981" s="1055" t="s">
        <v>1306</v>
      </c>
      <c r="E981" s="1055" t="s">
        <v>997</v>
      </c>
      <c r="F981" s="1056">
        <v>25</v>
      </c>
      <c r="G981" s="1056">
        <v>0</v>
      </c>
      <c r="H981" s="1056">
        <v>0</v>
      </c>
      <c r="I981" s="1056">
        <v>25</v>
      </c>
      <c r="K981" s="1037">
        <f t="shared" si="15"/>
        <v>8</v>
      </c>
    </row>
    <row r="982" spans="1:11" ht="12.75">
      <c r="A982" s="1054">
        <v>25301010</v>
      </c>
      <c r="B982" s="1055" t="s">
        <v>893</v>
      </c>
      <c r="C982" s="1055" t="s">
        <v>354</v>
      </c>
      <c r="D982" s="1055" t="s">
        <v>1686</v>
      </c>
      <c r="E982" s="1055" t="s">
        <v>1687</v>
      </c>
      <c r="F982" s="1056">
        <v>46</v>
      </c>
      <c r="G982" s="1056">
        <v>0</v>
      </c>
      <c r="H982" s="1056">
        <v>0</v>
      </c>
      <c r="I982" s="1056">
        <v>46</v>
      </c>
      <c r="K982" s="1037">
        <f t="shared" si="15"/>
        <v>8</v>
      </c>
    </row>
    <row r="983" spans="1:11" ht="12.75">
      <c r="A983" s="1054">
        <v>25301010</v>
      </c>
      <c r="B983" s="1055" t="s">
        <v>893</v>
      </c>
      <c r="C983" s="1055" t="s">
        <v>354</v>
      </c>
      <c r="D983" s="1055" t="s">
        <v>1523</v>
      </c>
      <c r="E983" s="1055" t="s">
        <v>1524</v>
      </c>
      <c r="F983" s="1056">
        <v>5</v>
      </c>
      <c r="G983" s="1056">
        <v>0</v>
      </c>
      <c r="H983" s="1056">
        <v>0</v>
      </c>
      <c r="I983" s="1056">
        <v>5</v>
      </c>
      <c r="K983" s="1037">
        <f t="shared" si="15"/>
        <v>8</v>
      </c>
    </row>
    <row r="984" spans="1:11" ht="12.75">
      <c r="A984" s="1054">
        <v>25301010</v>
      </c>
      <c r="B984" s="1055" t="s">
        <v>893</v>
      </c>
      <c r="C984" s="1055" t="s">
        <v>354</v>
      </c>
      <c r="D984" s="1055" t="s">
        <v>1847</v>
      </c>
      <c r="E984" s="1055" t="s">
        <v>1848</v>
      </c>
      <c r="F984" s="1056">
        <v>0</v>
      </c>
      <c r="G984" s="1056">
        <v>0</v>
      </c>
      <c r="H984" s="1056">
        <v>0</v>
      </c>
      <c r="I984" s="1056">
        <v>0</v>
      </c>
      <c r="K984" s="1037">
        <f t="shared" si="15"/>
        <v>8</v>
      </c>
    </row>
    <row r="985" spans="1:11" ht="12.75">
      <c r="A985" s="1054">
        <v>25301010</v>
      </c>
      <c r="B985" s="1055" t="s">
        <v>893</v>
      </c>
      <c r="C985" s="1055" t="s">
        <v>354</v>
      </c>
      <c r="D985" s="1055" t="s">
        <v>1761</v>
      </c>
      <c r="E985" s="1055" t="s">
        <v>1762</v>
      </c>
      <c r="F985" s="1056">
        <v>28</v>
      </c>
      <c r="G985" s="1056">
        <v>0</v>
      </c>
      <c r="H985" s="1056">
        <v>0</v>
      </c>
      <c r="I985" s="1056">
        <v>28</v>
      </c>
      <c r="K985" s="1037">
        <f t="shared" si="15"/>
        <v>8</v>
      </c>
    </row>
    <row r="986" spans="1:11" ht="12.75">
      <c r="A986" s="1054">
        <v>25301010</v>
      </c>
      <c r="B986" s="1055" t="s">
        <v>893</v>
      </c>
      <c r="C986" s="1055" t="s">
        <v>354</v>
      </c>
      <c r="D986" s="1055" t="s">
        <v>1428</v>
      </c>
      <c r="E986" s="1055" t="s">
        <v>1429</v>
      </c>
      <c r="F986" s="1056">
        <v>4</v>
      </c>
      <c r="G986" s="1056">
        <v>0</v>
      </c>
      <c r="H986" s="1056">
        <v>0</v>
      </c>
      <c r="I986" s="1056">
        <v>4</v>
      </c>
      <c r="K986" s="1037">
        <f t="shared" si="15"/>
        <v>8</v>
      </c>
    </row>
    <row r="987" spans="1:11" ht="12.75">
      <c r="A987" s="1054">
        <v>25301010</v>
      </c>
      <c r="B987" s="1055" t="s">
        <v>893</v>
      </c>
      <c r="C987" s="1055" t="s">
        <v>354</v>
      </c>
      <c r="D987" s="1055" t="s">
        <v>1380</v>
      </c>
      <c r="E987" s="1055" t="s">
        <v>1381</v>
      </c>
      <c r="F987" s="1056">
        <v>7</v>
      </c>
      <c r="G987" s="1056">
        <v>0</v>
      </c>
      <c r="H987" s="1056">
        <v>0</v>
      </c>
      <c r="I987" s="1056">
        <v>7</v>
      </c>
      <c r="K987" s="1037">
        <f t="shared" si="15"/>
        <v>8</v>
      </c>
    </row>
    <row r="988" spans="1:11" ht="12.75">
      <c r="A988" s="1054">
        <v>25301010</v>
      </c>
      <c r="B988" s="1055" t="s">
        <v>893</v>
      </c>
      <c r="C988" s="1055" t="s">
        <v>354</v>
      </c>
      <c r="D988" s="1055" t="s">
        <v>1440</v>
      </c>
      <c r="E988" s="1055" t="s">
        <v>1441</v>
      </c>
      <c r="F988" s="1056">
        <v>29</v>
      </c>
      <c r="G988" s="1056">
        <v>0</v>
      </c>
      <c r="H988" s="1056">
        <v>0</v>
      </c>
      <c r="I988" s="1056">
        <v>29</v>
      </c>
      <c r="K988" s="1037">
        <f t="shared" si="15"/>
        <v>8</v>
      </c>
    </row>
    <row r="989" spans="1:11" ht="12.75">
      <c r="A989" s="1054">
        <v>253015</v>
      </c>
      <c r="B989" s="1055" t="s">
        <v>893</v>
      </c>
      <c r="C989" s="1055" t="s">
        <v>355</v>
      </c>
      <c r="D989" s="1055" t="s">
        <v>893</v>
      </c>
      <c r="E989" s="1055" t="s">
        <v>893</v>
      </c>
      <c r="F989" s="1056">
        <v>-14345</v>
      </c>
      <c r="G989" s="1056">
        <v>78</v>
      </c>
      <c r="H989" s="1056">
        <v>2552</v>
      </c>
      <c r="I989" s="1056">
        <v>-16819</v>
      </c>
      <c r="K989" s="1037">
        <f t="shared" si="15"/>
        <v>6</v>
      </c>
    </row>
    <row r="990" spans="1:11" ht="12.75">
      <c r="A990" s="1054">
        <v>25301505</v>
      </c>
      <c r="B990" s="1055" t="s">
        <v>893</v>
      </c>
      <c r="C990" s="1055" t="s">
        <v>410</v>
      </c>
      <c r="D990" s="1055" t="s">
        <v>893</v>
      </c>
      <c r="E990" s="1055" t="s">
        <v>893</v>
      </c>
      <c r="F990" s="1056">
        <v>-20423</v>
      </c>
      <c r="G990" s="1056">
        <v>0</v>
      </c>
      <c r="H990" s="1056">
        <v>2552</v>
      </c>
      <c r="I990" s="1056">
        <v>-22975</v>
      </c>
      <c r="K990" s="1037">
        <f t="shared" si="15"/>
        <v>8</v>
      </c>
    </row>
    <row r="991" spans="1:11" ht="12.75">
      <c r="A991" s="1054">
        <v>25301505</v>
      </c>
      <c r="B991" s="1055" t="s">
        <v>893</v>
      </c>
      <c r="C991" s="1055" t="s">
        <v>410</v>
      </c>
      <c r="D991" s="1055" t="s">
        <v>1575</v>
      </c>
      <c r="E991" s="1055" t="s">
        <v>1576</v>
      </c>
      <c r="F991" s="1056">
        <v>-222</v>
      </c>
      <c r="G991" s="1056">
        <v>0</v>
      </c>
      <c r="H991" s="1056">
        <v>0</v>
      </c>
      <c r="I991" s="1056">
        <v>-222</v>
      </c>
      <c r="K991" s="1037">
        <f t="shared" si="15"/>
        <v>8</v>
      </c>
    </row>
    <row r="992" spans="1:11" ht="12.75">
      <c r="A992" s="1054">
        <v>25301505</v>
      </c>
      <c r="B992" s="1055" t="s">
        <v>893</v>
      </c>
      <c r="C992" s="1055" t="s">
        <v>410</v>
      </c>
      <c r="D992" s="1055" t="s">
        <v>1891</v>
      </c>
      <c r="E992" s="1055" t="s">
        <v>1892</v>
      </c>
      <c r="F992" s="1056">
        <v>0</v>
      </c>
      <c r="G992" s="1056">
        <v>0</v>
      </c>
      <c r="H992" s="1056">
        <v>74</v>
      </c>
      <c r="I992" s="1056">
        <v>-74</v>
      </c>
      <c r="K992" s="1037">
        <f t="shared" si="15"/>
        <v>8</v>
      </c>
    </row>
    <row r="993" spans="1:11" ht="12.75">
      <c r="A993" s="1054">
        <v>25301505</v>
      </c>
      <c r="B993" s="1055" t="s">
        <v>893</v>
      </c>
      <c r="C993" s="1055" t="s">
        <v>410</v>
      </c>
      <c r="D993" s="1055" t="s">
        <v>1577</v>
      </c>
      <c r="E993" s="1055" t="s">
        <v>1578</v>
      </c>
      <c r="F993" s="1056">
        <v>-283</v>
      </c>
      <c r="G993" s="1056">
        <v>0</v>
      </c>
      <c r="H993" s="1056">
        <v>73</v>
      </c>
      <c r="I993" s="1056">
        <v>-356</v>
      </c>
      <c r="K993" s="1037">
        <f t="shared" si="15"/>
        <v>8</v>
      </c>
    </row>
    <row r="994" spans="1:11" ht="12.75">
      <c r="A994" s="1054">
        <v>25301505</v>
      </c>
      <c r="B994" s="1055" t="s">
        <v>893</v>
      </c>
      <c r="C994" s="1055" t="s">
        <v>410</v>
      </c>
      <c r="D994" s="1055" t="s">
        <v>1360</v>
      </c>
      <c r="E994" s="1055" t="s">
        <v>1361</v>
      </c>
      <c r="F994" s="1056">
        <v>-3023</v>
      </c>
      <c r="G994" s="1056">
        <v>0</v>
      </c>
      <c r="H994" s="1056">
        <v>73</v>
      </c>
      <c r="I994" s="1056">
        <v>-3096</v>
      </c>
      <c r="K994" s="1037">
        <f t="shared" si="15"/>
        <v>8</v>
      </c>
    </row>
    <row r="995" spans="1:11" ht="12.75">
      <c r="A995" s="1054">
        <v>25301505</v>
      </c>
      <c r="B995" s="1055" t="s">
        <v>893</v>
      </c>
      <c r="C995" s="1055" t="s">
        <v>410</v>
      </c>
      <c r="D995" s="1055" t="s">
        <v>1893</v>
      </c>
      <c r="E995" s="1055" t="s">
        <v>1894</v>
      </c>
      <c r="F995" s="1056">
        <v>0</v>
      </c>
      <c r="G995" s="1056">
        <v>0</v>
      </c>
      <c r="H995" s="1056">
        <v>73</v>
      </c>
      <c r="I995" s="1056">
        <v>-73</v>
      </c>
      <c r="K995" s="1037">
        <f t="shared" si="15"/>
        <v>8</v>
      </c>
    </row>
    <row r="996" spans="1:11" ht="12.75">
      <c r="A996" s="1054">
        <v>25301505</v>
      </c>
      <c r="B996" s="1055" t="s">
        <v>893</v>
      </c>
      <c r="C996" s="1055" t="s">
        <v>410</v>
      </c>
      <c r="D996" s="1055" t="s">
        <v>1298</v>
      </c>
      <c r="E996" s="1055" t="s">
        <v>987</v>
      </c>
      <c r="F996" s="1056">
        <v>-714</v>
      </c>
      <c r="G996" s="1056">
        <v>0</v>
      </c>
      <c r="H996" s="1056">
        <v>0</v>
      </c>
      <c r="I996" s="1056">
        <v>-714</v>
      </c>
      <c r="K996" s="1037">
        <f t="shared" si="15"/>
        <v>8</v>
      </c>
    </row>
    <row r="997" spans="1:11" ht="12.75">
      <c r="A997" s="1054">
        <v>25301505</v>
      </c>
      <c r="B997" s="1055" t="s">
        <v>893</v>
      </c>
      <c r="C997" s="1055" t="s">
        <v>410</v>
      </c>
      <c r="D997" s="1055" t="s">
        <v>1484</v>
      </c>
      <c r="E997" s="1055" t="s">
        <v>1485</v>
      </c>
      <c r="F997" s="1056">
        <v>-463</v>
      </c>
      <c r="G997" s="1056">
        <v>0</v>
      </c>
      <c r="H997" s="1056">
        <v>73</v>
      </c>
      <c r="I997" s="1056">
        <v>-536</v>
      </c>
      <c r="K997" s="1037">
        <f t="shared" si="15"/>
        <v>8</v>
      </c>
    </row>
    <row r="998" spans="1:11" ht="12.75">
      <c r="A998" s="1054">
        <v>25301505</v>
      </c>
      <c r="B998" s="1055" t="s">
        <v>893</v>
      </c>
      <c r="C998" s="1055" t="s">
        <v>410</v>
      </c>
      <c r="D998" s="1055" t="s">
        <v>1579</v>
      </c>
      <c r="E998" s="1055" t="s">
        <v>1580</v>
      </c>
      <c r="F998" s="1056">
        <v>-356</v>
      </c>
      <c r="G998" s="1056">
        <v>0</v>
      </c>
      <c r="H998" s="1056">
        <v>73</v>
      </c>
      <c r="I998" s="1056">
        <v>-429</v>
      </c>
      <c r="K998" s="1037">
        <f t="shared" si="15"/>
        <v>8</v>
      </c>
    </row>
    <row r="999" spans="1:11" ht="12.75">
      <c r="A999" s="1054">
        <v>25301505</v>
      </c>
      <c r="B999" s="1055" t="s">
        <v>893</v>
      </c>
      <c r="C999" s="1055" t="s">
        <v>410</v>
      </c>
      <c r="D999" s="1055" t="s">
        <v>1270</v>
      </c>
      <c r="E999" s="1055" t="s">
        <v>988</v>
      </c>
      <c r="F999" s="1056">
        <v>-890</v>
      </c>
      <c r="G999" s="1056">
        <v>0</v>
      </c>
      <c r="H999" s="1056">
        <v>100</v>
      </c>
      <c r="I999" s="1056">
        <v>-989</v>
      </c>
      <c r="K999" s="1037">
        <f t="shared" si="15"/>
        <v>8</v>
      </c>
    </row>
    <row r="1000" spans="1:11" ht="12.75">
      <c r="A1000" s="1054">
        <v>25301505</v>
      </c>
      <c r="B1000" s="1055" t="s">
        <v>893</v>
      </c>
      <c r="C1000" s="1055" t="s">
        <v>410</v>
      </c>
      <c r="D1000" s="1055" t="s">
        <v>1271</v>
      </c>
      <c r="E1000" s="1055" t="s">
        <v>782</v>
      </c>
      <c r="F1000" s="1056">
        <v>-273</v>
      </c>
      <c r="G1000" s="1056">
        <v>0</v>
      </c>
      <c r="H1000" s="1056">
        <v>0</v>
      </c>
      <c r="I1000" s="1056">
        <v>-273</v>
      </c>
      <c r="K1000" s="1037">
        <f t="shared" si="15"/>
        <v>8</v>
      </c>
    </row>
    <row r="1001" spans="1:11" ht="12.75">
      <c r="A1001" s="1054">
        <v>25301505</v>
      </c>
      <c r="B1001" s="1055" t="s">
        <v>893</v>
      </c>
      <c r="C1001" s="1055" t="s">
        <v>410</v>
      </c>
      <c r="D1001" s="1055" t="s">
        <v>1272</v>
      </c>
      <c r="E1001" s="1055" t="s">
        <v>1273</v>
      </c>
      <c r="F1001" s="1056">
        <v>0</v>
      </c>
      <c r="G1001" s="1056">
        <v>0</v>
      </c>
      <c r="H1001" s="1056">
        <v>104</v>
      </c>
      <c r="I1001" s="1056">
        <v>-104</v>
      </c>
      <c r="K1001" s="1037">
        <f t="shared" si="15"/>
        <v>8</v>
      </c>
    </row>
    <row r="1002" spans="1:11" ht="12.75">
      <c r="A1002" s="1054">
        <v>25301505</v>
      </c>
      <c r="B1002" s="1055" t="s">
        <v>893</v>
      </c>
      <c r="C1002" s="1055" t="s">
        <v>410</v>
      </c>
      <c r="D1002" s="1055" t="s">
        <v>1420</v>
      </c>
      <c r="E1002" s="1055" t="s">
        <v>1421</v>
      </c>
      <c r="F1002" s="1056">
        <v>-440</v>
      </c>
      <c r="G1002" s="1056">
        <v>0</v>
      </c>
      <c r="H1002" s="1056">
        <v>73</v>
      </c>
      <c r="I1002" s="1056">
        <v>-513</v>
      </c>
      <c r="K1002" s="1037">
        <f t="shared" si="15"/>
        <v>8</v>
      </c>
    </row>
    <row r="1003" spans="1:11" ht="12.75">
      <c r="A1003" s="1054">
        <v>25301505</v>
      </c>
      <c r="B1003" s="1055" t="s">
        <v>893</v>
      </c>
      <c r="C1003" s="1055" t="s">
        <v>410</v>
      </c>
      <c r="D1003" s="1055" t="s">
        <v>1493</v>
      </c>
      <c r="E1003" s="1055" t="s">
        <v>1494</v>
      </c>
      <c r="F1003" s="1056">
        <v>-410</v>
      </c>
      <c r="G1003" s="1056">
        <v>0</v>
      </c>
      <c r="H1003" s="1056">
        <v>0</v>
      </c>
      <c r="I1003" s="1056">
        <v>-410</v>
      </c>
      <c r="K1003" s="1037">
        <f t="shared" si="15"/>
        <v>8</v>
      </c>
    </row>
    <row r="1004" spans="1:11" ht="12.75">
      <c r="A1004" s="1054">
        <v>25301505</v>
      </c>
      <c r="B1004" s="1055" t="s">
        <v>893</v>
      </c>
      <c r="C1004" s="1055" t="s">
        <v>410</v>
      </c>
      <c r="D1004" s="1055" t="s">
        <v>1841</v>
      </c>
      <c r="E1004" s="1055" t="s">
        <v>1842</v>
      </c>
      <c r="F1004" s="1056">
        <v>-15</v>
      </c>
      <c r="G1004" s="1056">
        <v>0</v>
      </c>
      <c r="H1004" s="1056">
        <v>73</v>
      </c>
      <c r="I1004" s="1056">
        <v>-88</v>
      </c>
      <c r="K1004" s="1037">
        <f t="shared" si="15"/>
        <v>8</v>
      </c>
    </row>
    <row r="1005" spans="1:11" ht="12.75">
      <c r="A1005" s="1054">
        <v>25301505</v>
      </c>
      <c r="B1005" s="1055" t="s">
        <v>893</v>
      </c>
      <c r="C1005" s="1055" t="s">
        <v>410</v>
      </c>
      <c r="D1005" s="1055" t="s">
        <v>1519</v>
      </c>
      <c r="E1005" s="1055" t="s">
        <v>1520</v>
      </c>
      <c r="F1005" s="1056">
        <v>-39</v>
      </c>
      <c r="G1005" s="1056">
        <v>0</v>
      </c>
      <c r="H1005" s="1056">
        <v>0</v>
      </c>
      <c r="I1005" s="1056">
        <v>-39</v>
      </c>
      <c r="K1005" s="1037">
        <f t="shared" si="15"/>
        <v>8</v>
      </c>
    </row>
    <row r="1006" spans="1:11" ht="12.75">
      <c r="A1006" s="1054">
        <v>25301505</v>
      </c>
      <c r="B1006" s="1055" t="s">
        <v>893</v>
      </c>
      <c r="C1006" s="1055" t="s">
        <v>410</v>
      </c>
      <c r="D1006" s="1055" t="s">
        <v>1368</v>
      </c>
      <c r="E1006" s="1055" t="s">
        <v>1369</v>
      </c>
      <c r="F1006" s="1056">
        <v>-151</v>
      </c>
      <c r="G1006" s="1056">
        <v>0</v>
      </c>
      <c r="H1006" s="1056">
        <v>0</v>
      </c>
      <c r="I1006" s="1056">
        <v>-151</v>
      </c>
      <c r="K1006" s="1037">
        <f t="shared" si="15"/>
        <v>8</v>
      </c>
    </row>
    <row r="1007" spans="1:11" ht="12.75">
      <c r="A1007" s="1054">
        <v>25301505</v>
      </c>
      <c r="B1007" s="1055" t="s">
        <v>893</v>
      </c>
      <c r="C1007" s="1055" t="s">
        <v>410</v>
      </c>
      <c r="D1007" s="1055" t="s">
        <v>1895</v>
      </c>
      <c r="E1007" s="1055" t="s">
        <v>1896</v>
      </c>
      <c r="F1007" s="1056">
        <v>0</v>
      </c>
      <c r="G1007" s="1056">
        <v>0</v>
      </c>
      <c r="H1007" s="1056">
        <v>15</v>
      </c>
      <c r="I1007" s="1056">
        <v>-15</v>
      </c>
      <c r="K1007" s="1037">
        <f t="shared" si="15"/>
        <v>8</v>
      </c>
    </row>
    <row r="1008" spans="1:11" ht="12.75">
      <c r="A1008" s="1054">
        <v>25301505</v>
      </c>
      <c r="B1008" s="1055" t="s">
        <v>893</v>
      </c>
      <c r="C1008" s="1055" t="s">
        <v>410</v>
      </c>
      <c r="D1008" s="1055" t="s">
        <v>1495</v>
      </c>
      <c r="E1008" s="1055" t="s">
        <v>1496</v>
      </c>
      <c r="F1008" s="1056">
        <v>-34</v>
      </c>
      <c r="G1008" s="1056">
        <v>0</v>
      </c>
      <c r="H1008" s="1056">
        <v>0</v>
      </c>
      <c r="I1008" s="1056">
        <v>-34</v>
      </c>
      <c r="K1008" s="1037">
        <f t="shared" si="15"/>
        <v>8</v>
      </c>
    </row>
    <row r="1009" spans="1:11" ht="12.75">
      <c r="A1009" s="1054">
        <v>25301505</v>
      </c>
      <c r="B1009" s="1055" t="s">
        <v>893</v>
      </c>
      <c r="C1009" s="1055" t="s">
        <v>410</v>
      </c>
      <c r="D1009" s="1055" t="s">
        <v>1320</v>
      </c>
      <c r="E1009" s="1055" t="s">
        <v>1321</v>
      </c>
      <c r="F1009" s="1056">
        <v>-605</v>
      </c>
      <c r="G1009" s="1056">
        <v>0</v>
      </c>
      <c r="H1009" s="1056">
        <v>73</v>
      </c>
      <c r="I1009" s="1056">
        <v>-678</v>
      </c>
      <c r="K1009" s="1037">
        <f t="shared" si="15"/>
        <v>8</v>
      </c>
    </row>
    <row r="1010" spans="1:11" ht="12.75">
      <c r="A1010" s="1054">
        <v>25301505</v>
      </c>
      <c r="B1010" s="1055" t="s">
        <v>893</v>
      </c>
      <c r="C1010" s="1055" t="s">
        <v>410</v>
      </c>
      <c r="D1010" s="1055" t="s">
        <v>1274</v>
      </c>
      <c r="E1010" s="1055" t="s">
        <v>989</v>
      </c>
      <c r="F1010" s="1056">
        <v>-668</v>
      </c>
      <c r="G1010" s="1056">
        <v>0</v>
      </c>
      <c r="H1010" s="1056">
        <v>92</v>
      </c>
      <c r="I1010" s="1056">
        <v>-759</v>
      </c>
      <c r="K1010" s="1037">
        <f t="shared" si="15"/>
        <v>8</v>
      </c>
    </row>
    <row r="1011" spans="1:11" ht="12.75">
      <c r="A1011" s="1054">
        <v>25301505</v>
      </c>
      <c r="B1011" s="1055" t="s">
        <v>893</v>
      </c>
      <c r="C1011" s="1055" t="s">
        <v>410</v>
      </c>
      <c r="D1011" s="1055" t="s">
        <v>1497</v>
      </c>
      <c r="E1011" s="1055" t="s">
        <v>1498</v>
      </c>
      <c r="F1011" s="1056">
        <v>-292</v>
      </c>
      <c r="G1011" s="1056">
        <v>0</v>
      </c>
      <c r="H1011" s="1056">
        <v>0</v>
      </c>
      <c r="I1011" s="1056">
        <v>-292</v>
      </c>
      <c r="K1011" s="1037">
        <f t="shared" si="15"/>
        <v>8</v>
      </c>
    </row>
    <row r="1012" spans="1:11" ht="12.75">
      <c r="A1012" s="1054">
        <v>25301505</v>
      </c>
      <c r="B1012" s="1055" t="s">
        <v>893</v>
      </c>
      <c r="C1012" s="1055" t="s">
        <v>410</v>
      </c>
      <c r="D1012" s="1055" t="s">
        <v>1043</v>
      </c>
      <c r="E1012" s="1055" t="s">
        <v>318</v>
      </c>
      <c r="F1012" s="1056">
        <v>-719</v>
      </c>
      <c r="G1012" s="1056">
        <v>0</v>
      </c>
      <c r="H1012" s="1056">
        <v>180</v>
      </c>
      <c r="I1012" s="1056">
        <v>-899</v>
      </c>
      <c r="K1012" s="1037">
        <f t="shared" si="15"/>
        <v>8</v>
      </c>
    </row>
    <row r="1013" spans="1:11" ht="12.75">
      <c r="A1013" s="1054">
        <v>25301505</v>
      </c>
      <c r="B1013" s="1055" t="s">
        <v>893</v>
      </c>
      <c r="C1013" s="1055" t="s">
        <v>410</v>
      </c>
      <c r="D1013" s="1055" t="s">
        <v>1370</v>
      </c>
      <c r="E1013" s="1055" t="s">
        <v>1371</v>
      </c>
      <c r="F1013" s="1056">
        <v>-634</v>
      </c>
      <c r="G1013" s="1056">
        <v>0</v>
      </c>
      <c r="H1013" s="1056">
        <v>73</v>
      </c>
      <c r="I1013" s="1056">
        <v>-707</v>
      </c>
      <c r="K1013" s="1037">
        <f t="shared" si="15"/>
        <v>8</v>
      </c>
    </row>
    <row r="1014" spans="1:11" ht="12.75">
      <c r="A1014" s="1054">
        <v>25301505</v>
      </c>
      <c r="B1014" s="1055" t="s">
        <v>893</v>
      </c>
      <c r="C1014" s="1055" t="s">
        <v>410</v>
      </c>
      <c r="D1014" s="1055" t="s">
        <v>1843</v>
      </c>
      <c r="E1014" s="1055" t="s">
        <v>1844</v>
      </c>
      <c r="F1014" s="1056">
        <v>-64</v>
      </c>
      <c r="G1014" s="1056">
        <v>0</v>
      </c>
      <c r="H1014" s="1056">
        <v>0</v>
      </c>
      <c r="I1014" s="1056">
        <v>-64</v>
      </c>
      <c r="K1014" s="1037">
        <f t="shared" si="15"/>
        <v>8</v>
      </c>
    </row>
    <row r="1015" spans="1:11" ht="12.75">
      <c r="A1015" s="1054">
        <v>25301505</v>
      </c>
      <c r="B1015" s="1055" t="s">
        <v>893</v>
      </c>
      <c r="C1015" s="1055" t="s">
        <v>410</v>
      </c>
      <c r="D1015" s="1055" t="s">
        <v>1759</v>
      </c>
      <c r="E1015" s="1055" t="s">
        <v>1760</v>
      </c>
      <c r="F1015" s="1056">
        <v>-64</v>
      </c>
      <c r="G1015" s="1056">
        <v>0</v>
      </c>
      <c r="H1015" s="1056">
        <v>0</v>
      </c>
      <c r="I1015" s="1056">
        <v>-64</v>
      </c>
      <c r="K1015" s="1037">
        <f t="shared" si="15"/>
        <v>8</v>
      </c>
    </row>
    <row r="1016" spans="1:11" ht="12.75">
      <c r="A1016" s="1054">
        <v>25301505</v>
      </c>
      <c r="B1016" s="1055" t="s">
        <v>893</v>
      </c>
      <c r="C1016" s="1055" t="s">
        <v>410</v>
      </c>
      <c r="D1016" s="1055" t="s">
        <v>1581</v>
      </c>
      <c r="E1016" s="1055" t="s">
        <v>1582</v>
      </c>
      <c r="F1016" s="1056">
        <v>-223</v>
      </c>
      <c r="G1016" s="1056">
        <v>0</v>
      </c>
      <c r="H1016" s="1056">
        <v>0</v>
      </c>
      <c r="I1016" s="1056">
        <v>-223</v>
      </c>
      <c r="K1016" s="1037">
        <f t="shared" si="15"/>
        <v>8</v>
      </c>
    </row>
    <row r="1017" spans="1:11" ht="12.75">
      <c r="A1017" s="1054">
        <v>25301505</v>
      </c>
      <c r="B1017" s="1055" t="s">
        <v>893</v>
      </c>
      <c r="C1017" s="1055" t="s">
        <v>410</v>
      </c>
      <c r="D1017" s="1055" t="s">
        <v>1521</v>
      </c>
      <c r="E1017" s="1055" t="s">
        <v>1522</v>
      </c>
      <c r="F1017" s="1056">
        <v>-344</v>
      </c>
      <c r="G1017" s="1056">
        <v>0</v>
      </c>
      <c r="H1017" s="1056">
        <v>73</v>
      </c>
      <c r="I1017" s="1056">
        <v>-417</v>
      </c>
      <c r="K1017" s="1037">
        <f t="shared" si="15"/>
        <v>8</v>
      </c>
    </row>
    <row r="1018" spans="1:11" ht="12.75">
      <c r="A1018" s="1054">
        <v>25301505</v>
      </c>
      <c r="B1018" s="1055" t="s">
        <v>893</v>
      </c>
      <c r="C1018" s="1055" t="s">
        <v>410</v>
      </c>
      <c r="D1018" s="1055" t="s">
        <v>1426</v>
      </c>
      <c r="E1018" s="1055" t="s">
        <v>1427</v>
      </c>
      <c r="F1018" s="1056">
        <v>-423</v>
      </c>
      <c r="G1018" s="1056">
        <v>0</v>
      </c>
      <c r="H1018" s="1056">
        <v>73</v>
      </c>
      <c r="I1018" s="1056">
        <v>-496</v>
      </c>
      <c r="K1018" s="1037">
        <f t="shared" si="15"/>
        <v>8</v>
      </c>
    </row>
    <row r="1019" spans="1:11" ht="12.75">
      <c r="A1019" s="1054">
        <v>25301505</v>
      </c>
      <c r="B1019" s="1055" t="s">
        <v>893</v>
      </c>
      <c r="C1019" s="1055" t="s">
        <v>410</v>
      </c>
      <c r="D1019" s="1055" t="s">
        <v>1583</v>
      </c>
      <c r="E1019" s="1055" t="s">
        <v>1584</v>
      </c>
      <c r="F1019" s="1056">
        <v>-56</v>
      </c>
      <c r="G1019" s="1056">
        <v>0</v>
      </c>
      <c r="H1019" s="1056">
        <v>0</v>
      </c>
      <c r="I1019" s="1056">
        <v>-56</v>
      </c>
      <c r="K1019" s="1037">
        <f t="shared" si="15"/>
        <v>8</v>
      </c>
    </row>
    <row r="1020" spans="1:11" ht="12.75">
      <c r="A1020" s="1054">
        <v>25301505</v>
      </c>
      <c r="B1020" s="1055" t="s">
        <v>893</v>
      </c>
      <c r="C1020" s="1055" t="s">
        <v>410</v>
      </c>
      <c r="D1020" s="1055" t="s">
        <v>1372</v>
      </c>
      <c r="E1020" s="1055" t="s">
        <v>1373</v>
      </c>
      <c r="F1020" s="1056">
        <v>-140</v>
      </c>
      <c r="G1020" s="1056">
        <v>0</v>
      </c>
      <c r="H1020" s="1056">
        <v>0</v>
      </c>
      <c r="I1020" s="1056">
        <v>-140</v>
      </c>
      <c r="K1020" s="1037">
        <f t="shared" si="15"/>
        <v>8</v>
      </c>
    </row>
    <row r="1021" spans="1:11" ht="12.75">
      <c r="A1021" s="1054">
        <v>25301505</v>
      </c>
      <c r="B1021" s="1055" t="s">
        <v>893</v>
      </c>
      <c r="C1021" s="1055" t="s">
        <v>410</v>
      </c>
      <c r="D1021" s="1055" t="s">
        <v>1374</v>
      </c>
      <c r="E1021" s="1055" t="s">
        <v>1375</v>
      </c>
      <c r="F1021" s="1056">
        <v>-463</v>
      </c>
      <c r="G1021" s="1056">
        <v>0</v>
      </c>
      <c r="H1021" s="1056">
        <v>73</v>
      </c>
      <c r="I1021" s="1056">
        <v>-536</v>
      </c>
      <c r="K1021" s="1037">
        <f t="shared" si="15"/>
        <v>8</v>
      </c>
    </row>
    <row r="1022" spans="1:11" ht="12.75">
      <c r="A1022" s="1054">
        <v>25301505</v>
      </c>
      <c r="B1022" s="1055" t="s">
        <v>893</v>
      </c>
      <c r="C1022" s="1055" t="s">
        <v>410</v>
      </c>
      <c r="D1022" s="1055" t="s">
        <v>1249</v>
      </c>
      <c r="E1022" s="1055" t="s">
        <v>583</v>
      </c>
      <c r="F1022" s="1056">
        <v>-1340</v>
      </c>
      <c r="G1022" s="1056">
        <v>0</v>
      </c>
      <c r="H1022" s="1056">
        <v>100</v>
      </c>
      <c r="I1022" s="1056">
        <v>-1440</v>
      </c>
      <c r="K1022" s="1037">
        <f t="shared" si="15"/>
        <v>8</v>
      </c>
    </row>
    <row r="1023" spans="1:11" ht="12.75">
      <c r="A1023" s="1054">
        <v>25301505</v>
      </c>
      <c r="B1023" s="1055" t="s">
        <v>893</v>
      </c>
      <c r="C1023" s="1055" t="s">
        <v>410</v>
      </c>
      <c r="D1023" s="1055" t="s">
        <v>1376</v>
      </c>
      <c r="E1023" s="1055" t="s">
        <v>1377</v>
      </c>
      <c r="F1023" s="1056">
        <v>-630</v>
      </c>
      <c r="G1023" s="1056">
        <v>0</v>
      </c>
      <c r="H1023" s="1056">
        <v>0</v>
      </c>
      <c r="I1023" s="1056">
        <v>-630</v>
      </c>
      <c r="K1023" s="1037">
        <f t="shared" si="15"/>
        <v>8</v>
      </c>
    </row>
    <row r="1024" spans="1:11" ht="12.75">
      <c r="A1024" s="1054">
        <v>25301505</v>
      </c>
      <c r="B1024" s="1055" t="s">
        <v>893</v>
      </c>
      <c r="C1024" s="1055" t="s">
        <v>410</v>
      </c>
      <c r="D1024" s="1055" t="s">
        <v>1305</v>
      </c>
      <c r="E1024" s="1055" t="s">
        <v>990</v>
      </c>
      <c r="F1024" s="1056">
        <v>-364</v>
      </c>
      <c r="G1024" s="1056">
        <v>0</v>
      </c>
      <c r="H1024" s="1056">
        <v>0</v>
      </c>
      <c r="I1024" s="1056">
        <v>-364</v>
      </c>
      <c r="K1024" s="1037">
        <f t="shared" si="15"/>
        <v>8</v>
      </c>
    </row>
    <row r="1025" spans="1:11" ht="12.75">
      <c r="A1025" s="1054">
        <v>25301505</v>
      </c>
      <c r="B1025" s="1055" t="s">
        <v>893</v>
      </c>
      <c r="C1025" s="1055" t="s">
        <v>410</v>
      </c>
      <c r="D1025" s="1055" t="s">
        <v>1845</v>
      </c>
      <c r="E1025" s="1055" t="s">
        <v>1846</v>
      </c>
      <c r="F1025" s="1056">
        <v>-48</v>
      </c>
      <c r="G1025" s="1056">
        <v>0</v>
      </c>
      <c r="H1025" s="1056">
        <v>73</v>
      </c>
      <c r="I1025" s="1056">
        <v>-121</v>
      </c>
      <c r="K1025" s="1037">
        <f t="shared" si="15"/>
        <v>8</v>
      </c>
    </row>
    <row r="1026" spans="1:11" ht="12.75">
      <c r="A1026" s="1054">
        <v>25301505</v>
      </c>
      <c r="B1026" s="1055" t="s">
        <v>893</v>
      </c>
      <c r="C1026" s="1055" t="s">
        <v>410</v>
      </c>
      <c r="D1026" s="1055" t="s">
        <v>1306</v>
      </c>
      <c r="E1026" s="1055" t="s">
        <v>997</v>
      </c>
      <c r="F1026" s="1056">
        <v>-603</v>
      </c>
      <c r="G1026" s="1056">
        <v>0</v>
      </c>
      <c r="H1026" s="1056">
        <v>0</v>
      </c>
      <c r="I1026" s="1056">
        <v>-603</v>
      </c>
      <c r="K1026" s="1037">
        <f t="shared" si="15"/>
        <v>8</v>
      </c>
    </row>
    <row r="1027" spans="1:11" ht="12.75">
      <c r="A1027" s="1054">
        <v>25301505</v>
      </c>
      <c r="B1027" s="1055" t="s">
        <v>893</v>
      </c>
      <c r="C1027" s="1055" t="s">
        <v>410</v>
      </c>
      <c r="D1027" s="1055" t="s">
        <v>1897</v>
      </c>
      <c r="E1027" s="1055" t="s">
        <v>1898</v>
      </c>
      <c r="F1027" s="1056">
        <v>0</v>
      </c>
      <c r="G1027" s="1056">
        <v>0</v>
      </c>
      <c r="H1027" s="1056">
        <v>19</v>
      </c>
      <c r="I1027" s="1056">
        <v>-19</v>
      </c>
      <c r="K1027" s="1037">
        <f t="shared" si="15"/>
        <v>8</v>
      </c>
    </row>
    <row r="1028" spans="1:11" ht="12.75">
      <c r="A1028" s="1054">
        <v>25301505</v>
      </c>
      <c r="B1028" s="1055" t="s">
        <v>893</v>
      </c>
      <c r="C1028" s="1055" t="s">
        <v>410</v>
      </c>
      <c r="D1028" s="1055" t="s">
        <v>1250</v>
      </c>
      <c r="E1028" s="1055" t="s">
        <v>1251</v>
      </c>
      <c r="F1028" s="1056">
        <v>-415</v>
      </c>
      <c r="G1028" s="1056">
        <v>0</v>
      </c>
      <c r="H1028" s="1056">
        <v>73</v>
      </c>
      <c r="I1028" s="1056">
        <v>-488</v>
      </c>
      <c r="K1028" s="1037">
        <f t="shared" si="15"/>
        <v>8</v>
      </c>
    </row>
    <row r="1029" spans="1:11" ht="12.75">
      <c r="A1029" s="1054">
        <v>25301505</v>
      </c>
      <c r="B1029" s="1055" t="s">
        <v>893</v>
      </c>
      <c r="C1029" s="1055" t="s">
        <v>410</v>
      </c>
      <c r="D1029" s="1055" t="s">
        <v>1899</v>
      </c>
      <c r="E1029" s="1055" t="s">
        <v>1900</v>
      </c>
      <c r="F1029" s="1056">
        <v>0</v>
      </c>
      <c r="G1029" s="1056">
        <v>0</v>
      </c>
      <c r="H1029" s="1056">
        <v>73</v>
      </c>
      <c r="I1029" s="1056">
        <v>-73</v>
      </c>
      <c r="K1029" s="1037">
        <f t="shared" ref="K1029:K1092" si="16">+LEN(A1029)</f>
        <v>8</v>
      </c>
    </row>
    <row r="1030" spans="1:11" ht="12.75">
      <c r="A1030" s="1054">
        <v>25301505</v>
      </c>
      <c r="B1030" s="1055" t="s">
        <v>893</v>
      </c>
      <c r="C1030" s="1055" t="s">
        <v>410</v>
      </c>
      <c r="D1030" s="1055" t="s">
        <v>1901</v>
      </c>
      <c r="E1030" s="1055" t="s">
        <v>1902</v>
      </c>
      <c r="F1030" s="1056">
        <v>0</v>
      </c>
      <c r="G1030" s="1056">
        <v>0</v>
      </c>
      <c r="H1030" s="1056">
        <v>37</v>
      </c>
      <c r="I1030" s="1056">
        <v>-37</v>
      </c>
      <c r="K1030" s="1037">
        <f t="shared" si="16"/>
        <v>8</v>
      </c>
    </row>
    <row r="1031" spans="1:11" ht="12.75">
      <c r="A1031" s="1054">
        <v>25301505</v>
      </c>
      <c r="B1031" s="1055" t="s">
        <v>893</v>
      </c>
      <c r="C1031" s="1055" t="s">
        <v>410</v>
      </c>
      <c r="D1031" s="1055" t="s">
        <v>1686</v>
      </c>
      <c r="E1031" s="1055" t="s">
        <v>1687</v>
      </c>
      <c r="F1031" s="1056">
        <v>-208</v>
      </c>
      <c r="G1031" s="1056">
        <v>0</v>
      </c>
      <c r="H1031" s="1056">
        <v>0</v>
      </c>
      <c r="I1031" s="1056">
        <v>-208</v>
      </c>
      <c r="K1031" s="1037">
        <f t="shared" si="16"/>
        <v>8</v>
      </c>
    </row>
    <row r="1032" spans="1:11" ht="12.75">
      <c r="A1032" s="1054">
        <v>25301505</v>
      </c>
      <c r="B1032" s="1055" t="s">
        <v>893</v>
      </c>
      <c r="C1032" s="1055" t="s">
        <v>410</v>
      </c>
      <c r="D1032" s="1055" t="s">
        <v>1303</v>
      </c>
      <c r="E1032" s="1055" t="s">
        <v>806</v>
      </c>
      <c r="F1032" s="1056">
        <v>-292</v>
      </c>
      <c r="G1032" s="1056">
        <v>0</v>
      </c>
      <c r="H1032" s="1056">
        <v>0</v>
      </c>
      <c r="I1032" s="1056">
        <v>-292</v>
      </c>
      <c r="K1032" s="1037">
        <f t="shared" si="16"/>
        <v>8</v>
      </c>
    </row>
    <row r="1033" spans="1:11" ht="12.75">
      <c r="A1033" s="1054">
        <v>25301505</v>
      </c>
      <c r="B1033" s="1055" t="s">
        <v>893</v>
      </c>
      <c r="C1033" s="1055" t="s">
        <v>410</v>
      </c>
      <c r="D1033" s="1055" t="s">
        <v>1499</v>
      </c>
      <c r="E1033" s="1055" t="s">
        <v>1500</v>
      </c>
      <c r="F1033" s="1056">
        <v>-23</v>
      </c>
      <c r="G1033" s="1056">
        <v>0</v>
      </c>
      <c r="H1033" s="1056">
        <v>0</v>
      </c>
      <c r="I1033" s="1056">
        <v>-23</v>
      </c>
      <c r="K1033" s="1037">
        <f t="shared" si="16"/>
        <v>8</v>
      </c>
    </row>
    <row r="1034" spans="1:11" ht="12.75">
      <c r="A1034" s="1054">
        <v>25301505</v>
      </c>
      <c r="B1034" s="1055" t="s">
        <v>893</v>
      </c>
      <c r="C1034" s="1055" t="s">
        <v>410</v>
      </c>
      <c r="D1034" s="1055" t="s">
        <v>1523</v>
      </c>
      <c r="E1034" s="1055" t="s">
        <v>1524</v>
      </c>
      <c r="F1034" s="1056">
        <v>-137</v>
      </c>
      <c r="G1034" s="1056">
        <v>0</v>
      </c>
      <c r="H1034" s="1056">
        <v>0</v>
      </c>
      <c r="I1034" s="1056">
        <v>-137</v>
      </c>
      <c r="K1034" s="1037">
        <f t="shared" si="16"/>
        <v>8</v>
      </c>
    </row>
    <row r="1035" spans="1:11" ht="12.75">
      <c r="A1035" s="1054">
        <v>25301505</v>
      </c>
      <c r="B1035" s="1055" t="s">
        <v>893</v>
      </c>
      <c r="C1035" s="1055" t="s">
        <v>410</v>
      </c>
      <c r="D1035" s="1055" t="s">
        <v>1422</v>
      </c>
      <c r="E1035" s="1055" t="s">
        <v>1423</v>
      </c>
      <c r="F1035" s="1056">
        <v>-110</v>
      </c>
      <c r="G1035" s="1056">
        <v>0</v>
      </c>
      <c r="H1035" s="1056">
        <v>0</v>
      </c>
      <c r="I1035" s="1056">
        <v>-110</v>
      </c>
      <c r="K1035" s="1037">
        <f t="shared" si="16"/>
        <v>8</v>
      </c>
    </row>
    <row r="1036" spans="1:11" ht="12.75">
      <c r="A1036" s="1054">
        <v>25301505</v>
      </c>
      <c r="B1036" s="1055" t="s">
        <v>893</v>
      </c>
      <c r="C1036" s="1055" t="s">
        <v>410</v>
      </c>
      <c r="D1036" s="1055" t="s">
        <v>1480</v>
      </c>
      <c r="E1036" s="1055" t="s">
        <v>1481</v>
      </c>
      <c r="F1036" s="1056">
        <v>-237</v>
      </c>
      <c r="G1036" s="1056">
        <v>0</v>
      </c>
      <c r="H1036" s="1056">
        <v>0</v>
      </c>
      <c r="I1036" s="1056">
        <v>-237</v>
      </c>
      <c r="K1036" s="1037">
        <f t="shared" si="16"/>
        <v>8</v>
      </c>
    </row>
    <row r="1037" spans="1:11" ht="12.75">
      <c r="A1037" s="1054">
        <v>25301505</v>
      </c>
      <c r="B1037" s="1055" t="s">
        <v>893</v>
      </c>
      <c r="C1037" s="1055" t="s">
        <v>410</v>
      </c>
      <c r="D1037" s="1055" t="s">
        <v>1847</v>
      </c>
      <c r="E1037" s="1055" t="s">
        <v>1848</v>
      </c>
      <c r="F1037" s="1056">
        <v>-39</v>
      </c>
      <c r="G1037" s="1056">
        <v>0</v>
      </c>
      <c r="H1037" s="1056">
        <v>0</v>
      </c>
      <c r="I1037" s="1056">
        <v>-39</v>
      </c>
      <c r="K1037" s="1037">
        <f t="shared" si="16"/>
        <v>8</v>
      </c>
    </row>
    <row r="1038" spans="1:11" ht="12.75">
      <c r="A1038" s="1054">
        <v>25301505</v>
      </c>
      <c r="B1038" s="1055" t="s">
        <v>893</v>
      </c>
      <c r="C1038" s="1055" t="s">
        <v>410</v>
      </c>
      <c r="D1038" s="1055" t="s">
        <v>1761</v>
      </c>
      <c r="E1038" s="1055" t="s">
        <v>1762</v>
      </c>
      <c r="F1038" s="1056">
        <v>-97</v>
      </c>
      <c r="G1038" s="1056">
        <v>0</v>
      </c>
      <c r="H1038" s="1056">
        <v>0</v>
      </c>
      <c r="I1038" s="1056">
        <v>-97</v>
      </c>
      <c r="K1038" s="1037">
        <f t="shared" si="16"/>
        <v>8</v>
      </c>
    </row>
    <row r="1039" spans="1:11" ht="12.75">
      <c r="A1039" s="1054">
        <v>25301505</v>
      </c>
      <c r="B1039" s="1055" t="s">
        <v>893</v>
      </c>
      <c r="C1039" s="1055" t="s">
        <v>410</v>
      </c>
      <c r="D1039" s="1055" t="s">
        <v>1428</v>
      </c>
      <c r="E1039" s="1055" t="s">
        <v>1429</v>
      </c>
      <c r="F1039" s="1056">
        <v>-236</v>
      </c>
      <c r="G1039" s="1056">
        <v>0</v>
      </c>
      <c r="H1039" s="1056">
        <v>0</v>
      </c>
      <c r="I1039" s="1056">
        <v>-236</v>
      </c>
      <c r="K1039" s="1037">
        <f t="shared" si="16"/>
        <v>8</v>
      </c>
    </row>
    <row r="1040" spans="1:11" ht="12.75">
      <c r="A1040" s="1054">
        <v>25301505</v>
      </c>
      <c r="B1040" s="1055" t="s">
        <v>893</v>
      </c>
      <c r="C1040" s="1055" t="s">
        <v>410</v>
      </c>
      <c r="D1040" s="1055" t="s">
        <v>1849</v>
      </c>
      <c r="E1040" s="1055" t="s">
        <v>1850</v>
      </c>
      <c r="F1040" s="1056">
        <v>-44</v>
      </c>
      <c r="G1040" s="1056">
        <v>0</v>
      </c>
      <c r="H1040" s="1056">
        <v>73</v>
      </c>
      <c r="I1040" s="1056">
        <v>-117</v>
      </c>
      <c r="K1040" s="1037">
        <f t="shared" si="16"/>
        <v>8</v>
      </c>
    </row>
    <row r="1041" spans="1:11" ht="12.75">
      <c r="A1041" s="1054">
        <v>25301505</v>
      </c>
      <c r="B1041" s="1055" t="s">
        <v>893</v>
      </c>
      <c r="C1041" s="1055" t="s">
        <v>410</v>
      </c>
      <c r="D1041" s="1055" t="s">
        <v>1275</v>
      </c>
      <c r="E1041" s="1055" t="s">
        <v>991</v>
      </c>
      <c r="F1041" s="1056">
        <v>-661</v>
      </c>
      <c r="G1041" s="1056">
        <v>0</v>
      </c>
      <c r="H1041" s="1056">
        <v>347</v>
      </c>
      <c r="I1041" s="1056">
        <v>-1008</v>
      </c>
      <c r="K1041" s="1037">
        <f t="shared" si="16"/>
        <v>8</v>
      </c>
    </row>
    <row r="1042" spans="1:11" ht="12.75">
      <c r="A1042" s="1054">
        <v>25301505</v>
      </c>
      <c r="B1042" s="1055" t="s">
        <v>893</v>
      </c>
      <c r="C1042" s="1055" t="s">
        <v>410</v>
      </c>
      <c r="D1042" s="1055" t="s">
        <v>1380</v>
      </c>
      <c r="E1042" s="1055" t="s">
        <v>1381</v>
      </c>
      <c r="F1042" s="1056">
        <v>-230</v>
      </c>
      <c r="G1042" s="1056">
        <v>0</v>
      </c>
      <c r="H1042" s="1056">
        <v>0</v>
      </c>
      <c r="I1042" s="1056">
        <v>-230</v>
      </c>
      <c r="K1042" s="1037">
        <f t="shared" si="16"/>
        <v>8</v>
      </c>
    </row>
    <row r="1043" spans="1:11" ht="12.75">
      <c r="A1043" s="1054">
        <v>25301505</v>
      </c>
      <c r="B1043" s="1055" t="s">
        <v>893</v>
      </c>
      <c r="C1043" s="1055" t="s">
        <v>410</v>
      </c>
      <c r="D1043" s="1055" t="s">
        <v>1585</v>
      </c>
      <c r="E1043" s="1055" t="s">
        <v>1586</v>
      </c>
      <c r="F1043" s="1056">
        <v>-256</v>
      </c>
      <c r="G1043" s="1056">
        <v>0</v>
      </c>
      <c r="H1043" s="1056">
        <v>73</v>
      </c>
      <c r="I1043" s="1056">
        <v>-329</v>
      </c>
      <c r="K1043" s="1037">
        <f t="shared" si="16"/>
        <v>8</v>
      </c>
    </row>
    <row r="1044" spans="1:11" ht="12.75">
      <c r="A1044" s="1054">
        <v>25301505</v>
      </c>
      <c r="B1044" s="1055" t="s">
        <v>893</v>
      </c>
      <c r="C1044" s="1055" t="s">
        <v>410</v>
      </c>
      <c r="D1044" s="1055" t="s">
        <v>1382</v>
      </c>
      <c r="E1044" s="1055" t="s">
        <v>1763</v>
      </c>
      <c r="F1044" s="1056">
        <v>-981</v>
      </c>
      <c r="G1044" s="1056">
        <v>0</v>
      </c>
      <c r="H1044" s="1056">
        <v>100</v>
      </c>
      <c r="I1044" s="1056">
        <v>-1081</v>
      </c>
      <c r="K1044" s="1037">
        <f t="shared" si="16"/>
        <v>8</v>
      </c>
    </row>
    <row r="1045" spans="1:11" ht="12.75">
      <c r="A1045" s="1054">
        <v>25301505</v>
      </c>
      <c r="B1045" s="1055" t="s">
        <v>893</v>
      </c>
      <c r="C1045" s="1055" t="s">
        <v>410</v>
      </c>
      <c r="D1045" s="1055" t="s">
        <v>1440</v>
      </c>
      <c r="E1045" s="1055" t="s">
        <v>1441</v>
      </c>
      <c r="F1045" s="1056">
        <v>-363</v>
      </c>
      <c r="G1045" s="1056">
        <v>0</v>
      </c>
      <c r="H1045" s="1056">
        <v>0</v>
      </c>
      <c r="I1045" s="1056">
        <v>-363</v>
      </c>
      <c r="K1045" s="1037">
        <f t="shared" si="16"/>
        <v>8</v>
      </c>
    </row>
    <row r="1046" spans="1:11" ht="12.75">
      <c r="A1046" s="1054">
        <v>25301505</v>
      </c>
      <c r="B1046" s="1055" t="s">
        <v>893</v>
      </c>
      <c r="C1046" s="1055" t="s">
        <v>410</v>
      </c>
      <c r="D1046" s="1055" t="s">
        <v>1383</v>
      </c>
      <c r="E1046" s="1055" t="s">
        <v>1384</v>
      </c>
      <c r="F1046" s="1056">
        <v>-693</v>
      </c>
      <c r="G1046" s="1056">
        <v>0</v>
      </c>
      <c r="H1046" s="1056">
        <v>73</v>
      </c>
      <c r="I1046" s="1056">
        <v>-766</v>
      </c>
      <c r="K1046" s="1037">
        <f t="shared" si="16"/>
        <v>8</v>
      </c>
    </row>
    <row r="1047" spans="1:11" ht="12.75">
      <c r="A1047" s="1054">
        <v>25301505</v>
      </c>
      <c r="B1047" s="1055" t="s">
        <v>893</v>
      </c>
      <c r="C1047" s="1055" t="s">
        <v>410</v>
      </c>
      <c r="D1047" s="1055" t="s">
        <v>1430</v>
      </c>
      <c r="E1047" s="1055" t="s">
        <v>1431</v>
      </c>
      <c r="F1047" s="1056">
        <v>-137</v>
      </c>
      <c r="G1047" s="1056">
        <v>0</v>
      </c>
      <c r="H1047" s="1056">
        <v>0</v>
      </c>
      <c r="I1047" s="1056">
        <v>-137</v>
      </c>
      <c r="K1047" s="1037">
        <f t="shared" si="16"/>
        <v>8</v>
      </c>
    </row>
    <row r="1048" spans="1:11" ht="12.75">
      <c r="A1048" s="1054">
        <v>25301505</v>
      </c>
      <c r="B1048" s="1055" t="s">
        <v>893</v>
      </c>
      <c r="C1048" s="1055" t="s">
        <v>410</v>
      </c>
      <c r="D1048" s="1055" t="s">
        <v>1587</v>
      </c>
      <c r="E1048" s="1055" t="s">
        <v>1588</v>
      </c>
      <c r="F1048" s="1056">
        <v>-270</v>
      </c>
      <c r="G1048" s="1056">
        <v>0</v>
      </c>
      <c r="H1048" s="1056">
        <v>73</v>
      </c>
      <c r="I1048" s="1056">
        <v>-343</v>
      </c>
      <c r="K1048" s="1037">
        <f t="shared" si="16"/>
        <v>8</v>
      </c>
    </row>
    <row r="1049" spans="1:11" ht="12.75">
      <c r="A1049" s="1054">
        <v>25301510</v>
      </c>
      <c r="B1049" s="1055" t="s">
        <v>893</v>
      </c>
      <c r="C1049" s="1055" t="s">
        <v>894</v>
      </c>
      <c r="D1049" s="1055" t="s">
        <v>893</v>
      </c>
      <c r="E1049" s="1055" t="s">
        <v>893</v>
      </c>
      <c r="F1049" s="1056">
        <v>6078</v>
      </c>
      <c r="G1049" s="1056">
        <v>78</v>
      </c>
      <c r="H1049" s="1056">
        <v>0</v>
      </c>
      <c r="I1049" s="1056">
        <v>6156</v>
      </c>
      <c r="K1049" s="1037">
        <f t="shared" si="16"/>
        <v>8</v>
      </c>
    </row>
    <row r="1050" spans="1:11" ht="12.75">
      <c r="A1050" s="1054">
        <v>25301510</v>
      </c>
      <c r="B1050" s="1055" t="s">
        <v>893</v>
      </c>
      <c r="C1050" s="1055" t="s">
        <v>894</v>
      </c>
      <c r="D1050" s="1055" t="s">
        <v>1575</v>
      </c>
      <c r="E1050" s="1055" t="s">
        <v>1576</v>
      </c>
      <c r="F1050" s="1056">
        <v>222</v>
      </c>
      <c r="G1050" s="1056">
        <v>0</v>
      </c>
      <c r="H1050" s="1056">
        <v>0</v>
      </c>
      <c r="I1050" s="1056">
        <v>222</v>
      </c>
      <c r="K1050" s="1037">
        <f t="shared" si="16"/>
        <v>8</v>
      </c>
    </row>
    <row r="1051" spans="1:11" ht="12.75">
      <c r="A1051" s="1054">
        <v>25301510</v>
      </c>
      <c r="B1051" s="1055" t="s">
        <v>893</v>
      </c>
      <c r="C1051" s="1055" t="s">
        <v>894</v>
      </c>
      <c r="D1051" s="1055" t="s">
        <v>1298</v>
      </c>
      <c r="E1051" s="1055" t="s">
        <v>987</v>
      </c>
      <c r="F1051" s="1056">
        <v>714</v>
      </c>
      <c r="G1051" s="1056">
        <v>0</v>
      </c>
      <c r="H1051" s="1056">
        <v>0</v>
      </c>
      <c r="I1051" s="1056">
        <v>714</v>
      </c>
      <c r="K1051" s="1037">
        <f t="shared" si="16"/>
        <v>8</v>
      </c>
    </row>
    <row r="1052" spans="1:11" ht="12.75">
      <c r="A1052" s="1054">
        <v>25301510</v>
      </c>
      <c r="B1052" s="1055" t="s">
        <v>893</v>
      </c>
      <c r="C1052" s="1055" t="s">
        <v>894</v>
      </c>
      <c r="D1052" s="1055" t="s">
        <v>1493</v>
      </c>
      <c r="E1052" s="1055" t="s">
        <v>1494</v>
      </c>
      <c r="F1052" s="1056">
        <v>410</v>
      </c>
      <c r="G1052" s="1056">
        <v>0</v>
      </c>
      <c r="H1052" s="1056">
        <v>0</v>
      </c>
      <c r="I1052" s="1056">
        <v>410</v>
      </c>
      <c r="K1052" s="1037">
        <f t="shared" si="16"/>
        <v>8</v>
      </c>
    </row>
    <row r="1053" spans="1:11" ht="12.75">
      <c r="A1053" s="1054">
        <v>25301510</v>
      </c>
      <c r="B1053" s="1055" t="s">
        <v>893</v>
      </c>
      <c r="C1053" s="1055" t="s">
        <v>894</v>
      </c>
      <c r="D1053" s="1055" t="s">
        <v>1519</v>
      </c>
      <c r="E1053" s="1055" t="s">
        <v>1520</v>
      </c>
      <c r="F1053" s="1056">
        <v>39</v>
      </c>
      <c r="G1053" s="1056">
        <v>0</v>
      </c>
      <c r="H1053" s="1056">
        <v>0</v>
      </c>
      <c r="I1053" s="1056">
        <v>39</v>
      </c>
      <c r="K1053" s="1037">
        <f t="shared" si="16"/>
        <v>8</v>
      </c>
    </row>
    <row r="1054" spans="1:11" ht="12.75">
      <c r="A1054" s="1054">
        <v>25301510</v>
      </c>
      <c r="B1054" s="1055" t="s">
        <v>893</v>
      </c>
      <c r="C1054" s="1055" t="s">
        <v>894</v>
      </c>
      <c r="D1054" s="1055" t="s">
        <v>1368</v>
      </c>
      <c r="E1054" s="1055" t="s">
        <v>1369</v>
      </c>
      <c r="F1054" s="1056">
        <v>151</v>
      </c>
      <c r="G1054" s="1056">
        <v>0</v>
      </c>
      <c r="H1054" s="1056">
        <v>0</v>
      </c>
      <c r="I1054" s="1056">
        <v>151</v>
      </c>
      <c r="K1054" s="1037">
        <f t="shared" si="16"/>
        <v>8</v>
      </c>
    </row>
    <row r="1055" spans="1:11" ht="12.75">
      <c r="A1055" s="1054">
        <v>25301510</v>
      </c>
      <c r="B1055" s="1055" t="s">
        <v>893</v>
      </c>
      <c r="C1055" s="1055" t="s">
        <v>894</v>
      </c>
      <c r="D1055" s="1055" t="s">
        <v>1895</v>
      </c>
      <c r="E1055" s="1055" t="s">
        <v>1896</v>
      </c>
      <c r="F1055" s="1056">
        <v>0</v>
      </c>
      <c r="G1055" s="1056">
        <v>15</v>
      </c>
      <c r="H1055" s="1056">
        <v>0</v>
      </c>
      <c r="I1055" s="1056">
        <v>15</v>
      </c>
      <c r="K1055" s="1037">
        <f t="shared" si="16"/>
        <v>8</v>
      </c>
    </row>
    <row r="1056" spans="1:11" ht="12.75">
      <c r="A1056" s="1054">
        <v>25301510</v>
      </c>
      <c r="B1056" s="1055" t="s">
        <v>893</v>
      </c>
      <c r="C1056" s="1055" t="s">
        <v>894</v>
      </c>
      <c r="D1056" s="1055" t="s">
        <v>1495</v>
      </c>
      <c r="E1056" s="1055" t="s">
        <v>1496</v>
      </c>
      <c r="F1056" s="1056">
        <v>34</v>
      </c>
      <c r="G1056" s="1056">
        <v>0</v>
      </c>
      <c r="H1056" s="1056">
        <v>0</v>
      </c>
      <c r="I1056" s="1056">
        <v>34</v>
      </c>
      <c r="K1056" s="1037">
        <f t="shared" si="16"/>
        <v>8</v>
      </c>
    </row>
    <row r="1057" spans="1:11" ht="12.75">
      <c r="A1057" s="1054">
        <v>25301510</v>
      </c>
      <c r="B1057" s="1055" t="s">
        <v>893</v>
      </c>
      <c r="C1057" s="1055" t="s">
        <v>894</v>
      </c>
      <c r="D1057" s="1055" t="s">
        <v>1497</v>
      </c>
      <c r="E1057" s="1055" t="s">
        <v>1498</v>
      </c>
      <c r="F1057" s="1056">
        <v>292</v>
      </c>
      <c r="G1057" s="1056">
        <v>0</v>
      </c>
      <c r="H1057" s="1056">
        <v>0</v>
      </c>
      <c r="I1057" s="1056">
        <v>292</v>
      </c>
      <c r="K1057" s="1037">
        <f t="shared" si="16"/>
        <v>8</v>
      </c>
    </row>
    <row r="1058" spans="1:11" ht="12.75">
      <c r="A1058" s="1054">
        <v>25301510</v>
      </c>
      <c r="B1058" s="1055" t="s">
        <v>893</v>
      </c>
      <c r="C1058" s="1055" t="s">
        <v>894</v>
      </c>
      <c r="D1058" s="1055" t="s">
        <v>1843</v>
      </c>
      <c r="E1058" s="1055" t="s">
        <v>1844</v>
      </c>
      <c r="F1058" s="1056">
        <v>0</v>
      </c>
      <c r="G1058" s="1056">
        <v>64</v>
      </c>
      <c r="H1058" s="1056">
        <v>0</v>
      </c>
      <c r="I1058" s="1056">
        <v>64</v>
      </c>
      <c r="K1058" s="1037">
        <f t="shared" si="16"/>
        <v>8</v>
      </c>
    </row>
    <row r="1059" spans="1:11" ht="12.75">
      <c r="A1059" s="1054">
        <v>25301510</v>
      </c>
      <c r="B1059" s="1055" t="s">
        <v>893</v>
      </c>
      <c r="C1059" s="1055" t="s">
        <v>894</v>
      </c>
      <c r="D1059" s="1055" t="s">
        <v>1759</v>
      </c>
      <c r="E1059" s="1055" t="s">
        <v>1760</v>
      </c>
      <c r="F1059" s="1056">
        <v>64</v>
      </c>
      <c r="G1059" s="1056">
        <v>0</v>
      </c>
      <c r="H1059" s="1056">
        <v>0</v>
      </c>
      <c r="I1059" s="1056">
        <v>64</v>
      </c>
      <c r="K1059" s="1037">
        <f t="shared" si="16"/>
        <v>8</v>
      </c>
    </row>
    <row r="1060" spans="1:11" ht="12.75">
      <c r="A1060" s="1054">
        <v>25301510</v>
      </c>
      <c r="B1060" s="1055" t="s">
        <v>893</v>
      </c>
      <c r="C1060" s="1055" t="s">
        <v>894</v>
      </c>
      <c r="D1060" s="1055" t="s">
        <v>1581</v>
      </c>
      <c r="E1060" s="1055" t="s">
        <v>1582</v>
      </c>
      <c r="F1060" s="1056">
        <v>223</v>
      </c>
      <c r="G1060" s="1056">
        <v>0</v>
      </c>
      <c r="H1060" s="1056">
        <v>0</v>
      </c>
      <c r="I1060" s="1056">
        <v>223</v>
      </c>
      <c r="K1060" s="1037">
        <f t="shared" si="16"/>
        <v>8</v>
      </c>
    </row>
    <row r="1061" spans="1:11" ht="12.75">
      <c r="A1061" s="1054">
        <v>25301510</v>
      </c>
      <c r="B1061" s="1055" t="s">
        <v>893</v>
      </c>
      <c r="C1061" s="1055" t="s">
        <v>894</v>
      </c>
      <c r="D1061" s="1055" t="s">
        <v>1521</v>
      </c>
      <c r="E1061" s="1055" t="s">
        <v>1522</v>
      </c>
      <c r="F1061" s="1056">
        <v>12</v>
      </c>
      <c r="G1061" s="1056">
        <v>0</v>
      </c>
      <c r="H1061" s="1056">
        <v>0</v>
      </c>
      <c r="I1061" s="1056">
        <v>12</v>
      </c>
      <c r="K1061" s="1037">
        <f t="shared" si="16"/>
        <v>8</v>
      </c>
    </row>
    <row r="1062" spans="1:11" ht="12.75">
      <c r="A1062" s="1054">
        <v>25301510</v>
      </c>
      <c r="B1062" s="1055" t="s">
        <v>893</v>
      </c>
      <c r="C1062" s="1055" t="s">
        <v>894</v>
      </c>
      <c r="D1062" s="1055" t="s">
        <v>1583</v>
      </c>
      <c r="E1062" s="1055" t="s">
        <v>1584</v>
      </c>
      <c r="F1062" s="1056">
        <v>56</v>
      </c>
      <c r="G1062" s="1056">
        <v>0</v>
      </c>
      <c r="H1062" s="1056">
        <v>0</v>
      </c>
      <c r="I1062" s="1056">
        <v>56</v>
      </c>
      <c r="K1062" s="1037">
        <f t="shared" si="16"/>
        <v>8</v>
      </c>
    </row>
    <row r="1063" spans="1:11" ht="12.75">
      <c r="A1063" s="1054">
        <v>25301510</v>
      </c>
      <c r="B1063" s="1055" t="s">
        <v>893</v>
      </c>
      <c r="C1063" s="1055" t="s">
        <v>894</v>
      </c>
      <c r="D1063" s="1055" t="s">
        <v>1372</v>
      </c>
      <c r="E1063" s="1055" t="s">
        <v>1373</v>
      </c>
      <c r="F1063" s="1056">
        <v>133</v>
      </c>
      <c r="G1063" s="1056">
        <v>0</v>
      </c>
      <c r="H1063" s="1056">
        <v>0</v>
      </c>
      <c r="I1063" s="1056">
        <v>133</v>
      </c>
      <c r="K1063" s="1037">
        <f t="shared" si="16"/>
        <v>8</v>
      </c>
    </row>
    <row r="1064" spans="1:11" ht="12.75">
      <c r="A1064" s="1054">
        <v>25301510</v>
      </c>
      <c r="B1064" s="1055" t="s">
        <v>893</v>
      </c>
      <c r="C1064" s="1055" t="s">
        <v>894</v>
      </c>
      <c r="D1064" s="1055" t="s">
        <v>1376</v>
      </c>
      <c r="E1064" s="1055" t="s">
        <v>1377</v>
      </c>
      <c r="F1064" s="1056">
        <v>269</v>
      </c>
      <c r="G1064" s="1056">
        <v>0</v>
      </c>
      <c r="H1064" s="1056">
        <v>0</v>
      </c>
      <c r="I1064" s="1056">
        <v>269</v>
      </c>
      <c r="K1064" s="1037">
        <f t="shared" si="16"/>
        <v>8</v>
      </c>
    </row>
    <row r="1065" spans="1:11" ht="12.75">
      <c r="A1065" s="1054">
        <v>25301510</v>
      </c>
      <c r="B1065" s="1055" t="s">
        <v>893</v>
      </c>
      <c r="C1065" s="1055" t="s">
        <v>894</v>
      </c>
      <c r="D1065" s="1055" t="s">
        <v>1305</v>
      </c>
      <c r="E1065" s="1055" t="s">
        <v>990</v>
      </c>
      <c r="F1065" s="1056">
        <v>360</v>
      </c>
      <c r="G1065" s="1056">
        <v>0</v>
      </c>
      <c r="H1065" s="1056">
        <v>0</v>
      </c>
      <c r="I1065" s="1056">
        <v>360</v>
      </c>
      <c r="K1065" s="1037">
        <f t="shared" si="16"/>
        <v>8</v>
      </c>
    </row>
    <row r="1066" spans="1:11" ht="12.75">
      <c r="A1066" s="1054">
        <v>25301510</v>
      </c>
      <c r="B1066" s="1055" t="s">
        <v>893</v>
      </c>
      <c r="C1066" s="1055" t="s">
        <v>894</v>
      </c>
      <c r="D1066" s="1055" t="s">
        <v>1306</v>
      </c>
      <c r="E1066" s="1055" t="s">
        <v>997</v>
      </c>
      <c r="F1066" s="1056">
        <v>603</v>
      </c>
      <c r="G1066" s="1056">
        <v>0</v>
      </c>
      <c r="H1066" s="1056">
        <v>0</v>
      </c>
      <c r="I1066" s="1056">
        <v>603</v>
      </c>
      <c r="K1066" s="1037">
        <f t="shared" si="16"/>
        <v>8</v>
      </c>
    </row>
    <row r="1067" spans="1:11" ht="12.75">
      <c r="A1067" s="1054">
        <v>25301510</v>
      </c>
      <c r="B1067" s="1055" t="s">
        <v>893</v>
      </c>
      <c r="C1067" s="1055" t="s">
        <v>894</v>
      </c>
      <c r="D1067" s="1055" t="s">
        <v>1686</v>
      </c>
      <c r="E1067" s="1055" t="s">
        <v>1687</v>
      </c>
      <c r="F1067" s="1056">
        <v>425</v>
      </c>
      <c r="G1067" s="1056">
        <v>0</v>
      </c>
      <c r="H1067" s="1056">
        <v>0</v>
      </c>
      <c r="I1067" s="1056">
        <v>425</v>
      </c>
      <c r="K1067" s="1037">
        <f t="shared" si="16"/>
        <v>8</v>
      </c>
    </row>
    <row r="1068" spans="1:11" ht="12.75">
      <c r="A1068" s="1054">
        <v>25301510</v>
      </c>
      <c r="B1068" s="1055" t="s">
        <v>893</v>
      </c>
      <c r="C1068" s="1055" t="s">
        <v>894</v>
      </c>
      <c r="D1068" s="1055" t="s">
        <v>1499</v>
      </c>
      <c r="E1068" s="1055" t="s">
        <v>1500</v>
      </c>
      <c r="F1068" s="1056">
        <v>23</v>
      </c>
      <c r="G1068" s="1056">
        <v>0</v>
      </c>
      <c r="H1068" s="1056">
        <v>0</v>
      </c>
      <c r="I1068" s="1056">
        <v>23</v>
      </c>
      <c r="K1068" s="1037">
        <f t="shared" si="16"/>
        <v>8</v>
      </c>
    </row>
    <row r="1069" spans="1:11" ht="12.75">
      <c r="A1069" s="1054">
        <v>25301510</v>
      </c>
      <c r="B1069" s="1055" t="s">
        <v>893</v>
      </c>
      <c r="C1069" s="1055" t="s">
        <v>894</v>
      </c>
      <c r="D1069" s="1055" t="s">
        <v>1523</v>
      </c>
      <c r="E1069" s="1055" t="s">
        <v>1524</v>
      </c>
      <c r="F1069" s="1056">
        <v>137</v>
      </c>
      <c r="G1069" s="1056">
        <v>0</v>
      </c>
      <c r="H1069" s="1056">
        <v>0</v>
      </c>
      <c r="I1069" s="1056">
        <v>137</v>
      </c>
      <c r="K1069" s="1037">
        <f t="shared" si="16"/>
        <v>8</v>
      </c>
    </row>
    <row r="1070" spans="1:11" ht="12.75">
      <c r="A1070" s="1054">
        <v>25301510</v>
      </c>
      <c r="B1070" s="1055" t="s">
        <v>893</v>
      </c>
      <c r="C1070" s="1055" t="s">
        <v>894</v>
      </c>
      <c r="D1070" s="1055" t="s">
        <v>1422</v>
      </c>
      <c r="E1070" s="1055" t="s">
        <v>1423</v>
      </c>
      <c r="F1070" s="1056">
        <v>110</v>
      </c>
      <c r="G1070" s="1056">
        <v>0</v>
      </c>
      <c r="H1070" s="1056">
        <v>0</v>
      </c>
      <c r="I1070" s="1056">
        <v>110</v>
      </c>
      <c r="K1070" s="1037">
        <f t="shared" si="16"/>
        <v>8</v>
      </c>
    </row>
    <row r="1071" spans="1:11" ht="12.75">
      <c r="A1071" s="1054">
        <v>25301510</v>
      </c>
      <c r="B1071" s="1055" t="s">
        <v>893</v>
      </c>
      <c r="C1071" s="1055" t="s">
        <v>894</v>
      </c>
      <c r="D1071" s="1055" t="s">
        <v>1847</v>
      </c>
      <c r="E1071" s="1055" t="s">
        <v>1848</v>
      </c>
      <c r="F1071" s="1056">
        <v>39</v>
      </c>
      <c r="G1071" s="1056">
        <v>0</v>
      </c>
      <c r="H1071" s="1056">
        <v>0</v>
      </c>
      <c r="I1071" s="1056">
        <v>39</v>
      </c>
      <c r="K1071" s="1037">
        <f t="shared" si="16"/>
        <v>8</v>
      </c>
    </row>
    <row r="1072" spans="1:11" ht="12.75">
      <c r="A1072" s="1054">
        <v>25301510</v>
      </c>
      <c r="B1072" s="1055" t="s">
        <v>893</v>
      </c>
      <c r="C1072" s="1055" t="s">
        <v>894</v>
      </c>
      <c r="D1072" s="1055" t="s">
        <v>1761</v>
      </c>
      <c r="E1072" s="1055" t="s">
        <v>1762</v>
      </c>
      <c r="F1072" s="1056">
        <v>933</v>
      </c>
      <c r="G1072" s="1056">
        <v>0</v>
      </c>
      <c r="H1072" s="1056">
        <v>0</v>
      </c>
      <c r="I1072" s="1056">
        <v>933</v>
      </c>
      <c r="K1072" s="1037">
        <f t="shared" si="16"/>
        <v>8</v>
      </c>
    </row>
    <row r="1073" spans="1:11" ht="12.75">
      <c r="A1073" s="1054">
        <v>25301510</v>
      </c>
      <c r="B1073" s="1055" t="s">
        <v>893</v>
      </c>
      <c r="C1073" s="1055" t="s">
        <v>894</v>
      </c>
      <c r="D1073" s="1055" t="s">
        <v>1428</v>
      </c>
      <c r="E1073" s="1055" t="s">
        <v>1429</v>
      </c>
      <c r="F1073" s="1056">
        <v>236</v>
      </c>
      <c r="G1073" s="1056">
        <v>0</v>
      </c>
      <c r="H1073" s="1056">
        <v>0</v>
      </c>
      <c r="I1073" s="1056">
        <v>236</v>
      </c>
      <c r="K1073" s="1037">
        <f t="shared" si="16"/>
        <v>8</v>
      </c>
    </row>
    <row r="1074" spans="1:11" ht="12.75">
      <c r="A1074" s="1054">
        <v>25301510</v>
      </c>
      <c r="B1074" s="1055" t="s">
        <v>893</v>
      </c>
      <c r="C1074" s="1055" t="s">
        <v>894</v>
      </c>
      <c r="D1074" s="1055" t="s">
        <v>1380</v>
      </c>
      <c r="E1074" s="1055" t="s">
        <v>1381</v>
      </c>
      <c r="F1074" s="1056">
        <v>230</v>
      </c>
      <c r="G1074" s="1056">
        <v>0</v>
      </c>
      <c r="H1074" s="1056">
        <v>0</v>
      </c>
      <c r="I1074" s="1056">
        <v>230</v>
      </c>
      <c r="K1074" s="1037">
        <f t="shared" si="16"/>
        <v>8</v>
      </c>
    </row>
    <row r="1075" spans="1:11" ht="12.75">
      <c r="A1075" s="1054">
        <v>25301510</v>
      </c>
      <c r="B1075" s="1055" t="s">
        <v>893</v>
      </c>
      <c r="C1075" s="1055" t="s">
        <v>894</v>
      </c>
      <c r="D1075" s="1055" t="s">
        <v>1440</v>
      </c>
      <c r="E1075" s="1055" t="s">
        <v>1441</v>
      </c>
      <c r="F1075" s="1056">
        <v>363</v>
      </c>
      <c r="G1075" s="1056">
        <v>0</v>
      </c>
      <c r="H1075" s="1056">
        <v>0</v>
      </c>
      <c r="I1075" s="1056">
        <v>363</v>
      </c>
      <c r="K1075" s="1037">
        <f t="shared" si="16"/>
        <v>8</v>
      </c>
    </row>
    <row r="1076" spans="1:11" ht="12.75">
      <c r="A1076" s="1054">
        <v>253020</v>
      </c>
      <c r="B1076" s="1055" t="s">
        <v>893</v>
      </c>
      <c r="C1076" s="1055" t="s">
        <v>350</v>
      </c>
      <c r="D1076" s="1055" t="s">
        <v>893</v>
      </c>
      <c r="E1076" s="1055" t="s">
        <v>893</v>
      </c>
      <c r="F1076" s="1056">
        <v>-20104</v>
      </c>
      <c r="G1076" s="1056">
        <v>30249</v>
      </c>
      <c r="H1076" s="1056">
        <v>10146</v>
      </c>
      <c r="I1076" s="1056">
        <v>0</v>
      </c>
      <c r="K1076" s="1037">
        <f t="shared" si="16"/>
        <v>6</v>
      </c>
    </row>
    <row r="1077" spans="1:11" ht="12.75">
      <c r="A1077" s="1054">
        <v>25302005</v>
      </c>
      <c r="B1077" s="1055" t="s">
        <v>893</v>
      </c>
      <c r="C1077" s="1055" t="s">
        <v>411</v>
      </c>
      <c r="D1077" s="1055" t="s">
        <v>893</v>
      </c>
      <c r="E1077" s="1055" t="s">
        <v>893</v>
      </c>
      <c r="F1077" s="1056">
        <v>-29013</v>
      </c>
      <c r="G1077" s="1056">
        <v>974</v>
      </c>
      <c r="H1077" s="1056">
        <v>10146</v>
      </c>
      <c r="I1077" s="1056">
        <v>-38185</v>
      </c>
      <c r="K1077" s="1037">
        <f t="shared" si="16"/>
        <v>8</v>
      </c>
    </row>
    <row r="1078" spans="1:11" ht="12.75">
      <c r="A1078" s="1054">
        <v>25302005</v>
      </c>
      <c r="B1078" s="1055" t="s">
        <v>893</v>
      </c>
      <c r="C1078" s="1055" t="s">
        <v>411</v>
      </c>
      <c r="D1078" s="1055" t="s">
        <v>1575</v>
      </c>
      <c r="E1078" s="1055" t="s">
        <v>1576</v>
      </c>
      <c r="F1078" s="1056">
        <v>-510</v>
      </c>
      <c r="G1078" s="1056">
        <v>0</v>
      </c>
      <c r="H1078" s="1056">
        <v>0</v>
      </c>
      <c r="I1078" s="1056">
        <v>-510</v>
      </c>
      <c r="K1078" s="1037">
        <f t="shared" si="16"/>
        <v>8</v>
      </c>
    </row>
    <row r="1079" spans="1:11" ht="12.75">
      <c r="A1079" s="1054">
        <v>25302005</v>
      </c>
      <c r="B1079" s="1055" t="s">
        <v>893</v>
      </c>
      <c r="C1079" s="1055" t="s">
        <v>411</v>
      </c>
      <c r="D1079" s="1055" t="s">
        <v>1891</v>
      </c>
      <c r="E1079" s="1055" t="s">
        <v>1892</v>
      </c>
      <c r="F1079" s="1056">
        <v>0</v>
      </c>
      <c r="G1079" s="1056">
        <v>0</v>
      </c>
      <c r="H1079" s="1056">
        <v>167</v>
      </c>
      <c r="I1079" s="1056">
        <v>-167</v>
      </c>
      <c r="K1079" s="1037">
        <f t="shared" si="16"/>
        <v>8</v>
      </c>
    </row>
    <row r="1080" spans="1:11" ht="12.75">
      <c r="A1080" s="1054">
        <v>25302005</v>
      </c>
      <c r="B1080" s="1055" t="s">
        <v>893</v>
      </c>
      <c r="C1080" s="1055" t="s">
        <v>411</v>
      </c>
      <c r="D1080" s="1055" t="s">
        <v>1577</v>
      </c>
      <c r="E1080" s="1055" t="s">
        <v>1578</v>
      </c>
      <c r="F1080" s="1056">
        <v>-724</v>
      </c>
      <c r="G1080" s="1056">
        <v>0</v>
      </c>
      <c r="H1080" s="1056">
        <v>393</v>
      </c>
      <c r="I1080" s="1056">
        <v>-1118</v>
      </c>
      <c r="K1080" s="1037">
        <f t="shared" si="16"/>
        <v>8</v>
      </c>
    </row>
    <row r="1081" spans="1:11" ht="12.75">
      <c r="A1081" s="1054">
        <v>25302005</v>
      </c>
      <c r="B1081" s="1055" t="s">
        <v>893</v>
      </c>
      <c r="C1081" s="1055" t="s">
        <v>411</v>
      </c>
      <c r="D1081" s="1055" t="s">
        <v>1360</v>
      </c>
      <c r="E1081" s="1055" t="s">
        <v>1361</v>
      </c>
      <c r="F1081" s="1056">
        <v>-1200</v>
      </c>
      <c r="G1081" s="1056">
        <v>0</v>
      </c>
      <c r="H1081" s="1056">
        <v>240</v>
      </c>
      <c r="I1081" s="1056">
        <v>-1440</v>
      </c>
      <c r="K1081" s="1037">
        <f t="shared" si="16"/>
        <v>8</v>
      </c>
    </row>
    <row r="1082" spans="1:11" ht="12.75">
      <c r="A1082" s="1054">
        <v>25302005</v>
      </c>
      <c r="B1082" s="1055" t="s">
        <v>893</v>
      </c>
      <c r="C1082" s="1055" t="s">
        <v>411</v>
      </c>
      <c r="D1082" s="1055" t="s">
        <v>1893</v>
      </c>
      <c r="E1082" s="1055" t="s">
        <v>1894</v>
      </c>
      <c r="F1082" s="1056">
        <v>0</v>
      </c>
      <c r="G1082" s="1056">
        <v>0</v>
      </c>
      <c r="H1082" s="1056">
        <v>167</v>
      </c>
      <c r="I1082" s="1056">
        <v>-167</v>
      </c>
      <c r="K1082" s="1037">
        <f t="shared" si="16"/>
        <v>8</v>
      </c>
    </row>
    <row r="1083" spans="1:11" ht="12.75">
      <c r="A1083" s="1054">
        <v>25302005</v>
      </c>
      <c r="B1083" s="1055" t="s">
        <v>893</v>
      </c>
      <c r="C1083" s="1055" t="s">
        <v>411</v>
      </c>
      <c r="D1083" s="1055" t="s">
        <v>1298</v>
      </c>
      <c r="E1083" s="1055" t="s">
        <v>987</v>
      </c>
      <c r="F1083" s="1056">
        <v>-796</v>
      </c>
      <c r="G1083" s="1056">
        <v>0</v>
      </c>
      <c r="H1083" s="1056">
        <v>0</v>
      </c>
      <c r="I1083" s="1056">
        <v>-796</v>
      </c>
      <c r="K1083" s="1037">
        <f t="shared" si="16"/>
        <v>8</v>
      </c>
    </row>
    <row r="1084" spans="1:11" ht="12.75">
      <c r="A1084" s="1054">
        <v>25302005</v>
      </c>
      <c r="B1084" s="1055" t="s">
        <v>893</v>
      </c>
      <c r="C1084" s="1055" t="s">
        <v>411</v>
      </c>
      <c r="D1084" s="1055" t="s">
        <v>1484</v>
      </c>
      <c r="E1084" s="1055" t="s">
        <v>1485</v>
      </c>
      <c r="F1084" s="1056">
        <v>-901</v>
      </c>
      <c r="G1084" s="1056">
        <v>0</v>
      </c>
      <c r="H1084" s="1056">
        <v>180</v>
      </c>
      <c r="I1084" s="1056">
        <v>-1081</v>
      </c>
      <c r="K1084" s="1037">
        <f t="shared" si="16"/>
        <v>8</v>
      </c>
    </row>
    <row r="1085" spans="1:11" ht="12.75">
      <c r="A1085" s="1054">
        <v>25302005</v>
      </c>
      <c r="B1085" s="1055" t="s">
        <v>893</v>
      </c>
      <c r="C1085" s="1055" t="s">
        <v>411</v>
      </c>
      <c r="D1085" s="1055" t="s">
        <v>1579</v>
      </c>
      <c r="E1085" s="1055" t="s">
        <v>1580</v>
      </c>
      <c r="F1085" s="1056">
        <v>-776</v>
      </c>
      <c r="G1085" s="1056">
        <v>0</v>
      </c>
      <c r="H1085" s="1056">
        <v>403</v>
      </c>
      <c r="I1085" s="1056">
        <v>-1179</v>
      </c>
      <c r="K1085" s="1037">
        <f t="shared" si="16"/>
        <v>8</v>
      </c>
    </row>
    <row r="1086" spans="1:11" ht="12.75">
      <c r="A1086" s="1054">
        <v>25302005</v>
      </c>
      <c r="B1086" s="1055" t="s">
        <v>893</v>
      </c>
      <c r="C1086" s="1055" t="s">
        <v>411</v>
      </c>
      <c r="D1086" s="1055" t="s">
        <v>1270</v>
      </c>
      <c r="E1086" s="1055" t="s">
        <v>988</v>
      </c>
      <c r="F1086" s="1056">
        <v>-1085</v>
      </c>
      <c r="G1086" s="1056">
        <v>0</v>
      </c>
      <c r="H1086" s="1056">
        <v>235</v>
      </c>
      <c r="I1086" s="1056">
        <v>-1320</v>
      </c>
      <c r="K1086" s="1037">
        <f t="shared" si="16"/>
        <v>8</v>
      </c>
    </row>
    <row r="1087" spans="1:11" ht="12.75">
      <c r="A1087" s="1054">
        <v>25302005</v>
      </c>
      <c r="B1087" s="1055" t="s">
        <v>893</v>
      </c>
      <c r="C1087" s="1055" t="s">
        <v>411</v>
      </c>
      <c r="D1087" s="1055" t="s">
        <v>1271</v>
      </c>
      <c r="E1087" s="1055" t="s">
        <v>782</v>
      </c>
      <c r="F1087" s="1056">
        <v>-233</v>
      </c>
      <c r="G1087" s="1056">
        <v>233</v>
      </c>
      <c r="H1087" s="1056">
        <v>0</v>
      </c>
      <c r="I1087" s="1056">
        <v>0</v>
      </c>
      <c r="K1087" s="1037">
        <f t="shared" si="16"/>
        <v>8</v>
      </c>
    </row>
    <row r="1088" spans="1:11" ht="12.75">
      <c r="A1088" s="1054">
        <v>25302005</v>
      </c>
      <c r="B1088" s="1055" t="s">
        <v>893</v>
      </c>
      <c r="C1088" s="1055" t="s">
        <v>411</v>
      </c>
      <c r="D1088" s="1055" t="s">
        <v>1272</v>
      </c>
      <c r="E1088" s="1055" t="s">
        <v>1273</v>
      </c>
      <c r="F1088" s="1056">
        <v>0</v>
      </c>
      <c r="G1088" s="1056">
        <v>0</v>
      </c>
      <c r="H1088" s="1056">
        <v>1370</v>
      </c>
      <c r="I1088" s="1056">
        <v>-1370</v>
      </c>
      <c r="K1088" s="1037">
        <f t="shared" si="16"/>
        <v>8</v>
      </c>
    </row>
    <row r="1089" spans="1:11" ht="12.75">
      <c r="A1089" s="1054">
        <v>25302005</v>
      </c>
      <c r="B1089" s="1055" t="s">
        <v>893</v>
      </c>
      <c r="C1089" s="1055" t="s">
        <v>411</v>
      </c>
      <c r="D1089" s="1055" t="s">
        <v>1420</v>
      </c>
      <c r="E1089" s="1055" t="s">
        <v>1421</v>
      </c>
      <c r="F1089" s="1056">
        <v>-849</v>
      </c>
      <c r="G1089" s="1056">
        <v>0</v>
      </c>
      <c r="H1089" s="1056">
        <v>170</v>
      </c>
      <c r="I1089" s="1056">
        <v>-1019</v>
      </c>
      <c r="K1089" s="1037">
        <f t="shared" si="16"/>
        <v>8</v>
      </c>
    </row>
    <row r="1090" spans="1:11" ht="12.75">
      <c r="A1090" s="1054">
        <v>25302005</v>
      </c>
      <c r="B1090" s="1055" t="s">
        <v>893</v>
      </c>
      <c r="C1090" s="1055" t="s">
        <v>411</v>
      </c>
      <c r="D1090" s="1055" t="s">
        <v>1493</v>
      </c>
      <c r="E1090" s="1055" t="s">
        <v>1494</v>
      </c>
      <c r="F1090" s="1056">
        <v>-908</v>
      </c>
      <c r="G1090" s="1056">
        <v>0</v>
      </c>
      <c r="H1090" s="1056">
        <v>0</v>
      </c>
      <c r="I1090" s="1056">
        <v>-908</v>
      </c>
      <c r="K1090" s="1037">
        <f t="shared" si="16"/>
        <v>8</v>
      </c>
    </row>
    <row r="1091" spans="1:11" ht="12.75">
      <c r="A1091" s="1054">
        <v>25302005</v>
      </c>
      <c r="B1091" s="1055" t="s">
        <v>893</v>
      </c>
      <c r="C1091" s="1055" t="s">
        <v>411</v>
      </c>
      <c r="D1091" s="1055" t="s">
        <v>1841</v>
      </c>
      <c r="E1091" s="1055" t="s">
        <v>1842</v>
      </c>
      <c r="F1091" s="1056">
        <v>-241</v>
      </c>
      <c r="G1091" s="1056">
        <v>0</v>
      </c>
      <c r="H1091" s="1056">
        <v>908</v>
      </c>
      <c r="I1091" s="1056">
        <v>-1149</v>
      </c>
      <c r="K1091" s="1037">
        <f t="shared" si="16"/>
        <v>8</v>
      </c>
    </row>
    <row r="1092" spans="1:11" ht="12.75">
      <c r="A1092" s="1054">
        <v>25302005</v>
      </c>
      <c r="B1092" s="1055" t="s">
        <v>893</v>
      </c>
      <c r="C1092" s="1055" t="s">
        <v>411</v>
      </c>
      <c r="D1092" s="1055" t="s">
        <v>1519</v>
      </c>
      <c r="E1092" s="1055" t="s">
        <v>1520</v>
      </c>
      <c r="F1092" s="1056">
        <v>-89</v>
      </c>
      <c r="G1092" s="1056">
        <v>0</v>
      </c>
      <c r="H1092" s="1056">
        <v>0</v>
      </c>
      <c r="I1092" s="1056">
        <v>-89</v>
      </c>
      <c r="K1092" s="1037">
        <f t="shared" si="16"/>
        <v>8</v>
      </c>
    </row>
    <row r="1093" spans="1:11" ht="12.75">
      <c r="A1093" s="1054">
        <v>25302005</v>
      </c>
      <c r="B1093" s="1055" t="s">
        <v>893</v>
      </c>
      <c r="C1093" s="1055" t="s">
        <v>411</v>
      </c>
      <c r="D1093" s="1055" t="s">
        <v>1368</v>
      </c>
      <c r="E1093" s="1055" t="s">
        <v>1369</v>
      </c>
      <c r="F1093" s="1056">
        <v>-44</v>
      </c>
      <c r="G1093" s="1056">
        <v>0</v>
      </c>
      <c r="H1093" s="1056">
        <v>0</v>
      </c>
      <c r="I1093" s="1056">
        <v>-44</v>
      </c>
      <c r="K1093" s="1037">
        <f t="shared" ref="K1093:K1156" si="17">+LEN(A1093)</f>
        <v>8</v>
      </c>
    </row>
    <row r="1094" spans="1:11" ht="12.75">
      <c r="A1094" s="1054">
        <v>25302005</v>
      </c>
      <c r="B1094" s="1055" t="s">
        <v>893</v>
      </c>
      <c r="C1094" s="1055" t="s">
        <v>411</v>
      </c>
      <c r="D1094" s="1055" t="s">
        <v>1895</v>
      </c>
      <c r="E1094" s="1055" t="s">
        <v>1896</v>
      </c>
      <c r="F1094" s="1056">
        <v>0</v>
      </c>
      <c r="G1094" s="1056">
        <v>0</v>
      </c>
      <c r="H1094" s="1056">
        <v>33</v>
      </c>
      <c r="I1094" s="1056">
        <v>-33</v>
      </c>
      <c r="K1094" s="1037">
        <f t="shared" si="17"/>
        <v>8</v>
      </c>
    </row>
    <row r="1095" spans="1:11" ht="12.75">
      <c r="A1095" s="1054">
        <v>25302005</v>
      </c>
      <c r="B1095" s="1055" t="s">
        <v>893</v>
      </c>
      <c r="C1095" s="1055" t="s">
        <v>411</v>
      </c>
      <c r="D1095" s="1055" t="s">
        <v>1495</v>
      </c>
      <c r="E1095" s="1055" t="s">
        <v>1496</v>
      </c>
      <c r="F1095" s="1056">
        <v>-46</v>
      </c>
      <c r="G1095" s="1056">
        <v>0</v>
      </c>
      <c r="H1095" s="1056">
        <v>0</v>
      </c>
      <c r="I1095" s="1056">
        <v>-46</v>
      </c>
      <c r="K1095" s="1037">
        <f t="shared" si="17"/>
        <v>8</v>
      </c>
    </row>
    <row r="1096" spans="1:11" ht="12.75">
      <c r="A1096" s="1054">
        <v>25302005</v>
      </c>
      <c r="B1096" s="1055" t="s">
        <v>893</v>
      </c>
      <c r="C1096" s="1055" t="s">
        <v>411</v>
      </c>
      <c r="D1096" s="1055" t="s">
        <v>1320</v>
      </c>
      <c r="E1096" s="1055" t="s">
        <v>1321</v>
      </c>
      <c r="F1096" s="1056">
        <v>-887</v>
      </c>
      <c r="G1096" s="1056">
        <v>0</v>
      </c>
      <c r="H1096" s="1056">
        <v>177</v>
      </c>
      <c r="I1096" s="1056">
        <v>-1065</v>
      </c>
      <c r="K1096" s="1037">
        <f t="shared" si="17"/>
        <v>8</v>
      </c>
    </row>
    <row r="1097" spans="1:11" ht="12.75">
      <c r="A1097" s="1054">
        <v>25302005</v>
      </c>
      <c r="B1097" s="1055" t="s">
        <v>893</v>
      </c>
      <c r="C1097" s="1055" t="s">
        <v>411</v>
      </c>
      <c r="D1097" s="1055" t="s">
        <v>1274</v>
      </c>
      <c r="E1097" s="1055" t="s">
        <v>989</v>
      </c>
      <c r="F1097" s="1056">
        <v>-1116</v>
      </c>
      <c r="G1097" s="1056">
        <v>0</v>
      </c>
      <c r="H1097" s="1056">
        <v>223</v>
      </c>
      <c r="I1097" s="1056">
        <v>-1339</v>
      </c>
      <c r="K1097" s="1037">
        <f t="shared" si="17"/>
        <v>8</v>
      </c>
    </row>
    <row r="1098" spans="1:11" ht="12.75">
      <c r="A1098" s="1054">
        <v>25302005</v>
      </c>
      <c r="B1098" s="1055" t="s">
        <v>893</v>
      </c>
      <c r="C1098" s="1055" t="s">
        <v>411</v>
      </c>
      <c r="D1098" s="1055" t="s">
        <v>1497</v>
      </c>
      <c r="E1098" s="1055" t="s">
        <v>1498</v>
      </c>
      <c r="F1098" s="1056">
        <v>-622</v>
      </c>
      <c r="G1098" s="1056">
        <v>0</v>
      </c>
      <c r="H1098" s="1056">
        <v>0</v>
      </c>
      <c r="I1098" s="1056">
        <v>-622</v>
      </c>
      <c r="K1098" s="1037">
        <f t="shared" si="17"/>
        <v>8</v>
      </c>
    </row>
    <row r="1099" spans="1:11" ht="12.75">
      <c r="A1099" s="1054">
        <v>25302005</v>
      </c>
      <c r="B1099" s="1055" t="s">
        <v>893</v>
      </c>
      <c r="C1099" s="1055" t="s">
        <v>411</v>
      </c>
      <c r="D1099" s="1055" t="s">
        <v>1043</v>
      </c>
      <c r="E1099" s="1055" t="s">
        <v>318</v>
      </c>
      <c r="F1099" s="1056">
        <v>-1438</v>
      </c>
      <c r="G1099" s="1056">
        <v>0</v>
      </c>
      <c r="H1099" s="1056">
        <v>736</v>
      </c>
      <c r="I1099" s="1056">
        <v>-2174</v>
      </c>
      <c r="K1099" s="1037">
        <f t="shared" si="17"/>
        <v>8</v>
      </c>
    </row>
    <row r="1100" spans="1:11" ht="12.75">
      <c r="A1100" s="1054">
        <v>25302005</v>
      </c>
      <c r="B1100" s="1055" t="s">
        <v>893</v>
      </c>
      <c r="C1100" s="1055" t="s">
        <v>411</v>
      </c>
      <c r="D1100" s="1055" t="s">
        <v>1370</v>
      </c>
      <c r="E1100" s="1055" t="s">
        <v>1371</v>
      </c>
      <c r="F1100" s="1056">
        <v>-752</v>
      </c>
      <c r="G1100" s="1056">
        <v>0</v>
      </c>
      <c r="H1100" s="1056">
        <v>248</v>
      </c>
      <c r="I1100" s="1056">
        <v>-1000</v>
      </c>
      <c r="K1100" s="1037">
        <f t="shared" si="17"/>
        <v>8</v>
      </c>
    </row>
    <row r="1101" spans="1:11" ht="12.75">
      <c r="A1101" s="1054">
        <v>25302005</v>
      </c>
      <c r="B1101" s="1055" t="s">
        <v>893</v>
      </c>
      <c r="C1101" s="1055" t="s">
        <v>411</v>
      </c>
      <c r="D1101" s="1055" t="s">
        <v>1843</v>
      </c>
      <c r="E1101" s="1055" t="s">
        <v>1844</v>
      </c>
      <c r="F1101" s="1056">
        <v>-143</v>
      </c>
      <c r="G1101" s="1056">
        <v>0</v>
      </c>
      <c r="H1101" s="1056">
        <v>0</v>
      </c>
      <c r="I1101" s="1056">
        <v>-143</v>
      </c>
      <c r="K1101" s="1037">
        <f t="shared" si="17"/>
        <v>8</v>
      </c>
    </row>
    <row r="1102" spans="1:11" ht="12.75">
      <c r="A1102" s="1054">
        <v>25302005</v>
      </c>
      <c r="B1102" s="1055" t="s">
        <v>893</v>
      </c>
      <c r="C1102" s="1055" t="s">
        <v>411</v>
      </c>
      <c r="D1102" s="1055" t="s">
        <v>1759</v>
      </c>
      <c r="E1102" s="1055" t="s">
        <v>1760</v>
      </c>
      <c r="F1102" s="1056">
        <v>-149</v>
      </c>
      <c r="G1102" s="1056">
        <v>0</v>
      </c>
      <c r="H1102" s="1056">
        <v>0</v>
      </c>
      <c r="I1102" s="1056">
        <v>-149</v>
      </c>
      <c r="K1102" s="1037">
        <f t="shared" si="17"/>
        <v>8</v>
      </c>
    </row>
    <row r="1103" spans="1:11" ht="12.75">
      <c r="A1103" s="1054">
        <v>25302005</v>
      </c>
      <c r="B1103" s="1055" t="s">
        <v>893</v>
      </c>
      <c r="C1103" s="1055" t="s">
        <v>411</v>
      </c>
      <c r="D1103" s="1055" t="s">
        <v>1581</v>
      </c>
      <c r="E1103" s="1055" t="s">
        <v>1582</v>
      </c>
      <c r="F1103" s="1056">
        <v>-494</v>
      </c>
      <c r="G1103" s="1056">
        <v>0</v>
      </c>
      <c r="H1103" s="1056">
        <v>0</v>
      </c>
      <c r="I1103" s="1056">
        <v>-494</v>
      </c>
      <c r="K1103" s="1037">
        <f t="shared" si="17"/>
        <v>8</v>
      </c>
    </row>
    <row r="1104" spans="1:11" ht="12.75">
      <c r="A1104" s="1054">
        <v>25302005</v>
      </c>
      <c r="B1104" s="1055" t="s">
        <v>893</v>
      </c>
      <c r="C1104" s="1055" t="s">
        <v>411</v>
      </c>
      <c r="D1104" s="1055" t="s">
        <v>1521</v>
      </c>
      <c r="E1104" s="1055" t="s">
        <v>1522</v>
      </c>
      <c r="F1104" s="1056">
        <v>-961</v>
      </c>
      <c r="G1104" s="1056">
        <v>0</v>
      </c>
      <c r="H1104" s="1056">
        <v>213</v>
      </c>
      <c r="I1104" s="1056">
        <v>-1174</v>
      </c>
      <c r="K1104" s="1037">
        <f t="shared" si="17"/>
        <v>8</v>
      </c>
    </row>
    <row r="1105" spans="1:11" ht="12.75">
      <c r="A1105" s="1054">
        <v>25302005</v>
      </c>
      <c r="B1105" s="1055" t="s">
        <v>893</v>
      </c>
      <c r="C1105" s="1055" t="s">
        <v>411</v>
      </c>
      <c r="D1105" s="1055" t="s">
        <v>1426</v>
      </c>
      <c r="E1105" s="1055" t="s">
        <v>1427</v>
      </c>
      <c r="F1105" s="1056">
        <v>-906</v>
      </c>
      <c r="G1105" s="1056">
        <v>0</v>
      </c>
      <c r="H1105" s="1056">
        <v>181</v>
      </c>
      <c r="I1105" s="1056">
        <v>-1087</v>
      </c>
      <c r="K1105" s="1037">
        <f t="shared" si="17"/>
        <v>8</v>
      </c>
    </row>
    <row r="1106" spans="1:11" ht="12.75">
      <c r="A1106" s="1054">
        <v>25302005</v>
      </c>
      <c r="B1106" s="1055" t="s">
        <v>893</v>
      </c>
      <c r="C1106" s="1055" t="s">
        <v>411</v>
      </c>
      <c r="D1106" s="1055" t="s">
        <v>1583</v>
      </c>
      <c r="E1106" s="1055" t="s">
        <v>1584</v>
      </c>
      <c r="F1106" s="1056">
        <v>-128</v>
      </c>
      <c r="G1106" s="1056">
        <v>0</v>
      </c>
      <c r="H1106" s="1056">
        <v>0</v>
      </c>
      <c r="I1106" s="1056">
        <v>-128</v>
      </c>
      <c r="K1106" s="1037">
        <f t="shared" si="17"/>
        <v>8</v>
      </c>
    </row>
    <row r="1107" spans="1:11" ht="12.75">
      <c r="A1107" s="1054">
        <v>25302005</v>
      </c>
      <c r="B1107" s="1055" t="s">
        <v>893</v>
      </c>
      <c r="C1107" s="1055" t="s">
        <v>411</v>
      </c>
      <c r="D1107" s="1055" t="s">
        <v>1372</v>
      </c>
      <c r="E1107" s="1055" t="s">
        <v>1373</v>
      </c>
      <c r="F1107" s="1056">
        <v>4</v>
      </c>
      <c r="G1107" s="1056">
        <v>0</v>
      </c>
      <c r="H1107" s="1056">
        <v>4</v>
      </c>
      <c r="I1107" s="1056">
        <v>0</v>
      </c>
      <c r="K1107" s="1037">
        <f t="shared" si="17"/>
        <v>8</v>
      </c>
    </row>
    <row r="1108" spans="1:11" ht="12.75">
      <c r="A1108" s="1054">
        <v>25302005</v>
      </c>
      <c r="B1108" s="1055" t="s">
        <v>893</v>
      </c>
      <c r="C1108" s="1055" t="s">
        <v>411</v>
      </c>
      <c r="D1108" s="1055" t="s">
        <v>1374</v>
      </c>
      <c r="E1108" s="1055" t="s">
        <v>1375</v>
      </c>
      <c r="F1108" s="1056">
        <v>-879</v>
      </c>
      <c r="G1108" s="1056">
        <v>0</v>
      </c>
      <c r="H1108" s="1056">
        <v>176</v>
      </c>
      <c r="I1108" s="1056">
        <v>-1055</v>
      </c>
      <c r="K1108" s="1037">
        <f t="shared" si="17"/>
        <v>8</v>
      </c>
    </row>
    <row r="1109" spans="1:11" ht="12.75">
      <c r="A1109" s="1054">
        <v>25302005</v>
      </c>
      <c r="B1109" s="1055" t="s">
        <v>893</v>
      </c>
      <c r="C1109" s="1055" t="s">
        <v>411</v>
      </c>
      <c r="D1109" s="1055" t="s">
        <v>1249</v>
      </c>
      <c r="E1109" s="1055" t="s">
        <v>583</v>
      </c>
      <c r="F1109" s="1056">
        <v>-1544</v>
      </c>
      <c r="G1109" s="1056">
        <v>0</v>
      </c>
      <c r="H1109" s="1056">
        <v>309</v>
      </c>
      <c r="I1109" s="1056">
        <v>-1853</v>
      </c>
      <c r="K1109" s="1037">
        <f t="shared" si="17"/>
        <v>8</v>
      </c>
    </row>
    <row r="1110" spans="1:11" ht="12.75">
      <c r="A1110" s="1054">
        <v>25302005</v>
      </c>
      <c r="B1110" s="1055" t="s">
        <v>893</v>
      </c>
      <c r="C1110" s="1055" t="s">
        <v>411</v>
      </c>
      <c r="D1110" s="1055" t="s">
        <v>1376</v>
      </c>
      <c r="E1110" s="1055" t="s">
        <v>1377</v>
      </c>
      <c r="F1110" s="1056">
        <v>-1038</v>
      </c>
      <c r="G1110" s="1056">
        <v>0</v>
      </c>
      <c r="H1110" s="1056">
        <v>0</v>
      </c>
      <c r="I1110" s="1056">
        <v>-1038</v>
      </c>
      <c r="K1110" s="1037">
        <f t="shared" si="17"/>
        <v>8</v>
      </c>
    </row>
    <row r="1111" spans="1:11" ht="12.75">
      <c r="A1111" s="1054">
        <v>25302005</v>
      </c>
      <c r="B1111" s="1055" t="s">
        <v>893</v>
      </c>
      <c r="C1111" s="1055" t="s">
        <v>411</v>
      </c>
      <c r="D1111" s="1055" t="s">
        <v>1305</v>
      </c>
      <c r="E1111" s="1055" t="s">
        <v>990</v>
      </c>
      <c r="F1111" s="1056">
        <v>33</v>
      </c>
      <c r="G1111" s="1056">
        <v>0</v>
      </c>
      <c r="H1111" s="1056">
        <v>0</v>
      </c>
      <c r="I1111" s="1056">
        <v>33</v>
      </c>
      <c r="K1111" s="1037">
        <f t="shared" si="17"/>
        <v>8</v>
      </c>
    </row>
    <row r="1112" spans="1:11" ht="12.75">
      <c r="A1112" s="1054">
        <v>25302005</v>
      </c>
      <c r="B1112" s="1055" t="s">
        <v>893</v>
      </c>
      <c r="C1112" s="1055" t="s">
        <v>411</v>
      </c>
      <c r="D1112" s="1055" t="s">
        <v>1845</v>
      </c>
      <c r="E1112" s="1055" t="s">
        <v>1846</v>
      </c>
      <c r="F1112" s="1056">
        <v>-123</v>
      </c>
      <c r="G1112" s="1056">
        <v>0</v>
      </c>
      <c r="H1112" s="1056">
        <v>184</v>
      </c>
      <c r="I1112" s="1056">
        <v>-308</v>
      </c>
      <c r="K1112" s="1037">
        <f t="shared" si="17"/>
        <v>8</v>
      </c>
    </row>
    <row r="1113" spans="1:11" ht="12.75">
      <c r="A1113" s="1054">
        <v>25302005</v>
      </c>
      <c r="B1113" s="1055" t="s">
        <v>893</v>
      </c>
      <c r="C1113" s="1055" t="s">
        <v>411</v>
      </c>
      <c r="D1113" s="1055" t="s">
        <v>1306</v>
      </c>
      <c r="E1113" s="1055" t="s">
        <v>997</v>
      </c>
      <c r="F1113" s="1056">
        <v>-748</v>
      </c>
      <c r="G1113" s="1056">
        <v>0</v>
      </c>
      <c r="H1113" s="1056">
        <v>0</v>
      </c>
      <c r="I1113" s="1056">
        <v>-748</v>
      </c>
      <c r="K1113" s="1037">
        <f t="shared" si="17"/>
        <v>8</v>
      </c>
    </row>
    <row r="1114" spans="1:11" ht="12.75">
      <c r="A1114" s="1054">
        <v>25302005</v>
      </c>
      <c r="B1114" s="1055" t="s">
        <v>893</v>
      </c>
      <c r="C1114" s="1055" t="s">
        <v>411</v>
      </c>
      <c r="D1114" s="1055" t="s">
        <v>1897</v>
      </c>
      <c r="E1114" s="1055" t="s">
        <v>1898</v>
      </c>
      <c r="F1114" s="1056">
        <v>0</v>
      </c>
      <c r="G1114" s="1056">
        <v>0</v>
      </c>
      <c r="H1114" s="1056">
        <v>44</v>
      </c>
      <c r="I1114" s="1056">
        <v>-44</v>
      </c>
      <c r="K1114" s="1037">
        <f t="shared" si="17"/>
        <v>8</v>
      </c>
    </row>
    <row r="1115" spans="1:11" ht="12.75">
      <c r="A1115" s="1054">
        <v>25302005</v>
      </c>
      <c r="B1115" s="1055" t="s">
        <v>893</v>
      </c>
      <c r="C1115" s="1055" t="s">
        <v>411</v>
      </c>
      <c r="D1115" s="1055" t="s">
        <v>1250</v>
      </c>
      <c r="E1115" s="1055" t="s">
        <v>1251</v>
      </c>
      <c r="F1115" s="1056">
        <v>-911</v>
      </c>
      <c r="G1115" s="1056">
        <v>0</v>
      </c>
      <c r="H1115" s="1056">
        <v>182</v>
      </c>
      <c r="I1115" s="1056">
        <v>-1093</v>
      </c>
      <c r="K1115" s="1037">
        <f t="shared" si="17"/>
        <v>8</v>
      </c>
    </row>
    <row r="1116" spans="1:11" ht="12.75">
      <c r="A1116" s="1054">
        <v>25302005</v>
      </c>
      <c r="B1116" s="1055" t="s">
        <v>893</v>
      </c>
      <c r="C1116" s="1055" t="s">
        <v>411</v>
      </c>
      <c r="D1116" s="1055" t="s">
        <v>1899</v>
      </c>
      <c r="E1116" s="1055" t="s">
        <v>1900</v>
      </c>
      <c r="F1116" s="1056">
        <v>0</v>
      </c>
      <c r="G1116" s="1056">
        <v>0</v>
      </c>
      <c r="H1116" s="1056">
        <v>1135</v>
      </c>
      <c r="I1116" s="1056">
        <v>-1135</v>
      </c>
      <c r="K1116" s="1037">
        <f t="shared" si="17"/>
        <v>8</v>
      </c>
    </row>
    <row r="1117" spans="1:11" ht="12.75">
      <c r="A1117" s="1054">
        <v>25302005</v>
      </c>
      <c r="B1117" s="1055" t="s">
        <v>893</v>
      </c>
      <c r="C1117" s="1055" t="s">
        <v>411</v>
      </c>
      <c r="D1117" s="1055" t="s">
        <v>1901</v>
      </c>
      <c r="E1117" s="1055" t="s">
        <v>1902</v>
      </c>
      <c r="F1117" s="1056">
        <v>0</v>
      </c>
      <c r="G1117" s="1056">
        <v>0</v>
      </c>
      <c r="H1117" s="1056">
        <v>83</v>
      </c>
      <c r="I1117" s="1056">
        <v>-83</v>
      </c>
      <c r="K1117" s="1037">
        <f t="shared" si="17"/>
        <v>8</v>
      </c>
    </row>
    <row r="1118" spans="1:11" ht="12.75">
      <c r="A1118" s="1054">
        <v>25302005</v>
      </c>
      <c r="B1118" s="1055" t="s">
        <v>893</v>
      </c>
      <c r="C1118" s="1055" t="s">
        <v>411</v>
      </c>
      <c r="D1118" s="1055" t="s">
        <v>1686</v>
      </c>
      <c r="E1118" s="1055" t="s">
        <v>1687</v>
      </c>
      <c r="F1118" s="1056">
        <v>-547</v>
      </c>
      <c r="G1118" s="1056">
        <v>0</v>
      </c>
      <c r="H1118" s="1056">
        <v>387</v>
      </c>
      <c r="I1118" s="1056">
        <v>-934</v>
      </c>
      <c r="K1118" s="1037">
        <f t="shared" si="17"/>
        <v>8</v>
      </c>
    </row>
    <row r="1119" spans="1:11" ht="12.75">
      <c r="A1119" s="1054">
        <v>25302005</v>
      </c>
      <c r="B1119" s="1055" t="s">
        <v>893</v>
      </c>
      <c r="C1119" s="1055" t="s">
        <v>411</v>
      </c>
      <c r="D1119" s="1055" t="s">
        <v>1303</v>
      </c>
      <c r="E1119" s="1055" t="s">
        <v>806</v>
      </c>
      <c r="F1119" s="1056">
        <v>-331</v>
      </c>
      <c r="G1119" s="1056">
        <v>331</v>
      </c>
      <c r="H1119" s="1056">
        <v>0</v>
      </c>
      <c r="I1119" s="1056">
        <v>0</v>
      </c>
      <c r="K1119" s="1037">
        <f t="shared" si="17"/>
        <v>8</v>
      </c>
    </row>
    <row r="1120" spans="1:11" ht="12.75">
      <c r="A1120" s="1054">
        <v>25302005</v>
      </c>
      <c r="B1120" s="1055" t="s">
        <v>893</v>
      </c>
      <c r="C1120" s="1055" t="s">
        <v>411</v>
      </c>
      <c r="D1120" s="1055" t="s">
        <v>1499</v>
      </c>
      <c r="E1120" s="1055" t="s">
        <v>1500</v>
      </c>
      <c r="F1120" s="1056">
        <v>-3</v>
      </c>
      <c r="G1120" s="1056">
        <v>0</v>
      </c>
      <c r="H1120" s="1056">
        <v>0</v>
      </c>
      <c r="I1120" s="1056">
        <v>-3</v>
      </c>
      <c r="K1120" s="1037">
        <f t="shared" si="17"/>
        <v>8</v>
      </c>
    </row>
    <row r="1121" spans="1:11" ht="12.75">
      <c r="A1121" s="1054">
        <v>25302005</v>
      </c>
      <c r="B1121" s="1055" t="s">
        <v>893</v>
      </c>
      <c r="C1121" s="1055" t="s">
        <v>411</v>
      </c>
      <c r="D1121" s="1055" t="s">
        <v>1523</v>
      </c>
      <c r="E1121" s="1055" t="s">
        <v>1524</v>
      </c>
      <c r="F1121" s="1056">
        <v>-305</v>
      </c>
      <c r="G1121" s="1056">
        <v>0</v>
      </c>
      <c r="H1121" s="1056">
        <v>0</v>
      </c>
      <c r="I1121" s="1056">
        <v>-305</v>
      </c>
      <c r="K1121" s="1037">
        <f t="shared" si="17"/>
        <v>8</v>
      </c>
    </row>
    <row r="1122" spans="1:11" ht="12.75">
      <c r="A1122" s="1054">
        <v>25302005</v>
      </c>
      <c r="B1122" s="1055" t="s">
        <v>893</v>
      </c>
      <c r="C1122" s="1055" t="s">
        <v>411</v>
      </c>
      <c r="D1122" s="1055" t="s">
        <v>1422</v>
      </c>
      <c r="E1122" s="1055" t="s">
        <v>1423</v>
      </c>
      <c r="F1122" s="1056">
        <v>-23</v>
      </c>
      <c r="G1122" s="1056">
        <v>0</v>
      </c>
      <c r="H1122" s="1056">
        <v>0</v>
      </c>
      <c r="I1122" s="1056">
        <v>-23</v>
      </c>
      <c r="K1122" s="1037">
        <f t="shared" si="17"/>
        <v>8</v>
      </c>
    </row>
    <row r="1123" spans="1:11" ht="12.75">
      <c r="A1123" s="1054">
        <v>25302005</v>
      </c>
      <c r="B1123" s="1055" t="s">
        <v>893</v>
      </c>
      <c r="C1123" s="1055" t="s">
        <v>411</v>
      </c>
      <c r="D1123" s="1055" t="s">
        <v>1480</v>
      </c>
      <c r="E1123" s="1055" t="s">
        <v>1481</v>
      </c>
      <c r="F1123" s="1056">
        <v>-230</v>
      </c>
      <c r="G1123" s="1056">
        <v>230</v>
      </c>
      <c r="H1123" s="1056">
        <v>0</v>
      </c>
      <c r="I1123" s="1056">
        <v>0</v>
      </c>
      <c r="K1123" s="1037">
        <f t="shared" si="17"/>
        <v>8</v>
      </c>
    </row>
    <row r="1124" spans="1:11" ht="12.75">
      <c r="A1124" s="1054">
        <v>25302005</v>
      </c>
      <c r="B1124" s="1055" t="s">
        <v>893</v>
      </c>
      <c r="C1124" s="1055" t="s">
        <v>411</v>
      </c>
      <c r="D1124" s="1055" t="s">
        <v>1847</v>
      </c>
      <c r="E1124" s="1055" t="s">
        <v>1848</v>
      </c>
      <c r="F1124" s="1056">
        <v>-89</v>
      </c>
      <c r="G1124" s="1056">
        <v>0</v>
      </c>
      <c r="H1124" s="1056">
        <v>0</v>
      </c>
      <c r="I1124" s="1056">
        <v>-89</v>
      </c>
      <c r="K1124" s="1037">
        <f t="shared" si="17"/>
        <v>8</v>
      </c>
    </row>
    <row r="1125" spans="1:11" ht="12.75">
      <c r="A1125" s="1054">
        <v>25302005</v>
      </c>
      <c r="B1125" s="1055" t="s">
        <v>893</v>
      </c>
      <c r="C1125" s="1055" t="s">
        <v>411</v>
      </c>
      <c r="D1125" s="1055" t="s">
        <v>1761</v>
      </c>
      <c r="E1125" s="1055" t="s">
        <v>1762</v>
      </c>
      <c r="F1125" s="1056">
        <v>-258</v>
      </c>
      <c r="G1125" s="1056">
        <v>0</v>
      </c>
      <c r="H1125" s="1056">
        <v>431</v>
      </c>
      <c r="I1125" s="1056">
        <v>-689</v>
      </c>
      <c r="K1125" s="1037">
        <f t="shared" si="17"/>
        <v>8</v>
      </c>
    </row>
    <row r="1126" spans="1:11" ht="12.75">
      <c r="A1126" s="1054">
        <v>25302005</v>
      </c>
      <c r="B1126" s="1055" t="s">
        <v>893</v>
      </c>
      <c r="C1126" s="1055" t="s">
        <v>411</v>
      </c>
      <c r="D1126" s="1055" t="s">
        <v>1428</v>
      </c>
      <c r="E1126" s="1055" t="s">
        <v>1429</v>
      </c>
      <c r="F1126" s="1056">
        <v>-298</v>
      </c>
      <c r="G1126" s="1056">
        <v>0</v>
      </c>
      <c r="H1126" s="1056">
        <v>0</v>
      </c>
      <c r="I1126" s="1056">
        <v>-298</v>
      </c>
      <c r="K1126" s="1037">
        <f t="shared" si="17"/>
        <v>8</v>
      </c>
    </row>
    <row r="1127" spans="1:11" ht="12.75">
      <c r="A1127" s="1054">
        <v>25302005</v>
      </c>
      <c r="B1127" s="1055" t="s">
        <v>893</v>
      </c>
      <c r="C1127" s="1055" t="s">
        <v>411</v>
      </c>
      <c r="D1127" s="1055" t="s">
        <v>1849</v>
      </c>
      <c r="E1127" s="1055" t="s">
        <v>1850</v>
      </c>
      <c r="F1127" s="1056">
        <v>-105</v>
      </c>
      <c r="G1127" s="1056">
        <v>0</v>
      </c>
      <c r="H1127" s="1056">
        <v>175</v>
      </c>
      <c r="I1127" s="1056">
        <v>-280</v>
      </c>
      <c r="K1127" s="1037">
        <f t="shared" si="17"/>
        <v>8</v>
      </c>
    </row>
    <row r="1128" spans="1:11" ht="12.75">
      <c r="A1128" s="1054">
        <v>25302005</v>
      </c>
      <c r="B1128" s="1055" t="s">
        <v>893</v>
      </c>
      <c r="C1128" s="1055" t="s">
        <v>411</v>
      </c>
      <c r="D1128" s="1055" t="s">
        <v>1275</v>
      </c>
      <c r="E1128" s="1055" t="s">
        <v>991</v>
      </c>
      <c r="F1128" s="1056">
        <v>-960</v>
      </c>
      <c r="G1128" s="1056">
        <v>0</v>
      </c>
      <c r="H1128" s="1056">
        <v>192</v>
      </c>
      <c r="I1128" s="1056">
        <v>-1152</v>
      </c>
      <c r="K1128" s="1037">
        <f t="shared" si="17"/>
        <v>8</v>
      </c>
    </row>
    <row r="1129" spans="1:11" ht="12.75">
      <c r="A1129" s="1054">
        <v>25302005</v>
      </c>
      <c r="B1129" s="1055" t="s">
        <v>893</v>
      </c>
      <c r="C1129" s="1055" t="s">
        <v>411</v>
      </c>
      <c r="D1129" s="1055" t="s">
        <v>1380</v>
      </c>
      <c r="E1129" s="1055" t="s">
        <v>1381</v>
      </c>
      <c r="F1129" s="1056">
        <v>-322</v>
      </c>
      <c r="G1129" s="1056">
        <v>0</v>
      </c>
      <c r="H1129" s="1056">
        <v>0</v>
      </c>
      <c r="I1129" s="1056">
        <v>-322</v>
      </c>
      <c r="K1129" s="1037">
        <f t="shared" si="17"/>
        <v>8</v>
      </c>
    </row>
    <row r="1130" spans="1:11" ht="12.75">
      <c r="A1130" s="1054">
        <v>25302005</v>
      </c>
      <c r="B1130" s="1055" t="s">
        <v>893</v>
      </c>
      <c r="C1130" s="1055" t="s">
        <v>411</v>
      </c>
      <c r="D1130" s="1055" t="s">
        <v>1585</v>
      </c>
      <c r="E1130" s="1055" t="s">
        <v>1586</v>
      </c>
      <c r="F1130" s="1056">
        <v>-584</v>
      </c>
      <c r="G1130" s="1056">
        <v>0</v>
      </c>
      <c r="H1130" s="1056">
        <v>167</v>
      </c>
      <c r="I1130" s="1056">
        <v>-751</v>
      </c>
      <c r="K1130" s="1037">
        <f t="shared" si="17"/>
        <v>8</v>
      </c>
    </row>
    <row r="1131" spans="1:11" ht="12.75">
      <c r="A1131" s="1054">
        <v>25302005</v>
      </c>
      <c r="B1131" s="1055" t="s">
        <v>893</v>
      </c>
      <c r="C1131" s="1055" t="s">
        <v>411</v>
      </c>
      <c r="D1131" s="1055" t="s">
        <v>1382</v>
      </c>
      <c r="E1131" s="1055" t="s">
        <v>1763</v>
      </c>
      <c r="F1131" s="1056">
        <v>-1096</v>
      </c>
      <c r="G1131" s="1056">
        <v>0</v>
      </c>
      <c r="H1131" s="1056">
        <v>224</v>
      </c>
      <c r="I1131" s="1056">
        <v>-1320</v>
      </c>
      <c r="K1131" s="1037">
        <f t="shared" si="17"/>
        <v>8</v>
      </c>
    </row>
    <row r="1132" spans="1:11" ht="12.75">
      <c r="A1132" s="1054">
        <v>25302005</v>
      </c>
      <c r="B1132" s="1055" t="s">
        <v>893</v>
      </c>
      <c r="C1132" s="1055" t="s">
        <v>411</v>
      </c>
      <c r="D1132" s="1055" t="s">
        <v>1440</v>
      </c>
      <c r="E1132" s="1055" t="s">
        <v>1441</v>
      </c>
      <c r="F1132" s="1056">
        <v>-710</v>
      </c>
      <c r="G1132" s="1056">
        <v>0</v>
      </c>
      <c r="H1132" s="1056">
        <v>0</v>
      </c>
      <c r="I1132" s="1056">
        <v>-710</v>
      </c>
      <c r="K1132" s="1037">
        <f t="shared" si="17"/>
        <v>8</v>
      </c>
    </row>
    <row r="1133" spans="1:11" ht="12.75">
      <c r="A1133" s="1054">
        <v>25302005</v>
      </c>
      <c r="B1133" s="1055" t="s">
        <v>893</v>
      </c>
      <c r="C1133" s="1055" t="s">
        <v>411</v>
      </c>
      <c r="D1133" s="1055" t="s">
        <v>1383</v>
      </c>
      <c r="E1133" s="1055" t="s">
        <v>1384</v>
      </c>
      <c r="F1133" s="1056">
        <v>-1031</v>
      </c>
      <c r="G1133" s="1056">
        <v>0</v>
      </c>
      <c r="H1133" s="1056">
        <v>206</v>
      </c>
      <c r="I1133" s="1056">
        <v>-1237</v>
      </c>
      <c r="K1133" s="1037">
        <f t="shared" si="17"/>
        <v>8</v>
      </c>
    </row>
    <row r="1134" spans="1:11" ht="12.75">
      <c r="A1134" s="1054">
        <v>25302005</v>
      </c>
      <c r="B1134" s="1055" t="s">
        <v>893</v>
      </c>
      <c r="C1134" s="1055" t="s">
        <v>411</v>
      </c>
      <c r="D1134" s="1055" t="s">
        <v>1430</v>
      </c>
      <c r="E1134" s="1055" t="s">
        <v>1431</v>
      </c>
      <c r="F1134" s="1056">
        <v>-180</v>
      </c>
      <c r="G1134" s="1056">
        <v>180</v>
      </c>
      <c r="H1134" s="1056">
        <v>0</v>
      </c>
      <c r="I1134" s="1056">
        <v>0</v>
      </c>
      <c r="K1134" s="1037">
        <f t="shared" si="17"/>
        <v>8</v>
      </c>
    </row>
    <row r="1135" spans="1:11" ht="12.75">
      <c r="A1135" s="1054">
        <v>25302005</v>
      </c>
      <c r="B1135" s="1055" t="s">
        <v>893</v>
      </c>
      <c r="C1135" s="1055" t="s">
        <v>411</v>
      </c>
      <c r="D1135" s="1055" t="s">
        <v>1587</v>
      </c>
      <c r="E1135" s="1055" t="s">
        <v>1588</v>
      </c>
      <c r="F1135" s="1056">
        <v>-738</v>
      </c>
      <c r="G1135" s="1056">
        <v>0</v>
      </c>
      <c r="H1135" s="1056">
        <v>200</v>
      </c>
      <c r="I1135" s="1056">
        <v>-938</v>
      </c>
      <c r="K1135" s="1037">
        <f t="shared" si="17"/>
        <v>8</v>
      </c>
    </row>
    <row r="1136" spans="1:11" ht="12.75">
      <c r="A1136" s="1054">
        <v>25302010</v>
      </c>
      <c r="B1136" s="1055" t="s">
        <v>893</v>
      </c>
      <c r="C1136" s="1055" t="s">
        <v>356</v>
      </c>
      <c r="D1136" s="1055" t="s">
        <v>893</v>
      </c>
      <c r="E1136" s="1055" t="s">
        <v>893</v>
      </c>
      <c r="F1136" s="1056">
        <v>8909</v>
      </c>
      <c r="G1136" s="1056">
        <v>29275</v>
      </c>
      <c r="H1136" s="1056">
        <v>0</v>
      </c>
      <c r="I1136" s="1056">
        <v>38185</v>
      </c>
      <c r="K1136" s="1037">
        <f t="shared" si="17"/>
        <v>8</v>
      </c>
    </row>
    <row r="1137" spans="1:11" ht="12.75">
      <c r="A1137" s="1054">
        <v>25302010</v>
      </c>
      <c r="B1137" s="1055" t="s">
        <v>893</v>
      </c>
      <c r="C1137" s="1055" t="s">
        <v>356</v>
      </c>
      <c r="D1137" s="1055" t="s">
        <v>1575</v>
      </c>
      <c r="E1137" s="1055" t="s">
        <v>1576</v>
      </c>
      <c r="F1137" s="1056">
        <v>510</v>
      </c>
      <c r="G1137" s="1056">
        <v>0</v>
      </c>
      <c r="H1137" s="1056">
        <v>0</v>
      </c>
      <c r="I1137" s="1056">
        <v>510</v>
      </c>
      <c r="K1137" s="1037">
        <f t="shared" si="17"/>
        <v>8</v>
      </c>
    </row>
    <row r="1138" spans="1:11" ht="12.75">
      <c r="A1138" s="1054">
        <v>25302010</v>
      </c>
      <c r="B1138" s="1055" t="s">
        <v>893</v>
      </c>
      <c r="C1138" s="1055" t="s">
        <v>356</v>
      </c>
      <c r="D1138" s="1055" t="s">
        <v>1891</v>
      </c>
      <c r="E1138" s="1055" t="s">
        <v>1892</v>
      </c>
      <c r="F1138" s="1056">
        <v>0</v>
      </c>
      <c r="G1138" s="1056">
        <v>167</v>
      </c>
      <c r="H1138" s="1056">
        <v>0</v>
      </c>
      <c r="I1138" s="1056">
        <v>167</v>
      </c>
      <c r="K1138" s="1037">
        <f t="shared" si="17"/>
        <v>8</v>
      </c>
    </row>
    <row r="1139" spans="1:11" ht="12.75">
      <c r="A1139" s="1054">
        <v>25302010</v>
      </c>
      <c r="B1139" s="1055" t="s">
        <v>893</v>
      </c>
      <c r="C1139" s="1055" t="s">
        <v>356</v>
      </c>
      <c r="D1139" s="1055" t="s">
        <v>1577</v>
      </c>
      <c r="E1139" s="1055" t="s">
        <v>1578</v>
      </c>
      <c r="F1139" s="1056">
        <v>0</v>
      </c>
      <c r="G1139" s="1056">
        <v>1118</v>
      </c>
      <c r="H1139" s="1056">
        <v>0</v>
      </c>
      <c r="I1139" s="1056">
        <v>1118</v>
      </c>
      <c r="K1139" s="1037">
        <f t="shared" si="17"/>
        <v>8</v>
      </c>
    </row>
    <row r="1140" spans="1:11" ht="12.75">
      <c r="A1140" s="1054">
        <v>25302010</v>
      </c>
      <c r="B1140" s="1055" t="s">
        <v>893</v>
      </c>
      <c r="C1140" s="1055" t="s">
        <v>356</v>
      </c>
      <c r="D1140" s="1055" t="s">
        <v>1360</v>
      </c>
      <c r="E1140" s="1055" t="s">
        <v>1361</v>
      </c>
      <c r="F1140" s="1056">
        <v>0</v>
      </c>
      <c r="G1140" s="1056">
        <v>1440</v>
      </c>
      <c r="H1140" s="1056">
        <v>0</v>
      </c>
      <c r="I1140" s="1056">
        <v>1440</v>
      </c>
      <c r="K1140" s="1037">
        <f t="shared" si="17"/>
        <v>8</v>
      </c>
    </row>
    <row r="1141" spans="1:11" ht="12.75">
      <c r="A1141" s="1054">
        <v>25302010</v>
      </c>
      <c r="B1141" s="1055" t="s">
        <v>893</v>
      </c>
      <c r="C1141" s="1055" t="s">
        <v>356</v>
      </c>
      <c r="D1141" s="1055" t="s">
        <v>1893</v>
      </c>
      <c r="E1141" s="1055" t="s">
        <v>1894</v>
      </c>
      <c r="F1141" s="1056">
        <v>0</v>
      </c>
      <c r="G1141" s="1056">
        <v>167</v>
      </c>
      <c r="H1141" s="1056">
        <v>0</v>
      </c>
      <c r="I1141" s="1056">
        <v>167</v>
      </c>
      <c r="K1141" s="1037">
        <f t="shared" si="17"/>
        <v>8</v>
      </c>
    </row>
    <row r="1142" spans="1:11" ht="12.75">
      <c r="A1142" s="1054">
        <v>25302010</v>
      </c>
      <c r="B1142" s="1055" t="s">
        <v>893</v>
      </c>
      <c r="C1142" s="1055" t="s">
        <v>356</v>
      </c>
      <c r="D1142" s="1055" t="s">
        <v>1298</v>
      </c>
      <c r="E1142" s="1055" t="s">
        <v>987</v>
      </c>
      <c r="F1142" s="1056">
        <v>796</v>
      </c>
      <c r="G1142" s="1056">
        <v>0</v>
      </c>
      <c r="H1142" s="1056">
        <v>0</v>
      </c>
      <c r="I1142" s="1056">
        <v>796</v>
      </c>
      <c r="K1142" s="1037">
        <f t="shared" si="17"/>
        <v>8</v>
      </c>
    </row>
    <row r="1143" spans="1:11" ht="12.75">
      <c r="A1143" s="1054">
        <v>25302010</v>
      </c>
      <c r="B1143" s="1055" t="s">
        <v>893</v>
      </c>
      <c r="C1143" s="1055" t="s">
        <v>356</v>
      </c>
      <c r="D1143" s="1055" t="s">
        <v>1484</v>
      </c>
      <c r="E1143" s="1055" t="s">
        <v>1485</v>
      </c>
      <c r="F1143" s="1056">
        <v>0</v>
      </c>
      <c r="G1143" s="1056">
        <v>1081</v>
      </c>
      <c r="H1143" s="1056">
        <v>0</v>
      </c>
      <c r="I1143" s="1056">
        <v>1081</v>
      </c>
      <c r="K1143" s="1037">
        <f t="shared" si="17"/>
        <v>8</v>
      </c>
    </row>
    <row r="1144" spans="1:11" ht="12.75">
      <c r="A1144" s="1054">
        <v>25302010</v>
      </c>
      <c r="B1144" s="1055" t="s">
        <v>893</v>
      </c>
      <c r="C1144" s="1055" t="s">
        <v>356</v>
      </c>
      <c r="D1144" s="1055" t="s">
        <v>1579</v>
      </c>
      <c r="E1144" s="1055" t="s">
        <v>1580</v>
      </c>
      <c r="F1144" s="1056">
        <v>0</v>
      </c>
      <c r="G1144" s="1056">
        <v>1179</v>
      </c>
      <c r="H1144" s="1056">
        <v>0</v>
      </c>
      <c r="I1144" s="1056">
        <v>1179</v>
      </c>
      <c r="K1144" s="1037">
        <f t="shared" si="17"/>
        <v>8</v>
      </c>
    </row>
    <row r="1145" spans="1:11" ht="12.75">
      <c r="A1145" s="1054">
        <v>25302010</v>
      </c>
      <c r="B1145" s="1055" t="s">
        <v>893</v>
      </c>
      <c r="C1145" s="1055" t="s">
        <v>356</v>
      </c>
      <c r="D1145" s="1055" t="s">
        <v>1270</v>
      </c>
      <c r="E1145" s="1055" t="s">
        <v>988</v>
      </c>
      <c r="F1145" s="1056">
        <v>0</v>
      </c>
      <c r="G1145" s="1056">
        <v>1320</v>
      </c>
      <c r="H1145" s="1056">
        <v>0</v>
      </c>
      <c r="I1145" s="1056">
        <v>1320</v>
      </c>
      <c r="K1145" s="1037">
        <f t="shared" si="17"/>
        <v>8</v>
      </c>
    </row>
    <row r="1146" spans="1:11" ht="12.75">
      <c r="A1146" s="1054">
        <v>25302010</v>
      </c>
      <c r="B1146" s="1055" t="s">
        <v>893</v>
      </c>
      <c r="C1146" s="1055" t="s">
        <v>356</v>
      </c>
      <c r="D1146" s="1055" t="s">
        <v>1272</v>
      </c>
      <c r="E1146" s="1055" t="s">
        <v>1273</v>
      </c>
      <c r="F1146" s="1056">
        <v>0</v>
      </c>
      <c r="G1146" s="1056">
        <v>1370</v>
      </c>
      <c r="H1146" s="1056">
        <v>0</v>
      </c>
      <c r="I1146" s="1056">
        <v>1370</v>
      </c>
      <c r="K1146" s="1037">
        <f t="shared" si="17"/>
        <v>8</v>
      </c>
    </row>
    <row r="1147" spans="1:11" ht="12.75">
      <c r="A1147" s="1054">
        <v>25302010</v>
      </c>
      <c r="B1147" s="1055" t="s">
        <v>893</v>
      </c>
      <c r="C1147" s="1055" t="s">
        <v>356</v>
      </c>
      <c r="D1147" s="1055" t="s">
        <v>1420</v>
      </c>
      <c r="E1147" s="1055" t="s">
        <v>1421</v>
      </c>
      <c r="F1147" s="1056">
        <v>0</v>
      </c>
      <c r="G1147" s="1056">
        <v>1019</v>
      </c>
      <c r="H1147" s="1056">
        <v>0</v>
      </c>
      <c r="I1147" s="1056">
        <v>1019</v>
      </c>
      <c r="K1147" s="1037">
        <f t="shared" si="17"/>
        <v>8</v>
      </c>
    </row>
    <row r="1148" spans="1:11" ht="12.75">
      <c r="A1148" s="1054">
        <v>25302010</v>
      </c>
      <c r="B1148" s="1055" t="s">
        <v>893</v>
      </c>
      <c r="C1148" s="1055" t="s">
        <v>356</v>
      </c>
      <c r="D1148" s="1055" t="s">
        <v>1493</v>
      </c>
      <c r="E1148" s="1055" t="s">
        <v>1494</v>
      </c>
      <c r="F1148" s="1056">
        <v>908</v>
      </c>
      <c r="G1148" s="1056">
        <v>0</v>
      </c>
      <c r="H1148" s="1056">
        <v>0</v>
      </c>
      <c r="I1148" s="1056">
        <v>908</v>
      </c>
      <c r="K1148" s="1037">
        <f t="shared" si="17"/>
        <v>8</v>
      </c>
    </row>
    <row r="1149" spans="1:11" ht="12.75">
      <c r="A1149" s="1054">
        <v>25302010</v>
      </c>
      <c r="B1149" s="1055" t="s">
        <v>893</v>
      </c>
      <c r="C1149" s="1055" t="s">
        <v>356</v>
      </c>
      <c r="D1149" s="1055" t="s">
        <v>1841</v>
      </c>
      <c r="E1149" s="1055" t="s">
        <v>1842</v>
      </c>
      <c r="F1149" s="1056">
        <v>0</v>
      </c>
      <c r="G1149" s="1056">
        <v>1149</v>
      </c>
      <c r="H1149" s="1056">
        <v>0</v>
      </c>
      <c r="I1149" s="1056">
        <v>1149</v>
      </c>
      <c r="K1149" s="1037">
        <f t="shared" si="17"/>
        <v>8</v>
      </c>
    </row>
    <row r="1150" spans="1:11" ht="12.75">
      <c r="A1150" s="1054">
        <v>25302010</v>
      </c>
      <c r="B1150" s="1055" t="s">
        <v>893</v>
      </c>
      <c r="C1150" s="1055" t="s">
        <v>356</v>
      </c>
      <c r="D1150" s="1055" t="s">
        <v>1519</v>
      </c>
      <c r="E1150" s="1055" t="s">
        <v>1520</v>
      </c>
      <c r="F1150" s="1056">
        <v>89</v>
      </c>
      <c r="G1150" s="1056">
        <v>0</v>
      </c>
      <c r="H1150" s="1056">
        <v>0</v>
      </c>
      <c r="I1150" s="1056">
        <v>89</v>
      </c>
      <c r="K1150" s="1037">
        <f t="shared" si="17"/>
        <v>8</v>
      </c>
    </row>
    <row r="1151" spans="1:11" ht="12.75">
      <c r="A1151" s="1054">
        <v>25302010</v>
      </c>
      <c r="B1151" s="1055" t="s">
        <v>893</v>
      </c>
      <c r="C1151" s="1055" t="s">
        <v>356</v>
      </c>
      <c r="D1151" s="1055" t="s">
        <v>1368</v>
      </c>
      <c r="E1151" s="1055" t="s">
        <v>1369</v>
      </c>
      <c r="F1151" s="1056">
        <v>44</v>
      </c>
      <c r="G1151" s="1056">
        <v>0</v>
      </c>
      <c r="H1151" s="1056">
        <v>0</v>
      </c>
      <c r="I1151" s="1056">
        <v>44</v>
      </c>
      <c r="K1151" s="1037">
        <f t="shared" si="17"/>
        <v>8</v>
      </c>
    </row>
    <row r="1152" spans="1:11" ht="12.75">
      <c r="A1152" s="1054">
        <v>25302010</v>
      </c>
      <c r="B1152" s="1055" t="s">
        <v>893</v>
      </c>
      <c r="C1152" s="1055" t="s">
        <v>356</v>
      </c>
      <c r="D1152" s="1055" t="s">
        <v>1895</v>
      </c>
      <c r="E1152" s="1055" t="s">
        <v>1896</v>
      </c>
      <c r="F1152" s="1056">
        <v>0</v>
      </c>
      <c r="G1152" s="1056">
        <v>33</v>
      </c>
      <c r="H1152" s="1056">
        <v>0</v>
      </c>
      <c r="I1152" s="1056">
        <v>33</v>
      </c>
      <c r="K1152" s="1037">
        <f t="shared" si="17"/>
        <v>8</v>
      </c>
    </row>
    <row r="1153" spans="1:11" ht="12.75">
      <c r="A1153" s="1054">
        <v>25302010</v>
      </c>
      <c r="B1153" s="1055" t="s">
        <v>893</v>
      </c>
      <c r="C1153" s="1055" t="s">
        <v>356</v>
      </c>
      <c r="D1153" s="1055" t="s">
        <v>1495</v>
      </c>
      <c r="E1153" s="1055" t="s">
        <v>1496</v>
      </c>
      <c r="F1153" s="1056">
        <v>46</v>
      </c>
      <c r="G1153" s="1056">
        <v>0</v>
      </c>
      <c r="H1153" s="1056">
        <v>0</v>
      </c>
      <c r="I1153" s="1056">
        <v>46</v>
      </c>
      <c r="K1153" s="1037">
        <f t="shared" si="17"/>
        <v>8</v>
      </c>
    </row>
    <row r="1154" spans="1:11" ht="12.75">
      <c r="A1154" s="1054">
        <v>25302010</v>
      </c>
      <c r="B1154" s="1055" t="s">
        <v>893</v>
      </c>
      <c r="C1154" s="1055" t="s">
        <v>356</v>
      </c>
      <c r="D1154" s="1055" t="s">
        <v>1320</v>
      </c>
      <c r="E1154" s="1055" t="s">
        <v>1321</v>
      </c>
      <c r="F1154" s="1056">
        <v>0</v>
      </c>
      <c r="G1154" s="1056">
        <v>1065</v>
      </c>
      <c r="H1154" s="1056">
        <v>0</v>
      </c>
      <c r="I1154" s="1056">
        <v>1065</v>
      </c>
      <c r="K1154" s="1037">
        <f t="shared" si="17"/>
        <v>8</v>
      </c>
    </row>
    <row r="1155" spans="1:11" ht="12.75">
      <c r="A1155" s="1054">
        <v>25302010</v>
      </c>
      <c r="B1155" s="1055" t="s">
        <v>893</v>
      </c>
      <c r="C1155" s="1055" t="s">
        <v>356</v>
      </c>
      <c r="D1155" s="1055" t="s">
        <v>1274</v>
      </c>
      <c r="E1155" s="1055" t="s">
        <v>989</v>
      </c>
      <c r="F1155" s="1056">
        <v>0</v>
      </c>
      <c r="G1155" s="1056">
        <v>1339</v>
      </c>
      <c r="H1155" s="1056">
        <v>0</v>
      </c>
      <c r="I1155" s="1056">
        <v>1339</v>
      </c>
      <c r="K1155" s="1037">
        <f t="shared" si="17"/>
        <v>8</v>
      </c>
    </row>
    <row r="1156" spans="1:11" ht="12.75">
      <c r="A1156" s="1054">
        <v>25302010</v>
      </c>
      <c r="B1156" s="1055" t="s">
        <v>893</v>
      </c>
      <c r="C1156" s="1055" t="s">
        <v>356</v>
      </c>
      <c r="D1156" s="1055" t="s">
        <v>1497</v>
      </c>
      <c r="E1156" s="1055" t="s">
        <v>1498</v>
      </c>
      <c r="F1156" s="1056">
        <v>622</v>
      </c>
      <c r="G1156" s="1056">
        <v>0</v>
      </c>
      <c r="H1156" s="1056">
        <v>0</v>
      </c>
      <c r="I1156" s="1056">
        <v>622</v>
      </c>
      <c r="K1156" s="1037">
        <f t="shared" si="17"/>
        <v>8</v>
      </c>
    </row>
    <row r="1157" spans="1:11" ht="12.75">
      <c r="A1157" s="1054">
        <v>25302010</v>
      </c>
      <c r="B1157" s="1055" t="s">
        <v>893</v>
      </c>
      <c r="C1157" s="1055" t="s">
        <v>356</v>
      </c>
      <c r="D1157" s="1055" t="s">
        <v>1043</v>
      </c>
      <c r="E1157" s="1055" t="s">
        <v>318</v>
      </c>
      <c r="F1157" s="1056">
        <v>0</v>
      </c>
      <c r="G1157" s="1056">
        <v>2174</v>
      </c>
      <c r="H1157" s="1056">
        <v>0</v>
      </c>
      <c r="I1157" s="1056">
        <v>2174</v>
      </c>
      <c r="K1157" s="1037">
        <f t="shared" ref="K1157:K1220" si="18">+LEN(A1157)</f>
        <v>8</v>
      </c>
    </row>
    <row r="1158" spans="1:11" ht="12.75">
      <c r="A1158" s="1054">
        <v>25302010</v>
      </c>
      <c r="B1158" s="1055" t="s">
        <v>893</v>
      </c>
      <c r="C1158" s="1055" t="s">
        <v>356</v>
      </c>
      <c r="D1158" s="1055" t="s">
        <v>1370</v>
      </c>
      <c r="E1158" s="1055" t="s">
        <v>1371</v>
      </c>
      <c r="F1158" s="1056">
        <v>0</v>
      </c>
      <c r="G1158" s="1056">
        <v>1000</v>
      </c>
      <c r="H1158" s="1056">
        <v>0</v>
      </c>
      <c r="I1158" s="1056">
        <v>1000</v>
      </c>
      <c r="K1158" s="1037">
        <f t="shared" si="18"/>
        <v>8</v>
      </c>
    </row>
    <row r="1159" spans="1:11" ht="12.75">
      <c r="A1159" s="1054">
        <v>25302010</v>
      </c>
      <c r="B1159" s="1055" t="s">
        <v>893</v>
      </c>
      <c r="C1159" s="1055" t="s">
        <v>356</v>
      </c>
      <c r="D1159" s="1055" t="s">
        <v>1843</v>
      </c>
      <c r="E1159" s="1055" t="s">
        <v>1844</v>
      </c>
      <c r="F1159" s="1056">
        <v>0</v>
      </c>
      <c r="G1159" s="1056">
        <v>143</v>
      </c>
      <c r="H1159" s="1056">
        <v>0</v>
      </c>
      <c r="I1159" s="1056">
        <v>143</v>
      </c>
      <c r="K1159" s="1037">
        <f t="shared" si="18"/>
        <v>8</v>
      </c>
    </row>
    <row r="1160" spans="1:11" ht="12.75">
      <c r="A1160" s="1054">
        <v>25302010</v>
      </c>
      <c r="B1160" s="1055" t="s">
        <v>893</v>
      </c>
      <c r="C1160" s="1055" t="s">
        <v>356</v>
      </c>
      <c r="D1160" s="1055" t="s">
        <v>1759</v>
      </c>
      <c r="E1160" s="1055" t="s">
        <v>1760</v>
      </c>
      <c r="F1160" s="1056">
        <v>149</v>
      </c>
      <c r="G1160" s="1056">
        <v>0</v>
      </c>
      <c r="H1160" s="1056">
        <v>0</v>
      </c>
      <c r="I1160" s="1056">
        <v>149</v>
      </c>
      <c r="K1160" s="1037">
        <f t="shared" si="18"/>
        <v>8</v>
      </c>
    </row>
    <row r="1161" spans="1:11" ht="12.75">
      <c r="A1161" s="1054">
        <v>25302010</v>
      </c>
      <c r="B1161" s="1055" t="s">
        <v>893</v>
      </c>
      <c r="C1161" s="1055" t="s">
        <v>356</v>
      </c>
      <c r="D1161" s="1055" t="s">
        <v>1581</v>
      </c>
      <c r="E1161" s="1055" t="s">
        <v>1582</v>
      </c>
      <c r="F1161" s="1056">
        <v>494</v>
      </c>
      <c r="G1161" s="1056">
        <v>0</v>
      </c>
      <c r="H1161" s="1056">
        <v>0</v>
      </c>
      <c r="I1161" s="1056">
        <v>494</v>
      </c>
      <c r="K1161" s="1037">
        <f t="shared" si="18"/>
        <v>8</v>
      </c>
    </row>
    <row r="1162" spans="1:11" ht="12.75">
      <c r="A1162" s="1054">
        <v>25302010</v>
      </c>
      <c r="B1162" s="1055" t="s">
        <v>893</v>
      </c>
      <c r="C1162" s="1055" t="s">
        <v>356</v>
      </c>
      <c r="D1162" s="1055" t="s">
        <v>1521</v>
      </c>
      <c r="E1162" s="1055" t="s">
        <v>1522</v>
      </c>
      <c r="F1162" s="1056">
        <v>0</v>
      </c>
      <c r="G1162" s="1056">
        <v>1174</v>
      </c>
      <c r="H1162" s="1056">
        <v>0</v>
      </c>
      <c r="I1162" s="1056">
        <v>1174</v>
      </c>
      <c r="K1162" s="1037">
        <f t="shared" si="18"/>
        <v>8</v>
      </c>
    </row>
    <row r="1163" spans="1:11" ht="12.75">
      <c r="A1163" s="1054">
        <v>25302010</v>
      </c>
      <c r="B1163" s="1055" t="s">
        <v>893</v>
      </c>
      <c r="C1163" s="1055" t="s">
        <v>356</v>
      </c>
      <c r="D1163" s="1055" t="s">
        <v>1426</v>
      </c>
      <c r="E1163" s="1055" t="s">
        <v>1427</v>
      </c>
      <c r="F1163" s="1056">
        <v>0</v>
      </c>
      <c r="G1163" s="1056">
        <v>1087</v>
      </c>
      <c r="H1163" s="1056">
        <v>0</v>
      </c>
      <c r="I1163" s="1056">
        <v>1087</v>
      </c>
      <c r="K1163" s="1037">
        <f t="shared" si="18"/>
        <v>8</v>
      </c>
    </row>
    <row r="1164" spans="1:11" ht="12.75">
      <c r="A1164" s="1054">
        <v>25302010</v>
      </c>
      <c r="B1164" s="1055" t="s">
        <v>893</v>
      </c>
      <c r="C1164" s="1055" t="s">
        <v>356</v>
      </c>
      <c r="D1164" s="1055" t="s">
        <v>1583</v>
      </c>
      <c r="E1164" s="1055" t="s">
        <v>1584</v>
      </c>
      <c r="F1164" s="1056">
        <v>128</v>
      </c>
      <c r="G1164" s="1056">
        <v>0</v>
      </c>
      <c r="H1164" s="1056">
        <v>0</v>
      </c>
      <c r="I1164" s="1056">
        <v>128</v>
      </c>
      <c r="K1164" s="1037">
        <f t="shared" si="18"/>
        <v>8</v>
      </c>
    </row>
    <row r="1165" spans="1:11" ht="12.75">
      <c r="A1165" s="1054">
        <v>25302010</v>
      </c>
      <c r="B1165" s="1055" t="s">
        <v>893</v>
      </c>
      <c r="C1165" s="1055" t="s">
        <v>356</v>
      </c>
      <c r="D1165" s="1055" t="s">
        <v>1374</v>
      </c>
      <c r="E1165" s="1055" t="s">
        <v>1375</v>
      </c>
      <c r="F1165" s="1056">
        <v>0</v>
      </c>
      <c r="G1165" s="1056">
        <v>1055</v>
      </c>
      <c r="H1165" s="1056">
        <v>0</v>
      </c>
      <c r="I1165" s="1056">
        <v>1055</v>
      </c>
      <c r="K1165" s="1037">
        <f t="shared" si="18"/>
        <v>8</v>
      </c>
    </row>
    <row r="1166" spans="1:11" ht="12.75">
      <c r="A1166" s="1054">
        <v>25302010</v>
      </c>
      <c r="B1166" s="1055" t="s">
        <v>893</v>
      </c>
      <c r="C1166" s="1055" t="s">
        <v>356</v>
      </c>
      <c r="D1166" s="1055" t="s">
        <v>1249</v>
      </c>
      <c r="E1166" s="1055" t="s">
        <v>583</v>
      </c>
      <c r="F1166" s="1056">
        <v>0</v>
      </c>
      <c r="G1166" s="1056">
        <v>1853</v>
      </c>
      <c r="H1166" s="1056">
        <v>0</v>
      </c>
      <c r="I1166" s="1056">
        <v>1853</v>
      </c>
      <c r="K1166" s="1037">
        <f t="shared" si="18"/>
        <v>8</v>
      </c>
    </row>
    <row r="1167" spans="1:11" ht="12.75">
      <c r="A1167" s="1054">
        <v>25302010</v>
      </c>
      <c r="B1167" s="1055" t="s">
        <v>893</v>
      </c>
      <c r="C1167" s="1055" t="s">
        <v>356</v>
      </c>
      <c r="D1167" s="1055" t="s">
        <v>1376</v>
      </c>
      <c r="E1167" s="1055" t="s">
        <v>1377</v>
      </c>
      <c r="F1167" s="1056">
        <v>1038</v>
      </c>
      <c r="G1167" s="1056">
        <v>0</v>
      </c>
      <c r="H1167" s="1056">
        <v>0</v>
      </c>
      <c r="I1167" s="1056">
        <v>1038</v>
      </c>
      <c r="K1167" s="1037">
        <f t="shared" si="18"/>
        <v>8</v>
      </c>
    </row>
    <row r="1168" spans="1:11" ht="12.75">
      <c r="A1168" s="1054">
        <v>25302010</v>
      </c>
      <c r="B1168" s="1055" t="s">
        <v>893</v>
      </c>
      <c r="C1168" s="1055" t="s">
        <v>356</v>
      </c>
      <c r="D1168" s="1055" t="s">
        <v>1305</v>
      </c>
      <c r="E1168" s="1055" t="s">
        <v>990</v>
      </c>
      <c r="F1168" s="1056">
        <v>-33</v>
      </c>
      <c r="G1168" s="1056">
        <v>0</v>
      </c>
      <c r="H1168" s="1056">
        <v>0</v>
      </c>
      <c r="I1168" s="1056">
        <v>-33</v>
      </c>
      <c r="K1168" s="1037">
        <f t="shared" si="18"/>
        <v>8</v>
      </c>
    </row>
    <row r="1169" spans="1:11" ht="12.75">
      <c r="A1169" s="1054">
        <v>25302010</v>
      </c>
      <c r="B1169" s="1055" t="s">
        <v>893</v>
      </c>
      <c r="C1169" s="1055" t="s">
        <v>356</v>
      </c>
      <c r="D1169" s="1055" t="s">
        <v>1845</v>
      </c>
      <c r="E1169" s="1055" t="s">
        <v>1846</v>
      </c>
      <c r="F1169" s="1056">
        <v>0</v>
      </c>
      <c r="G1169" s="1056">
        <v>308</v>
      </c>
      <c r="H1169" s="1056">
        <v>0</v>
      </c>
      <c r="I1169" s="1056">
        <v>308</v>
      </c>
      <c r="K1169" s="1037">
        <f t="shared" si="18"/>
        <v>8</v>
      </c>
    </row>
    <row r="1170" spans="1:11" ht="12.75">
      <c r="A1170" s="1054">
        <v>25302010</v>
      </c>
      <c r="B1170" s="1055" t="s">
        <v>893</v>
      </c>
      <c r="C1170" s="1055" t="s">
        <v>356</v>
      </c>
      <c r="D1170" s="1055" t="s">
        <v>1306</v>
      </c>
      <c r="E1170" s="1055" t="s">
        <v>997</v>
      </c>
      <c r="F1170" s="1056">
        <v>748</v>
      </c>
      <c r="G1170" s="1056">
        <v>0</v>
      </c>
      <c r="H1170" s="1056">
        <v>0</v>
      </c>
      <c r="I1170" s="1056">
        <v>748</v>
      </c>
      <c r="K1170" s="1037">
        <f t="shared" si="18"/>
        <v>8</v>
      </c>
    </row>
    <row r="1171" spans="1:11" ht="12.75">
      <c r="A1171" s="1054">
        <v>25302010</v>
      </c>
      <c r="B1171" s="1055" t="s">
        <v>893</v>
      </c>
      <c r="C1171" s="1055" t="s">
        <v>356</v>
      </c>
      <c r="D1171" s="1055" t="s">
        <v>1897</v>
      </c>
      <c r="E1171" s="1055" t="s">
        <v>1898</v>
      </c>
      <c r="F1171" s="1056">
        <v>0</v>
      </c>
      <c r="G1171" s="1056">
        <v>44</v>
      </c>
      <c r="H1171" s="1056">
        <v>0</v>
      </c>
      <c r="I1171" s="1056">
        <v>44</v>
      </c>
      <c r="K1171" s="1037">
        <f t="shared" si="18"/>
        <v>8</v>
      </c>
    </row>
    <row r="1172" spans="1:11" ht="12.75">
      <c r="A1172" s="1054">
        <v>25302010</v>
      </c>
      <c r="B1172" s="1055" t="s">
        <v>893</v>
      </c>
      <c r="C1172" s="1055" t="s">
        <v>356</v>
      </c>
      <c r="D1172" s="1055" t="s">
        <v>1250</v>
      </c>
      <c r="E1172" s="1055" t="s">
        <v>1251</v>
      </c>
      <c r="F1172" s="1056">
        <v>0</v>
      </c>
      <c r="G1172" s="1056">
        <v>1093</v>
      </c>
      <c r="H1172" s="1056">
        <v>0</v>
      </c>
      <c r="I1172" s="1056">
        <v>1093</v>
      </c>
      <c r="K1172" s="1037">
        <f t="shared" si="18"/>
        <v>8</v>
      </c>
    </row>
    <row r="1173" spans="1:11" ht="12.75">
      <c r="A1173" s="1054">
        <v>25302010</v>
      </c>
      <c r="B1173" s="1055" t="s">
        <v>893</v>
      </c>
      <c r="C1173" s="1055" t="s">
        <v>356</v>
      </c>
      <c r="D1173" s="1055" t="s">
        <v>1899</v>
      </c>
      <c r="E1173" s="1055" t="s">
        <v>1900</v>
      </c>
      <c r="F1173" s="1056">
        <v>0</v>
      </c>
      <c r="G1173" s="1056">
        <v>1135</v>
      </c>
      <c r="H1173" s="1056">
        <v>0</v>
      </c>
      <c r="I1173" s="1056">
        <v>1135</v>
      </c>
      <c r="K1173" s="1037">
        <f t="shared" si="18"/>
        <v>8</v>
      </c>
    </row>
    <row r="1174" spans="1:11" ht="12.75">
      <c r="A1174" s="1054">
        <v>25302010</v>
      </c>
      <c r="B1174" s="1055" t="s">
        <v>893</v>
      </c>
      <c r="C1174" s="1055" t="s">
        <v>356</v>
      </c>
      <c r="D1174" s="1055" t="s">
        <v>1901</v>
      </c>
      <c r="E1174" s="1055" t="s">
        <v>1902</v>
      </c>
      <c r="F1174" s="1056">
        <v>0</v>
      </c>
      <c r="G1174" s="1056">
        <v>83</v>
      </c>
      <c r="H1174" s="1056">
        <v>0</v>
      </c>
      <c r="I1174" s="1056">
        <v>83</v>
      </c>
      <c r="K1174" s="1037">
        <f t="shared" si="18"/>
        <v>8</v>
      </c>
    </row>
    <row r="1175" spans="1:11" ht="12.75">
      <c r="A1175" s="1054">
        <v>25302010</v>
      </c>
      <c r="B1175" s="1055" t="s">
        <v>893</v>
      </c>
      <c r="C1175" s="1055" t="s">
        <v>356</v>
      </c>
      <c r="D1175" s="1055" t="s">
        <v>1686</v>
      </c>
      <c r="E1175" s="1055" t="s">
        <v>1687</v>
      </c>
      <c r="F1175" s="1056">
        <v>934</v>
      </c>
      <c r="G1175" s="1056">
        <v>0</v>
      </c>
      <c r="H1175" s="1056">
        <v>0</v>
      </c>
      <c r="I1175" s="1056">
        <v>934</v>
      </c>
      <c r="K1175" s="1037">
        <f t="shared" si="18"/>
        <v>8</v>
      </c>
    </row>
    <row r="1176" spans="1:11" ht="12.75">
      <c r="A1176" s="1054">
        <v>25302010</v>
      </c>
      <c r="B1176" s="1055" t="s">
        <v>893</v>
      </c>
      <c r="C1176" s="1055" t="s">
        <v>356</v>
      </c>
      <c r="D1176" s="1055" t="s">
        <v>1499</v>
      </c>
      <c r="E1176" s="1055" t="s">
        <v>1500</v>
      </c>
      <c r="F1176" s="1056">
        <v>3</v>
      </c>
      <c r="G1176" s="1056">
        <v>0</v>
      </c>
      <c r="H1176" s="1056">
        <v>0</v>
      </c>
      <c r="I1176" s="1056">
        <v>3</v>
      </c>
      <c r="K1176" s="1037">
        <f t="shared" si="18"/>
        <v>8</v>
      </c>
    </row>
    <row r="1177" spans="1:11" ht="12.75">
      <c r="A1177" s="1054">
        <v>25302010</v>
      </c>
      <c r="B1177" s="1055" t="s">
        <v>893</v>
      </c>
      <c r="C1177" s="1055" t="s">
        <v>356</v>
      </c>
      <c r="D1177" s="1055" t="s">
        <v>1523</v>
      </c>
      <c r="E1177" s="1055" t="s">
        <v>1524</v>
      </c>
      <c r="F1177" s="1056">
        <v>305</v>
      </c>
      <c r="G1177" s="1056">
        <v>0</v>
      </c>
      <c r="H1177" s="1056">
        <v>0</v>
      </c>
      <c r="I1177" s="1056">
        <v>305</v>
      </c>
      <c r="K1177" s="1037">
        <f t="shared" si="18"/>
        <v>8</v>
      </c>
    </row>
    <row r="1178" spans="1:11" ht="12.75">
      <c r="A1178" s="1054">
        <v>25302010</v>
      </c>
      <c r="B1178" s="1055" t="s">
        <v>893</v>
      </c>
      <c r="C1178" s="1055" t="s">
        <v>356</v>
      </c>
      <c r="D1178" s="1055" t="s">
        <v>1422</v>
      </c>
      <c r="E1178" s="1055" t="s">
        <v>1423</v>
      </c>
      <c r="F1178" s="1056">
        <v>23</v>
      </c>
      <c r="G1178" s="1056">
        <v>0</v>
      </c>
      <c r="H1178" s="1056">
        <v>0</v>
      </c>
      <c r="I1178" s="1056">
        <v>23</v>
      </c>
      <c r="K1178" s="1037">
        <f t="shared" si="18"/>
        <v>8</v>
      </c>
    </row>
    <row r="1179" spans="1:11" ht="12.75">
      <c r="A1179" s="1054">
        <v>25302010</v>
      </c>
      <c r="B1179" s="1055" t="s">
        <v>893</v>
      </c>
      <c r="C1179" s="1055" t="s">
        <v>356</v>
      </c>
      <c r="D1179" s="1055" t="s">
        <v>1847</v>
      </c>
      <c r="E1179" s="1055" t="s">
        <v>1848</v>
      </c>
      <c r="F1179" s="1056">
        <v>89</v>
      </c>
      <c r="G1179" s="1056">
        <v>0</v>
      </c>
      <c r="H1179" s="1056">
        <v>0</v>
      </c>
      <c r="I1179" s="1056">
        <v>89</v>
      </c>
      <c r="K1179" s="1037">
        <f t="shared" si="18"/>
        <v>8</v>
      </c>
    </row>
    <row r="1180" spans="1:11" ht="12.75">
      <c r="A1180" s="1054">
        <v>25302010</v>
      </c>
      <c r="B1180" s="1055" t="s">
        <v>893</v>
      </c>
      <c r="C1180" s="1055" t="s">
        <v>356</v>
      </c>
      <c r="D1180" s="1055" t="s">
        <v>1761</v>
      </c>
      <c r="E1180" s="1055" t="s">
        <v>1762</v>
      </c>
      <c r="F1180" s="1056">
        <v>689</v>
      </c>
      <c r="G1180" s="1056">
        <v>0</v>
      </c>
      <c r="H1180" s="1056">
        <v>0</v>
      </c>
      <c r="I1180" s="1056">
        <v>689</v>
      </c>
      <c r="K1180" s="1037">
        <f t="shared" si="18"/>
        <v>8</v>
      </c>
    </row>
    <row r="1181" spans="1:11" ht="12.75">
      <c r="A1181" s="1054">
        <v>25302010</v>
      </c>
      <c r="B1181" s="1055" t="s">
        <v>893</v>
      </c>
      <c r="C1181" s="1055" t="s">
        <v>356</v>
      </c>
      <c r="D1181" s="1055" t="s">
        <v>1428</v>
      </c>
      <c r="E1181" s="1055" t="s">
        <v>1429</v>
      </c>
      <c r="F1181" s="1056">
        <v>298</v>
      </c>
      <c r="G1181" s="1056">
        <v>0</v>
      </c>
      <c r="H1181" s="1056">
        <v>0</v>
      </c>
      <c r="I1181" s="1056">
        <v>298</v>
      </c>
      <c r="K1181" s="1037">
        <f t="shared" si="18"/>
        <v>8</v>
      </c>
    </row>
    <row r="1182" spans="1:11" ht="12.75">
      <c r="A1182" s="1054">
        <v>25302010</v>
      </c>
      <c r="B1182" s="1055" t="s">
        <v>893</v>
      </c>
      <c r="C1182" s="1055" t="s">
        <v>356</v>
      </c>
      <c r="D1182" s="1055" t="s">
        <v>1849</v>
      </c>
      <c r="E1182" s="1055" t="s">
        <v>1850</v>
      </c>
      <c r="F1182" s="1056">
        <v>0</v>
      </c>
      <c r="G1182" s="1056">
        <v>280</v>
      </c>
      <c r="H1182" s="1056">
        <v>0</v>
      </c>
      <c r="I1182" s="1056">
        <v>280</v>
      </c>
      <c r="K1182" s="1037">
        <f t="shared" si="18"/>
        <v>8</v>
      </c>
    </row>
    <row r="1183" spans="1:11" ht="12.75">
      <c r="A1183" s="1054">
        <v>25302010</v>
      </c>
      <c r="B1183" s="1055" t="s">
        <v>893</v>
      </c>
      <c r="C1183" s="1055" t="s">
        <v>356</v>
      </c>
      <c r="D1183" s="1055" t="s">
        <v>1275</v>
      </c>
      <c r="E1183" s="1055" t="s">
        <v>991</v>
      </c>
      <c r="F1183" s="1056">
        <v>0</v>
      </c>
      <c r="G1183" s="1056">
        <v>1152</v>
      </c>
      <c r="H1183" s="1056">
        <v>0</v>
      </c>
      <c r="I1183" s="1056">
        <v>1152</v>
      </c>
      <c r="K1183" s="1037">
        <f t="shared" si="18"/>
        <v>8</v>
      </c>
    </row>
    <row r="1184" spans="1:11" ht="12.75">
      <c r="A1184" s="1054">
        <v>25302010</v>
      </c>
      <c r="B1184" s="1055" t="s">
        <v>893</v>
      </c>
      <c r="C1184" s="1055" t="s">
        <v>356</v>
      </c>
      <c r="D1184" s="1055" t="s">
        <v>1380</v>
      </c>
      <c r="E1184" s="1055" t="s">
        <v>1381</v>
      </c>
      <c r="F1184" s="1056">
        <v>322</v>
      </c>
      <c r="G1184" s="1056">
        <v>0</v>
      </c>
      <c r="H1184" s="1056">
        <v>0</v>
      </c>
      <c r="I1184" s="1056">
        <v>322</v>
      </c>
      <c r="K1184" s="1037">
        <f t="shared" si="18"/>
        <v>8</v>
      </c>
    </row>
    <row r="1185" spans="1:11" ht="12.75">
      <c r="A1185" s="1054">
        <v>25302010</v>
      </c>
      <c r="B1185" s="1055" t="s">
        <v>893</v>
      </c>
      <c r="C1185" s="1055" t="s">
        <v>356</v>
      </c>
      <c r="D1185" s="1055" t="s">
        <v>1585</v>
      </c>
      <c r="E1185" s="1055" t="s">
        <v>1586</v>
      </c>
      <c r="F1185" s="1056">
        <v>0</v>
      </c>
      <c r="G1185" s="1056">
        <v>751</v>
      </c>
      <c r="H1185" s="1056">
        <v>0</v>
      </c>
      <c r="I1185" s="1056">
        <v>751</v>
      </c>
      <c r="K1185" s="1037">
        <f t="shared" si="18"/>
        <v>8</v>
      </c>
    </row>
    <row r="1186" spans="1:11" ht="12.75">
      <c r="A1186" s="1054">
        <v>25302010</v>
      </c>
      <c r="B1186" s="1055" t="s">
        <v>893</v>
      </c>
      <c r="C1186" s="1055" t="s">
        <v>356</v>
      </c>
      <c r="D1186" s="1055" t="s">
        <v>1382</v>
      </c>
      <c r="E1186" s="1055" t="s">
        <v>1763</v>
      </c>
      <c r="F1186" s="1056">
        <v>0</v>
      </c>
      <c r="G1186" s="1056">
        <v>1320</v>
      </c>
      <c r="H1186" s="1056">
        <v>0</v>
      </c>
      <c r="I1186" s="1056">
        <v>1320</v>
      </c>
      <c r="K1186" s="1037">
        <f t="shared" si="18"/>
        <v>8</v>
      </c>
    </row>
    <row r="1187" spans="1:11" ht="12.75">
      <c r="A1187" s="1054">
        <v>25302010</v>
      </c>
      <c r="B1187" s="1055" t="s">
        <v>893</v>
      </c>
      <c r="C1187" s="1055" t="s">
        <v>356</v>
      </c>
      <c r="D1187" s="1055" t="s">
        <v>1440</v>
      </c>
      <c r="E1187" s="1055" t="s">
        <v>1441</v>
      </c>
      <c r="F1187" s="1056">
        <v>710</v>
      </c>
      <c r="G1187" s="1056">
        <v>0</v>
      </c>
      <c r="H1187" s="1056">
        <v>0</v>
      </c>
      <c r="I1187" s="1056">
        <v>710</v>
      </c>
      <c r="K1187" s="1037">
        <f t="shared" si="18"/>
        <v>8</v>
      </c>
    </row>
    <row r="1188" spans="1:11" ht="12.75">
      <c r="A1188" s="1054">
        <v>25302010</v>
      </c>
      <c r="B1188" s="1055" t="s">
        <v>893</v>
      </c>
      <c r="C1188" s="1055" t="s">
        <v>356</v>
      </c>
      <c r="D1188" s="1055" t="s">
        <v>1383</v>
      </c>
      <c r="E1188" s="1055" t="s">
        <v>1384</v>
      </c>
      <c r="F1188" s="1056">
        <v>0</v>
      </c>
      <c r="G1188" s="1056">
        <v>1237</v>
      </c>
      <c r="H1188" s="1056">
        <v>0</v>
      </c>
      <c r="I1188" s="1056">
        <v>1237</v>
      </c>
      <c r="K1188" s="1037">
        <f t="shared" si="18"/>
        <v>8</v>
      </c>
    </row>
    <row r="1189" spans="1:11" ht="12.75">
      <c r="A1189" s="1054">
        <v>25302010</v>
      </c>
      <c r="B1189" s="1055" t="s">
        <v>893</v>
      </c>
      <c r="C1189" s="1055" t="s">
        <v>356</v>
      </c>
      <c r="D1189" s="1055" t="s">
        <v>1587</v>
      </c>
      <c r="E1189" s="1055" t="s">
        <v>1588</v>
      </c>
      <c r="F1189" s="1056">
        <v>0</v>
      </c>
      <c r="G1189" s="1056">
        <v>938</v>
      </c>
      <c r="H1189" s="1056">
        <v>0</v>
      </c>
      <c r="I1189" s="1056">
        <v>938</v>
      </c>
      <c r="K1189" s="1037">
        <f t="shared" si="18"/>
        <v>8</v>
      </c>
    </row>
    <row r="1190" spans="1:11" ht="12.75">
      <c r="A1190" s="1054">
        <v>2550</v>
      </c>
      <c r="B1190" s="1055" t="s">
        <v>893</v>
      </c>
      <c r="C1190" s="1055" t="s">
        <v>357</v>
      </c>
      <c r="D1190" s="1055" t="s">
        <v>893</v>
      </c>
      <c r="E1190" s="1055" t="s">
        <v>893</v>
      </c>
      <c r="F1190" s="1056">
        <v>-15929</v>
      </c>
      <c r="G1190" s="1056">
        <v>16297</v>
      </c>
      <c r="H1190" s="1056">
        <v>18356</v>
      </c>
      <c r="I1190" s="1056">
        <v>-17989</v>
      </c>
      <c r="K1190" s="1037">
        <f t="shared" si="18"/>
        <v>4</v>
      </c>
    </row>
    <row r="1191" spans="1:11" ht="12.75">
      <c r="A1191" s="1054">
        <v>255005</v>
      </c>
      <c r="B1191" s="1055" t="s">
        <v>893</v>
      </c>
      <c r="C1191" s="1055" t="s">
        <v>358</v>
      </c>
      <c r="D1191" s="1055" t="s">
        <v>893</v>
      </c>
      <c r="E1191" s="1055" t="s">
        <v>893</v>
      </c>
      <c r="F1191" s="1056">
        <v>-4925</v>
      </c>
      <c r="G1191" s="1056">
        <v>2401</v>
      </c>
      <c r="H1191" s="1056">
        <v>2603</v>
      </c>
      <c r="I1191" s="1056">
        <v>-5127</v>
      </c>
      <c r="K1191" s="1037">
        <f t="shared" si="18"/>
        <v>6</v>
      </c>
    </row>
    <row r="1192" spans="1:11" ht="12.75">
      <c r="A1192" s="1054">
        <v>25500501</v>
      </c>
      <c r="B1192" s="1055" t="s">
        <v>1489</v>
      </c>
      <c r="C1192" s="1055" t="s">
        <v>747</v>
      </c>
      <c r="D1192" s="1055" t="s">
        <v>893</v>
      </c>
      <c r="E1192" s="1055" t="s">
        <v>893</v>
      </c>
      <c r="F1192" s="1056">
        <v>8072</v>
      </c>
      <c r="G1192" s="1056">
        <v>2401</v>
      </c>
      <c r="H1192" s="1056">
        <v>7</v>
      </c>
      <c r="I1192" s="1056">
        <v>10467</v>
      </c>
      <c r="K1192" s="1037">
        <f t="shared" si="18"/>
        <v>8</v>
      </c>
    </row>
    <row r="1193" spans="1:11" ht="12.75">
      <c r="A1193" s="1054">
        <v>25500501</v>
      </c>
      <c r="B1193" s="1055" t="s">
        <v>1489</v>
      </c>
      <c r="C1193" s="1055" t="s">
        <v>747</v>
      </c>
      <c r="D1193" s="1055" t="s">
        <v>1067</v>
      </c>
      <c r="E1193" s="1055" t="s">
        <v>1068</v>
      </c>
      <c r="F1193" s="1056">
        <v>-4981</v>
      </c>
      <c r="G1193" s="1056">
        <v>0</v>
      </c>
      <c r="H1193" s="1056">
        <v>0</v>
      </c>
      <c r="I1193" s="1056">
        <v>-4981</v>
      </c>
      <c r="K1193" s="1037">
        <f t="shared" si="18"/>
        <v>8</v>
      </c>
    </row>
    <row r="1194" spans="1:11" ht="12.75">
      <c r="A1194" s="1054">
        <v>25500501</v>
      </c>
      <c r="B1194" s="1055" t="s">
        <v>1489</v>
      </c>
      <c r="C1194" s="1055" t="s">
        <v>747</v>
      </c>
      <c r="D1194" s="1055" t="s">
        <v>1575</v>
      </c>
      <c r="E1194" s="1055" t="s">
        <v>1576</v>
      </c>
      <c r="F1194" s="1056">
        <v>0</v>
      </c>
      <c r="G1194" s="1056">
        <v>0</v>
      </c>
      <c r="H1194" s="1056">
        <v>0</v>
      </c>
      <c r="I1194" s="1056">
        <v>0</v>
      </c>
      <c r="K1194" s="1037">
        <f t="shared" si="18"/>
        <v>8</v>
      </c>
    </row>
    <row r="1195" spans="1:11" ht="12.75">
      <c r="A1195" s="1054">
        <v>25500501</v>
      </c>
      <c r="B1195" s="1055" t="s">
        <v>1489</v>
      </c>
      <c r="C1195" s="1055" t="s">
        <v>747</v>
      </c>
      <c r="D1195" s="1055" t="s">
        <v>1891</v>
      </c>
      <c r="E1195" s="1055" t="s">
        <v>1892</v>
      </c>
      <c r="F1195" s="1056">
        <v>0</v>
      </c>
      <c r="G1195" s="1056">
        <v>0</v>
      </c>
      <c r="H1195" s="1056">
        <v>0</v>
      </c>
      <c r="I1195" s="1056">
        <v>0</v>
      </c>
      <c r="K1195" s="1037">
        <f t="shared" si="18"/>
        <v>8</v>
      </c>
    </row>
    <row r="1196" spans="1:11" ht="12.75">
      <c r="A1196" s="1054">
        <v>25500501</v>
      </c>
      <c r="B1196" s="1055" t="s">
        <v>1489</v>
      </c>
      <c r="C1196" s="1055" t="s">
        <v>747</v>
      </c>
      <c r="D1196" s="1055" t="s">
        <v>1577</v>
      </c>
      <c r="E1196" s="1055" t="s">
        <v>1578</v>
      </c>
      <c r="F1196" s="1056">
        <v>0</v>
      </c>
      <c r="G1196" s="1056">
        <v>0</v>
      </c>
      <c r="H1196" s="1056">
        <v>0</v>
      </c>
      <c r="I1196" s="1056">
        <v>0</v>
      </c>
      <c r="K1196" s="1037">
        <f t="shared" si="18"/>
        <v>8</v>
      </c>
    </row>
    <row r="1197" spans="1:11" ht="12.75">
      <c r="A1197" s="1054">
        <v>25500501</v>
      </c>
      <c r="B1197" s="1055" t="s">
        <v>1489</v>
      </c>
      <c r="C1197" s="1055" t="s">
        <v>747</v>
      </c>
      <c r="D1197" s="1055" t="s">
        <v>1360</v>
      </c>
      <c r="E1197" s="1055" t="s">
        <v>1361</v>
      </c>
      <c r="F1197" s="1056">
        <v>0</v>
      </c>
      <c r="G1197" s="1056">
        <v>0</v>
      </c>
      <c r="H1197" s="1056">
        <v>0</v>
      </c>
      <c r="I1197" s="1056">
        <v>0</v>
      </c>
      <c r="K1197" s="1037">
        <f t="shared" si="18"/>
        <v>8</v>
      </c>
    </row>
    <row r="1198" spans="1:11" ht="12.75">
      <c r="A1198" s="1054">
        <v>25500501</v>
      </c>
      <c r="B1198" s="1055" t="s">
        <v>1489</v>
      </c>
      <c r="C1198" s="1055" t="s">
        <v>747</v>
      </c>
      <c r="D1198" s="1055" t="s">
        <v>1893</v>
      </c>
      <c r="E1198" s="1055" t="s">
        <v>1894</v>
      </c>
      <c r="F1198" s="1056">
        <v>0</v>
      </c>
      <c r="G1198" s="1056">
        <v>0</v>
      </c>
      <c r="H1198" s="1056">
        <v>0</v>
      </c>
      <c r="I1198" s="1056">
        <v>0</v>
      </c>
      <c r="K1198" s="1037">
        <f t="shared" si="18"/>
        <v>8</v>
      </c>
    </row>
    <row r="1199" spans="1:11" ht="12.75">
      <c r="A1199" s="1054">
        <v>25500501</v>
      </c>
      <c r="B1199" s="1055" t="s">
        <v>1489</v>
      </c>
      <c r="C1199" s="1055" t="s">
        <v>747</v>
      </c>
      <c r="D1199" s="1055" t="s">
        <v>1298</v>
      </c>
      <c r="E1199" s="1055" t="s">
        <v>987</v>
      </c>
      <c r="F1199" s="1056">
        <v>0</v>
      </c>
      <c r="G1199" s="1056">
        <v>0</v>
      </c>
      <c r="H1199" s="1056">
        <v>0</v>
      </c>
      <c r="I1199" s="1056">
        <v>0</v>
      </c>
      <c r="K1199" s="1037">
        <f t="shared" si="18"/>
        <v>8</v>
      </c>
    </row>
    <row r="1200" spans="1:11" ht="12.75">
      <c r="A1200" s="1054">
        <v>25500501</v>
      </c>
      <c r="B1200" s="1055" t="s">
        <v>1489</v>
      </c>
      <c r="C1200" s="1055" t="s">
        <v>747</v>
      </c>
      <c r="D1200" s="1055" t="s">
        <v>1362</v>
      </c>
      <c r="E1200" s="1055" t="s">
        <v>1363</v>
      </c>
      <c r="F1200" s="1056">
        <v>-4</v>
      </c>
      <c r="G1200" s="1056">
        <v>0</v>
      </c>
      <c r="H1200" s="1056">
        <v>0</v>
      </c>
      <c r="I1200" s="1056">
        <v>-4</v>
      </c>
      <c r="K1200" s="1037">
        <f t="shared" si="18"/>
        <v>8</v>
      </c>
    </row>
    <row r="1201" spans="1:11" ht="12.75">
      <c r="A1201" s="1054">
        <v>25500501</v>
      </c>
      <c r="B1201" s="1055" t="s">
        <v>1489</v>
      </c>
      <c r="C1201" s="1055" t="s">
        <v>747</v>
      </c>
      <c r="D1201" s="1055" t="s">
        <v>1484</v>
      </c>
      <c r="E1201" s="1055" t="s">
        <v>1485</v>
      </c>
      <c r="F1201" s="1056">
        <v>0</v>
      </c>
      <c r="G1201" s="1056">
        <v>0</v>
      </c>
      <c r="H1201" s="1056">
        <v>0</v>
      </c>
      <c r="I1201" s="1056">
        <v>0</v>
      </c>
      <c r="K1201" s="1037">
        <f t="shared" si="18"/>
        <v>8</v>
      </c>
    </row>
    <row r="1202" spans="1:11" ht="12.75">
      <c r="A1202" s="1054">
        <v>25500501</v>
      </c>
      <c r="B1202" s="1055" t="s">
        <v>1489</v>
      </c>
      <c r="C1202" s="1055" t="s">
        <v>747</v>
      </c>
      <c r="D1202" s="1055" t="s">
        <v>1579</v>
      </c>
      <c r="E1202" s="1055" t="s">
        <v>1580</v>
      </c>
      <c r="F1202" s="1056">
        <v>0</v>
      </c>
      <c r="G1202" s="1056">
        <v>0</v>
      </c>
      <c r="H1202" s="1056">
        <v>0</v>
      </c>
      <c r="I1202" s="1056">
        <v>0</v>
      </c>
      <c r="K1202" s="1037">
        <f t="shared" si="18"/>
        <v>8</v>
      </c>
    </row>
    <row r="1203" spans="1:11" ht="12.75">
      <c r="A1203" s="1054">
        <v>25500501</v>
      </c>
      <c r="B1203" s="1055" t="s">
        <v>1489</v>
      </c>
      <c r="C1203" s="1055" t="s">
        <v>747</v>
      </c>
      <c r="D1203" s="1055" t="s">
        <v>1270</v>
      </c>
      <c r="E1203" s="1055" t="s">
        <v>988</v>
      </c>
      <c r="F1203" s="1056">
        <v>0</v>
      </c>
      <c r="G1203" s="1056">
        <v>0</v>
      </c>
      <c r="H1203" s="1056">
        <v>0</v>
      </c>
      <c r="I1203" s="1056">
        <v>0</v>
      </c>
      <c r="K1203" s="1037">
        <f t="shared" si="18"/>
        <v>8</v>
      </c>
    </row>
    <row r="1204" spans="1:11" ht="12.75">
      <c r="A1204" s="1054">
        <v>25500501</v>
      </c>
      <c r="B1204" s="1055" t="s">
        <v>1489</v>
      </c>
      <c r="C1204" s="1055" t="s">
        <v>747</v>
      </c>
      <c r="D1204" s="1055" t="s">
        <v>1271</v>
      </c>
      <c r="E1204" s="1055" t="s">
        <v>782</v>
      </c>
      <c r="F1204" s="1056">
        <v>0</v>
      </c>
      <c r="G1204" s="1056">
        <v>0</v>
      </c>
      <c r="H1204" s="1056">
        <v>0</v>
      </c>
      <c r="I1204" s="1056">
        <v>0</v>
      </c>
      <c r="K1204" s="1037">
        <f t="shared" si="18"/>
        <v>8</v>
      </c>
    </row>
    <row r="1205" spans="1:11" ht="12.75">
      <c r="A1205" s="1054">
        <v>25500501</v>
      </c>
      <c r="B1205" s="1055" t="s">
        <v>1489</v>
      </c>
      <c r="C1205" s="1055" t="s">
        <v>747</v>
      </c>
      <c r="D1205" s="1055" t="s">
        <v>1272</v>
      </c>
      <c r="E1205" s="1055" t="s">
        <v>1273</v>
      </c>
      <c r="F1205" s="1056">
        <v>0</v>
      </c>
      <c r="G1205" s="1056">
        <v>0</v>
      </c>
      <c r="H1205" s="1056">
        <v>0</v>
      </c>
      <c r="I1205" s="1056">
        <v>0</v>
      </c>
      <c r="K1205" s="1037">
        <f t="shared" si="18"/>
        <v>8</v>
      </c>
    </row>
    <row r="1206" spans="1:11" ht="12.75">
      <c r="A1206" s="1054">
        <v>25500501</v>
      </c>
      <c r="B1206" s="1055" t="s">
        <v>1489</v>
      </c>
      <c r="C1206" s="1055" t="s">
        <v>747</v>
      </c>
      <c r="D1206" s="1055" t="s">
        <v>1420</v>
      </c>
      <c r="E1206" s="1055" t="s">
        <v>1421</v>
      </c>
      <c r="F1206" s="1056">
        <v>-1</v>
      </c>
      <c r="G1206" s="1056">
        <v>0</v>
      </c>
      <c r="H1206" s="1056">
        <v>0</v>
      </c>
      <c r="I1206" s="1056">
        <v>-1</v>
      </c>
      <c r="K1206" s="1037">
        <f t="shared" si="18"/>
        <v>8</v>
      </c>
    </row>
    <row r="1207" spans="1:11" ht="12.75">
      <c r="A1207" s="1054">
        <v>25500501</v>
      </c>
      <c r="B1207" s="1055" t="s">
        <v>1489</v>
      </c>
      <c r="C1207" s="1055" t="s">
        <v>747</v>
      </c>
      <c r="D1207" s="1055" t="s">
        <v>1493</v>
      </c>
      <c r="E1207" s="1055" t="s">
        <v>1494</v>
      </c>
      <c r="F1207" s="1056">
        <v>0</v>
      </c>
      <c r="G1207" s="1056">
        <v>0</v>
      </c>
      <c r="H1207" s="1056">
        <v>0</v>
      </c>
      <c r="I1207" s="1056">
        <v>0</v>
      </c>
      <c r="K1207" s="1037">
        <f t="shared" si="18"/>
        <v>8</v>
      </c>
    </row>
    <row r="1208" spans="1:11" ht="12.75">
      <c r="A1208" s="1054">
        <v>25500501</v>
      </c>
      <c r="B1208" s="1055" t="s">
        <v>1489</v>
      </c>
      <c r="C1208" s="1055" t="s">
        <v>747</v>
      </c>
      <c r="D1208" s="1055" t="s">
        <v>1841</v>
      </c>
      <c r="E1208" s="1055" t="s">
        <v>1842</v>
      </c>
      <c r="F1208" s="1056">
        <v>0</v>
      </c>
      <c r="G1208" s="1056">
        <v>0</v>
      </c>
      <c r="H1208" s="1056">
        <v>0</v>
      </c>
      <c r="I1208" s="1056">
        <v>0</v>
      </c>
      <c r="K1208" s="1037">
        <f t="shared" si="18"/>
        <v>8</v>
      </c>
    </row>
    <row r="1209" spans="1:11" ht="12.75">
      <c r="A1209" s="1054">
        <v>25500501</v>
      </c>
      <c r="B1209" s="1055" t="s">
        <v>1489</v>
      </c>
      <c r="C1209" s="1055" t="s">
        <v>747</v>
      </c>
      <c r="D1209" s="1055" t="s">
        <v>1519</v>
      </c>
      <c r="E1209" s="1055" t="s">
        <v>1520</v>
      </c>
      <c r="F1209" s="1056">
        <v>0</v>
      </c>
      <c r="G1209" s="1056">
        <v>0</v>
      </c>
      <c r="H1209" s="1056">
        <v>0</v>
      </c>
      <c r="I1209" s="1056">
        <v>0</v>
      </c>
      <c r="K1209" s="1037">
        <f t="shared" si="18"/>
        <v>8</v>
      </c>
    </row>
    <row r="1210" spans="1:11" ht="12.75">
      <c r="A1210" s="1054">
        <v>25500501</v>
      </c>
      <c r="B1210" s="1055" t="s">
        <v>1489</v>
      </c>
      <c r="C1210" s="1055" t="s">
        <v>747</v>
      </c>
      <c r="D1210" s="1055" t="s">
        <v>1368</v>
      </c>
      <c r="E1210" s="1055" t="s">
        <v>1369</v>
      </c>
      <c r="F1210" s="1056">
        <v>0</v>
      </c>
      <c r="G1210" s="1056">
        <v>0</v>
      </c>
      <c r="H1210" s="1056">
        <v>0</v>
      </c>
      <c r="I1210" s="1056">
        <v>0</v>
      </c>
      <c r="K1210" s="1037">
        <f t="shared" si="18"/>
        <v>8</v>
      </c>
    </row>
    <row r="1211" spans="1:11" ht="12.75">
      <c r="A1211" s="1054">
        <v>25500501</v>
      </c>
      <c r="B1211" s="1055" t="s">
        <v>1489</v>
      </c>
      <c r="C1211" s="1055" t="s">
        <v>747</v>
      </c>
      <c r="D1211" s="1055" t="s">
        <v>1895</v>
      </c>
      <c r="E1211" s="1055" t="s">
        <v>1896</v>
      </c>
      <c r="F1211" s="1056">
        <v>0</v>
      </c>
      <c r="G1211" s="1056">
        <v>0</v>
      </c>
      <c r="H1211" s="1056">
        <v>0</v>
      </c>
      <c r="I1211" s="1056">
        <v>0</v>
      </c>
      <c r="K1211" s="1037">
        <f t="shared" si="18"/>
        <v>8</v>
      </c>
    </row>
    <row r="1212" spans="1:11" ht="12.75">
      <c r="A1212" s="1054">
        <v>25500501</v>
      </c>
      <c r="B1212" s="1055" t="s">
        <v>1489</v>
      </c>
      <c r="C1212" s="1055" t="s">
        <v>747</v>
      </c>
      <c r="D1212" s="1055" t="s">
        <v>1495</v>
      </c>
      <c r="E1212" s="1055" t="s">
        <v>1496</v>
      </c>
      <c r="F1212" s="1056">
        <v>0</v>
      </c>
      <c r="G1212" s="1056">
        <v>0</v>
      </c>
      <c r="H1212" s="1056">
        <v>0</v>
      </c>
      <c r="I1212" s="1056">
        <v>0</v>
      </c>
      <c r="K1212" s="1037">
        <f t="shared" si="18"/>
        <v>8</v>
      </c>
    </row>
    <row r="1213" spans="1:11" ht="12.75">
      <c r="A1213" s="1054">
        <v>25500501</v>
      </c>
      <c r="B1213" s="1055" t="s">
        <v>1489</v>
      </c>
      <c r="C1213" s="1055" t="s">
        <v>747</v>
      </c>
      <c r="D1213" s="1055" t="s">
        <v>1320</v>
      </c>
      <c r="E1213" s="1055" t="s">
        <v>1321</v>
      </c>
      <c r="F1213" s="1056">
        <v>0</v>
      </c>
      <c r="G1213" s="1056">
        <v>0</v>
      </c>
      <c r="H1213" s="1056">
        <v>0</v>
      </c>
      <c r="I1213" s="1056">
        <v>0</v>
      </c>
      <c r="K1213" s="1037">
        <f t="shared" si="18"/>
        <v>8</v>
      </c>
    </row>
    <row r="1214" spans="1:11" ht="12.75">
      <c r="A1214" s="1054">
        <v>25500501</v>
      </c>
      <c r="B1214" s="1055" t="s">
        <v>1489</v>
      </c>
      <c r="C1214" s="1055" t="s">
        <v>747</v>
      </c>
      <c r="D1214" s="1055" t="s">
        <v>1274</v>
      </c>
      <c r="E1214" s="1055" t="s">
        <v>989</v>
      </c>
      <c r="F1214" s="1056">
        <v>0</v>
      </c>
      <c r="G1214" s="1056">
        <v>0</v>
      </c>
      <c r="H1214" s="1056">
        <v>0</v>
      </c>
      <c r="I1214" s="1056">
        <v>0</v>
      </c>
      <c r="K1214" s="1037">
        <f t="shared" si="18"/>
        <v>8</v>
      </c>
    </row>
    <row r="1215" spans="1:11" ht="12.75">
      <c r="A1215" s="1054">
        <v>25500501</v>
      </c>
      <c r="B1215" s="1055" t="s">
        <v>1489</v>
      </c>
      <c r="C1215" s="1055" t="s">
        <v>747</v>
      </c>
      <c r="D1215" s="1055" t="s">
        <v>1497</v>
      </c>
      <c r="E1215" s="1055" t="s">
        <v>1498</v>
      </c>
      <c r="F1215" s="1056">
        <v>0</v>
      </c>
      <c r="G1215" s="1056">
        <v>0</v>
      </c>
      <c r="H1215" s="1056">
        <v>0</v>
      </c>
      <c r="I1215" s="1056">
        <v>0</v>
      </c>
      <c r="K1215" s="1037">
        <f t="shared" si="18"/>
        <v>8</v>
      </c>
    </row>
    <row r="1216" spans="1:11" ht="12.75">
      <c r="A1216" s="1054">
        <v>25500501</v>
      </c>
      <c r="B1216" s="1055" t="s">
        <v>1489</v>
      </c>
      <c r="C1216" s="1055" t="s">
        <v>747</v>
      </c>
      <c r="D1216" s="1055" t="s">
        <v>1043</v>
      </c>
      <c r="E1216" s="1055" t="s">
        <v>318</v>
      </c>
      <c r="F1216" s="1056">
        <v>0</v>
      </c>
      <c r="G1216" s="1056">
        <v>0</v>
      </c>
      <c r="H1216" s="1056">
        <v>0</v>
      </c>
      <c r="I1216" s="1056">
        <v>0</v>
      </c>
      <c r="K1216" s="1037">
        <f t="shared" si="18"/>
        <v>8</v>
      </c>
    </row>
    <row r="1217" spans="1:11" ht="12.75">
      <c r="A1217" s="1054">
        <v>25500501</v>
      </c>
      <c r="B1217" s="1055" t="s">
        <v>1489</v>
      </c>
      <c r="C1217" s="1055" t="s">
        <v>747</v>
      </c>
      <c r="D1217" s="1055" t="s">
        <v>1370</v>
      </c>
      <c r="E1217" s="1055" t="s">
        <v>1371</v>
      </c>
      <c r="F1217" s="1056">
        <v>0</v>
      </c>
      <c r="G1217" s="1056">
        <v>0</v>
      </c>
      <c r="H1217" s="1056">
        <v>0</v>
      </c>
      <c r="I1217" s="1056">
        <v>0</v>
      </c>
      <c r="K1217" s="1037">
        <f t="shared" si="18"/>
        <v>8</v>
      </c>
    </row>
    <row r="1218" spans="1:11" ht="12.75">
      <c r="A1218" s="1054">
        <v>25500501</v>
      </c>
      <c r="B1218" s="1055" t="s">
        <v>1489</v>
      </c>
      <c r="C1218" s="1055" t="s">
        <v>747</v>
      </c>
      <c r="D1218" s="1055" t="s">
        <v>1843</v>
      </c>
      <c r="E1218" s="1055" t="s">
        <v>1844</v>
      </c>
      <c r="F1218" s="1056">
        <v>0</v>
      </c>
      <c r="G1218" s="1056">
        <v>0</v>
      </c>
      <c r="H1218" s="1056">
        <v>0</v>
      </c>
      <c r="I1218" s="1056">
        <v>0</v>
      </c>
      <c r="K1218" s="1037">
        <f t="shared" si="18"/>
        <v>8</v>
      </c>
    </row>
    <row r="1219" spans="1:11" ht="12.75">
      <c r="A1219" s="1054">
        <v>25500501</v>
      </c>
      <c r="B1219" s="1055" t="s">
        <v>1489</v>
      </c>
      <c r="C1219" s="1055" t="s">
        <v>747</v>
      </c>
      <c r="D1219" s="1055" t="s">
        <v>1255</v>
      </c>
      <c r="E1219" s="1055" t="s">
        <v>1256</v>
      </c>
      <c r="F1219" s="1056">
        <v>5762</v>
      </c>
      <c r="G1219" s="1056">
        <v>1164</v>
      </c>
      <c r="H1219" s="1056">
        <v>0</v>
      </c>
      <c r="I1219" s="1056">
        <v>6926</v>
      </c>
      <c r="K1219" s="1037">
        <f t="shared" si="18"/>
        <v>8</v>
      </c>
    </row>
    <row r="1220" spans="1:11" ht="12.75">
      <c r="A1220" s="1054">
        <v>25500501</v>
      </c>
      <c r="B1220" s="1055" t="s">
        <v>1489</v>
      </c>
      <c r="C1220" s="1055" t="s">
        <v>747</v>
      </c>
      <c r="D1220" s="1055" t="s">
        <v>1257</v>
      </c>
      <c r="E1220" s="1055" t="s">
        <v>1258</v>
      </c>
      <c r="F1220" s="1056">
        <v>3803</v>
      </c>
      <c r="G1220" s="1056">
        <v>824</v>
      </c>
      <c r="H1220" s="1056">
        <v>0</v>
      </c>
      <c r="I1220" s="1056">
        <v>4628</v>
      </c>
      <c r="K1220" s="1037">
        <f t="shared" si="18"/>
        <v>8</v>
      </c>
    </row>
    <row r="1221" spans="1:11" ht="12.75">
      <c r="A1221" s="1054">
        <v>25500501</v>
      </c>
      <c r="B1221" s="1055" t="s">
        <v>1489</v>
      </c>
      <c r="C1221" s="1055" t="s">
        <v>747</v>
      </c>
      <c r="D1221" s="1055" t="s">
        <v>1259</v>
      </c>
      <c r="E1221" s="1055" t="s">
        <v>1260</v>
      </c>
      <c r="F1221" s="1056">
        <v>392</v>
      </c>
      <c r="G1221" s="1056">
        <v>78</v>
      </c>
      <c r="H1221" s="1056">
        <v>0</v>
      </c>
      <c r="I1221" s="1056">
        <v>470</v>
      </c>
      <c r="K1221" s="1037">
        <f t="shared" ref="K1221:K1284" si="19">+LEN(A1221)</f>
        <v>8</v>
      </c>
    </row>
    <row r="1222" spans="1:11" ht="12.75">
      <c r="A1222" s="1054">
        <v>25500501</v>
      </c>
      <c r="B1222" s="1055" t="s">
        <v>1489</v>
      </c>
      <c r="C1222" s="1055" t="s">
        <v>747</v>
      </c>
      <c r="D1222" s="1055" t="s">
        <v>1261</v>
      </c>
      <c r="E1222" s="1055" t="s">
        <v>1262</v>
      </c>
      <c r="F1222" s="1056">
        <v>1317</v>
      </c>
      <c r="G1222" s="1056">
        <v>244</v>
      </c>
      <c r="H1222" s="1056">
        <v>0</v>
      </c>
      <c r="I1222" s="1056">
        <v>1562</v>
      </c>
      <c r="K1222" s="1037">
        <f t="shared" si="19"/>
        <v>8</v>
      </c>
    </row>
    <row r="1223" spans="1:11" ht="12.75">
      <c r="A1223" s="1054">
        <v>25500501</v>
      </c>
      <c r="B1223" s="1055" t="s">
        <v>1489</v>
      </c>
      <c r="C1223" s="1055" t="s">
        <v>747</v>
      </c>
      <c r="D1223" s="1055" t="s">
        <v>1399</v>
      </c>
      <c r="E1223" s="1055" t="s">
        <v>1400</v>
      </c>
      <c r="F1223" s="1056">
        <v>511</v>
      </c>
      <c r="G1223" s="1056">
        <v>90</v>
      </c>
      <c r="H1223" s="1056">
        <v>0</v>
      </c>
      <c r="I1223" s="1056">
        <v>601</v>
      </c>
      <c r="K1223" s="1037">
        <f t="shared" si="19"/>
        <v>8</v>
      </c>
    </row>
    <row r="1224" spans="1:11" ht="12.75">
      <c r="A1224" s="1054">
        <v>25500501</v>
      </c>
      <c r="B1224" s="1055" t="s">
        <v>1489</v>
      </c>
      <c r="C1224" s="1055" t="s">
        <v>747</v>
      </c>
      <c r="D1224" s="1055" t="s">
        <v>1263</v>
      </c>
      <c r="E1224" s="1055" t="s">
        <v>1264</v>
      </c>
      <c r="F1224" s="1056">
        <v>1287</v>
      </c>
      <c r="G1224" s="1056">
        <v>0</v>
      </c>
      <c r="H1224" s="1056">
        <v>0</v>
      </c>
      <c r="I1224" s="1056">
        <v>1287</v>
      </c>
      <c r="K1224" s="1037">
        <f t="shared" si="19"/>
        <v>8</v>
      </c>
    </row>
    <row r="1225" spans="1:11" ht="12.75">
      <c r="A1225" s="1054">
        <v>25500501</v>
      </c>
      <c r="B1225" s="1055" t="s">
        <v>1489</v>
      </c>
      <c r="C1225" s="1055" t="s">
        <v>747</v>
      </c>
      <c r="D1225" s="1055" t="s">
        <v>1759</v>
      </c>
      <c r="E1225" s="1055" t="s">
        <v>1760</v>
      </c>
      <c r="F1225" s="1056">
        <v>0</v>
      </c>
      <c r="G1225" s="1056">
        <v>0</v>
      </c>
      <c r="H1225" s="1056">
        <v>0</v>
      </c>
      <c r="I1225" s="1056">
        <v>0</v>
      </c>
      <c r="K1225" s="1037">
        <f t="shared" si="19"/>
        <v>8</v>
      </c>
    </row>
    <row r="1226" spans="1:11" ht="12.75">
      <c r="A1226" s="1054">
        <v>25500501</v>
      </c>
      <c r="B1226" s="1055" t="s">
        <v>1489</v>
      </c>
      <c r="C1226" s="1055" t="s">
        <v>747</v>
      </c>
      <c r="D1226" s="1055" t="s">
        <v>1581</v>
      </c>
      <c r="E1226" s="1055" t="s">
        <v>1582</v>
      </c>
      <c r="F1226" s="1056">
        <v>0</v>
      </c>
      <c r="G1226" s="1056">
        <v>0</v>
      </c>
      <c r="H1226" s="1056">
        <v>0</v>
      </c>
      <c r="I1226" s="1056">
        <v>0</v>
      </c>
      <c r="K1226" s="1037">
        <f t="shared" si="19"/>
        <v>8</v>
      </c>
    </row>
    <row r="1227" spans="1:11" ht="12.75">
      <c r="A1227" s="1054">
        <v>25500501</v>
      </c>
      <c r="B1227" s="1055" t="s">
        <v>1489</v>
      </c>
      <c r="C1227" s="1055" t="s">
        <v>747</v>
      </c>
      <c r="D1227" s="1055" t="s">
        <v>1521</v>
      </c>
      <c r="E1227" s="1055" t="s">
        <v>1522</v>
      </c>
      <c r="F1227" s="1056">
        <v>0</v>
      </c>
      <c r="G1227" s="1056">
        <v>0</v>
      </c>
      <c r="H1227" s="1056">
        <v>0</v>
      </c>
      <c r="I1227" s="1056">
        <v>0</v>
      </c>
      <c r="K1227" s="1037">
        <f t="shared" si="19"/>
        <v>8</v>
      </c>
    </row>
    <row r="1228" spans="1:11" ht="12.75">
      <c r="A1228" s="1054">
        <v>25500501</v>
      </c>
      <c r="B1228" s="1055" t="s">
        <v>1489</v>
      </c>
      <c r="C1228" s="1055" t="s">
        <v>747</v>
      </c>
      <c r="D1228" s="1055" t="s">
        <v>1426</v>
      </c>
      <c r="E1228" s="1055" t="s">
        <v>1427</v>
      </c>
      <c r="F1228" s="1056">
        <v>0</v>
      </c>
      <c r="G1228" s="1056">
        <v>0</v>
      </c>
      <c r="H1228" s="1056">
        <v>0</v>
      </c>
      <c r="I1228" s="1056">
        <v>0</v>
      </c>
      <c r="K1228" s="1037">
        <f t="shared" si="19"/>
        <v>8</v>
      </c>
    </row>
    <row r="1229" spans="1:11" ht="12.75">
      <c r="A1229" s="1054">
        <v>25500501</v>
      </c>
      <c r="B1229" s="1055" t="s">
        <v>1489</v>
      </c>
      <c r="C1229" s="1055" t="s">
        <v>747</v>
      </c>
      <c r="D1229" s="1055" t="s">
        <v>1583</v>
      </c>
      <c r="E1229" s="1055" t="s">
        <v>1584</v>
      </c>
      <c r="F1229" s="1056">
        <v>0</v>
      </c>
      <c r="G1229" s="1056">
        <v>0</v>
      </c>
      <c r="H1229" s="1056">
        <v>0</v>
      </c>
      <c r="I1229" s="1056">
        <v>0</v>
      </c>
      <c r="K1229" s="1037">
        <f t="shared" si="19"/>
        <v>8</v>
      </c>
    </row>
    <row r="1230" spans="1:11" ht="12.75">
      <c r="A1230" s="1054">
        <v>25500501</v>
      </c>
      <c r="B1230" s="1055" t="s">
        <v>1489</v>
      </c>
      <c r="C1230" s="1055" t="s">
        <v>747</v>
      </c>
      <c r="D1230" s="1055" t="s">
        <v>1374</v>
      </c>
      <c r="E1230" s="1055" t="s">
        <v>1375</v>
      </c>
      <c r="F1230" s="1056">
        <v>0</v>
      </c>
      <c r="G1230" s="1056">
        <v>0</v>
      </c>
      <c r="H1230" s="1056">
        <v>0</v>
      </c>
      <c r="I1230" s="1056">
        <v>0</v>
      </c>
      <c r="K1230" s="1037">
        <f t="shared" si="19"/>
        <v>8</v>
      </c>
    </row>
    <row r="1231" spans="1:11" ht="12.75">
      <c r="A1231" s="1054">
        <v>25500501</v>
      </c>
      <c r="B1231" s="1055" t="s">
        <v>1489</v>
      </c>
      <c r="C1231" s="1055" t="s">
        <v>747</v>
      </c>
      <c r="D1231" s="1055" t="s">
        <v>1249</v>
      </c>
      <c r="E1231" s="1055" t="s">
        <v>583</v>
      </c>
      <c r="F1231" s="1056">
        <v>0</v>
      </c>
      <c r="G1231" s="1056">
        <v>0</v>
      </c>
      <c r="H1231" s="1056">
        <v>0</v>
      </c>
      <c r="I1231" s="1056">
        <v>0</v>
      </c>
      <c r="K1231" s="1037">
        <f t="shared" si="19"/>
        <v>8</v>
      </c>
    </row>
    <row r="1232" spans="1:11" ht="12.75">
      <c r="A1232" s="1054">
        <v>25500501</v>
      </c>
      <c r="B1232" s="1055" t="s">
        <v>1489</v>
      </c>
      <c r="C1232" s="1055" t="s">
        <v>747</v>
      </c>
      <c r="D1232" s="1055" t="s">
        <v>1376</v>
      </c>
      <c r="E1232" s="1055" t="s">
        <v>1377</v>
      </c>
      <c r="F1232" s="1056">
        <v>0</v>
      </c>
      <c r="G1232" s="1056">
        <v>0</v>
      </c>
      <c r="H1232" s="1056">
        <v>0</v>
      </c>
      <c r="I1232" s="1056">
        <v>0</v>
      </c>
      <c r="K1232" s="1037">
        <f t="shared" si="19"/>
        <v>8</v>
      </c>
    </row>
    <row r="1233" spans="1:11" ht="12.75">
      <c r="A1233" s="1054">
        <v>25500501</v>
      </c>
      <c r="B1233" s="1055" t="s">
        <v>1489</v>
      </c>
      <c r="C1233" s="1055" t="s">
        <v>747</v>
      </c>
      <c r="D1233" s="1055" t="s">
        <v>1845</v>
      </c>
      <c r="E1233" s="1055" t="s">
        <v>1846</v>
      </c>
      <c r="F1233" s="1056">
        <v>0</v>
      </c>
      <c r="G1233" s="1056">
        <v>0</v>
      </c>
      <c r="H1233" s="1056">
        <v>0</v>
      </c>
      <c r="I1233" s="1056">
        <v>0</v>
      </c>
      <c r="K1233" s="1037">
        <f t="shared" si="19"/>
        <v>8</v>
      </c>
    </row>
    <row r="1234" spans="1:11" ht="12.75">
      <c r="A1234" s="1054">
        <v>25500501</v>
      </c>
      <c r="B1234" s="1055" t="s">
        <v>1489</v>
      </c>
      <c r="C1234" s="1055" t="s">
        <v>747</v>
      </c>
      <c r="D1234" s="1055" t="s">
        <v>1306</v>
      </c>
      <c r="E1234" s="1055" t="s">
        <v>997</v>
      </c>
      <c r="F1234" s="1056">
        <v>0</v>
      </c>
      <c r="G1234" s="1056">
        <v>0</v>
      </c>
      <c r="H1234" s="1056">
        <v>0</v>
      </c>
      <c r="I1234" s="1056">
        <v>0</v>
      </c>
      <c r="K1234" s="1037">
        <f t="shared" si="19"/>
        <v>8</v>
      </c>
    </row>
    <row r="1235" spans="1:11" ht="12.75">
      <c r="A1235" s="1054">
        <v>25500501</v>
      </c>
      <c r="B1235" s="1055" t="s">
        <v>1489</v>
      </c>
      <c r="C1235" s="1055" t="s">
        <v>747</v>
      </c>
      <c r="D1235" s="1055" t="s">
        <v>1897</v>
      </c>
      <c r="E1235" s="1055" t="s">
        <v>1898</v>
      </c>
      <c r="F1235" s="1056">
        <v>0</v>
      </c>
      <c r="G1235" s="1056">
        <v>0</v>
      </c>
      <c r="H1235" s="1056">
        <v>0</v>
      </c>
      <c r="I1235" s="1056">
        <v>0</v>
      </c>
      <c r="K1235" s="1037">
        <f t="shared" si="19"/>
        <v>8</v>
      </c>
    </row>
    <row r="1236" spans="1:11" ht="12.75">
      <c r="A1236" s="1054">
        <v>25500501</v>
      </c>
      <c r="B1236" s="1055" t="s">
        <v>1489</v>
      </c>
      <c r="C1236" s="1055" t="s">
        <v>747</v>
      </c>
      <c r="D1236" s="1055" t="s">
        <v>1250</v>
      </c>
      <c r="E1236" s="1055" t="s">
        <v>1251</v>
      </c>
      <c r="F1236" s="1056">
        <v>0</v>
      </c>
      <c r="G1236" s="1056">
        <v>0</v>
      </c>
      <c r="H1236" s="1056">
        <v>0</v>
      </c>
      <c r="I1236" s="1056">
        <v>0</v>
      </c>
      <c r="K1236" s="1037">
        <f t="shared" si="19"/>
        <v>8</v>
      </c>
    </row>
    <row r="1237" spans="1:11" ht="12.75">
      <c r="A1237" s="1054">
        <v>25500501</v>
      </c>
      <c r="B1237" s="1055" t="s">
        <v>1489</v>
      </c>
      <c r="C1237" s="1055" t="s">
        <v>747</v>
      </c>
      <c r="D1237" s="1055" t="s">
        <v>1899</v>
      </c>
      <c r="E1237" s="1055" t="s">
        <v>1900</v>
      </c>
      <c r="F1237" s="1056">
        <v>0</v>
      </c>
      <c r="G1237" s="1056">
        <v>0</v>
      </c>
      <c r="H1237" s="1056">
        <v>0</v>
      </c>
      <c r="I1237" s="1056">
        <v>0</v>
      </c>
      <c r="K1237" s="1037">
        <f t="shared" si="19"/>
        <v>8</v>
      </c>
    </row>
    <row r="1238" spans="1:11" ht="12.75">
      <c r="A1238" s="1054">
        <v>25500501</v>
      </c>
      <c r="B1238" s="1055" t="s">
        <v>1489</v>
      </c>
      <c r="C1238" s="1055" t="s">
        <v>747</v>
      </c>
      <c r="D1238" s="1055" t="s">
        <v>1901</v>
      </c>
      <c r="E1238" s="1055" t="s">
        <v>1902</v>
      </c>
      <c r="F1238" s="1056">
        <v>0</v>
      </c>
      <c r="G1238" s="1056">
        <v>0</v>
      </c>
      <c r="H1238" s="1056">
        <v>0</v>
      </c>
      <c r="I1238" s="1056">
        <v>0</v>
      </c>
      <c r="K1238" s="1037">
        <f t="shared" si="19"/>
        <v>8</v>
      </c>
    </row>
    <row r="1239" spans="1:11" ht="12.75">
      <c r="A1239" s="1054">
        <v>25500501</v>
      </c>
      <c r="B1239" s="1055" t="s">
        <v>1489</v>
      </c>
      <c r="C1239" s="1055" t="s">
        <v>747</v>
      </c>
      <c r="D1239" s="1055" t="s">
        <v>1686</v>
      </c>
      <c r="E1239" s="1055" t="s">
        <v>1687</v>
      </c>
      <c r="F1239" s="1056">
        <v>0</v>
      </c>
      <c r="G1239" s="1056">
        <v>0</v>
      </c>
      <c r="H1239" s="1056">
        <v>0</v>
      </c>
      <c r="I1239" s="1056">
        <v>0</v>
      </c>
      <c r="K1239" s="1037">
        <f t="shared" si="19"/>
        <v>8</v>
      </c>
    </row>
    <row r="1240" spans="1:11" ht="12.75">
      <c r="A1240" s="1054">
        <v>25500501</v>
      </c>
      <c r="B1240" s="1055" t="s">
        <v>1489</v>
      </c>
      <c r="C1240" s="1055" t="s">
        <v>747</v>
      </c>
      <c r="D1240" s="1055" t="s">
        <v>1303</v>
      </c>
      <c r="E1240" s="1055" t="s">
        <v>806</v>
      </c>
      <c r="F1240" s="1056">
        <v>-5</v>
      </c>
      <c r="G1240" s="1056">
        <v>0</v>
      </c>
      <c r="H1240" s="1056">
        <v>0</v>
      </c>
      <c r="I1240" s="1056">
        <v>-5</v>
      </c>
      <c r="K1240" s="1037">
        <f t="shared" si="19"/>
        <v>8</v>
      </c>
    </row>
    <row r="1241" spans="1:11" ht="12.75">
      <c r="A1241" s="1054">
        <v>25500501</v>
      </c>
      <c r="B1241" s="1055" t="s">
        <v>1489</v>
      </c>
      <c r="C1241" s="1055" t="s">
        <v>747</v>
      </c>
      <c r="D1241" s="1055" t="s">
        <v>1523</v>
      </c>
      <c r="E1241" s="1055" t="s">
        <v>1524</v>
      </c>
      <c r="F1241" s="1056">
        <v>0</v>
      </c>
      <c r="G1241" s="1056">
        <v>0</v>
      </c>
      <c r="H1241" s="1056">
        <v>0</v>
      </c>
      <c r="I1241" s="1056">
        <v>0</v>
      </c>
      <c r="K1241" s="1037">
        <f t="shared" si="19"/>
        <v>8</v>
      </c>
    </row>
    <row r="1242" spans="1:11" ht="12.75">
      <c r="A1242" s="1054">
        <v>25500501</v>
      </c>
      <c r="B1242" s="1055" t="s">
        <v>1489</v>
      </c>
      <c r="C1242" s="1055" t="s">
        <v>747</v>
      </c>
      <c r="D1242" s="1055" t="s">
        <v>1480</v>
      </c>
      <c r="E1242" s="1055" t="s">
        <v>1481</v>
      </c>
      <c r="F1242" s="1056">
        <v>0</v>
      </c>
      <c r="G1242" s="1056">
        <v>0</v>
      </c>
      <c r="H1242" s="1056">
        <v>0</v>
      </c>
      <c r="I1242" s="1056">
        <v>0</v>
      </c>
      <c r="K1242" s="1037">
        <f t="shared" si="19"/>
        <v>8</v>
      </c>
    </row>
    <row r="1243" spans="1:11" ht="12.75">
      <c r="A1243" s="1054">
        <v>25500501</v>
      </c>
      <c r="B1243" s="1055" t="s">
        <v>1489</v>
      </c>
      <c r="C1243" s="1055" t="s">
        <v>747</v>
      </c>
      <c r="D1243" s="1055" t="s">
        <v>1847</v>
      </c>
      <c r="E1243" s="1055" t="s">
        <v>1848</v>
      </c>
      <c r="F1243" s="1056">
        <v>0</v>
      </c>
      <c r="G1243" s="1056">
        <v>0</v>
      </c>
      <c r="H1243" s="1056">
        <v>0</v>
      </c>
      <c r="I1243" s="1056">
        <v>0</v>
      </c>
      <c r="K1243" s="1037">
        <f t="shared" si="19"/>
        <v>8</v>
      </c>
    </row>
    <row r="1244" spans="1:11" ht="12.75">
      <c r="A1244" s="1054">
        <v>25500501</v>
      </c>
      <c r="B1244" s="1055" t="s">
        <v>1489</v>
      </c>
      <c r="C1244" s="1055" t="s">
        <v>747</v>
      </c>
      <c r="D1244" s="1055" t="s">
        <v>1761</v>
      </c>
      <c r="E1244" s="1055" t="s">
        <v>1762</v>
      </c>
      <c r="F1244" s="1056">
        <v>0</v>
      </c>
      <c r="G1244" s="1056">
        <v>0</v>
      </c>
      <c r="H1244" s="1056">
        <v>0</v>
      </c>
      <c r="I1244" s="1056">
        <v>0</v>
      </c>
      <c r="K1244" s="1037">
        <f t="shared" si="19"/>
        <v>8</v>
      </c>
    </row>
    <row r="1245" spans="1:11" ht="12.75">
      <c r="A1245" s="1054">
        <v>25500501</v>
      </c>
      <c r="B1245" s="1055" t="s">
        <v>1489</v>
      </c>
      <c r="C1245" s="1055" t="s">
        <v>747</v>
      </c>
      <c r="D1245" s="1055" t="s">
        <v>1428</v>
      </c>
      <c r="E1245" s="1055" t="s">
        <v>1429</v>
      </c>
      <c r="F1245" s="1056">
        <v>0</v>
      </c>
      <c r="G1245" s="1056">
        <v>0</v>
      </c>
      <c r="H1245" s="1056">
        <v>0</v>
      </c>
      <c r="I1245" s="1056">
        <v>0</v>
      </c>
      <c r="K1245" s="1037">
        <f t="shared" si="19"/>
        <v>8</v>
      </c>
    </row>
    <row r="1246" spans="1:11" ht="12.75">
      <c r="A1246" s="1054">
        <v>25500501</v>
      </c>
      <c r="B1246" s="1055" t="s">
        <v>1489</v>
      </c>
      <c r="C1246" s="1055" t="s">
        <v>747</v>
      </c>
      <c r="D1246" s="1055" t="s">
        <v>1849</v>
      </c>
      <c r="E1246" s="1055" t="s">
        <v>1850</v>
      </c>
      <c r="F1246" s="1056">
        <v>0</v>
      </c>
      <c r="G1246" s="1056">
        <v>0</v>
      </c>
      <c r="H1246" s="1056">
        <v>0</v>
      </c>
      <c r="I1246" s="1056">
        <v>0</v>
      </c>
      <c r="K1246" s="1037">
        <f t="shared" si="19"/>
        <v>8</v>
      </c>
    </row>
    <row r="1247" spans="1:11" ht="12.75">
      <c r="A1247" s="1054">
        <v>25500501</v>
      </c>
      <c r="B1247" s="1055" t="s">
        <v>1489</v>
      </c>
      <c r="C1247" s="1055" t="s">
        <v>747</v>
      </c>
      <c r="D1247" s="1055" t="s">
        <v>1275</v>
      </c>
      <c r="E1247" s="1055" t="s">
        <v>991</v>
      </c>
      <c r="F1247" s="1056">
        <v>-1</v>
      </c>
      <c r="G1247" s="1056">
        <v>0</v>
      </c>
      <c r="H1247" s="1056">
        <v>0</v>
      </c>
      <c r="I1247" s="1056">
        <v>-1</v>
      </c>
      <c r="K1247" s="1037">
        <f t="shared" si="19"/>
        <v>8</v>
      </c>
    </row>
    <row r="1248" spans="1:11" ht="12.75">
      <c r="A1248" s="1054">
        <v>25500501</v>
      </c>
      <c r="B1248" s="1055" t="s">
        <v>1489</v>
      </c>
      <c r="C1248" s="1055" t="s">
        <v>747</v>
      </c>
      <c r="D1248" s="1055" t="s">
        <v>1380</v>
      </c>
      <c r="E1248" s="1055" t="s">
        <v>1381</v>
      </c>
      <c r="F1248" s="1056">
        <v>-3</v>
      </c>
      <c r="G1248" s="1056">
        <v>0</v>
      </c>
      <c r="H1248" s="1056">
        <v>0</v>
      </c>
      <c r="I1248" s="1056">
        <v>-3</v>
      </c>
      <c r="K1248" s="1037">
        <f t="shared" si="19"/>
        <v>8</v>
      </c>
    </row>
    <row r="1249" spans="1:11" ht="12.75">
      <c r="A1249" s="1054">
        <v>25500501</v>
      </c>
      <c r="B1249" s="1055" t="s">
        <v>1489</v>
      </c>
      <c r="C1249" s="1055" t="s">
        <v>747</v>
      </c>
      <c r="D1249" s="1055" t="s">
        <v>1585</v>
      </c>
      <c r="E1249" s="1055" t="s">
        <v>1586</v>
      </c>
      <c r="F1249" s="1056">
        <v>0</v>
      </c>
      <c r="G1249" s="1056">
        <v>0</v>
      </c>
      <c r="H1249" s="1056">
        <v>5</v>
      </c>
      <c r="I1249" s="1056">
        <v>-5</v>
      </c>
      <c r="K1249" s="1037">
        <f t="shared" si="19"/>
        <v>8</v>
      </c>
    </row>
    <row r="1250" spans="1:11" ht="12.75">
      <c r="A1250" s="1054">
        <v>25500501</v>
      </c>
      <c r="B1250" s="1055" t="s">
        <v>1489</v>
      </c>
      <c r="C1250" s="1055" t="s">
        <v>747</v>
      </c>
      <c r="D1250" s="1055" t="s">
        <v>1382</v>
      </c>
      <c r="E1250" s="1055" t="s">
        <v>1763</v>
      </c>
      <c r="F1250" s="1056">
        <v>2</v>
      </c>
      <c r="G1250" s="1056">
        <v>0</v>
      </c>
      <c r="H1250" s="1056">
        <v>0</v>
      </c>
      <c r="I1250" s="1056">
        <v>2</v>
      </c>
      <c r="K1250" s="1037">
        <f t="shared" si="19"/>
        <v>8</v>
      </c>
    </row>
    <row r="1251" spans="1:11" ht="12.75">
      <c r="A1251" s="1054">
        <v>25500501</v>
      </c>
      <c r="B1251" s="1055" t="s">
        <v>1489</v>
      </c>
      <c r="C1251" s="1055" t="s">
        <v>747</v>
      </c>
      <c r="D1251" s="1055" t="s">
        <v>1440</v>
      </c>
      <c r="E1251" s="1055" t="s">
        <v>1441</v>
      </c>
      <c r="F1251" s="1056">
        <v>0</v>
      </c>
      <c r="G1251" s="1056">
        <v>0</v>
      </c>
      <c r="H1251" s="1056">
        <v>0</v>
      </c>
      <c r="I1251" s="1056">
        <v>0</v>
      </c>
      <c r="K1251" s="1037">
        <f t="shared" si="19"/>
        <v>8</v>
      </c>
    </row>
    <row r="1252" spans="1:11" ht="12.75">
      <c r="A1252" s="1054">
        <v>25500501</v>
      </c>
      <c r="B1252" s="1055" t="s">
        <v>1489</v>
      </c>
      <c r="C1252" s="1055" t="s">
        <v>747</v>
      </c>
      <c r="D1252" s="1055" t="s">
        <v>1383</v>
      </c>
      <c r="E1252" s="1055" t="s">
        <v>1384</v>
      </c>
      <c r="F1252" s="1056">
        <v>0</v>
      </c>
      <c r="G1252" s="1056">
        <v>0</v>
      </c>
      <c r="H1252" s="1056">
        <v>0</v>
      </c>
      <c r="I1252" s="1056">
        <v>-1</v>
      </c>
      <c r="K1252" s="1037">
        <f t="shared" si="19"/>
        <v>8</v>
      </c>
    </row>
    <row r="1253" spans="1:11" ht="12.75">
      <c r="A1253" s="1054">
        <v>25500501</v>
      </c>
      <c r="B1253" s="1055" t="s">
        <v>1489</v>
      </c>
      <c r="C1253" s="1055" t="s">
        <v>747</v>
      </c>
      <c r="D1253" s="1055" t="s">
        <v>1430</v>
      </c>
      <c r="E1253" s="1055" t="s">
        <v>1431</v>
      </c>
      <c r="F1253" s="1056">
        <v>0</v>
      </c>
      <c r="G1253" s="1056">
        <v>0</v>
      </c>
      <c r="H1253" s="1056">
        <v>0</v>
      </c>
      <c r="I1253" s="1056">
        <v>0</v>
      </c>
      <c r="K1253" s="1037">
        <f t="shared" si="19"/>
        <v>8</v>
      </c>
    </row>
    <row r="1254" spans="1:11" ht="12.75">
      <c r="A1254" s="1054">
        <v>25500501</v>
      </c>
      <c r="B1254" s="1055" t="s">
        <v>1489</v>
      </c>
      <c r="C1254" s="1055" t="s">
        <v>747</v>
      </c>
      <c r="D1254" s="1055" t="s">
        <v>1587</v>
      </c>
      <c r="E1254" s="1055" t="s">
        <v>1588</v>
      </c>
      <c r="F1254" s="1056">
        <v>0</v>
      </c>
      <c r="G1254" s="1056">
        <v>0</v>
      </c>
      <c r="H1254" s="1056">
        <v>0</v>
      </c>
      <c r="I1254" s="1056">
        <v>0</v>
      </c>
      <c r="K1254" s="1037">
        <f t="shared" si="19"/>
        <v>8</v>
      </c>
    </row>
    <row r="1255" spans="1:11" ht="12.75">
      <c r="A1255" s="1054">
        <v>25500503</v>
      </c>
      <c r="B1255" s="1055" t="s">
        <v>893</v>
      </c>
      <c r="C1255" s="1055" t="s">
        <v>749</v>
      </c>
      <c r="D1255" s="1055" t="s">
        <v>893</v>
      </c>
      <c r="E1255" s="1055" t="s">
        <v>893</v>
      </c>
      <c r="F1255" s="1056">
        <v>-12998</v>
      </c>
      <c r="G1255" s="1056">
        <v>0</v>
      </c>
      <c r="H1255" s="1056">
        <v>2596</v>
      </c>
      <c r="I1255" s="1056">
        <v>-15594</v>
      </c>
      <c r="K1255" s="1037">
        <f t="shared" si="19"/>
        <v>8</v>
      </c>
    </row>
    <row r="1256" spans="1:11" ht="12.75">
      <c r="A1256" s="1054">
        <v>25500503</v>
      </c>
      <c r="B1256" s="1055" t="s">
        <v>893</v>
      </c>
      <c r="C1256" s="1055" t="s">
        <v>749</v>
      </c>
      <c r="D1256" s="1055" t="s">
        <v>1575</v>
      </c>
      <c r="E1256" s="1055" t="s">
        <v>1576</v>
      </c>
      <c r="F1256" s="1056">
        <v>-215</v>
      </c>
      <c r="G1256" s="1056">
        <v>0</v>
      </c>
      <c r="H1256" s="1056">
        <v>0</v>
      </c>
      <c r="I1256" s="1056">
        <v>-215</v>
      </c>
      <c r="K1256" s="1037">
        <f t="shared" si="19"/>
        <v>8</v>
      </c>
    </row>
    <row r="1257" spans="1:11" ht="12.75">
      <c r="A1257" s="1054">
        <v>25500503</v>
      </c>
      <c r="B1257" s="1055" t="s">
        <v>893</v>
      </c>
      <c r="C1257" s="1055" t="s">
        <v>749</v>
      </c>
      <c r="D1257" s="1055" t="s">
        <v>1891</v>
      </c>
      <c r="E1257" s="1055" t="s">
        <v>1892</v>
      </c>
      <c r="F1257" s="1056">
        <v>0</v>
      </c>
      <c r="G1257" s="1056">
        <v>0</v>
      </c>
      <c r="H1257" s="1056">
        <v>85</v>
      </c>
      <c r="I1257" s="1056">
        <v>-85</v>
      </c>
      <c r="K1257" s="1037">
        <f t="shared" si="19"/>
        <v>8</v>
      </c>
    </row>
    <row r="1258" spans="1:11" ht="12.75">
      <c r="A1258" s="1054">
        <v>25500503</v>
      </c>
      <c r="B1258" s="1055" t="s">
        <v>893</v>
      </c>
      <c r="C1258" s="1055" t="s">
        <v>749</v>
      </c>
      <c r="D1258" s="1055" t="s">
        <v>1577</v>
      </c>
      <c r="E1258" s="1055" t="s">
        <v>1578</v>
      </c>
      <c r="F1258" s="1056">
        <v>-320</v>
      </c>
      <c r="G1258" s="1056">
        <v>0</v>
      </c>
      <c r="H1258" s="1056">
        <v>91</v>
      </c>
      <c r="I1258" s="1056">
        <v>-412</v>
      </c>
      <c r="K1258" s="1037">
        <f t="shared" si="19"/>
        <v>8</v>
      </c>
    </row>
    <row r="1259" spans="1:11" ht="12.75">
      <c r="A1259" s="1054">
        <v>25500503</v>
      </c>
      <c r="B1259" s="1055" t="s">
        <v>893</v>
      </c>
      <c r="C1259" s="1055" t="s">
        <v>749</v>
      </c>
      <c r="D1259" s="1055" t="s">
        <v>1360</v>
      </c>
      <c r="E1259" s="1055" t="s">
        <v>1361</v>
      </c>
      <c r="F1259" s="1056">
        <v>-556</v>
      </c>
      <c r="G1259" s="1056">
        <v>0</v>
      </c>
      <c r="H1259" s="1056">
        <v>111</v>
      </c>
      <c r="I1259" s="1056">
        <v>-667</v>
      </c>
      <c r="K1259" s="1037">
        <f t="shared" si="19"/>
        <v>8</v>
      </c>
    </row>
    <row r="1260" spans="1:11" ht="12.75">
      <c r="A1260" s="1054">
        <v>25500503</v>
      </c>
      <c r="B1260" s="1055" t="s">
        <v>893</v>
      </c>
      <c r="C1260" s="1055" t="s">
        <v>749</v>
      </c>
      <c r="D1260" s="1055" t="s">
        <v>1893</v>
      </c>
      <c r="E1260" s="1055" t="s">
        <v>1894</v>
      </c>
      <c r="F1260" s="1056">
        <v>0</v>
      </c>
      <c r="G1260" s="1056">
        <v>0</v>
      </c>
      <c r="H1260" s="1056">
        <v>86</v>
      </c>
      <c r="I1260" s="1056">
        <v>-86</v>
      </c>
      <c r="K1260" s="1037">
        <f t="shared" si="19"/>
        <v>8</v>
      </c>
    </row>
    <row r="1261" spans="1:11" ht="12.75">
      <c r="A1261" s="1054">
        <v>25500503</v>
      </c>
      <c r="B1261" s="1055" t="s">
        <v>893</v>
      </c>
      <c r="C1261" s="1055" t="s">
        <v>749</v>
      </c>
      <c r="D1261" s="1055" t="s">
        <v>1298</v>
      </c>
      <c r="E1261" s="1055" t="s">
        <v>987</v>
      </c>
      <c r="F1261" s="1056">
        <v>-353</v>
      </c>
      <c r="G1261" s="1056">
        <v>0</v>
      </c>
      <c r="H1261" s="1056">
        <v>0</v>
      </c>
      <c r="I1261" s="1056">
        <v>-353</v>
      </c>
      <c r="K1261" s="1037">
        <f t="shared" si="19"/>
        <v>8</v>
      </c>
    </row>
    <row r="1262" spans="1:11" ht="12.75">
      <c r="A1262" s="1054">
        <v>25500503</v>
      </c>
      <c r="B1262" s="1055" t="s">
        <v>893</v>
      </c>
      <c r="C1262" s="1055" t="s">
        <v>749</v>
      </c>
      <c r="D1262" s="1055" t="s">
        <v>1484</v>
      </c>
      <c r="E1262" s="1055" t="s">
        <v>1485</v>
      </c>
      <c r="F1262" s="1056">
        <v>-386</v>
      </c>
      <c r="G1262" s="1056">
        <v>0</v>
      </c>
      <c r="H1262" s="1056">
        <v>80</v>
      </c>
      <c r="I1262" s="1056">
        <v>-466</v>
      </c>
      <c r="K1262" s="1037">
        <f t="shared" si="19"/>
        <v>8</v>
      </c>
    </row>
    <row r="1263" spans="1:11" ht="12.75">
      <c r="A1263" s="1054">
        <v>25500503</v>
      </c>
      <c r="B1263" s="1055" t="s">
        <v>893</v>
      </c>
      <c r="C1263" s="1055" t="s">
        <v>749</v>
      </c>
      <c r="D1263" s="1055" t="s">
        <v>1579</v>
      </c>
      <c r="E1263" s="1055" t="s">
        <v>1580</v>
      </c>
      <c r="F1263" s="1056">
        <v>-359</v>
      </c>
      <c r="G1263" s="1056">
        <v>0</v>
      </c>
      <c r="H1263" s="1056">
        <v>106</v>
      </c>
      <c r="I1263" s="1056">
        <v>-465</v>
      </c>
      <c r="K1263" s="1037">
        <f t="shared" si="19"/>
        <v>8</v>
      </c>
    </row>
    <row r="1264" spans="1:11" ht="12.75">
      <c r="A1264" s="1054">
        <v>25500503</v>
      </c>
      <c r="B1264" s="1055" t="s">
        <v>893</v>
      </c>
      <c r="C1264" s="1055" t="s">
        <v>749</v>
      </c>
      <c r="D1264" s="1055" t="s">
        <v>1270</v>
      </c>
      <c r="E1264" s="1055" t="s">
        <v>988</v>
      </c>
      <c r="F1264" s="1056">
        <v>-479</v>
      </c>
      <c r="G1264" s="1056">
        <v>0</v>
      </c>
      <c r="H1264" s="1056">
        <v>99</v>
      </c>
      <c r="I1264" s="1056">
        <v>-578</v>
      </c>
      <c r="K1264" s="1037">
        <f t="shared" si="19"/>
        <v>8</v>
      </c>
    </row>
    <row r="1265" spans="1:11" ht="12.75">
      <c r="A1265" s="1054">
        <v>25500503</v>
      </c>
      <c r="B1265" s="1055" t="s">
        <v>893</v>
      </c>
      <c r="C1265" s="1055" t="s">
        <v>749</v>
      </c>
      <c r="D1265" s="1055" t="s">
        <v>1271</v>
      </c>
      <c r="E1265" s="1055" t="s">
        <v>782</v>
      </c>
      <c r="F1265" s="1056">
        <v>-101</v>
      </c>
      <c r="G1265" s="1056">
        <v>0</v>
      </c>
      <c r="H1265" s="1056">
        <v>0</v>
      </c>
      <c r="I1265" s="1056">
        <v>-101</v>
      </c>
      <c r="K1265" s="1037">
        <f t="shared" si="19"/>
        <v>8</v>
      </c>
    </row>
    <row r="1266" spans="1:11" ht="12.75">
      <c r="A1266" s="1054">
        <v>25500503</v>
      </c>
      <c r="B1266" s="1055" t="s">
        <v>893</v>
      </c>
      <c r="C1266" s="1055" t="s">
        <v>749</v>
      </c>
      <c r="D1266" s="1055" t="s">
        <v>1272</v>
      </c>
      <c r="E1266" s="1055" t="s">
        <v>1273</v>
      </c>
      <c r="F1266" s="1056">
        <v>0</v>
      </c>
      <c r="G1266" s="1056">
        <v>0</v>
      </c>
      <c r="H1266" s="1056">
        <v>117</v>
      </c>
      <c r="I1266" s="1056">
        <v>-117</v>
      </c>
      <c r="K1266" s="1037">
        <f t="shared" si="19"/>
        <v>8</v>
      </c>
    </row>
    <row r="1267" spans="1:11" ht="12.75">
      <c r="A1267" s="1054">
        <v>25500503</v>
      </c>
      <c r="B1267" s="1055" t="s">
        <v>893</v>
      </c>
      <c r="C1267" s="1055" t="s">
        <v>749</v>
      </c>
      <c r="D1267" s="1055" t="s">
        <v>1420</v>
      </c>
      <c r="E1267" s="1055" t="s">
        <v>1421</v>
      </c>
      <c r="F1267" s="1056">
        <v>-370</v>
      </c>
      <c r="G1267" s="1056">
        <v>0</v>
      </c>
      <c r="H1267" s="1056">
        <v>38</v>
      </c>
      <c r="I1267" s="1056">
        <v>-408</v>
      </c>
      <c r="K1267" s="1037">
        <f t="shared" si="19"/>
        <v>8</v>
      </c>
    </row>
    <row r="1268" spans="1:11" ht="12.75">
      <c r="A1268" s="1054">
        <v>25500503</v>
      </c>
      <c r="B1268" s="1055" t="s">
        <v>893</v>
      </c>
      <c r="C1268" s="1055" t="s">
        <v>749</v>
      </c>
      <c r="D1268" s="1055" t="s">
        <v>1493</v>
      </c>
      <c r="E1268" s="1055" t="s">
        <v>1494</v>
      </c>
      <c r="F1268" s="1056">
        <v>-408</v>
      </c>
      <c r="G1268" s="1056">
        <v>0</v>
      </c>
      <c r="H1268" s="1056">
        <v>0</v>
      </c>
      <c r="I1268" s="1056">
        <v>-408</v>
      </c>
      <c r="K1268" s="1037">
        <f t="shared" si="19"/>
        <v>8</v>
      </c>
    </row>
    <row r="1269" spans="1:11" ht="12.75">
      <c r="A1269" s="1054">
        <v>25500503</v>
      </c>
      <c r="B1269" s="1055" t="s">
        <v>893</v>
      </c>
      <c r="C1269" s="1055" t="s">
        <v>749</v>
      </c>
      <c r="D1269" s="1055" t="s">
        <v>1841</v>
      </c>
      <c r="E1269" s="1055" t="s">
        <v>1842</v>
      </c>
      <c r="F1269" s="1056">
        <v>-106</v>
      </c>
      <c r="G1269" s="1056">
        <v>0</v>
      </c>
      <c r="H1269" s="1056">
        <v>106</v>
      </c>
      <c r="I1269" s="1056">
        <v>-211</v>
      </c>
      <c r="K1269" s="1037">
        <f t="shared" si="19"/>
        <v>8</v>
      </c>
    </row>
    <row r="1270" spans="1:11" ht="12.75">
      <c r="A1270" s="1054">
        <v>25500503</v>
      </c>
      <c r="B1270" s="1055" t="s">
        <v>893</v>
      </c>
      <c r="C1270" s="1055" t="s">
        <v>749</v>
      </c>
      <c r="D1270" s="1055" t="s">
        <v>1519</v>
      </c>
      <c r="E1270" s="1055" t="s">
        <v>1520</v>
      </c>
      <c r="F1270" s="1056">
        <v>-37</v>
      </c>
      <c r="G1270" s="1056">
        <v>0</v>
      </c>
      <c r="H1270" s="1056">
        <v>0</v>
      </c>
      <c r="I1270" s="1056">
        <v>-37</v>
      </c>
      <c r="K1270" s="1037">
        <f t="shared" si="19"/>
        <v>8</v>
      </c>
    </row>
    <row r="1271" spans="1:11" ht="12.75">
      <c r="A1271" s="1054">
        <v>25500503</v>
      </c>
      <c r="B1271" s="1055" t="s">
        <v>893</v>
      </c>
      <c r="C1271" s="1055" t="s">
        <v>749</v>
      </c>
      <c r="D1271" s="1055" t="s">
        <v>1368</v>
      </c>
      <c r="E1271" s="1055" t="s">
        <v>1369</v>
      </c>
      <c r="F1271" s="1056">
        <v>-19</v>
      </c>
      <c r="G1271" s="1056">
        <v>0</v>
      </c>
      <c r="H1271" s="1056">
        <v>0</v>
      </c>
      <c r="I1271" s="1056">
        <v>-19</v>
      </c>
      <c r="K1271" s="1037">
        <f t="shared" si="19"/>
        <v>8</v>
      </c>
    </row>
    <row r="1272" spans="1:11" ht="12.75">
      <c r="A1272" s="1054">
        <v>25500503</v>
      </c>
      <c r="B1272" s="1055" t="s">
        <v>893</v>
      </c>
      <c r="C1272" s="1055" t="s">
        <v>749</v>
      </c>
      <c r="D1272" s="1055" t="s">
        <v>1895</v>
      </c>
      <c r="E1272" s="1055" t="s">
        <v>1896</v>
      </c>
      <c r="F1272" s="1056">
        <v>0</v>
      </c>
      <c r="G1272" s="1056">
        <v>0</v>
      </c>
      <c r="H1272" s="1056">
        <v>14</v>
      </c>
      <c r="I1272" s="1056">
        <v>-14</v>
      </c>
      <c r="K1272" s="1037">
        <f t="shared" si="19"/>
        <v>8</v>
      </c>
    </row>
    <row r="1273" spans="1:11" ht="12.75">
      <c r="A1273" s="1054">
        <v>25500503</v>
      </c>
      <c r="B1273" s="1055" t="s">
        <v>893</v>
      </c>
      <c r="C1273" s="1055" t="s">
        <v>749</v>
      </c>
      <c r="D1273" s="1055" t="s">
        <v>1495</v>
      </c>
      <c r="E1273" s="1055" t="s">
        <v>1496</v>
      </c>
      <c r="F1273" s="1056">
        <v>-33</v>
      </c>
      <c r="G1273" s="1056">
        <v>0</v>
      </c>
      <c r="H1273" s="1056">
        <v>0</v>
      </c>
      <c r="I1273" s="1056">
        <v>-33</v>
      </c>
      <c r="K1273" s="1037">
        <f t="shared" si="19"/>
        <v>8</v>
      </c>
    </row>
    <row r="1274" spans="1:11" ht="12.75">
      <c r="A1274" s="1054">
        <v>25500503</v>
      </c>
      <c r="B1274" s="1055" t="s">
        <v>893</v>
      </c>
      <c r="C1274" s="1055" t="s">
        <v>749</v>
      </c>
      <c r="D1274" s="1055" t="s">
        <v>1320</v>
      </c>
      <c r="E1274" s="1055" t="s">
        <v>1321</v>
      </c>
      <c r="F1274" s="1056">
        <v>-395</v>
      </c>
      <c r="G1274" s="1056">
        <v>0</v>
      </c>
      <c r="H1274" s="1056">
        <v>83</v>
      </c>
      <c r="I1274" s="1056">
        <v>-478</v>
      </c>
      <c r="K1274" s="1037">
        <f t="shared" si="19"/>
        <v>8</v>
      </c>
    </row>
    <row r="1275" spans="1:11" ht="12.75">
      <c r="A1275" s="1054">
        <v>25500503</v>
      </c>
      <c r="B1275" s="1055" t="s">
        <v>893</v>
      </c>
      <c r="C1275" s="1055" t="s">
        <v>749</v>
      </c>
      <c r="D1275" s="1055" t="s">
        <v>1274</v>
      </c>
      <c r="E1275" s="1055" t="s">
        <v>989</v>
      </c>
      <c r="F1275" s="1056">
        <v>-489</v>
      </c>
      <c r="G1275" s="1056">
        <v>0</v>
      </c>
      <c r="H1275" s="1056">
        <v>95</v>
      </c>
      <c r="I1275" s="1056">
        <v>-584</v>
      </c>
      <c r="K1275" s="1037">
        <f t="shared" si="19"/>
        <v>8</v>
      </c>
    </row>
    <row r="1276" spans="1:11" ht="12.75">
      <c r="A1276" s="1054">
        <v>25500503</v>
      </c>
      <c r="B1276" s="1055" t="s">
        <v>893</v>
      </c>
      <c r="C1276" s="1055" t="s">
        <v>749</v>
      </c>
      <c r="D1276" s="1055" t="s">
        <v>1497</v>
      </c>
      <c r="E1276" s="1055" t="s">
        <v>1498</v>
      </c>
      <c r="F1276" s="1056">
        <v>-280</v>
      </c>
      <c r="G1276" s="1056">
        <v>0</v>
      </c>
      <c r="H1276" s="1056">
        <v>0</v>
      </c>
      <c r="I1276" s="1056">
        <v>-280</v>
      </c>
      <c r="K1276" s="1037">
        <f t="shared" si="19"/>
        <v>8</v>
      </c>
    </row>
    <row r="1277" spans="1:11" ht="12.75">
      <c r="A1277" s="1054">
        <v>25500503</v>
      </c>
      <c r="B1277" s="1055" t="s">
        <v>893</v>
      </c>
      <c r="C1277" s="1055" t="s">
        <v>749</v>
      </c>
      <c r="D1277" s="1055" t="s">
        <v>1043</v>
      </c>
      <c r="E1277" s="1055" t="s">
        <v>318</v>
      </c>
      <c r="F1277" s="1056">
        <v>-690</v>
      </c>
      <c r="G1277" s="1056">
        <v>0</v>
      </c>
      <c r="H1277" s="1056">
        <v>173</v>
      </c>
      <c r="I1277" s="1056">
        <v>-863</v>
      </c>
      <c r="K1277" s="1037">
        <f t="shared" si="19"/>
        <v>8</v>
      </c>
    </row>
    <row r="1278" spans="1:11" ht="12.75">
      <c r="A1278" s="1054">
        <v>25500503</v>
      </c>
      <c r="B1278" s="1055" t="s">
        <v>893</v>
      </c>
      <c r="C1278" s="1055" t="s">
        <v>749</v>
      </c>
      <c r="D1278" s="1055" t="s">
        <v>1370</v>
      </c>
      <c r="E1278" s="1055" t="s">
        <v>1371</v>
      </c>
      <c r="F1278" s="1056">
        <v>-318</v>
      </c>
      <c r="G1278" s="1056">
        <v>0</v>
      </c>
      <c r="H1278" s="1056">
        <v>80</v>
      </c>
      <c r="I1278" s="1056">
        <v>-399</v>
      </c>
      <c r="K1278" s="1037">
        <f t="shared" si="19"/>
        <v>8</v>
      </c>
    </row>
    <row r="1279" spans="1:11" ht="12.75">
      <c r="A1279" s="1054">
        <v>25500503</v>
      </c>
      <c r="B1279" s="1055" t="s">
        <v>893</v>
      </c>
      <c r="C1279" s="1055" t="s">
        <v>749</v>
      </c>
      <c r="D1279" s="1055" t="s">
        <v>1843</v>
      </c>
      <c r="E1279" s="1055" t="s">
        <v>1844</v>
      </c>
      <c r="F1279" s="1056">
        <v>-62</v>
      </c>
      <c r="G1279" s="1056">
        <v>0</v>
      </c>
      <c r="H1279" s="1056">
        <v>0</v>
      </c>
      <c r="I1279" s="1056">
        <v>-62</v>
      </c>
      <c r="K1279" s="1037">
        <f t="shared" si="19"/>
        <v>8</v>
      </c>
    </row>
    <row r="1280" spans="1:11" ht="12.75">
      <c r="A1280" s="1054">
        <v>25500503</v>
      </c>
      <c r="B1280" s="1055" t="s">
        <v>893</v>
      </c>
      <c r="C1280" s="1055" t="s">
        <v>749</v>
      </c>
      <c r="D1280" s="1055" t="s">
        <v>1759</v>
      </c>
      <c r="E1280" s="1055" t="s">
        <v>1760</v>
      </c>
      <c r="F1280" s="1056">
        <v>-64</v>
      </c>
      <c r="G1280" s="1056">
        <v>0</v>
      </c>
      <c r="H1280" s="1056">
        <v>0</v>
      </c>
      <c r="I1280" s="1056">
        <v>-64</v>
      </c>
      <c r="K1280" s="1037">
        <f t="shared" si="19"/>
        <v>8</v>
      </c>
    </row>
    <row r="1281" spans="1:11" ht="12.75">
      <c r="A1281" s="1054">
        <v>25500503</v>
      </c>
      <c r="B1281" s="1055" t="s">
        <v>893</v>
      </c>
      <c r="C1281" s="1055" t="s">
        <v>749</v>
      </c>
      <c r="D1281" s="1055" t="s">
        <v>1581</v>
      </c>
      <c r="E1281" s="1055" t="s">
        <v>1582</v>
      </c>
      <c r="F1281" s="1056">
        <v>-214</v>
      </c>
      <c r="G1281" s="1056">
        <v>0</v>
      </c>
      <c r="H1281" s="1056">
        <v>0</v>
      </c>
      <c r="I1281" s="1056">
        <v>-214</v>
      </c>
      <c r="K1281" s="1037">
        <f t="shared" si="19"/>
        <v>8</v>
      </c>
    </row>
    <row r="1282" spans="1:11" ht="12.75">
      <c r="A1282" s="1054">
        <v>25500503</v>
      </c>
      <c r="B1282" s="1055" t="s">
        <v>893</v>
      </c>
      <c r="C1282" s="1055" t="s">
        <v>749</v>
      </c>
      <c r="D1282" s="1055" t="s">
        <v>1521</v>
      </c>
      <c r="E1282" s="1055" t="s">
        <v>1522</v>
      </c>
      <c r="F1282" s="1056">
        <v>-417</v>
      </c>
      <c r="G1282" s="1056">
        <v>0</v>
      </c>
      <c r="H1282" s="1056">
        <v>92</v>
      </c>
      <c r="I1282" s="1056">
        <v>-509</v>
      </c>
      <c r="K1282" s="1037">
        <f t="shared" si="19"/>
        <v>8</v>
      </c>
    </row>
    <row r="1283" spans="1:11" ht="12.75">
      <c r="A1283" s="1054">
        <v>25500503</v>
      </c>
      <c r="B1283" s="1055" t="s">
        <v>893</v>
      </c>
      <c r="C1283" s="1055" t="s">
        <v>749</v>
      </c>
      <c r="D1283" s="1055" t="s">
        <v>1426</v>
      </c>
      <c r="E1283" s="1055" t="s">
        <v>1427</v>
      </c>
      <c r="F1283" s="1056">
        <v>-406</v>
      </c>
      <c r="G1283" s="1056">
        <v>0</v>
      </c>
      <c r="H1283" s="1056">
        <v>87</v>
      </c>
      <c r="I1283" s="1056">
        <v>-492</v>
      </c>
      <c r="K1283" s="1037">
        <f t="shared" si="19"/>
        <v>8</v>
      </c>
    </row>
    <row r="1284" spans="1:11" ht="12.75">
      <c r="A1284" s="1054">
        <v>25500503</v>
      </c>
      <c r="B1284" s="1055" t="s">
        <v>893</v>
      </c>
      <c r="C1284" s="1055" t="s">
        <v>749</v>
      </c>
      <c r="D1284" s="1055" t="s">
        <v>1583</v>
      </c>
      <c r="E1284" s="1055" t="s">
        <v>1584</v>
      </c>
      <c r="F1284" s="1056">
        <v>-65</v>
      </c>
      <c r="G1284" s="1056">
        <v>0</v>
      </c>
      <c r="H1284" s="1056">
        <v>0</v>
      </c>
      <c r="I1284" s="1056">
        <v>-65</v>
      </c>
      <c r="K1284" s="1037">
        <f t="shared" si="19"/>
        <v>8</v>
      </c>
    </row>
    <row r="1285" spans="1:11" ht="12.75">
      <c r="A1285" s="1054">
        <v>25500503</v>
      </c>
      <c r="B1285" s="1055" t="s">
        <v>893</v>
      </c>
      <c r="C1285" s="1055" t="s">
        <v>749</v>
      </c>
      <c r="D1285" s="1055" t="s">
        <v>1372</v>
      </c>
      <c r="E1285" s="1055" t="s">
        <v>1373</v>
      </c>
      <c r="F1285" s="1056">
        <v>-2</v>
      </c>
      <c r="G1285" s="1056">
        <v>0</v>
      </c>
      <c r="H1285" s="1056">
        <v>0</v>
      </c>
      <c r="I1285" s="1056">
        <v>-2</v>
      </c>
      <c r="K1285" s="1037">
        <f t="shared" ref="K1285:K1348" si="20">+LEN(A1285)</f>
        <v>8</v>
      </c>
    </row>
    <row r="1286" spans="1:11" ht="12.75">
      <c r="A1286" s="1054">
        <v>25500503</v>
      </c>
      <c r="B1286" s="1055" t="s">
        <v>893</v>
      </c>
      <c r="C1286" s="1055" t="s">
        <v>749</v>
      </c>
      <c r="D1286" s="1055" t="s">
        <v>1374</v>
      </c>
      <c r="E1286" s="1055" t="s">
        <v>1375</v>
      </c>
      <c r="F1286" s="1056">
        <v>-387</v>
      </c>
      <c r="G1286" s="1056">
        <v>0</v>
      </c>
      <c r="H1286" s="1056">
        <v>85</v>
      </c>
      <c r="I1286" s="1056">
        <v>-472</v>
      </c>
      <c r="K1286" s="1037">
        <f t="shared" si="20"/>
        <v>8</v>
      </c>
    </row>
    <row r="1287" spans="1:11" ht="12.75">
      <c r="A1287" s="1054">
        <v>25500503</v>
      </c>
      <c r="B1287" s="1055" t="s">
        <v>893</v>
      </c>
      <c r="C1287" s="1055" t="s">
        <v>749</v>
      </c>
      <c r="D1287" s="1055" t="s">
        <v>1249</v>
      </c>
      <c r="E1287" s="1055" t="s">
        <v>583</v>
      </c>
      <c r="F1287" s="1056">
        <v>-709</v>
      </c>
      <c r="G1287" s="1056">
        <v>0</v>
      </c>
      <c r="H1287" s="1056">
        <v>143</v>
      </c>
      <c r="I1287" s="1056">
        <v>-851</v>
      </c>
      <c r="K1287" s="1037">
        <f t="shared" si="20"/>
        <v>8</v>
      </c>
    </row>
    <row r="1288" spans="1:11" ht="12.75">
      <c r="A1288" s="1054">
        <v>25500503</v>
      </c>
      <c r="B1288" s="1055" t="s">
        <v>893</v>
      </c>
      <c r="C1288" s="1055" t="s">
        <v>749</v>
      </c>
      <c r="D1288" s="1055" t="s">
        <v>1376</v>
      </c>
      <c r="E1288" s="1055" t="s">
        <v>1377</v>
      </c>
      <c r="F1288" s="1056">
        <v>-493</v>
      </c>
      <c r="G1288" s="1056">
        <v>0</v>
      </c>
      <c r="H1288" s="1056">
        <v>0</v>
      </c>
      <c r="I1288" s="1056">
        <v>-493</v>
      </c>
      <c r="K1288" s="1037">
        <f t="shared" si="20"/>
        <v>8</v>
      </c>
    </row>
    <row r="1289" spans="1:11" ht="12.75">
      <c r="A1289" s="1054">
        <v>25500503</v>
      </c>
      <c r="B1289" s="1055" t="s">
        <v>893</v>
      </c>
      <c r="C1289" s="1055" t="s">
        <v>749</v>
      </c>
      <c r="D1289" s="1055" t="s">
        <v>1305</v>
      </c>
      <c r="E1289" s="1055" t="s">
        <v>990</v>
      </c>
      <c r="F1289" s="1056">
        <v>-1</v>
      </c>
      <c r="G1289" s="1056">
        <v>0</v>
      </c>
      <c r="H1289" s="1056">
        <v>0</v>
      </c>
      <c r="I1289" s="1056">
        <v>-1</v>
      </c>
      <c r="K1289" s="1037">
        <f t="shared" si="20"/>
        <v>8</v>
      </c>
    </row>
    <row r="1290" spans="1:11" ht="12.75">
      <c r="A1290" s="1054">
        <v>25500503</v>
      </c>
      <c r="B1290" s="1055" t="s">
        <v>893</v>
      </c>
      <c r="C1290" s="1055" t="s">
        <v>749</v>
      </c>
      <c r="D1290" s="1055" t="s">
        <v>1845</v>
      </c>
      <c r="E1290" s="1055" t="s">
        <v>1846</v>
      </c>
      <c r="F1290" s="1056">
        <v>-52</v>
      </c>
      <c r="G1290" s="1056">
        <v>0</v>
      </c>
      <c r="H1290" s="1056">
        <v>86</v>
      </c>
      <c r="I1290" s="1056">
        <v>-138</v>
      </c>
      <c r="K1290" s="1037">
        <f t="shared" si="20"/>
        <v>8</v>
      </c>
    </row>
    <row r="1291" spans="1:11" ht="12.75">
      <c r="A1291" s="1054">
        <v>25500503</v>
      </c>
      <c r="B1291" s="1055" t="s">
        <v>893</v>
      </c>
      <c r="C1291" s="1055" t="s">
        <v>749</v>
      </c>
      <c r="D1291" s="1055" t="s">
        <v>1306</v>
      </c>
      <c r="E1291" s="1055" t="s">
        <v>997</v>
      </c>
      <c r="F1291" s="1056">
        <v>-355</v>
      </c>
      <c r="G1291" s="1056">
        <v>0</v>
      </c>
      <c r="H1291" s="1056">
        <v>0</v>
      </c>
      <c r="I1291" s="1056">
        <v>-355</v>
      </c>
      <c r="K1291" s="1037">
        <f t="shared" si="20"/>
        <v>8</v>
      </c>
    </row>
    <row r="1292" spans="1:11" ht="12.75">
      <c r="A1292" s="1054">
        <v>25500503</v>
      </c>
      <c r="B1292" s="1055" t="s">
        <v>893</v>
      </c>
      <c r="C1292" s="1055" t="s">
        <v>749</v>
      </c>
      <c r="D1292" s="1055" t="s">
        <v>1897</v>
      </c>
      <c r="E1292" s="1055" t="s">
        <v>1898</v>
      </c>
      <c r="F1292" s="1056">
        <v>0</v>
      </c>
      <c r="G1292" s="1056">
        <v>0</v>
      </c>
      <c r="H1292" s="1056">
        <v>19</v>
      </c>
      <c r="I1292" s="1056">
        <v>-19</v>
      </c>
      <c r="K1292" s="1037">
        <f t="shared" si="20"/>
        <v>8</v>
      </c>
    </row>
    <row r="1293" spans="1:11" ht="12.75">
      <c r="A1293" s="1054">
        <v>25500503</v>
      </c>
      <c r="B1293" s="1055" t="s">
        <v>893</v>
      </c>
      <c r="C1293" s="1055" t="s">
        <v>749</v>
      </c>
      <c r="D1293" s="1055" t="s">
        <v>1250</v>
      </c>
      <c r="E1293" s="1055" t="s">
        <v>1251</v>
      </c>
      <c r="F1293" s="1056">
        <v>-402</v>
      </c>
      <c r="G1293" s="1056">
        <v>0</v>
      </c>
      <c r="H1293" s="1056">
        <v>81</v>
      </c>
      <c r="I1293" s="1056">
        <v>-483</v>
      </c>
      <c r="K1293" s="1037">
        <f t="shared" si="20"/>
        <v>8</v>
      </c>
    </row>
    <row r="1294" spans="1:11" ht="12.75">
      <c r="A1294" s="1054">
        <v>25500503</v>
      </c>
      <c r="B1294" s="1055" t="s">
        <v>893</v>
      </c>
      <c r="C1294" s="1055" t="s">
        <v>749</v>
      </c>
      <c r="D1294" s="1055" t="s">
        <v>1899</v>
      </c>
      <c r="E1294" s="1055" t="s">
        <v>1900</v>
      </c>
      <c r="F1294" s="1056">
        <v>0</v>
      </c>
      <c r="G1294" s="1056">
        <v>0</v>
      </c>
      <c r="H1294" s="1056">
        <v>94</v>
      </c>
      <c r="I1294" s="1056">
        <v>-94</v>
      </c>
      <c r="K1294" s="1037">
        <f t="shared" si="20"/>
        <v>8</v>
      </c>
    </row>
    <row r="1295" spans="1:11" ht="12.75">
      <c r="A1295" s="1054">
        <v>25500503</v>
      </c>
      <c r="B1295" s="1055" t="s">
        <v>893</v>
      </c>
      <c r="C1295" s="1055" t="s">
        <v>749</v>
      </c>
      <c r="D1295" s="1055" t="s">
        <v>1901</v>
      </c>
      <c r="E1295" s="1055" t="s">
        <v>1902</v>
      </c>
      <c r="F1295" s="1056">
        <v>0</v>
      </c>
      <c r="G1295" s="1056">
        <v>0</v>
      </c>
      <c r="H1295" s="1056">
        <v>35</v>
      </c>
      <c r="I1295" s="1056">
        <v>-35</v>
      </c>
      <c r="K1295" s="1037">
        <f t="shared" si="20"/>
        <v>8</v>
      </c>
    </row>
    <row r="1296" spans="1:11" ht="12.75">
      <c r="A1296" s="1054">
        <v>25500503</v>
      </c>
      <c r="B1296" s="1055" t="s">
        <v>893</v>
      </c>
      <c r="C1296" s="1055" t="s">
        <v>749</v>
      </c>
      <c r="D1296" s="1055" t="s">
        <v>1686</v>
      </c>
      <c r="E1296" s="1055" t="s">
        <v>1687</v>
      </c>
      <c r="F1296" s="1056">
        <v>-236</v>
      </c>
      <c r="G1296" s="1056">
        <v>0</v>
      </c>
      <c r="H1296" s="1056">
        <v>0</v>
      </c>
      <c r="I1296" s="1056">
        <v>-236</v>
      </c>
      <c r="K1296" s="1037">
        <f t="shared" si="20"/>
        <v>8</v>
      </c>
    </row>
    <row r="1297" spans="1:11" ht="12.75">
      <c r="A1297" s="1054">
        <v>25500503</v>
      </c>
      <c r="B1297" s="1055" t="s">
        <v>893</v>
      </c>
      <c r="C1297" s="1055" t="s">
        <v>749</v>
      </c>
      <c r="D1297" s="1055" t="s">
        <v>1303</v>
      </c>
      <c r="E1297" s="1055" t="s">
        <v>806</v>
      </c>
      <c r="F1297" s="1056">
        <v>-150</v>
      </c>
      <c r="G1297" s="1056">
        <v>0</v>
      </c>
      <c r="H1297" s="1056">
        <v>0</v>
      </c>
      <c r="I1297" s="1056">
        <v>-150</v>
      </c>
      <c r="K1297" s="1037">
        <f t="shared" si="20"/>
        <v>8</v>
      </c>
    </row>
    <row r="1298" spans="1:11" ht="12.75">
      <c r="A1298" s="1054">
        <v>25500503</v>
      </c>
      <c r="B1298" s="1055" t="s">
        <v>893</v>
      </c>
      <c r="C1298" s="1055" t="s">
        <v>749</v>
      </c>
      <c r="D1298" s="1055" t="s">
        <v>1499</v>
      </c>
      <c r="E1298" s="1055" t="s">
        <v>1500</v>
      </c>
      <c r="F1298" s="1056">
        <v>-12</v>
      </c>
      <c r="G1298" s="1056">
        <v>0</v>
      </c>
      <c r="H1298" s="1056">
        <v>0</v>
      </c>
      <c r="I1298" s="1056">
        <v>-12</v>
      </c>
      <c r="K1298" s="1037">
        <f t="shared" si="20"/>
        <v>8</v>
      </c>
    </row>
    <row r="1299" spans="1:11" ht="12.75">
      <c r="A1299" s="1054">
        <v>25500503</v>
      </c>
      <c r="B1299" s="1055" t="s">
        <v>893</v>
      </c>
      <c r="C1299" s="1055" t="s">
        <v>749</v>
      </c>
      <c r="D1299" s="1055" t="s">
        <v>1523</v>
      </c>
      <c r="E1299" s="1055" t="s">
        <v>1524</v>
      </c>
      <c r="F1299" s="1056">
        <v>-132</v>
      </c>
      <c r="G1299" s="1056">
        <v>0</v>
      </c>
      <c r="H1299" s="1056">
        <v>0</v>
      </c>
      <c r="I1299" s="1056">
        <v>-132</v>
      </c>
      <c r="K1299" s="1037">
        <f t="shared" si="20"/>
        <v>8</v>
      </c>
    </row>
    <row r="1300" spans="1:11" ht="12.75">
      <c r="A1300" s="1054">
        <v>25500503</v>
      </c>
      <c r="B1300" s="1055" t="s">
        <v>893</v>
      </c>
      <c r="C1300" s="1055" t="s">
        <v>749</v>
      </c>
      <c r="D1300" s="1055" t="s">
        <v>1422</v>
      </c>
      <c r="E1300" s="1055" t="s">
        <v>1423</v>
      </c>
      <c r="F1300" s="1056">
        <v>-5</v>
      </c>
      <c r="G1300" s="1056">
        <v>0</v>
      </c>
      <c r="H1300" s="1056">
        <v>0</v>
      </c>
      <c r="I1300" s="1056">
        <v>-5</v>
      </c>
      <c r="K1300" s="1037">
        <f t="shared" si="20"/>
        <v>8</v>
      </c>
    </row>
    <row r="1301" spans="1:11" ht="12.75">
      <c r="A1301" s="1054">
        <v>25500503</v>
      </c>
      <c r="B1301" s="1055" t="s">
        <v>893</v>
      </c>
      <c r="C1301" s="1055" t="s">
        <v>749</v>
      </c>
      <c r="D1301" s="1055" t="s">
        <v>1480</v>
      </c>
      <c r="E1301" s="1055" t="s">
        <v>1481</v>
      </c>
      <c r="F1301" s="1056">
        <v>-101</v>
      </c>
      <c r="G1301" s="1056">
        <v>0</v>
      </c>
      <c r="H1301" s="1056">
        <v>0</v>
      </c>
      <c r="I1301" s="1056">
        <v>-101</v>
      </c>
      <c r="K1301" s="1037">
        <f t="shared" si="20"/>
        <v>8</v>
      </c>
    </row>
    <row r="1302" spans="1:11" ht="12.75">
      <c r="A1302" s="1054">
        <v>25500503</v>
      </c>
      <c r="B1302" s="1055" t="s">
        <v>893</v>
      </c>
      <c r="C1302" s="1055" t="s">
        <v>749</v>
      </c>
      <c r="D1302" s="1055" t="s">
        <v>1847</v>
      </c>
      <c r="E1302" s="1055" t="s">
        <v>1848</v>
      </c>
      <c r="F1302" s="1056">
        <v>-37</v>
      </c>
      <c r="G1302" s="1056">
        <v>0</v>
      </c>
      <c r="H1302" s="1056">
        <v>0</v>
      </c>
      <c r="I1302" s="1056">
        <v>-37</v>
      </c>
      <c r="K1302" s="1037">
        <f t="shared" si="20"/>
        <v>8</v>
      </c>
    </row>
    <row r="1303" spans="1:11" ht="12.75">
      <c r="A1303" s="1054">
        <v>25500503</v>
      </c>
      <c r="B1303" s="1055" t="s">
        <v>893</v>
      </c>
      <c r="C1303" s="1055" t="s">
        <v>749</v>
      </c>
      <c r="D1303" s="1055" t="s">
        <v>1761</v>
      </c>
      <c r="E1303" s="1055" t="s">
        <v>1762</v>
      </c>
      <c r="F1303" s="1056">
        <v>-94</v>
      </c>
      <c r="G1303" s="1056">
        <v>0</v>
      </c>
      <c r="H1303" s="1056">
        <v>0</v>
      </c>
      <c r="I1303" s="1056">
        <v>-94</v>
      </c>
      <c r="K1303" s="1037">
        <f t="shared" si="20"/>
        <v>8</v>
      </c>
    </row>
    <row r="1304" spans="1:11" ht="12.75">
      <c r="A1304" s="1054">
        <v>25500503</v>
      </c>
      <c r="B1304" s="1055" t="s">
        <v>893</v>
      </c>
      <c r="C1304" s="1055" t="s">
        <v>749</v>
      </c>
      <c r="D1304" s="1055" t="s">
        <v>1428</v>
      </c>
      <c r="E1304" s="1055" t="s">
        <v>1429</v>
      </c>
      <c r="F1304" s="1056">
        <v>-159</v>
      </c>
      <c r="G1304" s="1056">
        <v>0</v>
      </c>
      <c r="H1304" s="1056">
        <v>0</v>
      </c>
      <c r="I1304" s="1056">
        <v>-159</v>
      </c>
      <c r="K1304" s="1037">
        <f t="shared" si="20"/>
        <v>8</v>
      </c>
    </row>
    <row r="1305" spans="1:11" ht="12.75">
      <c r="A1305" s="1054">
        <v>25500503</v>
      </c>
      <c r="B1305" s="1055" t="s">
        <v>893</v>
      </c>
      <c r="C1305" s="1055" t="s">
        <v>749</v>
      </c>
      <c r="D1305" s="1055" t="s">
        <v>1849</v>
      </c>
      <c r="E1305" s="1055" t="s">
        <v>1850</v>
      </c>
      <c r="F1305" s="1056">
        <v>-44</v>
      </c>
      <c r="G1305" s="1056">
        <v>0</v>
      </c>
      <c r="H1305" s="1056">
        <v>84</v>
      </c>
      <c r="I1305" s="1056">
        <v>-129</v>
      </c>
      <c r="K1305" s="1037">
        <f t="shared" si="20"/>
        <v>8</v>
      </c>
    </row>
    <row r="1306" spans="1:11" ht="12.75">
      <c r="A1306" s="1054">
        <v>25500503</v>
      </c>
      <c r="B1306" s="1055" t="s">
        <v>893</v>
      </c>
      <c r="C1306" s="1055" t="s">
        <v>749</v>
      </c>
      <c r="D1306" s="1055" t="s">
        <v>1275</v>
      </c>
      <c r="E1306" s="1055" t="s">
        <v>991</v>
      </c>
      <c r="F1306" s="1056">
        <v>-427</v>
      </c>
      <c r="G1306" s="1056">
        <v>0</v>
      </c>
      <c r="H1306" s="1056">
        <v>98</v>
      </c>
      <c r="I1306" s="1056">
        <v>-525</v>
      </c>
      <c r="K1306" s="1037">
        <f t="shared" si="20"/>
        <v>8</v>
      </c>
    </row>
    <row r="1307" spans="1:11" ht="12.75">
      <c r="A1307" s="1054">
        <v>25500503</v>
      </c>
      <c r="B1307" s="1055" t="s">
        <v>893</v>
      </c>
      <c r="C1307" s="1055" t="s">
        <v>749</v>
      </c>
      <c r="D1307" s="1055" t="s">
        <v>1380</v>
      </c>
      <c r="E1307" s="1055" t="s">
        <v>1381</v>
      </c>
      <c r="F1307" s="1056">
        <v>-153</v>
      </c>
      <c r="G1307" s="1056">
        <v>0</v>
      </c>
      <c r="H1307" s="1056">
        <v>0</v>
      </c>
      <c r="I1307" s="1056">
        <v>-153</v>
      </c>
      <c r="K1307" s="1037">
        <f t="shared" si="20"/>
        <v>8</v>
      </c>
    </row>
    <row r="1308" spans="1:11" ht="12.75">
      <c r="A1308" s="1054">
        <v>25500503</v>
      </c>
      <c r="B1308" s="1055" t="s">
        <v>893</v>
      </c>
      <c r="C1308" s="1055" t="s">
        <v>749</v>
      </c>
      <c r="D1308" s="1055" t="s">
        <v>1585</v>
      </c>
      <c r="E1308" s="1055" t="s">
        <v>1586</v>
      </c>
      <c r="F1308" s="1056">
        <v>-247</v>
      </c>
      <c r="G1308" s="1056">
        <v>0</v>
      </c>
      <c r="H1308" s="1056">
        <v>65</v>
      </c>
      <c r="I1308" s="1056">
        <v>-313</v>
      </c>
      <c r="K1308" s="1037">
        <f t="shared" si="20"/>
        <v>8</v>
      </c>
    </row>
    <row r="1309" spans="1:11" ht="12.75">
      <c r="A1309" s="1054">
        <v>25500503</v>
      </c>
      <c r="B1309" s="1055" t="s">
        <v>893</v>
      </c>
      <c r="C1309" s="1055" t="s">
        <v>749</v>
      </c>
      <c r="D1309" s="1055" t="s">
        <v>1382</v>
      </c>
      <c r="E1309" s="1055" t="s">
        <v>1763</v>
      </c>
      <c r="F1309" s="1056">
        <v>-487</v>
      </c>
      <c r="G1309" s="1056">
        <v>0</v>
      </c>
      <c r="H1309" s="1056">
        <v>99</v>
      </c>
      <c r="I1309" s="1056">
        <v>-586</v>
      </c>
      <c r="K1309" s="1037">
        <f t="shared" si="20"/>
        <v>8</v>
      </c>
    </row>
    <row r="1310" spans="1:11" ht="12.75">
      <c r="A1310" s="1054">
        <v>25500503</v>
      </c>
      <c r="B1310" s="1055" t="s">
        <v>893</v>
      </c>
      <c r="C1310" s="1055" t="s">
        <v>749</v>
      </c>
      <c r="D1310" s="1055" t="s">
        <v>1440</v>
      </c>
      <c r="E1310" s="1055" t="s">
        <v>1441</v>
      </c>
      <c r="F1310" s="1056">
        <v>-300</v>
      </c>
      <c r="G1310" s="1056">
        <v>0</v>
      </c>
      <c r="H1310" s="1056">
        <v>0</v>
      </c>
      <c r="I1310" s="1056">
        <v>-300</v>
      </c>
      <c r="K1310" s="1037">
        <f t="shared" si="20"/>
        <v>8</v>
      </c>
    </row>
    <row r="1311" spans="1:11" ht="12.75">
      <c r="A1311" s="1054">
        <v>25500503</v>
      </c>
      <c r="B1311" s="1055" t="s">
        <v>893</v>
      </c>
      <c r="C1311" s="1055" t="s">
        <v>749</v>
      </c>
      <c r="D1311" s="1055" t="s">
        <v>1383</v>
      </c>
      <c r="E1311" s="1055" t="s">
        <v>1384</v>
      </c>
      <c r="F1311" s="1056">
        <v>-465</v>
      </c>
      <c r="G1311" s="1056">
        <v>0</v>
      </c>
      <c r="H1311" s="1056">
        <v>83</v>
      </c>
      <c r="I1311" s="1056">
        <v>-547</v>
      </c>
      <c r="K1311" s="1037">
        <f t="shared" si="20"/>
        <v>8</v>
      </c>
    </row>
    <row r="1312" spans="1:11" ht="12.75">
      <c r="A1312" s="1054">
        <v>25500503</v>
      </c>
      <c r="B1312" s="1055" t="s">
        <v>893</v>
      </c>
      <c r="C1312" s="1055" t="s">
        <v>749</v>
      </c>
      <c r="D1312" s="1055" t="s">
        <v>1430</v>
      </c>
      <c r="E1312" s="1055" t="s">
        <v>1431</v>
      </c>
      <c r="F1312" s="1056">
        <v>-84</v>
      </c>
      <c r="G1312" s="1056">
        <v>0</v>
      </c>
      <c r="H1312" s="1056">
        <v>0</v>
      </c>
      <c r="I1312" s="1056">
        <v>-84</v>
      </c>
      <c r="K1312" s="1037">
        <f t="shared" si="20"/>
        <v>8</v>
      </c>
    </row>
    <row r="1313" spans="1:11" ht="12.75">
      <c r="A1313" s="1054">
        <v>25500503</v>
      </c>
      <c r="B1313" s="1055" t="s">
        <v>893</v>
      </c>
      <c r="C1313" s="1055" t="s">
        <v>749</v>
      </c>
      <c r="D1313" s="1055" t="s">
        <v>1587</v>
      </c>
      <c r="E1313" s="1055" t="s">
        <v>1588</v>
      </c>
      <c r="F1313" s="1056">
        <v>-318</v>
      </c>
      <c r="G1313" s="1056">
        <v>0</v>
      </c>
      <c r="H1313" s="1056">
        <v>82</v>
      </c>
      <c r="I1313" s="1056">
        <v>-400</v>
      </c>
      <c r="K1313" s="1037">
        <f t="shared" si="20"/>
        <v>8</v>
      </c>
    </row>
    <row r="1314" spans="1:11" ht="12.75">
      <c r="A1314" s="1054">
        <v>255006</v>
      </c>
      <c r="B1314" s="1055" t="s">
        <v>893</v>
      </c>
      <c r="C1314" s="1055" t="s">
        <v>359</v>
      </c>
      <c r="D1314" s="1055" t="s">
        <v>893</v>
      </c>
      <c r="E1314" s="1055" t="s">
        <v>893</v>
      </c>
      <c r="F1314" s="1056">
        <v>1092</v>
      </c>
      <c r="G1314" s="1056">
        <v>1436</v>
      </c>
      <c r="H1314" s="1056">
        <v>1523</v>
      </c>
      <c r="I1314" s="1056">
        <v>1005</v>
      </c>
      <c r="K1314" s="1037">
        <f t="shared" si="20"/>
        <v>6</v>
      </c>
    </row>
    <row r="1315" spans="1:11" ht="12.75">
      <c r="A1315" s="1054">
        <v>25500601</v>
      </c>
      <c r="B1315" s="1055" t="s">
        <v>893</v>
      </c>
      <c r="C1315" s="1055" t="s">
        <v>359</v>
      </c>
      <c r="D1315" s="1055" t="s">
        <v>893</v>
      </c>
      <c r="E1315" s="1055" t="s">
        <v>893</v>
      </c>
      <c r="F1315" s="1056">
        <v>1092</v>
      </c>
      <c r="G1315" s="1056">
        <v>1436</v>
      </c>
      <c r="H1315" s="1056">
        <v>1523</v>
      </c>
      <c r="I1315" s="1056">
        <v>1005</v>
      </c>
      <c r="K1315" s="1037">
        <f t="shared" si="20"/>
        <v>8</v>
      </c>
    </row>
    <row r="1316" spans="1:11" ht="12.75">
      <c r="A1316" s="1054">
        <v>25500601</v>
      </c>
      <c r="B1316" s="1055" t="s">
        <v>893</v>
      </c>
      <c r="C1316" s="1055" t="s">
        <v>359</v>
      </c>
      <c r="D1316" s="1055" t="s">
        <v>1067</v>
      </c>
      <c r="E1316" s="1055" t="s">
        <v>1068</v>
      </c>
      <c r="F1316" s="1056">
        <v>1102</v>
      </c>
      <c r="G1316" s="1056">
        <v>0</v>
      </c>
      <c r="H1316" s="1056">
        <v>0</v>
      </c>
      <c r="I1316" s="1056">
        <v>1102</v>
      </c>
      <c r="K1316" s="1037">
        <f t="shared" si="20"/>
        <v>8</v>
      </c>
    </row>
    <row r="1317" spans="1:11" ht="12.75">
      <c r="A1317" s="1054">
        <v>25500601</v>
      </c>
      <c r="B1317" s="1055" t="s">
        <v>893</v>
      </c>
      <c r="C1317" s="1055" t="s">
        <v>359</v>
      </c>
      <c r="D1317" s="1055" t="s">
        <v>1575</v>
      </c>
      <c r="E1317" s="1055" t="s">
        <v>1576</v>
      </c>
      <c r="F1317" s="1056">
        <v>-131</v>
      </c>
      <c r="G1317" s="1056">
        <v>0</v>
      </c>
      <c r="H1317" s="1056">
        <v>0</v>
      </c>
      <c r="I1317" s="1056">
        <v>-131</v>
      </c>
      <c r="K1317" s="1037">
        <f t="shared" si="20"/>
        <v>8</v>
      </c>
    </row>
    <row r="1318" spans="1:11" ht="12.75">
      <c r="A1318" s="1054">
        <v>25500601</v>
      </c>
      <c r="B1318" s="1055" t="s">
        <v>893</v>
      </c>
      <c r="C1318" s="1055" t="s">
        <v>359</v>
      </c>
      <c r="D1318" s="1055" t="s">
        <v>1891</v>
      </c>
      <c r="E1318" s="1055" t="s">
        <v>1892</v>
      </c>
      <c r="F1318" s="1056">
        <v>0</v>
      </c>
      <c r="G1318" s="1056">
        <v>0</v>
      </c>
      <c r="H1318" s="1056">
        <v>52</v>
      </c>
      <c r="I1318" s="1056">
        <v>-52</v>
      </c>
      <c r="K1318" s="1037">
        <f t="shared" si="20"/>
        <v>8</v>
      </c>
    </row>
    <row r="1319" spans="1:11" ht="12.75">
      <c r="A1319" s="1054">
        <v>25500601</v>
      </c>
      <c r="B1319" s="1055" t="s">
        <v>893</v>
      </c>
      <c r="C1319" s="1055" t="s">
        <v>359</v>
      </c>
      <c r="D1319" s="1055" t="s">
        <v>1577</v>
      </c>
      <c r="E1319" s="1055" t="s">
        <v>1578</v>
      </c>
      <c r="F1319" s="1056">
        <v>-194</v>
      </c>
      <c r="G1319" s="1056">
        <v>0</v>
      </c>
      <c r="H1319" s="1056">
        <v>56</v>
      </c>
      <c r="I1319" s="1056">
        <v>-250</v>
      </c>
      <c r="K1319" s="1037">
        <f t="shared" si="20"/>
        <v>8</v>
      </c>
    </row>
    <row r="1320" spans="1:11" ht="12.75">
      <c r="A1320" s="1054">
        <v>25500601</v>
      </c>
      <c r="B1320" s="1055" t="s">
        <v>893</v>
      </c>
      <c r="C1320" s="1055" t="s">
        <v>359</v>
      </c>
      <c r="D1320" s="1055" t="s">
        <v>1360</v>
      </c>
      <c r="E1320" s="1055" t="s">
        <v>1361</v>
      </c>
      <c r="F1320" s="1056">
        <v>-336</v>
      </c>
      <c r="G1320" s="1056">
        <v>0</v>
      </c>
      <c r="H1320" s="1056">
        <v>68</v>
      </c>
      <c r="I1320" s="1056">
        <v>-404</v>
      </c>
      <c r="K1320" s="1037">
        <f t="shared" si="20"/>
        <v>8</v>
      </c>
    </row>
    <row r="1321" spans="1:11" ht="12.75">
      <c r="A1321" s="1054">
        <v>25500601</v>
      </c>
      <c r="B1321" s="1055" t="s">
        <v>893</v>
      </c>
      <c r="C1321" s="1055" t="s">
        <v>359</v>
      </c>
      <c r="D1321" s="1055" t="s">
        <v>1893</v>
      </c>
      <c r="E1321" s="1055" t="s">
        <v>1894</v>
      </c>
      <c r="F1321" s="1056">
        <v>0</v>
      </c>
      <c r="G1321" s="1056">
        <v>0</v>
      </c>
      <c r="H1321" s="1056">
        <v>53</v>
      </c>
      <c r="I1321" s="1056">
        <v>-53</v>
      </c>
      <c r="K1321" s="1037">
        <f t="shared" si="20"/>
        <v>8</v>
      </c>
    </row>
    <row r="1322" spans="1:11" ht="12.75">
      <c r="A1322" s="1054">
        <v>25500601</v>
      </c>
      <c r="B1322" s="1055" t="s">
        <v>893</v>
      </c>
      <c r="C1322" s="1055" t="s">
        <v>359</v>
      </c>
      <c r="D1322" s="1055" t="s">
        <v>1298</v>
      </c>
      <c r="E1322" s="1055" t="s">
        <v>987</v>
      </c>
      <c r="F1322" s="1056">
        <v>-184</v>
      </c>
      <c r="G1322" s="1056">
        <v>0</v>
      </c>
      <c r="H1322" s="1056">
        <v>0</v>
      </c>
      <c r="I1322" s="1056">
        <v>-184</v>
      </c>
      <c r="K1322" s="1037">
        <f t="shared" si="20"/>
        <v>8</v>
      </c>
    </row>
    <row r="1323" spans="1:11" ht="12.75">
      <c r="A1323" s="1054">
        <v>25500601</v>
      </c>
      <c r="B1323" s="1055" t="s">
        <v>893</v>
      </c>
      <c r="C1323" s="1055" t="s">
        <v>359</v>
      </c>
      <c r="D1323" s="1055" t="s">
        <v>1362</v>
      </c>
      <c r="E1323" s="1055" t="s">
        <v>1363</v>
      </c>
      <c r="F1323" s="1056">
        <v>-2</v>
      </c>
      <c r="G1323" s="1056">
        <v>0</v>
      </c>
      <c r="H1323" s="1056">
        <v>0</v>
      </c>
      <c r="I1323" s="1056">
        <v>-2</v>
      </c>
      <c r="K1323" s="1037">
        <f t="shared" si="20"/>
        <v>8</v>
      </c>
    </row>
    <row r="1324" spans="1:11" ht="12.75">
      <c r="A1324" s="1054">
        <v>25500601</v>
      </c>
      <c r="B1324" s="1055" t="s">
        <v>893</v>
      </c>
      <c r="C1324" s="1055" t="s">
        <v>359</v>
      </c>
      <c r="D1324" s="1055" t="s">
        <v>1484</v>
      </c>
      <c r="E1324" s="1055" t="s">
        <v>1485</v>
      </c>
      <c r="F1324" s="1056">
        <v>-208</v>
      </c>
      <c r="G1324" s="1056">
        <v>0</v>
      </c>
      <c r="H1324" s="1056">
        <v>49</v>
      </c>
      <c r="I1324" s="1056">
        <v>-257</v>
      </c>
      <c r="K1324" s="1037">
        <f t="shared" si="20"/>
        <v>8</v>
      </c>
    </row>
    <row r="1325" spans="1:11" ht="12.75">
      <c r="A1325" s="1054">
        <v>25500601</v>
      </c>
      <c r="B1325" s="1055" t="s">
        <v>893</v>
      </c>
      <c r="C1325" s="1055" t="s">
        <v>359</v>
      </c>
      <c r="D1325" s="1055" t="s">
        <v>1579</v>
      </c>
      <c r="E1325" s="1055" t="s">
        <v>1580</v>
      </c>
      <c r="F1325" s="1056">
        <v>-219</v>
      </c>
      <c r="G1325" s="1056">
        <v>0</v>
      </c>
      <c r="H1325" s="1056">
        <v>64</v>
      </c>
      <c r="I1325" s="1056">
        <v>-283</v>
      </c>
      <c r="K1325" s="1037">
        <f t="shared" si="20"/>
        <v>8</v>
      </c>
    </row>
    <row r="1326" spans="1:11" ht="12.75">
      <c r="A1326" s="1054">
        <v>25500601</v>
      </c>
      <c r="B1326" s="1055" t="s">
        <v>893</v>
      </c>
      <c r="C1326" s="1055" t="s">
        <v>359</v>
      </c>
      <c r="D1326" s="1055" t="s">
        <v>1270</v>
      </c>
      <c r="E1326" s="1055" t="s">
        <v>988</v>
      </c>
      <c r="F1326" s="1056">
        <v>-281</v>
      </c>
      <c r="G1326" s="1056">
        <v>0</v>
      </c>
      <c r="H1326" s="1056">
        <v>61</v>
      </c>
      <c r="I1326" s="1056">
        <v>-341</v>
      </c>
      <c r="K1326" s="1037">
        <f t="shared" si="20"/>
        <v>8</v>
      </c>
    </row>
    <row r="1327" spans="1:11" ht="12.75">
      <c r="A1327" s="1054">
        <v>25500601</v>
      </c>
      <c r="B1327" s="1055" t="s">
        <v>893</v>
      </c>
      <c r="C1327" s="1055" t="s">
        <v>359</v>
      </c>
      <c r="D1327" s="1055" t="s">
        <v>1271</v>
      </c>
      <c r="E1327" s="1055" t="s">
        <v>782</v>
      </c>
      <c r="F1327" s="1056">
        <v>-50</v>
      </c>
      <c r="G1327" s="1056">
        <v>0</v>
      </c>
      <c r="H1327" s="1056">
        <v>0</v>
      </c>
      <c r="I1327" s="1056">
        <v>-50</v>
      </c>
      <c r="K1327" s="1037">
        <f t="shared" si="20"/>
        <v>8</v>
      </c>
    </row>
    <row r="1328" spans="1:11" ht="12.75">
      <c r="A1328" s="1054">
        <v>25500601</v>
      </c>
      <c r="B1328" s="1055" t="s">
        <v>893</v>
      </c>
      <c r="C1328" s="1055" t="s">
        <v>359</v>
      </c>
      <c r="D1328" s="1055" t="s">
        <v>1272</v>
      </c>
      <c r="E1328" s="1055" t="s">
        <v>1273</v>
      </c>
      <c r="F1328" s="1056">
        <v>0</v>
      </c>
      <c r="G1328" s="1056">
        <v>0</v>
      </c>
      <c r="H1328" s="1056">
        <v>71</v>
      </c>
      <c r="I1328" s="1056">
        <v>-71</v>
      </c>
      <c r="K1328" s="1037">
        <f t="shared" si="20"/>
        <v>8</v>
      </c>
    </row>
    <row r="1329" spans="1:11" ht="12.75">
      <c r="A1329" s="1054">
        <v>25500601</v>
      </c>
      <c r="B1329" s="1055" t="s">
        <v>893</v>
      </c>
      <c r="C1329" s="1055" t="s">
        <v>359</v>
      </c>
      <c r="D1329" s="1055" t="s">
        <v>1420</v>
      </c>
      <c r="E1329" s="1055" t="s">
        <v>1421</v>
      </c>
      <c r="F1329" s="1056">
        <v>-208</v>
      </c>
      <c r="G1329" s="1056">
        <v>0</v>
      </c>
      <c r="H1329" s="1056">
        <v>23</v>
      </c>
      <c r="I1329" s="1056">
        <v>-231</v>
      </c>
      <c r="K1329" s="1037">
        <f t="shared" si="20"/>
        <v>8</v>
      </c>
    </row>
    <row r="1330" spans="1:11" ht="12.75">
      <c r="A1330" s="1054">
        <v>25500601</v>
      </c>
      <c r="B1330" s="1055" t="s">
        <v>893</v>
      </c>
      <c r="C1330" s="1055" t="s">
        <v>359</v>
      </c>
      <c r="D1330" s="1055" t="s">
        <v>1493</v>
      </c>
      <c r="E1330" s="1055" t="s">
        <v>1494</v>
      </c>
      <c r="F1330" s="1056">
        <v>-249</v>
      </c>
      <c r="G1330" s="1056">
        <v>0</v>
      </c>
      <c r="H1330" s="1056">
        <v>0</v>
      </c>
      <c r="I1330" s="1056">
        <v>-249</v>
      </c>
      <c r="K1330" s="1037">
        <f t="shared" si="20"/>
        <v>8</v>
      </c>
    </row>
    <row r="1331" spans="1:11" ht="12.75">
      <c r="A1331" s="1054">
        <v>25500601</v>
      </c>
      <c r="B1331" s="1055" t="s">
        <v>893</v>
      </c>
      <c r="C1331" s="1055" t="s">
        <v>359</v>
      </c>
      <c r="D1331" s="1055" t="s">
        <v>1841</v>
      </c>
      <c r="E1331" s="1055" t="s">
        <v>1842</v>
      </c>
      <c r="F1331" s="1056">
        <v>-64</v>
      </c>
      <c r="G1331" s="1056">
        <v>0</v>
      </c>
      <c r="H1331" s="1056">
        <v>62</v>
      </c>
      <c r="I1331" s="1056">
        <v>-127</v>
      </c>
      <c r="K1331" s="1037">
        <f t="shared" si="20"/>
        <v>8</v>
      </c>
    </row>
    <row r="1332" spans="1:11" ht="12.75">
      <c r="A1332" s="1054">
        <v>25500601</v>
      </c>
      <c r="B1332" s="1055" t="s">
        <v>893</v>
      </c>
      <c r="C1332" s="1055" t="s">
        <v>359</v>
      </c>
      <c r="D1332" s="1055" t="s">
        <v>1519</v>
      </c>
      <c r="E1332" s="1055" t="s">
        <v>1520</v>
      </c>
      <c r="F1332" s="1056">
        <v>-23</v>
      </c>
      <c r="G1332" s="1056">
        <v>0</v>
      </c>
      <c r="H1332" s="1056">
        <v>0</v>
      </c>
      <c r="I1332" s="1056">
        <v>-23</v>
      </c>
      <c r="K1332" s="1037">
        <f t="shared" si="20"/>
        <v>8</v>
      </c>
    </row>
    <row r="1333" spans="1:11" ht="12.75">
      <c r="A1333" s="1054">
        <v>25500601</v>
      </c>
      <c r="B1333" s="1055" t="s">
        <v>893</v>
      </c>
      <c r="C1333" s="1055" t="s">
        <v>359</v>
      </c>
      <c r="D1333" s="1055" t="s">
        <v>1368</v>
      </c>
      <c r="E1333" s="1055" t="s">
        <v>1369</v>
      </c>
      <c r="F1333" s="1056">
        <v>-11</v>
      </c>
      <c r="G1333" s="1056">
        <v>0</v>
      </c>
      <c r="H1333" s="1056">
        <v>0</v>
      </c>
      <c r="I1333" s="1056">
        <v>-11</v>
      </c>
      <c r="K1333" s="1037">
        <f t="shared" si="20"/>
        <v>8</v>
      </c>
    </row>
    <row r="1334" spans="1:11" ht="12.75">
      <c r="A1334" s="1054">
        <v>25500601</v>
      </c>
      <c r="B1334" s="1055" t="s">
        <v>893</v>
      </c>
      <c r="C1334" s="1055" t="s">
        <v>359</v>
      </c>
      <c r="D1334" s="1055" t="s">
        <v>1895</v>
      </c>
      <c r="E1334" s="1055" t="s">
        <v>1896</v>
      </c>
      <c r="F1334" s="1056">
        <v>0</v>
      </c>
      <c r="G1334" s="1056">
        <v>0</v>
      </c>
      <c r="H1334" s="1056">
        <v>9</v>
      </c>
      <c r="I1334" s="1056">
        <v>-9</v>
      </c>
      <c r="K1334" s="1037">
        <f t="shared" si="20"/>
        <v>8</v>
      </c>
    </row>
    <row r="1335" spans="1:11" ht="12.75">
      <c r="A1335" s="1054">
        <v>25500601</v>
      </c>
      <c r="B1335" s="1055" t="s">
        <v>893</v>
      </c>
      <c r="C1335" s="1055" t="s">
        <v>359</v>
      </c>
      <c r="D1335" s="1055" t="s">
        <v>1495</v>
      </c>
      <c r="E1335" s="1055" t="s">
        <v>1496</v>
      </c>
      <c r="F1335" s="1056">
        <v>-20</v>
      </c>
      <c r="G1335" s="1056">
        <v>0</v>
      </c>
      <c r="H1335" s="1056">
        <v>0</v>
      </c>
      <c r="I1335" s="1056">
        <v>-20</v>
      </c>
      <c r="K1335" s="1037">
        <f t="shared" si="20"/>
        <v>8</v>
      </c>
    </row>
    <row r="1336" spans="1:11" ht="12.75">
      <c r="A1336" s="1054">
        <v>25500601</v>
      </c>
      <c r="B1336" s="1055" t="s">
        <v>893</v>
      </c>
      <c r="C1336" s="1055" t="s">
        <v>359</v>
      </c>
      <c r="D1336" s="1055" t="s">
        <v>1320</v>
      </c>
      <c r="E1336" s="1055" t="s">
        <v>1321</v>
      </c>
      <c r="F1336" s="1056">
        <v>-217</v>
      </c>
      <c r="G1336" s="1056">
        <v>0</v>
      </c>
      <c r="H1336" s="1056">
        <v>51</v>
      </c>
      <c r="I1336" s="1056">
        <v>-268</v>
      </c>
      <c r="K1336" s="1037">
        <f t="shared" si="20"/>
        <v>8</v>
      </c>
    </row>
    <row r="1337" spans="1:11" ht="12.75">
      <c r="A1337" s="1054">
        <v>25500601</v>
      </c>
      <c r="B1337" s="1055" t="s">
        <v>893</v>
      </c>
      <c r="C1337" s="1055" t="s">
        <v>359</v>
      </c>
      <c r="D1337" s="1055" t="s">
        <v>1274</v>
      </c>
      <c r="E1337" s="1055" t="s">
        <v>989</v>
      </c>
      <c r="F1337" s="1056">
        <v>-296</v>
      </c>
      <c r="G1337" s="1056">
        <v>0</v>
      </c>
      <c r="H1337" s="1056">
        <v>58</v>
      </c>
      <c r="I1337" s="1056">
        <v>-354</v>
      </c>
      <c r="K1337" s="1037">
        <f t="shared" si="20"/>
        <v>8</v>
      </c>
    </row>
    <row r="1338" spans="1:11" ht="12.75">
      <c r="A1338" s="1054">
        <v>25500601</v>
      </c>
      <c r="B1338" s="1055" t="s">
        <v>893</v>
      </c>
      <c r="C1338" s="1055" t="s">
        <v>359</v>
      </c>
      <c r="D1338" s="1055" t="s">
        <v>1497</v>
      </c>
      <c r="E1338" s="1055" t="s">
        <v>1498</v>
      </c>
      <c r="F1338" s="1056">
        <v>-171</v>
      </c>
      <c r="G1338" s="1056">
        <v>0</v>
      </c>
      <c r="H1338" s="1056">
        <v>0</v>
      </c>
      <c r="I1338" s="1056">
        <v>-171</v>
      </c>
      <c r="K1338" s="1037">
        <f t="shared" si="20"/>
        <v>8</v>
      </c>
    </row>
    <row r="1339" spans="1:11" ht="12.75">
      <c r="A1339" s="1054">
        <v>25500601</v>
      </c>
      <c r="B1339" s="1055" t="s">
        <v>893</v>
      </c>
      <c r="C1339" s="1055" t="s">
        <v>359</v>
      </c>
      <c r="D1339" s="1055" t="s">
        <v>1043</v>
      </c>
      <c r="E1339" s="1055" t="s">
        <v>318</v>
      </c>
      <c r="F1339" s="1056">
        <v>-421</v>
      </c>
      <c r="G1339" s="1056">
        <v>0</v>
      </c>
      <c r="H1339" s="1056">
        <v>105</v>
      </c>
      <c r="I1339" s="1056">
        <v>-526</v>
      </c>
      <c r="K1339" s="1037">
        <f t="shared" si="20"/>
        <v>8</v>
      </c>
    </row>
    <row r="1340" spans="1:11" ht="12.75">
      <c r="A1340" s="1054">
        <v>25500601</v>
      </c>
      <c r="B1340" s="1055" t="s">
        <v>893</v>
      </c>
      <c r="C1340" s="1055" t="s">
        <v>359</v>
      </c>
      <c r="D1340" s="1055" t="s">
        <v>1370</v>
      </c>
      <c r="E1340" s="1055" t="s">
        <v>1371</v>
      </c>
      <c r="F1340" s="1056">
        <v>-193</v>
      </c>
      <c r="G1340" s="1056">
        <v>0</v>
      </c>
      <c r="H1340" s="1056">
        <v>49</v>
      </c>
      <c r="I1340" s="1056">
        <v>-242</v>
      </c>
      <c r="K1340" s="1037">
        <f t="shared" si="20"/>
        <v>8</v>
      </c>
    </row>
    <row r="1341" spans="1:11" ht="12.75">
      <c r="A1341" s="1054">
        <v>25500601</v>
      </c>
      <c r="B1341" s="1055" t="s">
        <v>893</v>
      </c>
      <c r="C1341" s="1055" t="s">
        <v>359</v>
      </c>
      <c r="D1341" s="1055" t="s">
        <v>1843</v>
      </c>
      <c r="E1341" s="1055" t="s">
        <v>1844</v>
      </c>
      <c r="F1341" s="1056">
        <v>-38</v>
      </c>
      <c r="G1341" s="1056">
        <v>0</v>
      </c>
      <c r="H1341" s="1056">
        <v>0</v>
      </c>
      <c r="I1341" s="1056">
        <v>-38</v>
      </c>
      <c r="K1341" s="1037">
        <f t="shared" si="20"/>
        <v>8</v>
      </c>
    </row>
    <row r="1342" spans="1:11" ht="12.75">
      <c r="A1342" s="1054">
        <v>25500601</v>
      </c>
      <c r="B1342" s="1055" t="s">
        <v>893</v>
      </c>
      <c r="C1342" s="1055" t="s">
        <v>359</v>
      </c>
      <c r="D1342" s="1055" t="s">
        <v>1265</v>
      </c>
      <c r="E1342" s="1055" t="s">
        <v>1266</v>
      </c>
      <c r="F1342" s="1056">
        <v>7534</v>
      </c>
      <c r="G1342" s="1056">
        <v>1436</v>
      </c>
      <c r="H1342" s="1056">
        <v>0</v>
      </c>
      <c r="I1342" s="1056">
        <v>8970</v>
      </c>
      <c r="K1342" s="1037">
        <f t="shared" si="20"/>
        <v>8</v>
      </c>
    </row>
    <row r="1343" spans="1:11" ht="12.75">
      <c r="A1343" s="1054">
        <v>25500601</v>
      </c>
      <c r="B1343" s="1055" t="s">
        <v>893</v>
      </c>
      <c r="C1343" s="1055" t="s">
        <v>359</v>
      </c>
      <c r="D1343" s="1055" t="s">
        <v>1759</v>
      </c>
      <c r="E1343" s="1055" t="s">
        <v>1760</v>
      </c>
      <c r="F1343" s="1056">
        <v>-39</v>
      </c>
      <c r="G1343" s="1056">
        <v>0</v>
      </c>
      <c r="H1343" s="1056">
        <v>0</v>
      </c>
      <c r="I1343" s="1056">
        <v>-39</v>
      </c>
      <c r="K1343" s="1037">
        <f t="shared" si="20"/>
        <v>8</v>
      </c>
    </row>
    <row r="1344" spans="1:11" ht="12.75">
      <c r="A1344" s="1054">
        <v>25500601</v>
      </c>
      <c r="B1344" s="1055" t="s">
        <v>893</v>
      </c>
      <c r="C1344" s="1055" t="s">
        <v>359</v>
      </c>
      <c r="D1344" s="1055" t="s">
        <v>1581</v>
      </c>
      <c r="E1344" s="1055" t="s">
        <v>1582</v>
      </c>
      <c r="F1344" s="1056">
        <v>-130</v>
      </c>
      <c r="G1344" s="1056">
        <v>0</v>
      </c>
      <c r="H1344" s="1056">
        <v>0</v>
      </c>
      <c r="I1344" s="1056">
        <v>-130</v>
      </c>
      <c r="K1344" s="1037">
        <f t="shared" si="20"/>
        <v>8</v>
      </c>
    </row>
    <row r="1345" spans="1:11" ht="12.75">
      <c r="A1345" s="1054">
        <v>25500601</v>
      </c>
      <c r="B1345" s="1055" t="s">
        <v>893</v>
      </c>
      <c r="C1345" s="1055" t="s">
        <v>359</v>
      </c>
      <c r="D1345" s="1055" t="s">
        <v>1521</v>
      </c>
      <c r="E1345" s="1055" t="s">
        <v>1522</v>
      </c>
      <c r="F1345" s="1056">
        <v>-251</v>
      </c>
      <c r="G1345" s="1056">
        <v>0</v>
      </c>
      <c r="H1345" s="1056">
        <v>56</v>
      </c>
      <c r="I1345" s="1056">
        <v>-308</v>
      </c>
      <c r="K1345" s="1037">
        <f t="shared" si="20"/>
        <v>8</v>
      </c>
    </row>
    <row r="1346" spans="1:11" ht="12.75">
      <c r="A1346" s="1054">
        <v>25500601</v>
      </c>
      <c r="B1346" s="1055" t="s">
        <v>893</v>
      </c>
      <c r="C1346" s="1055" t="s">
        <v>359</v>
      </c>
      <c r="D1346" s="1055" t="s">
        <v>1426</v>
      </c>
      <c r="E1346" s="1055" t="s">
        <v>1427</v>
      </c>
      <c r="F1346" s="1056">
        <v>-247</v>
      </c>
      <c r="G1346" s="1056">
        <v>0</v>
      </c>
      <c r="H1346" s="1056">
        <v>50</v>
      </c>
      <c r="I1346" s="1056">
        <v>-297</v>
      </c>
      <c r="K1346" s="1037">
        <f t="shared" si="20"/>
        <v>8</v>
      </c>
    </row>
    <row r="1347" spans="1:11" ht="12.75">
      <c r="A1347" s="1054">
        <v>25500601</v>
      </c>
      <c r="B1347" s="1055" t="s">
        <v>893</v>
      </c>
      <c r="C1347" s="1055" t="s">
        <v>359</v>
      </c>
      <c r="D1347" s="1055" t="s">
        <v>1583</v>
      </c>
      <c r="E1347" s="1055" t="s">
        <v>1584</v>
      </c>
      <c r="F1347" s="1056">
        <v>-40</v>
      </c>
      <c r="G1347" s="1056">
        <v>0</v>
      </c>
      <c r="H1347" s="1056">
        <v>0</v>
      </c>
      <c r="I1347" s="1056">
        <v>-40</v>
      </c>
      <c r="K1347" s="1037">
        <f t="shared" si="20"/>
        <v>8</v>
      </c>
    </row>
    <row r="1348" spans="1:11" ht="12.75">
      <c r="A1348" s="1054">
        <v>25500601</v>
      </c>
      <c r="B1348" s="1055" t="s">
        <v>893</v>
      </c>
      <c r="C1348" s="1055" t="s">
        <v>359</v>
      </c>
      <c r="D1348" s="1055" t="s">
        <v>1374</v>
      </c>
      <c r="E1348" s="1055" t="s">
        <v>1375</v>
      </c>
      <c r="F1348" s="1056">
        <v>-231</v>
      </c>
      <c r="G1348" s="1056">
        <v>0</v>
      </c>
      <c r="H1348" s="1056">
        <v>52</v>
      </c>
      <c r="I1348" s="1056">
        <v>-283</v>
      </c>
      <c r="K1348" s="1037">
        <f t="shared" si="20"/>
        <v>8</v>
      </c>
    </row>
    <row r="1349" spans="1:11" ht="12.75">
      <c r="A1349" s="1054">
        <v>25500601</v>
      </c>
      <c r="B1349" s="1055" t="s">
        <v>893</v>
      </c>
      <c r="C1349" s="1055" t="s">
        <v>359</v>
      </c>
      <c r="D1349" s="1055" t="s">
        <v>1249</v>
      </c>
      <c r="E1349" s="1055" t="s">
        <v>583</v>
      </c>
      <c r="F1349" s="1056">
        <v>-432</v>
      </c>
      <c r="G1349" s="1056">
        <v>0</v>
      </c>
      <c r="H1349" s="1056">
        <v>87</v>
      </c>
      <c r="I1349" s="1056">
        <v>-519</v>
      </c>
      <c r="K1349" s="1037">
        <f t="shared" ref="K1349:K1412" si="21">+LEN(A1349)</f>
        <v>8</v>
      </c>
    </row>
    <row r="1350" spans="1:11" ht="12.75">
      <c r="A1350" s="1054">
        <v>25500601</v>
      </c>
      <c r="B1350" s="1055" t="s">
        <v>893</v>
      </c>
      <c r="C1350" s="1055" t="s">
        <v>359</v>
      </c>
      <c r="D1350" s="1055" t="s">
        <v>1376</v>
      </c>
      <c r="E1350" s="1055" t="s">
        <v>1377</v>
      </c>
      <c r="F1350" s="1056">
        <v>-262</v>
      </c>
      <c r="G1350" s="1056">
        <v>0</v>
      </c>
      <c r="H1350" s="1056">
        <v>0</v>
      </c>
      <c r="I1350" s="1056">
        <v>-262</v>
      </c>
      <c r="K1350" s="1037">
        <f t="shared" si="21"/>
        <v>8</v>
      </c>
    </row>
    <row r="1351" spans="1:11" ht="12.75">
      <c r="A1351" s="1054">
        <v>25500601</v>
      </c>
      <c r="B1351" s="1055" t="s">
        <v>893</v>
      </c>
      <c r="C1351" s="1055" t="s">
        <v>359</v>
      </c>
      <c r="D1351" s="1055" t="s">
        <v>1845</v>
      </c>
      <c r="E1351" s="1055" t="s">
        <v>1846</v>
      </c>
      <c r="F1351" s="1056">
        <v>-32</v>
      </c>
      <c r="G1351" s="1056">
        <v>0</v>
      </c>
      <c r="H1351" s="1056">
        <v>52</v>
      </c>
      <c r="I1351" s="1056">
        <v>-84</v>
      </c>
      <c r="K1351" s="1037">
        <f t="shared" si="21"/>
        <v>8</v>
      </c>
    </row>
    <row r="1352" spans="1:11" ht="12.75">
      <c r="A1352" s="1054">
        <v>25500601</v>
      </c>
      <c r="B1352" s="1055" t="s">
        <v>893</v>
      </c>
      <c r="C1352" s="1055" t="s">
        <v>359</v>
      </c>
      <c r="D1352" s="1055" t="s">
        <v>1306</v>
      </c>
      <c r="E1352" s="1055" t="s">
        <v>997</v>
      </c>
      <c r="F1352" s="1056">
        <v>-178</v>
      </c>
      <c r="G1352" s="1056">
        <v>0</v>
      </c>
      <c r="H1352" s="1056">
        <v>0</v>
      </c>
      <c r="I1352" s="1056">
        <v>-178</v>
      </c>
      <c r="K1352" s="1037">
        <f t="shared" si="21"/>
        <v>8</v>
      </c>
    </row>
    <row r="1353" spans="1:11" ht="12.75">
      <c r="A1353" s="1054">
        <v>25500601</v>
      </c>
      <c r="B1353" s="1055" t="s">
        <v>893</v>
      </c>
      <c r="C1353" s="1055" t="s">
        <v>359</v>
      </c>
      <c r="D1353" s="1055" t="s">
        <v>1897</v>
      </c>
      <c r="E1353" s="1055" t="s">
        <v>1898</v>
      </c>
      <c r="F1353" s="1056">
        <v>0</v>
      </c>
      <c r="G1353" s="1056">
        <v>0</v>
      </c>
      <c r="H1353" s="1056">
        <v>11</v>
      </c>
      <c r="I1353" s="1056">
        <v>-11</v>
      </c>
      <c r="K1353" s="1037">
        <f t="shared" si="21"/>
        <v>8</v>
      </c>
    </row>
    <row r="1354" spans="1:11" ht="12.75">
      <c r="A1354" s="1054">
        <v>25500601</v>
      </c>
      <c r="B1354" s="1055" t="s">
        <v>893</v>
      </c>
      <c r="C1354" s="1055" t="s">
        <v>359</v>
      </c>
      <c r="D1354" s="1055" t="s">
        <v>1250</v>
      </c>
      <c r="E1354" s="1055" t="s">
        <v>1251</v>
      </c>
      <c r="F1354" s="1056">
        <v>-242</v>
      </c>
      <c r="G1354" s="1056">
        <v>0</v>
      </c>
      <c r="H1354" s="1056">
        <v>47</v>
      </c>
      <c r="I1354" s="1056">
        <v>-289</v>
      </c>
      <c r="K1354" s="1037">
        <f t="shared" si="21"/>
        <v>8</v>
      </c>
    </row>
    <row r="1355" spans="1:11" ht="12.75">
      <c r="A1355" s="1054">
        <v>25500601</v>
      </c>
      <c r="B1355" s="1055" t="s">
        <v>893</v>
      </c>
      <c r="C1355" s="1055" t="s">
        <v>359</v>
      </c>
      <c r="D1355" s="1055" t="s">
        <v>1899</v>
      </c>
      <c r="E1355" s="1055" t="s">
        <v>1900</v>
      </c>
      <c r="F1355" s="1056">
        <v>0</v>
      </c>
      <c r="G1355" s="1056">
        <v>0</v>
      </c>
      <c r="H1355" s="1056">
        <v>57</v>
      </c>
      <c r="I1355" s="1056">
        <v>-57</v>
      </c>
      <c r="K1355" s="1037">
        <f t="shared" si="21"/>
        <v>8</v>
      </c>
    </row>
    <row r="1356" spans="1:11" ht="12.75">
      <c r="A1356" s="1054">
        <v>25500601</v>
      </c>
      <c r="B1356" s="1055" t="s">
        <v>893</v>
      </c>
      <c r="C1356" s="1055" t="s">
        <v>359</v>
      </c>
      <c r="D1356" s="1055" t="s">
        <v>1901</v>
      </c>
      <c r="E1356" s="1055" t="s">
        <v>1902</v>
      </c>
      <c r="F1356" s="1056">
        <v>0</v>
      </c>
      <c r="G1356" s="1056">
        <v>0</v>
      </c>
      <c r="H1356" s="1056">
        <v>21</v>
      </c>
      <c r="I1356" s="1056">
        <v>-21</v>
      </c>
      <c r="K1356" s="1037">
        <f t="shared" si="21"/>
        <v>8</v>
      </c>
    </row>
    <row r="1357" spans="1:11" ht="12.75">
      <c r="A1357" s="1054">
        <v>25500601</v>
      </c>
      <c r="B1357" s="1055" t="s">
        <v>893</v>
      </c>
      <c r="C1357" s="1055" t="s">
        <v>359</v>
      </c>
      <c r="D1357" s="1055" t="s">
        <v>1686</v>
      </c>
      <c r="E1357" s="1055" t="s">
        <v>1687</v>
      </c>
      <c r="F1357" s="1056">
        <v>-141</v>
      </c>
      <c r="G1357" s="1056">
        <v>0</v>
      </c>
      <c r="H1357" s="1056">
        <v>0</v>
      </c>
      <c r="I1357" s="1056">
        <v>-141</v>
      </c>
      <c r="K1357" s="1037">
        <f t="shared" si="21"/>
        <v>8</v>
      </c>
    </row>
    <row r="1358" spans="1:11" ht="12.75">
      <c r="A1358" s="1054">
        <v>25500601</v>
      </c>
      <c r="B1358" s="1055" t="s">
        <v>893</v>
      </c>
      <c r="C1358" s="1055" t="s">
        <v>359</v>
      </c>
      <c r="D1358" s="1055" t="s">
        <v>1303</v>
      </c>
      <c r="E1358" s="1055" t="s">
        <v>806</v>
      </c>
      <c r="F1358" s="1056">
        <v>-72</v>
      </c>
      <c r="G1358" s="1056">
        <v>0</v>
      </c>
      <c r="H1358" s="1056">
        <v>0</v>
      </c>
      <c r="I1358" s="1056">
        <v>-72</v>
      </c>
      <c r="K1358" s="1037">
        <f t="shared" si="21"/>
        <v>8</v>
      </c>
    </row>
    <row r="1359" spans="1:11" ht="12.75">
      <c r="A1359" s="1054">
        <v>25500601</v>
      </c>
      <c r="B1359" s="1055" t="s">
        <v>893</v>
      </c>
      <c r="C1359" s="1055" t="s">
        <v>359</v>
      </c>
      <c r="D1359" s="1055" t="s">
        <v>1523</v>
      </c>
      <c r="E1359" s="1055" t="s">
        <v>1524</v>
      </c>
      <c r="F1359" s="1056">
        <v>-79</v>
      </c>
      <c r="G1359" s="1056">
        <v>0</v>
      </c>
      <c r="H1359" s="1056">
        <v>0</v>
      </c>
      <c r="I1359" s="1056">
        <v>-79</v>
      </c>
      <c r="K1359" s="1037">
        <f t="shared" si="21"/>
        <v>8</v>
      </c>
    </row>
    <row r="1360" spans="1:11" ht="12.75">
      <c r="A1360" s="1054">
        <v>25500601</v>
      </c>
      <c r="B1360" s="1055" t="s">
        <v>893</v>
      </c>
      <c r="C1360" s="1055" t="s">
        <v>359</v>
      </c>
      <c r="D1360" s="1055" t="s">
        <v>1480</v>
      </c>
      <c r="E1360" s="1055" t="s">
        <v>1481</v>
      </c>
      <c r="F1360" s="1056">
        <v>-24</v>
      </c>
      <c r="G1360" s="1056">
        <v>0</v>
      </c>
      <c r="H1360" s="1056">
        <v>0</v>
      </c>
      <c r="I1360" s="1056">
        <v>-24</v>
      </c>
      <c r="K1360" s="1037">
        <f t="shared" si="21"/>
        <v>8</v>
      </c>
    </row>
    <row r="1361" spans="1:11" ht="12.75">
      <c r="A1361" s="1054">
        <v>25500601</v>
      </c>
      <c r="B1361" s="1055" t="s">
        <v>893</v>
      </c>
      <c r="C1361" s="1055" t="s">
        <v>359</v>
      </c>
      <c r="D1361" s="1055" t="s">
        <v>1847</v>
      </c>
      <c r="E1361" s="1055" t="s">
        <v>1848</v>
      </c>
      <c r="F1361" s="1056">
        <v>-23</v>
      </c>
      <c r="G1361" s="1056">
        <v>0</v>
      </c>
      <c r="H1361" s="1056">
        <v>0</v>
      </c>
      <c r="I1361" s="1056">
        <v>-23</v>
      </c>
      <c r="K1361" s="1037">
        <f t="shared" si="21"/>
        <v>8</v>
      </c>
    </row>
    <row r="1362" spans="1:11" ht="12.75">
      <c r="A1362" s="1054">
        <v>25500601</v>
      </c>
      <c r="B1362" s="1055" t="s">
        <v>893</v>
      </c>
      <c r="C1362" s="1055" t="s">
        <v>359</v>
      </c>
      <c r="D1362" s="1055" t="s">
        <v>1761</v>
      </c>
      <c r="E1362" s="1055" t="s">
        <v>1762</v>
      </c>
      <c r="F1362" s="1056">
        <v>-56</v>
      </c>
      <c r="G1362" s="1056">
        <v>0</v>
      </c>
      <c r="H1362" s="1056">
        <v>0</v>
      </c>
      <c r="I1362" s="1056">
        <v>-56</v>
      </c>
      <c r="K1362" s="1037">
        <f t="shared" si="21"/>
        <v>8</v>
      </c>
    </row>
    <row r="1363" spans="1:11" ht="12.75">
      <c r="A1363" s="1054">
        <v>25500601</v>
      </c>
      <c r="B1363" s="1055" t="s">
        <v>893</v>
      </c>
      <c r="C1363" s="1055" t="s">
        <v>359</v>
      </c>
      <c r="D1363" s="1055" t="s">
        <v>1428</v>
      </c>
      <c r="E1363" s="1055" t="s">
        <v>1429</v>
      </c>
      <c r="F1363" s="1056">
        <v>-97</v>
      </c>
      <c r="G1363" s="1056">
        <v>0</v>
      </c>
      <c r="H1363" s="1056">
        <v>0</v>
      </c>
      <c r="I1363" s="1056">
        <v>-97</v>
      </c>
      <c r="K1363" s="1037">
        <f t="shared" si="21"/>
        <v>8</v>
      </c>
    </row>
    <row r="1364" spans="1:11" ht="12.75">
      <c r="A1364" s="1054">
        <v>25500601</v>
      </c>
      <c r="B1364" s="1055" t="s">
        <v>893</v>
      </c>
      <c r="C1364" s="1055" t="s">
        <v>359</v>
      </c>
      <c r="D1364" s="1055" t="s">
        <v>1849</v>
      </c>
      <c r="E1364" s="1055" t="s">
        <v>1850</v>
      </c>
      <c r="F1364" s="1056">
        <v>-27</v>
      </c>
      <c r="G1364" s="1056">
        <v>0</v>
      </c>
      <c r="H1364" s="1056">
        <v>51</v>
      </c>
      <c r="I1364" s="1056">
        <v>-78</v>
      </c>
      <c r="K1364" s="1037">
        <f t="shared" si="21"/>
        <v>8</v>
      </c>
    </row>
    <row r="1365" spans="1:11" ht="12.75">
      <c r="A1365" s="1054">
        <v>25500601</v>
      </c>
      <c r="B1365" s="1055" t="s">
        <v>893</v>
      </c>
      <c r="C1365" s="1055" t="s">
        <v>359</v>
      </c>
      <c r="D1365" s="1055" t="s">
        <v>1275</v>
      </c>
      <c r="E1365" s="1055" t="s">
        <v>991</v>
      </c>
      <c r="F1365" s="1056">
        <v>-218</v>
      </c>
      <c r="G1365" s="1056">
        <v>0</v>
      </c>
      <c r="H1365" s="1056">
        <v>7</v>
      </c>
      <c r="I1365" s="1056">
        <v>-225</v>
      </c>
      <c r="K1365" s="1037">
        <f t="shared" si="21"/>
        <v>8</v>
      </c>
    </row>
    <row r="1366" spans="1:11" ht="12.75">
      <c r="A1366" s="1054">
        <v>25500601</v>
      </c>
      <c r="B1366" s="1055" t="s">
        <v>893</v>
      </c>
      <c r="C1366" s="1055" t="s">
        <v>359</v>
      </c>
      <c r="D1366" s="1055" t="s">
        <v>1380</v>
      </c>
      <c r="E1366" s="1055" t="s">
        <v>1381</v>
      </c>
      <c r="F1366" s="1056">
        <v>-95</v>
      </c>
      <c r="G1366" s="1056">
        <v>0</v>
      </c>
      <c r="H1366" s="1056">
        <v>0</v>
      </c>
      <c r="I1366" s="1056">
        <v>-95</v>
      </c>
      <c r="K1366" s="1037">
        <f t="shared" si="21"/>
        <v>8</v>
      </c>
    </row>
    <row r="1367" spans="1:11" ht="12.75">
      <c r="A1367" s="1054">
        <v>25500601</v>
      </c>
      <c r="B1367" s="1055" t="s">
        <v>893</v>
      </c>
      <c r="C1367" s="1055" t="s">
        <v>359</v>
      </c>
      <c r="D1367" s="1055" t="s">
        <v>1585</v>
      </c>
      <c r="E1367" s="1055" t="s">
        <v>1586</v>
      </c>
      <c r="F1367" s="1056">
        <v>-144</v>
      </c>
      <c r="G1367" s="1056">
        <v>0</v>
      </c>
      <c r="H1367" s="1056">
        <v>43</v>
      </c>
      <c r="I1367" s="1056">
        <v>-186</v>
      </c>
      <c r="K1367" s="1037">
        <f t="shared" si="21"/>
        <v>8</v>
      </c>
    </row>
    <row r="1368" spans="1:11" ht="12.75">
      <c r="A1368" s="1054">
        <v>25500601</v>
      </c>
      <c r="B1368" s="1055" t="s">
        <v>893</v>
      </c>
      <c r="C1368" s="1055" t="s">
        <v>359</v>
      </c>
      <c r="D1368" s="1055" t="s">
        <v>1382</v>
      </c>
      <c r="E1368" s="1055" t="s">
        <v>1763</v>
      </c>
      <c r="F1368" s="1056">
        <v>-268</v>
      </c>
      <c r="G1368" s="1056">
        <v>0</v>
      </c>
      <c r="H1368" s="1056">
        <v>60</v>
      </c>
      <c r="I1368" s="1056">
        <v>-329</v>
      </c>
      <c r="K1368" s="1037">
        <f t="shared" si="21"/>
        <v>8</v>
      </c>
    </row>
    <row r="1369" spans="1:11" ht="12.75">
      <c r="A1369" s="1054">
        <v>25500601</v>
      </c>
      <c r="B1369" s="1055" t="s">
        <v>893</v>
      </c>
      <c r="C1369" s="1055" t="s">
        <v>359</v>
      </c>
      <c r="D1369" s="1055" t="s">
        <v>1440</v>
      </c>
      <c r="E1369" s="1055" t="s">
        <v>1441</v>
      </c>
      <c r="F1369" s="1056">
        <v>-172</v>
      </c>
      <c r="G1369" s="1056">
        <v>0</v>
      </c>
      <c r="H1369" s="1056">
        <v>0</v>
      </c>
      <c r="I1369" s="1056">
        <v>-172</v>
      </c>
      <c r="K1369" s="1037">
        <f t="shared" si="21"/>
        <v>8</v>
      </c>
    </row>
    <row r="1370" spans="1:11" ht="12.75">
      <c r="A1370" s="1054">
        <v>25500601</v>
      </c>
      <c r="B1370" s="1055" t="s">
        <v>893</v>
      </c>
      <c r="C1370" s="1055" t="s">
        <v>359</v>
      </c>
      <c r="D1370" s="1055" t="s">
        <v>1383</v>
      </c>
      <c r="E1370" s="1055" t="s">
        <v>1384</v>
      </c>
      <c r="F1370" s="1056">
        <v>-282</v>
      </c>
      <c r="G1370" s="1056">
        <v>0</v>
      </c>
      <c r="H1370" s="1056">
        <v>48</v>
      </c>
      <c r="I1370" s="1056">
        <v>-330</v>
      </c>
      <c r="K1370" s="1037">
        <f t="shared" si="21"/>
        <v>8</v>
      </c>
    </row>
    <row r="1371" spans="1:11" ht="12.75">
      <c r="A1371" s="1054">
        <v>25500601</v>
      </c>
      <c r="B1371" s="1055" t="s">
        <v>893</v>
      </c>
      <c r="C1371" s="1055" t="s">
        <v>359</v>
      </c>
      <c r="D1371" s="1055" t="s">
        <v>1430</v>
      </c>
      <c r="E1371" s="1055" t="s">
        <v>1431</v>
      </c>
      <c r="F1371" s="1056">
        <v>-51</v>
      </c>
      <c r="G1371" s="1056">
        <v>0</v>
      </c>
      <c r="H1371" s="1056">
        <v>0</v>
      </c>
      <c r="I1371" s="1056">
        <v>-51</v>
      </c>
      <c r="K1371" s="1037">
        <f t="shared" si="21"/>
        <v>8</v>
      </c>
    </row>
    <row r="1372" spans="1:11" ht="12.75">
      <c r="A1372" s="1054">
        <v>25500601</v>
      </c>
      <c r="B1372" s="1055" t="s">
        <v>893</v>
      </c>
      <c r="C1372" s="1055" t="s">
        <v>359</v>
      </c>
      <c r="D1372" s="1055" t="s">
        <v>1587</v>
      </c>
      <c r="E1372" s="1055" t="s">
        <v>1588</v>
      </c>
      <c r="F1372" s="1056">
        <v>-194</v>
      </c>
      <c r="G1372" s="1056">
        <v>0</v>
      </c>
      <c r="H1372" s="1056">
        <v>50</v>
      </c>
      <c r="I1372" s="1056">
        <v>-244</v>
      </c>
      <c r="K1372" s="1037">
        <f t="shared" si="21"/>
        <v>8</v>
      </c>
    </row>
    <row r="1373" spans="1:11" ht="12.75">
      <c r="A1373" s="1054">
        <v>255010</v>
      </c>
      <c r="B1373" s="1055" t="s">
        <v>1489</v>
      </c>
      <c r="C1373" s="1055" t="s">
        <v>751</v>
      </c>
      <c r="D1373" s="1055" t="s">
        <v>893</v>
      </c>
      <c r="E1373" s="1055" t="s">
        <v>893</v>
      </c>
      <c r="F1373" s="1056">
        <v>-2417</v>
      </c>
      <c r="G1373" s="1056">
        <v>2476</v>
      </c>
      <c r="H1373" s="1056">
        <v>2542</v>
      </c>
      <c r="I1373" s="1056">
        <v>-2484</v>
      </c>
      <c r="K1373" s="1037">
        <f t="shared" si="21"/>
        <v>6</v>
      </c>
    </row>
    <row r="1374" spans="1:11" ht="12.75">
      <c r="A1374" s="1054">
        <v>25501001</v>
      </c>
      <c r="B1374" s="1055" t="s">
        <v>1489</v>
      </c>
      <c r="C1374" s="1055" t="s">
        <v>751</v>
      </c>
      <c r="D1374" s="1055" t="s">
        <v>893</v>
      </c>
      <c r="E1374" s="1055" t="s">
        <v>893</v>
      </c>
      <c r="F1374" s="1056">
        <v>-2417</v>
      </c>
      <c r="G1374" s="1056">
        <v>2476</v>
      </c>
      <c r="H1374" s="1056">
        <v>2542</v>
      </c>
      <c r="I1374" s="1056">
        <v>-2484</v>
      </c>
      <c r="K1374" s="1037">
        <f t="shared" si="21"/>
        <v>8</v>
      </c>
    </row>
    <row r="1375" spans="1:11" ht="12.75">
      <c r="A1375" s="1054">
        <v>25501001</v>
      </c>
      <c r="B1375" s="1055" t="s">
        <v>1489</v>
      </c>
      <c r="C1375" s="1055" t="s">
        <v>751</v>
      </c>
      <c r="D1375" s="1055" t="s">
        <v>1067</v>
      </c>
      <c r="E1375" s="1055" t="s">
        <v>1068</v>
      </c>
      <c r="F1375" s="1056">
        <v>-2613</v>
      </c>
      <c r="G1375" s="1056">
        <v>0</v>
      </c>
      <c r="H1375" s="1056">
        <v>0</v>
      </c>
      <c r="I1375" s="1056">
        <v>-2613</v>
      </c>
      <c r="K1375" s="1037">
        <f t="shared" si="21"/>
        <v>8</v>
      </c>
    </row>
    <row r="1376" spans="1:11" ht="12.75">
      <c r="A1376" s="1054">
        <v>25501001</v>
      </c>
      <c r="B1376" s="1055" t="s">
        <v>1489</v>
      </c>
      <c r="C1376" s="1055" t="s">
        <v>751</v>
      </c>
      <c r="D1376" s="1055" t="s">
        <v>1575</v>
      </c>
      <c r="E1376" s="1055" t="s">
        <v>1576</v>
      </c>
      <c r="F1376" s="1056">
        <v>-224</v>
      </c>
      <c r="G1376" s="1056">
        <v>0</v>
      </c>
      <c r="H1376" s="1056">
        <v>0</v>
      </c>
      <c r="I1376" s="1056">
        <v>-224</v>
      </c>
      <c r="K1376" s="1037">
        <f t="shared" si="21"/>
        <v>8</v>
      </c>
    </row>
    <row r="1377" spans="1:11" ht="12.75">
      <c r="A1377" s="1054">
        <v>25501001</v>
      </c>
      <c r="B1377" s="1055" t="s">
        <v>1489</v>
      </c>
      <c r="C1377" s="1055" t="s">
        <v>751</v>
      </c>
      <c r="D1377" s="1055" t="s">
        <v>1891</v>
      </c>
      <c r="E1377" s="1055" t="s">
        <v>1892</v>
      </c>
      <c r="F1377" s="1056">
        <v>0</v>
      </c>
      <c r="G1377" s="1056">
        <v>0</v>
      </c>
      <c r="H1377" s="1056">
        <v>86</v>
      </c>
      <c r="I1377" s="1056">
        <v>-86</v>
      </c>
      <c r="K1377" s="1037">
        <f t="shared" si="21"/>
        <v>8</v>
      </c>
    </row>
    <row r="1378" spans="1:11" ht="12.75">
      <c r="A1378" s="1054">
        <v>25501001</v>
      </c>
      <c r="B1378" s="1055" t="s">
        <v>1489</v>
      </c>
      <c r="C1378" s="1055" t="s">
        <v>751</v>
      </c>
      <c r="D1378" s="1055" t="s">
        <v>1577</v>
      </c>
      <c r="E1378" s="1055" t="s">
        <v>1578</v>
      </c>
      <c r="F1378" s="1056">
        <v>-318</v>
      </c>
      <c r="G1378" s="1056">
        <v>0</v>
      </c>
      <c r="H1378" s="1056">
        <v>91</v>
      </c>
      <c r="I1378" s="1056">
        <v>-410</v>
      </c>
      <c r="K1378" s="1037">
        <f t="shared" si="21"/>
        <v>8</v>
      </c>
    </row>
    <row r="1379" spans="1:11" ht="12.75">
      <c r="A1379" s="1054">
        <v>25501001</v>
      </c>
      <c r="B1379" s="1055" t="s">
        <v>1489</v>
      </c>
      <c r="C1379" s="1055" t="s">
        <v>751</v>
      </c>
      <c r="D1379" s="1055" t="s">
        <v>1360</v>
      </c>
      <c r="E1379" s="1055" t="s">
        <v>1361</v>
      </c>
      <c r="F1379" s="1056">
        <v>-552</v>
      </c>
      <c r="G1379" s="1056">
        <v>0</v>
      </c>
      <c r="H1379" s="1056">
        <v>111</v>
      </c>
      <c r="I1379" s="1056">
        <v>-663</v>
      </c>
      <c r="K1379" s="1037">
        <f t="shared" si="21"/>
        <v>8</v>
      </c>
    </row>
    <row r="1380" spans="1:11" ht="12.75">
      <c r="A1380" s="1054">
        <v>25501001</v>
      </c>
      <c r="B1380" s="1055" t="s">
        <v>1489</v>
      </c>
      <c r="C1380" s="1055" t="s">
        <v>751</v>
      </c>
      <c r="D1380" s="1055" t="s">
        <v>1893</v>
      </c>
      <c r="E1380" s="1055" t="s">
        <v>1894</v>
      </c>
      <c r="F1380" s="1056">
        <v>0</v>
      </c>
      <c r="G1380" s="1056">
        <v>0</v>
      </c>
      <c r="H1380" s="1056">
        <v>86</v>
      </c>
      <c r="I1380" s="1056">
        <v>-86</v>
      </c>
      <c r="K1380" s="1037">
        <f t="shared" si="21"/>
        <v>8</v>
      </c>
    </row>
    <row r="1381" spans="1:11" ht="12.75">
      <c r="A1381" s="1054">
        <v>25501001</v>
      </c>
      <c r="B1381" s="1055" t="s">
        <v>1489</v>
      </c>
      <c r="C1381" s="1055" t="s">
        <v>751</v>
      </c>
      <c r="D1381" s="1055" t="s">
        <v>1298</v>
      </c>
      <c r="E1381" s="1055" t="s">
        <v>987</v>
      </c>
      <c r="F1381" s="1056">
        <v>-384</v>
      </c>
      <c r="G1381" s="1056">
        <v>0</v>
      </c>
      <c r="H1381" s="1056">
        <v>0</v>
      </c>
      <c r="I1381" s="1056">
        <v>-384</v>
      </c>
      <c r="K1381" s="1037">
        <f t="shared" si="21"/>
        <v>8</v>
      </c>
    </row>
    <row r="1382" spans="1:11" ht="12.75">
      <c r="A1382" s="1054">
        <v>25501001</v>
      </c>
      <c r="B1382" s="1055" t="s">
        <v>1489</v>
      </c>
      <c r="C1382" s="1055" t="s">
        <v>751</v>
      </c>
      <c r="D1382" s="1055" t="s">
        <v>1362</v>
      </c>
      <c r="E1382" s="1055" t="s">
        <v>1363</v>
      </c>
      <c r="F1382" s="1056">
        <v>-46</v>
      </c>
      <c r="G1382" s="1056">
        <v>0</v>
      </c>
      <c r="H1382" s="1056">
        <v>0</v>
      </c>
      <c r="I1382" s="1056">
        <v>-46</v>
      </c>
      <c r="K1382" s="1037">
        <f t="shared" si="21"/>
        <v>8</v>
      </c>
    </row>
    <row r="1383" spans="1:11" ht="12.75">
      <c r="A1383" s="1054">
        <v>25501001</v>
      </c>
      <c r="B1383" s="1055" t="s">
        <v>1489</v>
      </c>
      <c r="C1383" s="1055" t="s">
        <v>751</v>
      </c>
      <c r="D1383" s="1055" t="s">
        <v>1484</v>
      </c>
      <c r="E1383" s="1055" t="s">
        <v>1485</v>
      </c>
      <c r="F1383" s="1056">
        <v>-384</v>
      </c>
      <c r="G1383" s="1056">
        <v>0</v>
      </c>
      <c r="H1383" s="1056">
        <v>80</v>
      </c>
      <c r="I1383" s="1056">
        <v>-464</v>
      </c>
      <c r="K1383" s="1037">
        <f t="shared" si="21"/>
        <v>8</v>
      </c>
    </row>
    <row r="1384" spans="1:11" ht="12.75">
      <c r="A1384" s="1054">
        <v>25501001</v>
      </c>
      <c r="B1384" s="1055" t="s">
        <v>1489</v>
      </c>
      <c r="C1384" s="1055" t="s">
        <v>751</v>
      </c>
      <c r="D1384" s="1055" t="s">
        <v>1579</v>
      </c>
      <c r="E1384" s="1055" t="s">
        <v>1580</v>
      </c>
      <c r="F1384" s="1056">
        <v>-359</v>
      </c>
      <c r="G1384" s="1056">
        <v>0</v>
      </c>
      <c r="H1384" s="1056">
        <v>106</v>
      </c>
      <c r="I1384" s="1056">
        <v>-465</v>
      </c>
      <c r="K1384" s="1037">
        <f t="shared" si="21"/>
        <v>8</v>
      </c>
    </row>
    <row r="1385" spans="1:11" ht="12.75">
      <c r="A1385" s="1054">
        <v>25501001</v>
      </c>
      <c r="B1385" s="1055" t="s">
        <v>1489</v>
      </c>
      <c r="C1385" s="1055" t="s">
        <v>751</v>
      </c>
      <c r="D1385" s="1055" t="s">
        <v>1270</v>
      </c>
      <c r="E1385" s="1055" t="s">
        <v>988</v>
      </c>
      <c r="F1385" s="1056">
        <v>-480</v>
      </c>
      <c r="G1385" s="1056">
        <v>0</v>
      </c>
      <c r="H1385" s="1056">
        <v>99</v>
      </c>
      <c r="I1385" s="1056">
        <v>-580</v>
      </c>
      <c r="K1385" s="1037">
        <f t="shared" si="21"/>
        <v>8</v>
      </c>
    </row>
    <row r="1386" spans="1:11" ht="12.75">
      <c r="A1386" s="1054">
        <v>25501001</v>
      </c>
      <c r="B1386" s="1055" t="s">
        <v>1489</v>
      </c>
      <c r="C1386" s="1055" t="s">
        <v>751</v>
      </c>
      <c r="D1386" s="1055" t="s">
        <v>1271</v>
      </c>
      <c r="E1386" s="1055" t="s">
        <v>782</v>
      </c>
      <c r="F1386" s="1056">
        <v>-94</v>
      </c>
      <c r="G1386" s="1056">
        <v>0</v>
      </c>
      <c r="H1386" s="1056">
        <v>0</v>
      </c>
      <c r="I1386" s="1056">
        <v>-94</v>
      </c>
      <c r="K1386" s="1037">
        <f t="shared" si="21"/>
        <v>8</v>
      </c>
    </row>
    <row r="1387" spans="1:11" ht="12.75">
      <c r="A1387" s="1054">
        <v>25501001</v>
      </c>
      <c r="B1387" s="1055" t="s">
        <v>1489</v>
      </c>
      <c r="C1387" s="1055" t="s">
        <v>751</v>
      </c>
      <c r="D1387" s="1055" t="s">
        <v>1272</v>
      </c>
      <c r="E1387" s="1055" t="s">
        <v>1273</v>
      </c>
      <c r="F1387" s="1056">
        <v>0</v>
      </c>
      <c r="G1387" s="1056">
        <v>0</v>
      </c>
      <c r="H1387" s="1056">
        <v>117</v>
      </c>
      <c r="I1387" s="1056">
        <v>-117</v>
      </c>
      <c r="K1387" s="1037">
        <f t="shared" si="21"/>
        <v>8</v>
      </c>
    </row>
    <row r="1388" spans="1:11" ht="12.75">
      <c r="A1388" s="1054">
        <v>25501001</v>
      </c>
      <c r="B1388" s="1055" t="s">
        <v>1489</v>
      </c>
      <c r="C1388" s="1055" t="s">
        <v>751</v>
      </c>
      <c r="D1388" s="1055" t="s">
        <v>1420</v>
      </c>
      <c r="E1388" s="1055" t="s">
        <v>1421</v>
      </c>
      <c r="F1388" s="1056">
        <v>-352</v>
      </c>
      <c r="G1388" s="1056">
        <v>0</v>
      </c>
      <c r="H1388" s="1056">
        <v>38</v>
      </c>
      <c r="I1388" s="1056">
        <v>-390</v>
      </c>
      <c r="K1388" s="1037">
        <f t="shared" si="21"/>
        <v>8</v>
      </c>
    </row>
    <row r="1389" spans="1:11" ht="12.75">
      <c r="A1389" s="1054">
        <v>25501001</v>
      </c>
      <c r="B1389" s="1055" t="s">
        <v>1489</v>
      </c>
      <c r="C1389" s="1055" t="s">
        <v>751</v>
      </c>
      <c r="D1389" s="1055" t="s">
        <v>1493</v>
      </c>
      <c r="E1389" s="1055" t="s">
        <v>1494</v>
      </c>
      <c r="F1389" s="1056">
        <v>-422</v>
      </c>
      <c r="G1389" s="1056">
        <v>0</v>
      </c>
      <c r="H1389" s="1056">
        <v>0</v>
      </c>
      <c r="I1389" s="1056">
        <v>-422</v>
      </c>
      <c r="K1389" s="1037">
        <f t="shared" si="21"/>
        <v>8</v>
      </c>
    </row>
    <row r="1390" spans="1:11" ht="12.75">
      <c r="A1390" s="1054">
        <v>25501001</v>
      </c>
      <c r="B1390" s="1055" t="s">
        <v>1489</v>
      </c>
      <c r="C1390" s="1055" t="s">
        <v>751</v>
      </c>
      <c r="D1390" s="1055" t="s">
        <v>1841</v>
      </c>
      <c r="E1390" s="1055" t="s">
        <v>1842</v>
      </c>
      <c r="F1390" s="1056">
        <v>-106</v>
      </c>
      <c r="G1390" s="1056">
        <v>0</v>
      </c>
      <c r="H1390" s="1056">
        <v>104</v>
      </c>
      <c r="I1390" s="1056">
        <v>-210</v>
      </c>
      <c r="K1390" s="1037">
        <f t="shared" si="21"/>
        <v>8</v>
      </c>
    </row>
    <row r="1391" spans="1:11" ht="12.75">
      <c r="A1391" s="1054">
        <v>25501001</v>
      </c>
      <c r="B1391" s="1055" t="s">
        <v>1489</v>
      </c>
      <c r="C1391" s="1055" t="s">
        <v>751</v>
      </c>
      <c r="D1391" s="1055" t="s">
        <v>1519</v>
      </c>
      <c r="E1391" s="1055" t="s">
        <v>1520</v>
      </c>
      <c r="F1391" s="1056">
        <v>-39</v>
      </c>
      <c r="G1391" s="1056">
        <v>0</v>
      </c>
      <c r="H1391" s="1056">
        <v>0</v>
      </c>
      <c r="I1391" s="1056">
        <v>-39</v>
      </c>
      <c r="K1391" s="1037">
        <f t="shared" si="21"/>
        <v>8</v>
      </c>
    </row>
    <row r="1392" spans="1:11" ht="12.75">
      <c r="A1392" s="1054">
        <v>25501001</v>
      </c>
      <c r="B1392" s="1055" t="s">
        <v>1489</v>
      </c>
      <c r="C1392" s="1055" t="s">
        <v>751</v>
      </c>
      <c r="D1392" s="1055" t="s">
        <v>1368</v>
      </c>
      <c r="E1392" s="1055" t="s">
        <v>1369</v>
      </c>
      <c r="F1392" s="1056">
        <v>-45</v>
      </c>
      <c r="G1392" s="1056">
        <v>0</v>
      </c>
      <c r="H1392" s="1056">
        <v>0</v>
      </c>
      <c r="I1392" s="1056">
        <v>-45</v>
      </c>
      <c r="K1392" s="1037">
        <f t="shared" si="21"/>
        <v>8</v>
      </c>
    </row>
    <row r="1393" spans="1:11" ht="12.75">
      <c r="A1393" s="1054">
        <v>25501001</v>
      </c>
      <c r="B1393" s="1055" t="s">
        <v>1489</v>
      </c>
      <c r="C1393" s="1055" t="s">
        <v>751</v>
      </c>
      <c r="D1393" s="1055" t="s">
        <v>1895</v>
      </c>
      <c r="E1393" s="1055" t="s">
        <v>1896</v>
      </c>
      <c r="F1393" s="1056">
        <v>0</v>
      </c>
      <c r="G1393" s="1056">
        <v>0</v>
      </c>
      <c r="H1393" s="1056">
        <v>15</v>
      </c>
      <c r="I1393" s="1056">
        <v>-15</v>
      </c>
      <c r="K1393" s="1037">
        <f t="shared" si="21"/>
        <v>8</v>
      </c>
    </row>
    <row r="1394" spans="1:11" ht="12.75">
      <c r="A1394" s="1054">
        <v>25501001</v>
      </c>
      <c r="B1394" s="1055" t="s">
        <v>1489</v>
      </c>
      <c r="C1394" s="1055" t="s">
        <v>751</v>
      </c>
      <c r="D1394" s="1055" t="s">
        <v>1495</v>
      </c>
      <c r="E1394" s="1055" t="s">
        <v>1496</v>
      </c>
      <c r="F1394" s="1056">
        <v>-36</v>
      </c>
      <c r="G1394" s="1056">
        <v>0</v>
      </c>
      <c r="H1394" s="1056">
        <v>0</v>
      </c>
      <c r="I1394" s="1056">
        <v>-36</v>
      </c>
      <c r="K1394" s="1037">
        <f t="shared" si="21"/>
        <v>8</v>
      </c>
    </row>
    <row r="1395" spans="1:11" ht="12.75">
      <c r="A1395" s="1054">
        <v>25501001</v>
      </c>
      <c r="B1395" s="1055" t="s">
        <v>1489</v>
      </c>
      <c r="C1395" s="1055" t="s">
        <v>751</v>
      </c>
      <c r="D1395" s="1055" t="s">
        <v>1320</v>
      </c>
      <c r="E1395" s="1055" t="s">
        <v>1321</v>
      </c>
      <c r="F1395" s="1056">
        <v>-392</v>
      </c>
      <c r="G1395" s="1056">
        <v>0</v>
      </c>
      <c r="H1395" s="1056">
        <v>83</v>
      </c>
      <c r="I1395" s="1056">
        <v>-475</v>
      </c>
      <c r="K1395" s="1037">
        <f t="shared" si="21"/>
        <v>8</v>
      </c>
    </row>
    <row r="1396" spans="1:11" ht="12.75">
      <c r="A1396" s="1054">
        <v>25501001</v>
      </c>
      <c r="B1396" s="1055" t="s">
        <v>1489</v>
      </c>
      <c r="C1396" s="1055" t="s">
        <v>751</v>
      </c>
      <c r="D1396" s="1055" t="s">
        <v>1274</v>
      </c>
      <c r="E1396" s="1055" t="s">
        <v>989</v>
      </c>
      <c r="F1396" s="1056">
        <v>-489</v>
      </c>
      <c r="G1396" s="1056">
        <v>0</v>
      </c>
      <c r="H1396" s="1056">
        <v>95</v>
      </c>
      <c r="I1396" s="1056">
        <v>-584</v>
      </c>
      <c r="K1396" s="1037">
        <f t="shared" si="21"/>
        <v>8</v>
      </c>
    </row>
    <row r="1397" spans="1:11" ht="12.75">
      <c r="A1397" s="1054">
        <v>25501001</v>
      </c>
      <c r="B1397" s="1055" t="s">
        <v>1489</v>
      </c>
      <c r="C1397" s="1055" t="s">
        <v>751</v>
      </c>
      <c r="D1397" s="1055" t="s">
        <v>1497</v>
      </c>
      <c r="E1397" s="1055" t="s">
        <v>1498</v>
      </c>
      <c r="F1397" s="1056">
        <v>-295</v>
      </c>
      <c r="G1397" s="1056">
        <v>0</v>
      </c>
      <c r="H1397" s="1056">
        <v>0</v>
      </c>
      <c r="I1397" s="1056">
        <v>-295</v>
      </c>
      <c r="K1397" s="1037">
        <f t="shared" si="21"/>
        <v>8</v>
      </c>
    </row>
    <row r="1398" spans="1:11" ht="12.75">
      <c r="A1398" s="1054">
        <v>25501001</v>
      </c>
      <c r="B1398" s="1055" t="s">
        <v>1489</v>
      </c>
      <c r="C1398" s="1055" t="s">
        <v>751</v>
      </c>
      <c r="D1398" s="1055" t="s">
        <v>1043</v>
      </c>
      <c r="E1398" s="1055" t="s">
        <v>318</v>
      </c>
      <c r="F1398" s="1056">
        <v>-690</v>
      </c>
      <c r="G1398" s="1056">
        <v>0</v>
      </c>
      <c r="H1398" s="1056">
        <v>173</v>
      </c>
      <c r="I1398" s="1056">
        <v>-863</v>
      </c>
      <c r="K1398" s="1037">
        <f t="shared" si="21"/>
        <v>8</v>
      </c>
    </row>
    <row r="1399" spans="1:11" ht="12.75">
      <c r="A1399" s="1054">
        <v>25501001</v>
      </c>
      <c r="B1399" s="1055" t="s">
        <v>1489</v>
      </c>
      <c r="C1399" s="1055" t="s">
        <v>751</v>
      </c>
      <c r="D1399" s="1055" t="s">
        <v>1370</v>
      </c>
      <c r="E1399" s="1055" t="s">
        <v>1371</v>
      </c>
      <c r="F1399" s="1056">
        <v>-319</v>
      </c>
      <c r="G1399" s="1056">
        <v>0</v>
      </c>
      <c r="H1399" s="1056">
        <v>80</v>
      </c>
      <c r="I1399" s="1056">
        <v>-399</v>
      </c>
      <c r="K1399" s="1037">
        <f t="shared" si="21"/>
        <v>8</v>
      </c>
    </row>
    <row r="1400" spans="1:11" ht="12.75">
      <c r="A1400" s="1054">
        <v>25501001</v>
      </c>
      <c r="B1400" s="1055" t="s">
        <v>1489</v>
      </c>
      <c r="C1400" s="1055" t="s">
        <v>751</v>
      </c>
      <c r="D1400" s="1055" t="s">
        <v>1843</v>
      </c>
      <c r="E1400" s="1055" t="s">
        <v>1844</v>
      </c>
      <c r="F1400" s="1056">
        <v>-62</v>
      </c>
      <c r="G1400" s="1056">
        <v>0</v>
      </c>
      <c r="H1400" s="1056">
        <v>0</v>
      </c>
      <c r="I1400" s="1056">
        <v>-62</v>
      </c>
      <c r="K1400" s="1037">
        <f t="shared" si="21"/>
        <v>8</v>
      </c>
    </row>
    <row r="1401" spans="1:11" ht="12.75">
      <c r="A1401" s="1054">
        <v>25501001</v>
      </c>
      <c r="B1401" s="1055" t="s">
        <v>1489</v>
      </c>
      <c r="C1401" s="1055" t="s">
        <v>751</v>
      </c>
      <c r="D1401" s="1055" t="s">
        <v>1267</v>
      </c>
      <c r="E1401" s="1055" t="s">
        <v>336</v>
      </c>
      <c r="F1401" s="1056">
        <v>13372</v>
      </c>
      <c r="G1401" s="1056">
        <v>2476</v>
      </c>
      <c r="H1401" s="1056">
        <v>0</v>
      </c>
      <c r="I1401" s="1056">
        <v>15847</v>
      </c>
      <c r="K1401" s="1037">
        <f t="shared" si="21"/>
        <v>8</v>
      </c>
    </row>
    <row r="1402" spans="1:11" ht="12.75">
      <c r="A1402" s="1054">
        <v>25501001</v>
      </c>
      <c r="B1402" s="1055" t="s">
        <v>1489</v>
      </c>
      <c r="C1402" s="1055" t="s">
        <v>751</v>
      </c>
      <c r="D1402" s="1055" t="s">
        <v>1759</v>
      </c>
      <c r="E1402" s="1055" t="s">
        <v>1760</v>
      </c>
      <c r="F1402" s="1056">
        <v>-66</v>
      </c>
      <c r="G1402" s="1056">
        <v>0</v>
      </c>
      <c r="H1402" s="1056">
        <v>0</v>
      </c>
      <c r="I1402" s="1056">
        <v>-66</v>
      </c>
      <c r="K1402" s="1037">
        <f t="shared" si="21"/>
        <v>8</v>
      </c>
    </row>
    <row r="1403" spans="1:11" ht="12.75">
      <c r="A1403" s="1054">
        <v>25501001</v>
      </c>
      <c r="B1403" s="1055" t="s">
        <v>1489</v>
      </c>
      <c r="C1403" s="1055" t="s">
        <v>751</v>
      </c>
      <c r="D1403" s="1055" t="s">
        <v>1581</v>
      </c>
      <c r="E1403" s="1055" t="s">
        <v>1582</v>
      </c>
      <c r="F1403" s="1056">
        <v>-223</v>
      </c>
      <c r="G1403" s="1056">
        <v>0</v>
      </c>
      <c r="H1403" s="1056">
        <v>0</v>
      </c>
      <c r="I1403" s="1056">
        <v>-223</v>
      </c>
      <c r="K1403" s="1037">
        <f t="shared" si="21"/>
        <v>8</v>
      </c>
    </row>
    <row r="1404" spans="1:11" ht="12.75">
      <c r="A1404" s="1054">
        <v>25501001</v>
      </c>
      <c r="B1404" s="1055" t="s">
        <v>1489</v>
      </c>
      <c r="C1404" s="1055" t="s">
        <v>751</v>
      </c>
      <c r="D1404" s="1055" t="s">
        <v>1521</v>
      </c>
      <c r="E1404" s="1055" t="s">
        <v>1522</v>
      </c>
      <c r="F1404" s="1056">
        <v>-413</v>
      </c>
      <c r="G1404" s="1056">
        <v>0</v>
      </c>
      <c r="H1404" s="1056">
        <v>92</v>
      </c>
      <c r="I1404" s="1056">
        <v>-505</v>
      </c>
      <c r="K1404" s="1037">
        <f t="shared" si="21"/>
        <v>8</v>
      </c>
    </row>
    <row r="1405" spans="1:11" ht="12.75">
      <c r="A1405" s="1054">
        <v>25501001</v>
      </c>
      <c r="B1405" s="1055" t="s">
        <v>1489</v>
      </c>
      <c r="C1405" s="1055" t="s">
        <v>751</v>
      </c>
      <c r="D1405" s="1055" t="s">
        <v>1426</v>
      </c>
      <c r="E1405" s="1055" t="s">
        <v>1427</v>
      </c>
      <c r="F1405" s="1056">
        <v>-406</v>
      </c>
      <c r="G1405" s="1056">
        <v>0</v>
      </c>
      <c r="H1405" s="1056">
        <v>82</v>
      </c>
      <c r="I1405" s="1056">
        <v>-488</v>
      </c>
      <c r="K1405" s="1037">
        <f t="shared" si="21"/>
        <v>8</v>
      </c>
    </row>
    <row r="1406" spans="1:11" ht="12.75">
      <c r="A1406" s="1054">
        <v>25501001</v>
      </c>
      <c r="B1406" s="1055" t="s">
        <v>1489</v>
      </c>
      <c r="C1406" s="1055" t="s">
        <v>751</v>
      </c>
      <c r="D1406" s="1055" t="s">
        <v>1583</v>
      </c>
      <c r="E1406" s="1055" t="s">
        <v>1584</v>
      </c>
      <c r="F1406" s="1056">
        <v>-65</v>
      </c>
      <c r="G1406" s="1056">
        <v>0</v>
      </c>
      <c r="H1406" s="1056">
        <v>0</v>
      </c>
      <c r="I1406" s="1056">
        <v>-65</v>
      </c>
      <c r="K1406" s="1037">
        <f t="shared" si="21"/>
        <v>8</v>
      </c>
    </row>
    <row r="1407" spans="1:11" ht="12.75">
      <c r="A1407" s="1054">
        <v>25501001</v>
      </c>
      <c r="B1407" s="1055" t="s">
        <v>1489</v>
      </c>
      <c r="C1407" s="1055" t="s">
        <v>751</v>
      </c>
      <c r="D1407" s="1055" t="s">
        <v>1374</v>
      </c>
      <c r="E1407" s="1055" t="s">
        <v>1375</v>
      </c>
      <c r="F1407" s="1056">
        <v>-382</v>
      </c>
      <c r="G1407" s="1056">
        <v>0</v>
      </c>
      <c r="H1407" s="1056">
        <v>85</v>
      </c>
      <c r="I1407" s="1056">
        <v>-468</v>
      </c>
      <c r="K1407" s="1037">
        <f t="shared" si="21"/>
        <v>8</v>
      </c>
    </row>
    <row r="1408" spans="1:11" ht="12.75">
      <c r="A1408" s="1054">
        <v>25501001</v>
      </c>
      <c r="B1408" s="1055" t="s">
        <v>1489</v>
      </c>
      <c r="C1408" s="1055" t="s">
        <v>751</v>
      </c>
      <c r="D1408" s="1055" t="s">
        <v>1249</v>
      </c>
      <c r="E1408" s="1055" t="s">
        <v>583</v>
      </c>
      <c r="F1408" s="1056">
        <v>-709</v>
      </c>
      <c r="G1408" s="1056">
        <v>0</v>
      </c>
      <c r="H1408" s="1056">
        <v>143</v>
      </c>
      <c r="I1408" s="1056">
        <v>-852</v>
      </c>
      <c r="K1408" s="1037">
        <f t="shared" si="21"/>
        <v>8</v>
      </c>
    </row>
    <row r="1409" spans="1:11" ht="12.75">
      <c r="A1409" s="1054">
        <v>25501001</v>
      </c>
      <c r="B1409" s="1055" t="s">
        <v>1489</v>
      </c>
      <c r="C1409" s="1055" t="s">
        <v>751</v>
      </c>
      <c r="D1409" s="1055" t="s">
        <v>1376</v>
      </c>
      <c r="E1409" s="1055" t="s">
        <v>1377</v>
      </c>
      <c r="F1409" s="1056">
        <v>-494</v>
      </c>
      <c r="G1409" s="1056">
        <v>0</v>
      </c>
      <c r="H1409" s="1056">
        <v>0</v>
      </c>
      <c r="I1409" s="1056">
        <v>-494</v>
      </c>
      <c r="K1409" s="1037">
        <f t="shared" si="21"/>
        <v>8</v>
      </c>
    </row>
    <row r="1410" spans="1:11" ht="12.75">
      <c r="A1410" s="1054">
        <v>25501001</v>
      </c>
      <c r="B1410" s="1055" t="s">
        <v>1489</v>
      </c>
      <c r="C1410" s="1055" t="s">
        <v>751</v>
      </c>
      <c r="D1410" s="1055" t="s">
        <v>1845</v>
      </c>
      <c r="E1410" s="1055" t="s">
        <v>1846</v>
      </c>
      <c r="F1410" s="1056">
        <v>-52</v>
      </c>
      <c r="G1410" s="1056">
        <v>0</v>
      </c>
      <c r="H1410" s="1056">
        <v>86</v>
      </c>
      <c r="I1410" s="1056">
        <v>-138</v>
      </c>
      <c r="K1410" s="1037">
        <f t="shared" si="21"/>
        <v>8</v>
      </c>
    </row>
    <row r="1411" spans="1:11" ht="12.75">
      <c r="A1411" s="1054">
        <v>25501001</v>
      </c>
      <c r="B1411" s="1055" t="s">
        <v>1489</v>
      </c>
      <c r="C1411" s="1055" t="s">
        <v>751</v>
      </c>
      <c r="D1411" s="1055" t="s">
        <v>1306</v>
      </c>
      <c r="E1411" s="1055" t="s">
        <v>997</v>
      </c>
      <c r="F1411" s="1056">
        <v>-370</v>
      </c>
      <c r="G1411" s="1056">
        <v>0</v>
      </c>
      <c r="H1411" s="1056">
        <v>0</v>
      </c>
      <c r="I1411" s="1056">
        <v>-370</v>
      </c>
      <c r="K1411" s="1037">
        <f t="shared" si="21"/>
        <v>8</v>
      </c>
    </row>
    <row r="1412" spans="1:11" ht="12.75">
      <c r="A1412" s="1054">
        <v>25501001</v>
      </c>
      <c r="B1412" s="1055" t="s">
        <v>1489</v>
      </c>
      <c r="C1412" s="1055" t="s">
        <v>751</v>
      </c>
      <c r="D1412" s="1055" t="s">
        <v>1897</v>
      </c>
      <c r="E1412" s="1055" t="s">
        <v>1898</v>
      </c>
      <c r="F1412" s="1056">
        <v>0</v>
      </c>
      <c r="G1412" s="1056">
        <v>0</v>
      </c>
      <c r="H1412" s="1056">
        <v>19</v>
      </c>
      <c r="I1412" s="1056">
        <v>-19</v>
      </c>
      <c r="K1412" s="1037">
        <f t="shared" si="21"/>
        <v>8</v>
      </c>
    </row>
    <row r="1413" spans="1:11" ht="12.75">
      <c r="A1413" s="1054">
        <v>25501001</v>
      </c>
      <c r="B1413" s="1055" t="s">
        <v>1489</v>
      </c>
      <c r="C1413" s="1055" t="s">
        <v>751</v>
      </c>
      <c r="D1413" s="1055" t="s">
        <v>1250</v>
      </c>
      <c r="E1413" s="1055" t="s">
        <v>1251</v>
      </c>
      <c r="F1413" s="1056">
        <v>-398</v>
      </c>
      <c r="G1413" s="1056">
        <v>0</v>
      </c>
      <c r="H1413" s="1056">
        <v>76</v>
      </c>
      <c r="I1413" s="1056">
        <v>-474</v>
      </c>
      <c r="K1413" s="1037">
        <f t="shared" ref="K1413:K1476" si="22">+LEN(A1413)</f>
        <v>8</v>
      </c>
    </row>
    <row r="1414" spans="1:11" ht="12.75">
      <c r="A1414" s="1054">
        <v>25501001</v>
      </c>
      <c r="B1414" s="1055" t="s">
        <v>1489</v>
      </c>
      <c r="C1414" s="1055" t="s">
        <v>751</v>
      </c>
      <c r="D1414" s="1055" t="s">
        <v>1899</v>
      </c>
      <c r="E1414" s="1055" t="s">
        <v>1900</v>
      </c>
      <c r="F1414" s="1056">
        <v>0</v>
      </c>
      <c r="G1414" s="1056">
        <v>0</v>
      </c>
      <c r="H1414" s="1056">
        <v>94</v>
      </c>
      <c r="I1414" s="1056">
        <v>-94</v>
      </c>
      <c r="K1414" s="1037">
        <f t="shared" si="22"/>
        <v>8</v>
      </c>
    </row>
    <row r="1415" spans="1:11" ht="12.75">
      <c r="A1415" s="1054">
        <v>25501001</v>
      </c>
      <c r="B1415" s="1055" t="s">
        <v>1489</v>
      </c>
      <c r="C1415" s="1055" t="s">
        <v>751</v>
      </c>
      <c r="D1415" s="1055" t="s">
        <v>1901</v>
      </c>
      <c r="E1415" s="1055" t="s">
        <v>1902</v>
      </c>
      <c r="F1415" s="1056">
        <v>0</v>
      </c>
      <c r="G1415" s="1056">
        <v>0</v>
      </c>
      <c r="H1415" s="1056">
        <v>35</v>
      </c>
      <c r="I1415" s="1056">
        <v>-35</v>
      </c>
      <c r="K1415" s="1037">
        <f t="shared" si="22"/>
        <v>8</v>
      </c>
    </row>
    <row r="1416" spans="1:11" ht="12.75">
      <c r="A1416" s="1054">
        <v>25501001</v>
      </c>
      <c r="B1416" s="1055" t="s">
        <v>1489</v>
      </c>
      <c r="C1416" s="1055" t="s">
        <v>751</v>
      </c>
      <c r="D1416" s="1055" t="s">
        <v>1686</v>
      </c>
      <c r="E1416" s="1055" t="s">
        <v>1687</v>
      </c>
      <c r="F1416" s="1056">
        <v>-249</v>
      </c>
      <c r="G1416" s="1056">
        <v>0</v>
      </c>
      <c r="H1416" s="1056">
        <v>0</v>
      </c>
      <c r="I1416" s="1056">
        <v>-249</v>
      </c>
      <c r="K1416" s="1037">
        <f t="shared" si="22"/>
        <v>8</v>
      </c>
    </row>
    <row r="1417" spans="1:11" ht="12.75">
      <c r="A1417" s="1054">
        <v>25501001</v>
      </c>
      <c r="B1417" s="1055" t="s">
        <v>1489</v>
      </c>
      <c r="C1417" s="1055" t="s">
        <v>751</v>
      </c>
      <c r="D1417" s="1055" t="s">
        <v>1303</v>
      </c>
      <c r="E1417" s="1055" t="s">
        <v>806</v>
      </c>
      <c r="F1417" s="1056">
        <v>-155</v>
      </c>
      <c r="G1417" s="1056">
        <v>0</v>
      </c>
      <c r="H1417" s="1056">
        <v>0</v>
      </c>
      <c r="I1417" s="1056">
        <v>-155</v>
      </c>
      <c r="K1417" s="1037">
        <f t="shared" si="22"/>
        <v>8</v>
      </c>
    </row>
    <row r="1418" spans="1:11" ht="12.75">
      <c r="A1418" s="1054">
        <v>25501001</v>
      </c>
      <c r="B1418" s="1055" t="s">
        <v>1489</v>
      </c>
      <c r="C1418" s="1055" t="s">
        <v>751</v>
      </c>
      <c r="D1418" s="1055" t="s">
        <v>1523</v>
      </c>
      <c r="E1418" s="1055" t="s">
        <v>1524</v>
      </c>
      <c r="F1418" s="1056">
        <v>-135</v>
      </c>
      <c r="G1418" s="1056">
        <v>0</v>
      </c>
      <c r="H1418" s="1056">
        <v>0</v>
      </c>
      <c r="I1418" s="1056">
        <v>-135</v>
      </c>
      <c r="K1418" s="1037">
        <f t="shared" si="22"/>
        <v>8</v>
      </c>
    </row>
    <row r="1419" spans="1:11" ht="12.75">
      <c r="A1419" s="1054">
        <v>25501001</v>
      </c>
      <c r="B1419" s="1055" t="s">
        <v>1489</v>
      </c>
      <c r="C1419" s="1055" t="s">
        <v>751</v>
      </c>
      <c r="D1419" s="1055" t="s">
        <v>1480</v>
      </c>
      <c r="E1419" s="1055" t="s">
        <v>1481</v>
      </c>
      <c r="F1419" s="1056">
        <v>-94</v>
      </c>
      <c r="G1419" s="1056">
        <v>0</v>
      </c>
      <c r="H1419" s="1056">
        <v>0</v>
      </c>
      <c r="I1419" s="1056">
        <v>-94</v>
      </c>
      <c r="K1419" s="1037">
        <f t="shared" si="22"/>
        <v>8</v>
      </c>
    </row>
    <row r="1420" spans="1:11" ht="12.75">
      <c r="A1420" s="1054">
        <v>25501001</v>
      </c>
      <c r="B1420" s="1055" t="s">
        <v>1489</v>
      </c>
      <c r="C1420" s="1055" t="s">
        <v>751</v>
      </c>
      <c r="D1420" s="1055" t="s">
        <v>1847</v>
      </c>
      <c r="E1420" s="1055" t="s">
        <v>1848</v>
      </c>
      <c r="F1420" s="1056">
        <v>-39</v>
      </c>
      <c r="G1420" s="1056">
        <v>0</v>
      </c>
      <c r="H1420" s="1056">
        <v>0</v>
      </c>
      <c r="I1420" s="1056">
        <v>-39</v>
      </c>
      <c r="K1420" s="1037">
        <f t="shared" si="22"/>
        <v>8</v>
      </c>
    </row>
    <row r="1421" spans="1:11" ht="12.75">
      <c r="A1421" s="1054">
        <v>25501001</v>
      </c>
      <c r="B1421" s="1055" t="s">
        <v>1489</v>
      </c>
      <c r="C1421" s="1055" t="s">
        <v>751</v>
      </c>
      <c r="D1421" s="1055" t="s">
        <v>1761</v>
      </c>
      <c r="E1421" s="1055" t="s">
        <v>1762</v>
      </c>
      <c r="F1421" s="1056">
        <v>-129</v>
      </c>
      <c r="G1421" s="1056">
        <v>0</v>
      </c>
      <c r="H1421" s="1056">
        <v>0</v>
      </c>
      <c r="I1421" s="1056">
        <v>-129</v>
      </c>
      <c r="K1421" s="1037">
        <f t="shared" si="22"/>
        <v>8</v>
      </c>
    </row>
    <row r="1422" spans="1:11" ht="12.75">
      <c r="A1422" s="1054">
        <v>25501001</v>
      </c>
      <c r="B1422" s="1055" t="s">
        <v>1489</v>
      </c>
      <c r="C1422" s="1055" t="s">
        <v>751</v>
      </c>
      <c r="D1422" s="1055" t="s">
        <v>1428</v>
      </c>
      <c r="E1422" s="1055" t="s">
        <v>1429</v>
      </c>
      <c r="F1422" s="1056">
        <v>-180</v>
      </c>
      <c r="G1422" s="1056">
        <v>0</v>
      </c>
      <c r="H1422" s="1056">
        <v>0</v>
      </c>
      <c r="I1422" s="1056">
        <v>-180</v>
      </c>
      <c r="K1422" s="1037">
        <f t="shared" si="22"/>
        <v>8</v>
      </c>
    </row>
    <row r="1423" spans="1:11" ht="12.75">
      <c r="A1423" s="1054">
        <v>25501001</v>
      </c>
      <c r="B1423" s="1055" t="s">
        <v>1489</v>
      </c>
      <c r="C1423" s="1055" t="s">
        <v>751</v>
      </c>
      <c r="D1423" s="1055" t="s">
        <v>1849</v>
      </c>
      <c r="E1423" s="1055" t="s">
        <v>1850</v>
      </c>
      <c r="F1423" s="1056">
        <v>-44</v>
      </c>
      <c r="G1423" s="1056">
        <v>0</v>
      </c>
      <c r="H1423" s="1056">
        <v>84</v>
      </c>
      <c r="I1423" s="1056">
        <v>-129</v>
      </c>
      <c r="K1423" s="1037">
        <f t="shared" si="22"/>
        <v>8</v>
      </c>
    </row>
    <row r="1424" spans="1:11" ht="12.75">
      <c r="A1424" s="1054">
        <v>25501001</v>
      </c>
      <c r="B1424" s="1055" t="s">
        <v>1489</v>
      </c>
      <c r="C1424" s="1055" t="s">
        <v>751</v>
      </c>
      <c r="D1424" s="1055" t="s">
        <v>1275</v>
      </c>
      <c r="E1424" s="1055" t="s">
        <v>991</v>
      </c>
      <c r="F1424" s="1056">
        <v>-406</v>
      </c>
      <c r="G1424" s="1056">
        <v>0</v>
      </c>
      <c r="H1424" s="1056">
        <v>48</v>
      </c>
      <c r="I1424" s="1056">
        <v>-454</v>
      </c>
      <c r="K1424" s="1037">
        <f t="shared" si="22"/>
        <v>8</v>
      </c>
    </row>
    <row r="1425" spans="1:11" ht="12.75">
      <c r="A1425" s="1054">
        <v>25501001</v>
      </c>
      <c r="B1425" s="1055" t="s">
        <v>1489</v>
      </c>
      <c r="C1425" s="1055" t="s">
        <v>751</v>
      </c>
      <c r="D1425" s="1055" t="s">
        <v>1380</v>
      </c>
      <c r="E1425" s="1055" t="s">
        <v>1381</v>
      </c>
      <c r="F1425" s="1056">
        <v>-173</v>
      </c>
      <c r="G1425" s="1056">
        <v>0</v>
      </c>
      <c r="H1425" s="1056">
        <v>0</v>
      </c>
      <c r="I1425" s="1056">
        <v>-173</v>
      </c>
      <c r="K1425" s="1037">
        <f t="shared" si="22"/>
        <v>8</v>
      </c>
    </row>
    <row r="1426" spans="1:11" ht="12.75">
      <c r="A1426" s="1054">
        <v>25501001</v>
      </c>
      <c r="B1426" s="1055" t="s">
        <v>1489</v>
      </c>
      <c r="C1426" s="1055" t="s">
        <v>751</v>
      </c>
      <c r="D1426" s="1055" t="s">
        <v>1585</v>
      </c>
      <c r="E1426" s="1055" t="s">
        <v>1586</v>
      </c>
      <c r="F1426" s="1056">
        <v>-248</v>
      </c>
      <c r="G1426" s="1056">
        <v>0</v>
      </c>
      <c r="H1426" s="1056">
        <v>70</v>
      </c>
      <c r="I1426" s="1056">
        <v>-318</v>
      </c>
      <c r="K1426" s="1037">
        <f t="shared" si="22"/>
        <v>8</v>
      </c>
    </row>
    <row r="1427" spans="1:11" ht="12.75">
      <c r="A1427" s="1054">
        <v>25501001</v>
      </c>
      <c r="B1427" s="1055" t="s">
        <v>1489</v>
      </c>
      <c r="C1427" s="1055" t="s">
        <v>751</v>
      </c>
      <c r="D1427" s="1055" t="s">
        <v>1382</v>
      </c>
      <c r="E1427" s="1055" t="s">
        <v>1763</v>
      </c>
      <c r="F1427" s="1056">
        <v>-488</v>
      </c>
      <c r="G1427" s="1056">
        <v>0</v>
      </c>
      <c r="H1427" s="1056">
        <v>99</v>
      </c>
      <c r="I1427" s="1056">
        <v>-587</v>
      </c>
      <c r="K1427" s="1037">
        <f t="shared" si="22"/>
        <v>8</v>
      </c>
    </row>
    <row r="1428" spans="1:11" ht="12.75">
      <c r="A1428" s="1054">
        <v>25501001</v>
      </c>
      <c r="B1428" s="1055" t="s">
        <v>1489</v>
      </c>
      <c r="C1428" s="1055" t="s">
        <v>751</v>
      </c>
      <c r="D1428" s="1055" t="s">
        <v>1440</v>
      </c>
      <c r="E1428" s="1055" t="s">
        <v>1441</v>
      </c>
      <c r="F1428" s="1056">
        <v>-304</v>
      </c>
      <c r="G1428" s="1056">
        <v>0</v>
      </c>
      <c r="H1428" s="1056">
        <v>0</v>
      </c>
      <c r="I1428" s="1056">
        <v>-304</v>
      </c>
      <c r="K1428" s="1037">
        <f t="shared" si="22"/>
        <v>8</v>
      </c>
    </row>
    <row r="1429" spans="1:11" ht="12.75">
      <c r="A1429" s="1054">
        <v>25501001</v>
      </c>
      <c r="B1429" s="1055" t="s">
        <v>1489</v>
      </c>
      <c r="C1429" s="1055" t="s">
        <v>751</v>
      </c>
      <c r="D1429" s="1055" t="s">
        <v>1383</v>
      </c>
      <c r="E1429" s="1055" t="s">
        <v>1384</v>
      </c>
      <c r="F1429" s="1056">
        <v>-464</v>
      </c>
      <c r="G1429" s="1056">
        <v>0</v>
      </c>
      <c r="H1429" s="1056">
        <v>82</v>
      </c>
      <c r="I1429" s="1056">
        <v>-546</v>
      </c>
      <c r="K1429" s="1037">
        <f t="shared" si="22"/>
        <v>8</v>
      </c>
    </row>
    <row r="1430" spans="1:11" ht="12.75">
      <c r="A1430" s="1054">
        <v>25501001</v>
      </c>
      <c r="B1430" s="1055" t="s">
        <v>1489</v>
      </c>
      <c r="C1430" s="1055" t="s">
        <v>751</v>
      </c>
      <c r="D1430" s="1055" t="s">
        <v>1430</v>
      </c>
      <c r="E1430" s="1055" t="s">
        <v>1431</v>
      </c>
      <c r="F1430" s="1056">
        <v>-84</v>
      </c>
      <c r="G1430" s="1056">
        <v>0</v>
      </c>
      <c r="H1430" s="1056">
        <v>0</v>
      </c>
      <c r="I1430" s="1056">
        <v>-84</v>
      </c>
      <c r="K1430" s="1037">
        <f t="shared" si="22"/>
        <v>8</v>
      </c>
    </row>
    <row r="1431" spans="1:11" ht="12.75">
      <c r="A1431" s="1054">
        <v>25501001</v>
      </c>
      <c r="B1431" s="1055" t="s">
        <v>1489</v>
      </c>
      <c r="C1431" s="1055" t="s">
        <v>751</v>
      </c>
      <c r="D1431" s="1055" t="s">
        <v>1587</v>
      </c>
      <c r="E1431" s="1055" t="s">
        <v>1588</v>
      </c>
      <c r="F1431" s="1056">
        <v>-318</v>
      </c>
      <c r="G1431" s="1056">
        <v>0</v>
      </c>
      <c r="H1431" s="1056">
        <v>82</v>
      </c>
      <c r="I1431" s="1056">
        <v>-400</v>
      </c>
      <c r="K1431" s="1037">
        <f t="shared" si="22"/>
        <v>8</v>
      </c>
    </row>
    <row r="1432" spans="1:11" ht="12.75">
      <c r="A1432" s="1054">
        <v>255030</v>
      </c>
      <c r="B1432" s="1055" t="s">
        <v>893</v>
      </c>
      <c r="C1432" s="1055" t="s">
        <v>360</v>
      </c>
      <c r="D1432" s="1055" t="s">
        <v>893</v>
      </c>
      <c r="E1432" s="1055" t="s">
        <v>893</v>
      </c>
      <c r="F1432" s="1056">
        <v>-9563</v>
      </c>
      <c r="G1432" s="1056">
        <v>9598</v>
      </c>
      <c r="H1432" s="1056">
        <v>10566</v>
      </c>
      <c r="I1432" s="1056">
        <v>-10531</v>
      </c>
      <c r="K1432" s="1037">
        <f t="shared" si="22"/>
        <v>6</v>
      </c>
    </row>
    <row r="1433" spans="1:11" ht="12.75">
      <c r="A1433" s="1054">
        <v>25503001</v>
      </c>
      <c r="B1433" s="1055" t="s">
        <v>1489</v>
      </c>
      <c r="C1433" s="1055" t="s">
        <v>379</v>
      </c>
      <c r="D1433" s="1055" t="s">
        <v>893</v>
      </c>
      <c r="E1433" s="1055" t="s">
        <v>893</v>
      </c>
      <c r="F1433" s="1056">
        <v>-49204</v>
      </c>
      <c r="G1433" s="1056">
        <v>0</v>
      </c>
      <c r="H1433" s="1056">
        <v>7970</v>
      </c>
      <c r="I1433" s="1056">
        <v>-57173</v>
      </c>
      <c r="K1433" s="1037">
        <f t="shared" si="22"/>
        <v>8</v>
      </c>
    </row>
    <row r="1434" spans="1:11" ht="12.75">
      <c r="A1434" s="1054">
        <v>25503001</v>
      </c>
      <c r="B1434" s="1055" t="s">
        <v>1489</v>
      </c>
      <c r="C1434" s="1055" t="s">
        <v>379</v>
      </c>
      <c r="D1434" s="1055" t="s">
        <v>1067</v>
      </c>
      <c r="E1434" s="1055" t="s">
        <v>1068</v>
      </c>
      <c r="F1434" s="1056">
        <v>-9907</v>
      </c>
      <c r="G1434" s="1056">
        <v>0</v>
      </c>
      <c r="H1434" s="1056">
        <v>0</v>
      </c>
      <c r="I1434" s="1056">
        <v>-9907</v>
      </c>
      <c r="K1434" s="1037">
        <f t="shared" si="22"/>
        <v>8</v>
      </c>
    </row>
    <row r="1435" spans="1:11" ht="12.75">
      <c r="A1435" s="1054">
        <v>25503001</v>
      </c>
      <c r="B1435" s="1055" t="s">
        <v>1489</v>
      </c>
      <c r="C1435" s="1055" t="s">
        <v>379</v>
      </c>
      <c r="D1435" s="1055" t="s">
        <v>1575</v>
      </c>
      <c r="E1435" s="1055" t="s">
        <v>1576</v>
      </c>
      <c r="F1435" s="1056">
        <v>-646</v>
      </c>
      <c r="G1435" s="1056">
        <v>0</v>
      </c>
      <c r="H1435" s="1056">
        <v>0</v>
      </c>
      <c r="I1435" s="1056">
        <v>-646</v>
      </c>
      <c r="K1435" s="1037">
        <f t="shared" si="22"/>
        <v>8</v>
      </c>
    </row>
    <row r="1436" spans="1:11" ht="12.75">
      <c r="A1436" s="1054">
        <v>25503001</v>
      </c>
      <c r="B1436" s="1055" t="s">
        <v>1489</v>
      </c>
      <c r="C1436" s="1055" t="s">
        <v>379</v>
      </c>
      <c r="D1436" s="1055" t="s">
        <v>1891</v>
      </c>
      <c r="E1436" s="1055" t="s">
        <v>1892</v>
      </c>
      <c r="F1436" s="1056">
        <v>0</v>
      </c>
      <c r="G1436" s="1056">
        <v>0</v>
      </c>
      <c r="H1436" s="1056">
        <v>257</v>
      </c>
      <c r="I1436" s="1056">
        <v>-257</v>
      </c>
      <c r="K1436" s="1037">
        <f t="shared" si="22"/>
        <v>8</v>
      </c>
    </row>
    <row r="1437" spans="1:11" ht="12.75">
      <c r="A1437" s="1054">
        <v>25503001</v>
      </c>
      <c r="B1437" s="1055" t="s">
        <v>1489</v>
      </c>
      <c r="C1437" s="1055" t="s">
        <v>379</v>
      </c>
      <c r="D1437" s="1055" t="s">
        <v>1577</v>
      </c>
      <c r="E1437" s="1055" t="s">
        <v>1578</v>
      </c>
      <c r="F1437" s="1056">
        <v>-961</v>
      </c>
      <c r="G1437" s="1056">
        <v>0</v>
      </c>
      <c r="H1437" s="1056">
        <v>274</v>
      </c>
      <c r="I1437" s="1056">
        <v>-1235</v>
      </c>
      <c r="K1437" s="1037">
        <f t="shared" si="22"/>
        <v>8</v>
      </c>
    </row>
    <row r="1438" spans="1:11" ht="12.75">
      <c r="A1438" s="1054">
        <v>25503001</v>
      </c>
      <c r="B1438" s="1055" t="s">
        <v>1489</v>
      </c>
      <c r="C1438" s="1055" t="s">
        <v>379</v>
      </c>
      <c r="D1438" s="1055" t="s">
        <v>1360</v>
      </c>
      <c r="E1438" s="1055" t="s">
        <v>1361</v>
      </c>
      <c r="F1438" s="1056">
        <v>-1668</v>
      </c>
      <c r="G1438" s="1056">
        <v>0</v>
      </c>
      <c r="H1438" s="1056">
        <v>333</v>
      </c>
      <c r="I1438" s="1056">
        <v>-2002</v>
      </c>
      <c r="K1438" s="1037">
        <f t="shared" si="22"/>
        <v>8</v>
      </c>
    </row>
    <row r="1439" spans="1:11" ht="12.75">
      <c r="A1439" s="1054">
        <v>25503001</v>
      </c>
      <c r="B1439" s="1055" t="s">
        <v>1489</v>
      </c>
      <c r="C1439" s="1055" t="s">
        <v>379</v>
      </c>
      <c r="D1439" s="1055" t="s">
        <v>1893</v>
      </c>
      <c r="E1439" s="1055" t="s">
        <v>1894</v>
      </c>
      <c r="F1439" s="1056">
        <v>0</v>
      </c>
      <c r="G1439" s="1056">
        <v>0</v>
      </c>
      <c r="H1439" s="1056">
        <v>259</v>
      </c>
      <c r="I1439" s="1056">
        <v>-259</v>
      </c>
      <c r="K1439" s="1037">
        <f t="shared" si="22"/>
        <v>8</v>
      </c>
    </row>
    <row r="1440" spans="1:11" ht="12.75">
      <c r="A1440" s="1054">
        <v>25503001</v>
      </c>
      <c r="B1440" s="1055" t="s">
        <v>1489</v>
      </c>
      <c r="C1440" s="1055" t="s">
        <v>379</v>
      </c>
      <c r="D1440" s="1055" t="s">
        <v>1298</v>
      </c>
      <c r="E1440" s="1055" t="s">
        <v>987</v>
      </c>
      <c r="F1440" s="1056">
        <v>-1060</v>
      </c>
      <c r="G1440" s="1056">
        <v>0</v>
      </c>
      <c r="H1440" s="1056">
        <v>0</v>
      </c>
      <c r="I1440" s="1056">
        <v>-1060</v>
      </c>
      <c r="K1440" s="1037">
        <f t="shared" si="22"/>
        <v>8</v>
      </c>
    </row>
    <row r="1441" spans="1:11" ht="12.75">
      <c r="A1441" s="1054">
        <v>25503001</v>
      </c>
      <c r="B1441" s="1055" t="s">
        <v>1489</v>
      </c>
      <c r="C1441" s="1055" t="s">
        <v>379</v>
      </c>
      <c r="D1441" s="1055" t="s">
        <v>1362</v>
      </c>
      <c r="E1441" s="1055" t="s">
        <v>1363</v>
      </c>
      <c r="F1441" s="1056">
        <v>-15</v>
      </c>
      <c r="G1441" s="1056">
        <v>0</v>
      </c>
      <c r="H1441" s="1056">
        <v>0</v>
      </c>
      <c r="I1441" s="1056">
        <v>-15</v>
      </c>
      <c r="K1441" s="1037">
        <f t="shared" si="22"/>
        <v>8</v>
      </c>
    </row>
    <row r="1442" spans="1:11" ht="12.75">
      <c r="A1442" s="1054">
        <v>25503001</v>
      </c>
      <c r="B1442" s="1055" t="s">
        <v>1489</v>
      </c>
      <c r="C1442" s="1055" t="s">
        <v>379</v>
      </c>
      <c r="D1442" s="1055" t="s">
        <v>1484</v>
      </c>
      <c r="E1442" s="1055" t="s">
        <v>1485</v>
      </c>
      <c r="F1442" s="1056">
        <v>-1157</v>
      </c>
      <c r="G1442" s="1056">
        <v>0</v>
      </c>
      <c r="H1442" s="1056">
        <v>241</v>
      </c>
      <c r="I1442" s="1056">
        <v>-1398</v>
      </c>
      <c r="K1442" s="1037">
        <f t="shared" si="22"/>
        <v>8</v>
      </c>
    </row>
    <row r="1443" spans="1:11" ht="12.75">
      <c r="A1443" s="1054">
        <v>25503001</v>
      </c>
      <c r="B1443" s="1055" t="s">
        <v>1489</v>
      </c>
      <c r="C1443" s="1055" t="s">
        <v>379</v>
      </c>
      <c r="D1443" s="1055" t="s">
        <v>1579</v>
      </c>
      <c r="E1443" s="1055" t="s">
        <v>1580</v>
      </c>
      <c r="F1443" s="1056">
        <v>-1078</v>
      </c>
      <c r="G1443" s="1056">
        <v>0</v>
      </c>
      <c r="H1443" s="1056">
        <v>317</v>
      </c>
      <c r="I1443" s="1056">
        <v>-1394</v>
      </c>
      <c r="K1443" s="1037">
        <f t="shared" si="22"/>
        <v>8</v>
      </c>
    </row>
    <row r="1444" spans="1:11" ht="12.75">
      <c r="A1444" s="1054">
        <v>25503001</v>
      </c>
      <c r="B1444" s="1055" t="s">
        <v>1489</v>
      </c>
      <c r="C1444" s="1055" t="s">
        <v>379</v>
      </c>
      <c r="D1444" s="1055" t="s">
        <v>1270</v>
      </c>
      <c r="E1444" s="1055" t="s">
        <v>988</v>
      </c>
      <c r="F1444" s="1056">
        <v>-1435</v>
      </c>
      <c r="G1444" s="1056">
        <v>0</v>
      </c>
      <c r="H1444" s="1056">
        <v>298</v>
      </c>
      <c r="I1444" s="1056">
        <v>-1733</v>
      </c>
      <c r="K1444" s="1037">
        <f t="shared" si="22"/>
        <v>8</v>
      </c>
    </row>
    <row r="1445" spans="1:11" ht="12.75">
      <c r="A1445" s="1054">
        <v>25503001</v>
      </c>
      <c r="B1445" s="1055" t="s">
        <v>1489</v>
      </c>
      <c r="C1445" s="1055" t="s">
        <v>379</v>
      </c>
      <c r="D1445" s="1055" t="s">
        <v>1271</v>
      </c>
      <c r="E1445" s="1055" t="s">
        <v>782</v>
      </c>
      <c r="F1445" s="1056">
        <v>-302</v>
      </c>
      <c r="G1445" s="1056">
        <v>0</v>
      </c>
      <c r="H1445" s="1056">
        <v>0</v>
      </c>
      <c r="I1445" s="1056">
        <v>-302</v>
      </c>
      <c r="K1445" s="1037">
        <f t="shared" si="22"/>
        <v>8</v>
      </c>
    </row>
    <row r="1446" spans="1:11" ht="12.75">
      <c r="A1446" s="1054">
        <v>25503001</v>
      </c>
      <c r="B1446" s="1055" t="s">
        <v>1489</v>
      </c>
      <c r="C1446" s="1055" t="s">
        <v>379</v>
      </c>
      <c r="D1446" s="1055" t="s">
        <v>1272</v>
      </c>
      <c r="E1446" s="1055" t="s">
        <v>1273</v>
      </c>
      <c r="F1446" s="1056">
        <v>0</v>
      </c>
      <c r="G1446" s="1056">
        <v>0</v>
      </c>
      <c r="H1446" s="1056">
        <v>351</v>
      </c>
      <c r="I1446" s="1056">
        <v>-351</v>
      </c>
      <c r="K1446" s="1037">
        <f t="shared" si="22"/>
        <v>8</v>
      </c>
    </row>
    <row r="1447" spans="1:11" ht="12.75">
      <c r="A1447" s="1054">
        <v>25503001</v>
      </c>
      <c r="B1447" s="1055" t="s">
        <v>1489</v>
      </c>
      <c r="C1447" s="1055" t="s">
        <v>379</v>
      </c>
      <c r="D1447" s="1055" t="s">
        <v>1420</v>
      </c>
      <c r="E1447" s="1055" t="s">
        <v>1421</v>
      </c>
      <c r="F1447" s="1056">
        <v>-1114</v>
      </c>
      <c r="G1447" s="1056">
        <v>0</v>
      </c>
      <c r="H1447" s="1056">
        <v>274</v>
      </c>
      <c r="I1447" s="1056">
        <v>-1388</v>
      </c>
      <c r="K1447" s="1037">
        <f t="shared" si="22"/>
        <v>8</v>
      </c>
    </row>
    <row r="1448" spans="1:11" ht="12.75">
      <c r="A1448" s="1054">
        <v>25503001</v>
      </c>
      <c r="B1448" s="1055" t="s">
        <v>1489</v>
      </c>
      <c r="C1448" s="1055" t="s">
        <v>379</v>
      </c>
      <c r="D1448" s="1055" t="s">
        <v>1493</v>
      </c>
      <c r="E1448" s="1055" t="s">
        <v>1494</v>
      </c>
      <c r="F1448" s="1056">
        <v>-1256</v>
      </c>
      <c r="G1448" s="1056">
        <v>0</v>
      </c>
      <c r="H1448" s="1056">
        <v>0</v>
      </c>
      <c r="I1448" s="1056">
        <v>-1256</v>
      </c>
      <c r="K1448" s="1037">
        <f t="shared" si="22"/>
        <v>8</v>
      </c>
    </row>
    <row r="1449" spans="1:11" ht="12.75">
      <c r="A1449" s="1054">
        <v>25503001</v>
      </c>
      <c r="B1449" s="1055" t="s">
        <v>1489</v>
      </c>
      <c r="C1449" s="1055" t="s">
        <v>379</v>
      </c>
      <c r="D1449" s="1055" t="s">
        <v>1841</v>
      </c>
      <c r="E1449" s="1055" t="s">
        <v>1842</v>
      </c>
      <c r="F1449" s="1056">
        <v>-317</v>
      </c>
      <c r="G1449" s="1056">
        <v>0</v>
      </c>
      <c r="H1449" s="1056">
        <v>317</v>
      </c>
      <c r="I1449" s="1056">
        <v>-634</v>
      </c>
      <c r="K1449" s="1037">
        <f t="shared" si="22"/>
        <v>8</v>
      </c>
    </row>
    <row r="1450" spans="1:11" ht="12.75">
      <c r="A1450" s="1054">
        <v>25503001</v>
      </c>
      <c r="B1450" s="1055" t="s">
        <v>1489</v>
      </c>
      <c r="C1450" s="1055" t="s">
        <v>379</v>
      </c>
      <c r="D1450" s="1055" t="s">
        <v>1519</v>
      </c>
      <c r="E1450" s="1055" t="s">
        <v>1520</v>
      </c>
      <c r="F1450" s="1056">
        <v>-112</v>
      </c>
      <c r="G1450" s="1056">
        <v>0</v>
      </c>
      <c r="H1450" s="1056">
        <v>0</v>
      </c>
      <c r="I1450" s="1056">
        <v>-112</v>
      </c>
      <c r="K1450" s="1037">
        <f t="shared" si="22"/>
        <v>8</v>
      </c>
    </row>
    <row r="1451" spans="1:11" ht="12.75">
      <c r="A1451" s="1054">
        <v>25503001</v>
      </c>
      <c r="B1451" s="1055" t="s">
        <v>1489</v>
      </c>
      <c r="C1451" s="1055" t="s">
        <v>379</v>
      </c>
      <c r="D1451" s="1055" t="s">
        <v>1368</v>
      </c>
      <c r="E1451" s="1055" t="s">
        <v>1369</v>
      </c>
      <c r="F1451" s="1056">
        <v>-56</v>
      </c>
      <c r="G1451" s="1056">
        <v>0</v>
      </c>
      <c r="H1451" s="1056">
        <v>0</v>
      </c>
      <c r="I1451" s="1056">
        <v>-56</v>
      </c>
      <c r="K1451" s="1037">
        <f t="shared" si="22"/>
        <v>8</v>
      </c>
    </row>
    <row r="1452" spans="1:11" ht="12.75">
      <c r="A1452" s="1054">
        <v>25503001</v>
      </c>
      <c r="B1452" s="1055" t="s">
        <v>1489</v>
      </c>
      <c r="C1452" s="1055" t="s">
        <v>379</v>
      </c>
      <c r="D1452" s="1055" t="s">
        <v>1895</v>
      </c>
      <c r="E1452" s="1055" t="s">
        <v>1896</v>
      </c>
      <c r="F1452" s="1056">
        <v>0</v>
      </c>
      <c r="G1452" s="1056">
        <v>0</v>
      </c>
      <c r="H1452" s="1056">
        <v>42</v>
      </c>
      <c r="I1452" s="1056">
        <v>-42</v>
      </c>
      <c r="K1452" s="1037">
        <f t="shared" si="22"/>
        <v>8</v>
      </c>
    </row>
    <row r="1453" spans="1:11" ht="12.75">
      <c r="A1453" s="1054">
        <v>25503001</v>
      </c>
      <c r="B1453" s="1055" t="s">
        <v>1489</v>
      </c>
      <c r="C1453" s="1055" t="s">
        <v>379</v>
      </c>
      <c r="D1453" s="1055" t="s">
        <v>1495</v>
      </c>
      <c r="E1453" s="1055" t="s">
        <v>1496</v>
      </c>
      <c r="F1453" s="1056">
        <v>-100</v>
      </c>
      <c r="G1453" s="1056">
        <v>0</v>
      </c>
      <c r="H1453" s="1056">
        <v>0</v>
      </c>
      <c r="I1453" s="1056">
        <v>-100</v>
      </c>
      <c r="K1453" s="1037">
        <f t="shared" si="22"/>
        <v>8</v>
      </c>
    </row>
    <row r="1454" spans="1:11" ht="12.75">
      <c r="A1454" s="1054">
        <v>25503001</v>
      </c>
      <c r="B1454" s="1055" t="s">
        <v>1489</v>
      </c>
      <c r="C1454" s="1055" t="s">
        <v>379</v>
      </c>
      <c r="D1454" s="1055" t="s">
        <v>1320</v>
      </c>
      <c r="E1454" s="1055" t="s">
        <v>1321</v>
      </c>
      <c r="F1454" s="1056">
        <v>-1185</v>
      </c>
      <c r="G1454" s="1056">
        <v>0</v>
      </c>
      <c r="H1454" s="1056">
        <v>249</v>
      </c>
      <c r="I1454" s="1056">
        <v>-1434</v>
      </c>
      <c r="K1454" s="1037">
        <f t="shared" si="22"/>
        <v>8</v>
      </c>
    </row>
    <row r="1455" spans="1:11" ht="12.75">
      <c r="A1455" s="1054">
        <v>25503001</v>
      </c>
      <c r="B1455" s="1055" t="s">
        <v>1489</v>
      </c>
      <c r="C1455" s="1055" t="s">
        <v>379</v>
      </c>
      <c r="D1455" s="1055" t="s">
        <v>1274</v>
      </c>
      <c r="E1455" s="1055" t="s">
        <v>989</v>
      </c>
      <c r="F1455" s="1056">
        <v>-1468</v>
      </c>
      <c r="G1455" s="1056">
        <v>0</v>
      </c>
      <c r="H1455" s="1056">
        <v>284</v>
      </c>
      <c r="I1455" s="1056">
        <v>-1752</v>
      </c>
      <c r="K1455" s="1037">
        <f t="shared" si="22"/>
        <v>8</v>
      </c>
    </row>
    <row r="1456" spans="1:11" ht="12.75">
      <c r="A1456" s="1054">
        <v>25503001</v>
      </c>
      <c r="B1456" s="1055" t="s">
        <v>1489</v>
      </c>
      <c r="C1456" s="1055" t="s">
        <v>379</v>
      </c>
      <c r="D1456" s="1055" t="s">
        <v>1497</v>
      </c>
      <c r="E1456" s="1055" t="s">
        <v>1498</v>
      </c>
      <c r="F1456" s="1056">
        <v>-841</v>
      </c>
      <c r="G1456" s="1056">
        <v>0</v>
      </c>
      <c r="H1456" s="1056">
        <v>0</v>
      </c>
      <c r="I1456" s="1056">
        <v>-841</v>
      </c>
      <c r="K1456" s="1037">
        <f t="shared" si="22"/>
        <v>8</v>
      </c>
    </row>
    <row r="1457" spans="1:11" ht="12.75">
      <c r="A1457" s="1054">
        <v>25503001</v>
      </c>
      <c r="B1457" s="1055" t="s">
        <v>1489</v>
      </c>
      <c r="C1457" s="1055" t="s">
        <v>379</v>
      </c>
      <c r="D1457" s="1055" t="s">
        <v>1043</v>
      </c>
      <c r="E1457" s="1055" t="s">
        <v>318</v>
      </c>
      <c r="F1457" s="1056">
        <v>-2071</v>
      </c>
      <c r="G1457" s="1056">
        <v>0</v>
      </c>
      <c r="H1457" s="1056">
        <v>518</v>
      </c>
      <c r="I1457" s="1056">
        <v>-2589</v>
      </c>
      <c r="K1457" s="1037">
        <f t="shared" si="22"/>
        <v>8</v>
      </c>
    </row>
    <row r="1458" spans="1:11" ht="12.75">
      <c r="A1458" s="1054">
        <v>25503001</v>
      </c>
      <c r="B1458" s="1055" t="s">
        <v>1489</v>
      </c>
      <c r="C1458" s="1055" t="s">
        <v>379</v>
      </c>
      <c r="D1458" s="1055" t="s">
        <v>1370</v>
      </c>
      <c r="E1458" s="1055" t="s">
        <v>1371</v>
      </c>
      <c r="F1458" s="1056">
        <v>-1226</v>
      </c>
      <c r="G1458" s="1056">
        <v>0</v>
      </c>
      <c r="H1458" s="1056">
        <v>241</v>
      </c>
      <c r="I1458" s="1056">
        <v>-1467</v>
      </c>
      <c r="K1458" s="1037">
        <f t="shared" si="22"/>
        <v>8</v>
      </c>
    </row>
    <row r="1459" spans="1:11" ht="12.75">
      <c r="A1459" s="1054">
        <v>25503001</v>
      </c>
      <c r="B1459" s="1055" t="s">
        <v>1489</v>
      </c>
      <c r="C1459" s="1055" t="s">
        <v>379</v>
      </c>
      <c r="D1459" s="1055" t="s">
        <v>1843</v>
      </c>
      <c r="E1459" s="1055" t="s">
        <v>1844</v>
      </c>
      <c r="F1459" s="1056">
        <v>-186</v>
      </c>
      <c r="G1459" s="1056">
        <v>0</v>
      </c>
      <c r="H1459" s="1056">
        <v>0</v>
      </c>
      <c r="I1459" s="1056">
        <v>-186</v>
      </c>
      <c r="K1459" s="1037">
        <f t="shared" si="22"/>
        <v>8</v>
      </c>
    </row>
    <row r="1460" spans="1:11" ht="12.75">
      <c r="A1460" s="1054">
        <v>25503001</v>
      </c>
      <c r="B1460" s="1055" t="s">
        <v>1489</v>
      </c>
      <c r="C1460" s="1055" t="s">
        <v>379</v>
      </c>
      <c r="D1460" s="1055" t="s">
        <v>1759</v>
      </c>
      <c r="E1460" s="1055" t="s">
        <v>1760</v>
      </c>
      <c r="F1460" s="1056">
        <v>-192</v>
      </c>
      <c r="G1460" s="1056">
        <v>0</v>
      </c>
      <c r="H1460" s="1056">
        <v>0</v>
      </c>
      <c r="I1460" s="1056">
        <v>-192</v>
      </c>
      <c r="K1460" s="1037">
        <f t="shared" si="22"/>
        <v>8</v>
      </c>
    </row>
    <row r="1461" spans="1:11" ht="12.75">
      <c r="A1461" s="1054">
        <v>25503001</v>
      </c>
      <c r="B1461" s="1055" t="s">
        <v>1489</v>
      </c>
      <c r="C1461" s="1055" t="s">
        <v>379</v>
      </c>
      <c r="D1461" s="1055" t="s">
        <v>1581</v>
      </c>
      <c r="E1461" s="1055" t="s">
        <v>1582</v>
      </c>
      <c r="F1461" s="1056">
        <v>-642</v>
      </c>
      <c r="G1461" s="1056">
        <v>0</v>
      </c>
      <c r="H1461" s="1056">
        <v>0</v>
      </c>
      <c r="I1461" s="1056">
        <v>-642</v>
      </c>
      <c r="K1461" s="1037">
        <f t="shared" si="22"/>
        <v>8</v>
      </c>
    </row>
    <row r="1462" spans="1:11" ht="12.75">
      <c r="A1462" s="1054">
        <v>25503001</v>
      </c>
      <c r="B1462" s="1055" t="s">
        <v>1489</v>
      </c>
      <c r="C1462" s="1055" t="s">
        <v>379</v>
      </c>
      <c r="D1462" s="1055" t="s">
        <v>1521</v>
      </c>
      <c r="E1462" s="1055" t="s">
        <v>1522</v>
      </c>
      <c r="F1462" s="1056">
        <v>-1251</v>
      </c>
      <c r="G1462" s="1056">
        <v>0</v>
      </c>
      <c r="H1462" s="1056">
        <v>277</v>
      </c>
      <c r="I1462" s="1056">
        <v>-1528</v>
      </c>
      <c r="K1462" s="1037">
        <f t="shared" si="22"/>
        <v>8</v>
      </c>
    </row>
    <row r="1463" spans="1:11" ht="12.75">
      <c r="A1463" s="1054">
        <v>25503001</v>
      </c>
      <c r="B1463" s="1055" t="s">
        <v>1489</v>
      </c>
      <c r="C1463" s="1055" t="s">
        <v>379</v>
      </c>
      <c r="D1463" s="1055" t="s">
        <v>1426</v>
      </c>
      <c r="E1463" s="1055" t="s">
        <v>1427</v>
      </c>
      <c r="F1463" s="1056">
        <v>-1218</v>
      </c>
      <c r="G1463" s="1056">
        <v>0</v>
      </c>
      <c r="H1463" s="1056">
        <v>260</v>
      </c>
      <c r="I1463" s="1056">
        <v>-1477</v>
      </c>
      <c r="K1463" s="1037">
        <f t="shared" si="22"/>
        <v>8</v>
      </c>
    </row>
    <row r="1464" spans="1:11" ht="12.75">
      <c r="A1464" s="1054">
        <v>25503001</v>
      </c>
      <c r="B1464" s="1055" t="s">
        <v>1489</v>
      </c>
      <c r="C1464" s="1055" t="s">
        <v>379</v>
      </c>
      <c r="D1464" s="1055" t="s">
        <v>1583</v>
      </c>
      <c r="E1464" s="1055" t="s">
        <v>1584</v>
      </c>
      <c r="F1464" s="1056">
        <v>-196</v>
      </c>
      <c r="G1464" s="1056">
        <v>0</v>
      </c>
      <c r="H1464" s="1056">
        <v>0</v>
      </c>
      <c r="I1464" s="1056">
        <v>-196</v>
      </c>
      <c r="K1464" s="1037">
        <f t="shared" si="22"/>
        <v>8</v>
      </c>
    </row>
    <row r="1465" spans="1:11" ht="12.75">
      <c r="A1465" s="1054">
        <v>25503001</v>
      </c>
      <c r="B1465" s="1055" t="s">
        <v>1489</v>
      </c>
      <c r="C1465" s="1055" t="s">
        <v>379</v>
      </c>
      <c r="D1465" s="1055" t="s">
        <v>1374</v>
      </c>
      <c r="E1465" s="1055" t="s">
        <v>1375</v>
      </c>
      <c r="F1465" s="1056">
        <v>-1161</v>
      </c>
      <c r="G1465" s="1056">
        <v>0</v>
      </c>
      <c r="H1465" s="1056">
        <v>256</v>
      </c>
      <c r="I1465" s="1056">
        <v>-1416</v>
      </c>
      <c r="K1465" s="1037">
        <f t="shared" si="22"/>
        <v>8</v>
      </c>
    </row>
    <row r="1466" spans="1:11" ht="12.75">
      <c r="A1466" s="1054">
        <v>25503001</v>
      </c>
      <c r="B1466" s="1055" t="s">
        <v>1489</v>
      </c>
      <c r="C1466" s="1055" t="s">
        <v>379</v>
      </c>
      <c r="D1466" s="1055" t="s">
        <v>1249</v>
      </c>
      <c r="E1466" s="1055" t="s">
        <v>583</v>
      </c>
      <c r="F1466" s="1056">
        <v>-2126</v>
      </c>
      <c r="G1466" s="1056">
        <v>0</v>
      </c>
      <c r="H1466" s="1056">
        <v>428</v>
      </c>
      <c r="I1466" s="1056">
        <v>-2554</v>
      </c>
      <c r="K1466" s="1037">
        <f t="shared" si="22"/>
        <v>8</v>
      </c>
    </row>
    <row r="1467" spans="1:11" ht="12.75">
      <c r="A1467" s="1054">
        <v>25503001</v>
      </c>
      <c r="B1467" s="1055" t="s">
        <v>1489</v>
      </c>
      <c r="C1467" s="1055" t="s">
        <v>379</v>
      </c>
      <c r="D1467" s="1055" t="s">
        <v>1376</v>
      </c>
      <c r="E1467" s="1055" t="s">
        <v>1377</v>
      </c>
      <c r="F1467" s="1056">
        <v>-1481</v>
      </c>
      <c r="G1467" s="1056">
        <v>0</v>
      </c>
      <c r="H1467" s="1056">
        <v>0</v>
      </c>
      <c r="I1467" s="1056">
        <v>-1481</v>
      </c>
      <c r="K1467" s="1037">
        <f t="shared" si="22"/>
        <v>8</v>
      </c>
    </row>
    <row r="1468" spans="1:11" ht="12.75">
      <c r="A1468" s="1054">
        <v>25503001</v>
      </c>
      <c r="B1468" s="1055" t="s">
        <v>1489</v>
      </c>
      <c r="C1468" s="1055" t="s">
        <v>379</v>
      </c>
      <c r="D1468" s="1055" t="s">
        <v>1845</v>
      </c>
      <c r="E1468" s="1055" t="s">
        <v>1846</v>
      </c>
      <c r="F1468" s="1056">
        <v>-157</v>
      </c>
      <c r="G1468" s="1056">
        <v>0</v>
      </c>
      <c r="H1468" s="1056">
        <v>257</v>
      </c>
      <c r="I1468" s="1056">
        <v>-414</v>
      </c>
      <c r="K1468" s="1037">
        <f t="shared" si="22"/>
        <v>8</v>
      </c>
    </row>
    <row r="1469" spans="1:11" ht="12.75">
      <c r="A1469" s="1054">
        <v>25503001</v>
      </c>
      <c r="B1469" s="1055" t="s">
        <v>1489</v>
      </c>
      <c r="C1469" s="1055" t="s">
        <v>379</v>
      </c>
      <c r="D1469" s="1055" t="s">
        <v>1306</v>
      </c>
      <c r="E1469" s="1055" t="s">
        <v>997</v>
      </c>
      <c r="F1469" s="1056">
        <v>-1064</v>
      </c>
      <c r="G1469" s="1056">
        <v>0</v>
      </c>
      <c r="H1469" s="1056">
        <v>0</v>
      </c>
      <c r="I1469" s="1056">
        <v>-1064</v>
      </c>
      <c r="K1469" s="1037">
        <f t="shared" si="22"/>
        <v>8</v>
      </c>
    </row>
    <row r="1470" spans="1:11" ht="12.75">
      <c r="A1470" s="1054">
        <v>25503001</v>
      </c>
      <c r="B1470" s="1055" t="s">
        <v>1489</v>
      </c>
      <c r="C1470" s="1055" t="s">
        <v>379</v>
      </c>
      <c r="D1470" s="1055" t="s">
        <v>1897</v>
      </c>
      <c r="E1470" s="1055" t="s">
        <v>1898</v>
      </c>
      <c r="F1470" s="1056">
        <v>0</v>
      </c>
      <c r="G1470" s="1056">
        <v>0</v>
      </c>
      <c r="H1470" s="1056">
        <v>56</v>
      </c>
      <c r="I1470" s="1056">
        <v>-56</v>
      </c>
      <c r="K1470" s="1037">
        <f t="shared" si="22"/>
        <v>8</v>
      </c>
    </row>
    <row r="1471" spans="1:11" ht="12.75">
      <c r="A1471" s="1054">
        <v>25503001</v>
      </c>
      <c r="B1471" s="1055" t="s">
        <v>1489</v>
      </c>
      <c r="C1471" s="1055" t="s">
        <v>379</v>
      </c>
      <c r="D1471" s="1055" t="s">
        <v>1250</v>
      </c>
      <c r="E1471" s="1055" t="s">
        <v>1251</v>
      </c>
      <c r="F1471" s="1056">
        <v>-1207</v>
      </c>
      <c r="G1471" s="1056">
        <v>0</v>
      </c>
      <c r="H1471" s="1056">
        <v>243</v>
      </c>
      <c r="I1471" s="1056">
        <v>-1450</v>
      </c>
      <c r="K1471" s="1037">
        <f t="shared" si="22"/>
        <v>8</v>
      </c>
    </row>
    <row r="1472" spans="1:11" ht="12.75">
      <c r="A1472" s="1054">
        <v>25503001</v>
      </c>
      <c r="B1472" s="1055" t="s">
        <v>1489</v>
      </c>
      <c r="C1472" s="1055" t="s">
        <v>379</v>
      </c>
      <c r="D1472" s="1055" t="s">
        <v>1899</v>
      </c>
      <c r="E1472" s="1055" t="s">
        <v>1900</v>
      </c>
      <c r="F1472" s="1056">
        <v>0</v>
      </c>
      <c r="G1472" s="1056">
        <v>0</v>
      </c>
      <c r="H1472" s="1056">
        <v>282</v>
      </c>
      <c r="I1472" s="1056">
        <v>-282</v>
      </c>
      <c r="K1472" s="1037">
        <f t="shared" si="22"/>
        <v>8</v>
      </c>
    </row>
    <row r="1473" spans="1:11" ht="12.75">
      <c r="A1473" s="1054">
        <v>25503001</v>
      </c>
      <c r="B1473" s="1055" t="s">
        <v>1489</v>
      </c>
      <c r="C1473" s="1055" t="s">
        <v>379</v>
      </c>
      <c r="D1473" s="1055" t="s">
        <v>1901</v>
      </c>
      <c r="E1473" s="1055" t="s">
        <v>1902</v>
      </c>
      <c r="F1473" s="1056">
        <v>0</v>
      </c>
      <c r="G1473" s="1056">
        <v>0</v>
      </c>
      <c r="H1473" s="1056">
        <v>105</v>
      </c>
      <c r="I1473" s="1056">
        <v>-105</v>
      </c>
      <c r="K1473" s="1037">
        <f t="shared" si="22"/>
        <v>8</v>
      </c>
    </row>
    <row r="1474" spans="1:11" ht="12.75">
      <c r="A1474" s="1054">
        <v>25503001</v>
      </c>
      <c r="B1474" s="1055" t="s">
        <v>1489</v>
      </c>
      <c r="C1474" s="1055" t="s">
        <v>379</v>
      </c>
      <c r="D1474" s="1055" t="s">
        <v>1686</v>
      </c>
      <c r="E1474" s="1055" t="s">
        <v>1687</v>
      </c>
      <c r="F1474" s="1056">
        <v>-709</v>
      </c>
      <c r="G1474" s="1056">
        <v>0</v>
      </c>
      <c r="H1474" s="1056">
        <v>0</v>
      </c>
      <c r="I1474" s="1056">
        <v>-709</v>
      </c>
      <c r="K1474" s="1037">
        <f t="shared" si="22"/>
        <v>8</v>
      </c>
    </row>
    <row r="1475" spans="1:11" ht="12.75">
      <c r="A1475" s="1054">
        <v>25503001</v>
      </c>
      <c r="B1475" s="1055" t="s">
        <v>1489</v>
      </c>
      <c r="C1475" s="1055" t="s">
        <v>379</v>
      </c>
      <c r="D1475" s="1055" t="s">
        <v>1303</v>
      </c>
      <c r="E1475" s="1055" t="s">
        <v>806</v>
      </c>
      <c r="F1475" s="1056">
        <v>-468</v>
      </c>
      <c r="G1475" s="1056">
        <v>0</v>
      </c>
      <c r="H1475" s="1056">
        <v>0</v>
      </c>
      <c r="I1475" s="1056">
        <v>-468</v>
      </c>
      <c r="K1475" s="1037">
        <f t="shared" si="22"/>
        <v>8</v>
      </c>
    </row>
    <row r="1476" spans="1:11" ht="12.75">
      <c r="A1476" s="1054">
        <v>25503001</v>
      </c>
      <c r="B1476" s="1055" t="s">
        <v>1489</v>
      </c>
      <c r="C1476" s="1055" t="s">
        <v>379</v>
      </c>
      <c r="D1476" s="1055" t="s">
        <v>1523</v>
      </c>
      <c r="E1476" s="1055" t="s">
        <v>1524</v>
      </c>
      <c r="F1476" s="1056">
        <v>-414</v>
      </c>
      <c r="G1476" s="1056">
        <v>0</v>
      </c>
      <c r="H1476" s="1056">
        <v>0</v>
      </c>
      <c r="I1476" s="1056">
        <v>-414</v>
      </c>
      <c r="K1476" s="1037">
        <f t="shared" si="22"/>
        <v>8</v>
      </c>
    </row>
    <row r="1477" spans="1:11" ht="12.75">
      <c r="A1477" s="1054">
        <v>25503001</v>
      </c>
      <c r="B1477" s="1055" t="s">
        <v>1489</v>
      </c>
      <c r="C1477" s="1055" t="s">
        <v>379</v>
      </c>
      <c r="D1477" s="1055" t="s">
        <v>1480</v>
      </c>
      <c r="E1477" s="1055" t="s">
        <v>1481</v>
      </c>
      <c r="F1477" s="1056">
        <v>-302</v>
      </c>
      <c r="G1477" s="1056">
        <v>0</v>
      </c>
      <c r="H1477" s="1056">
        <v>0</v>
      </c>
      <c r="I1477" s="1056">
        <v>-302</v>
      </c>
      <c r="K1477" s="1037">
        <f t="shared" ref="K1477:K1540" si="23">+LEN(A1477)</f>
        <v>8</v>
      </c>
    </row>
    <row r="1478" spans="1:11" ht="12.75">
      <c r="A1478" s="1054">
        <v>25503001</v>
      </c>
      <c r="B1478" s="1055" t="s">
        <v>1489</v>
      </c>
      <c r="C1478" s="1055" t="s">
        <v>379</v>
      </c>
      <c r="D1478" s="1055" t="s">
        <v>1847</v>
      </c>
      <c r="E1478" s="1055" t="s">
        <v>1848</v>
      </c>
      <c r="F1478" s="1056">
        <v>-112</v>
      </c>
      <c r="G1478" s="1056">
        <v>0</v>
      </c>
      <c r="H1478" s="1056">
        <v>0</v>
      </c>
      <c r="I1478" s="1056">
        <v>-112</v>
      </c>
      <c r="K1478" s="1037">
        <f t="shared" si="23"/>
        <v>8</v>
      </c>
    </row>
    <row r="1479" spans="1:11" ht="12.75">
      <c r="A1479" s="1054">
        <v>25503001</v>
      </c>
      <c r="B1479" s="1055" t="s">
        <v>1489</v>
      </c>
      <c r="C1479" s="1055" t="s">
        <v>379</v>
      </c>
      <c r="D1479" s="1055" t="s">
        <v>1761</v>
      </c>
      <c r="E1479" s="1055" t="s">
        <v>1762</v>
      </c>
      <c r="F1479" s="1056">
        <v>-283</v>
      </c>
      <c r="G1479" s="1056">
        <v>0</v>
      </c>
      <c r="H1479" s="1056">
        <v>0</v>
      </c>
      <c r="I1479" s="1056">
        <v>-283</v>
      </c>
      <c r="K1479" s="1037">
        <f t="shared" si="23"/>
        <v>8</v>
      </c>
    </row>
    <row r="1480" spans="1:11" ht="12.75">
      <c r="A1480" s="1054">
        <v>25503001</v>
      </c>
      <c r="B1480" s="1055" t="s">
        <v>1489</v>
      </c>
      <c r="C1480" s="1055" t="s">
        <v>379</v>
      </c>
      <c r="D1480" s="1055" t="s">
        <v>1428</v>
      </c>
      <c r="E1480" s="1055" t="s">
        <v>1429</v>
      </c>
      <c r="F1480" s="1056">
        <v>-478</v>
      </c>
      <c r="G1480" s="1056">
        <v>0</v>
      </c>
      <c r="H1480" s="1056">
        <v>0</v>
      </c>
      <c r="I1480" s="1056">
        <v>-478</v>
      </c>
      <c r="K1480" s="1037">
        <f t="shared" si="23"/>
        <v>8</v>
      </c>
    </row>
    <row r="1481" spans="1:11" ht="12.75">
      <c r="A1481" s="1054">
        <v>25503001</v>
      </c>
      <c r="B1481" s="1055" t="s">
        <v>1489</v>
      </c>
      <c r="C1481" s="1055" t="s">
        <v>379</v>
      </c>
      <c r="D1481" s="1055" t="s">
        <v>1849</v>
      </c>
      <c r="E1481" s="1055" t="s">
        <v>1850</v>
      </c>
      <c r="F1481" s="1056">
        <v>-133</v>
      </c>
      <c r="G1481" s="1056">
        <v>0</v>
      </c>
      <c r="H1481" s="1056">
        <v>253</v>
      </c>
      <c r="I1481" s="1056">
        <v>-386</v>
      </c>
      <c r="K1481" s="1037">
        <f t="shared" si="23"/>
        <v>8</v>
      </c>
    </row>
    <row r="1482" spans="1:11" ht="12.75">
      <c r="A1482" s="1054">
        <v>25503001</v>
      </c>
      <c r="B1482" s="1055" t="s">
        <v>1489</v>
      </c>
      <c r="C1482" s="1055" t="s">
        <v>379</v>
      </c>
      <c r="D1482" s="1055" t="s">
        <v>1275</v>
      </c>
      <c r="E1482" s="1055" t="s">
        <v>991</v>
      </c>
      <c r="F1482" s="1056">
        <v>-1282</v>
      </c>
      <c r="G1482" s="1056">
        <v>0</v>
      </c>
      <c r="H1482" s="1056">
        <v>294</v>
      </c>
      <c r="I1482" s="1056">
        <v>-1576</v>
      </c>
      <c r="K1482" s="1037">
        <f t="shared" si="23"/>
        <v>8</v>
      </c>
    </row>
    <row r="1483" spans="1:11" ht="12.75">
      <c r="A1483" s="1054">
        <v>25503001</v>
      </c>
      <c r="B1483" s="1055" t="s">
        <v>1489</v>
      </c>
      <c r="C1483" s="1055" t="s">
        <v>379</v>
      </c>
      <c r="D1483" s="1055" t="s">
        <v>1380</v>
      </c>
      <c r="E1483" s="1055" t="s">
        <v>1381</v>
      </c>
      <c r="F1483" s="1056">
        <v>-469</v>
      </c>
      <c r="G1483" s="1056">
        <v>0</v>
      </c>
      <c r="H1483" s="1056">
        <v>0</v>
      </c>
      <c r="I1483" s="1056">
        <v>-469</v>
      </c>
      <c r="K1483" s="1037">
        <f t="shared" si="23"/>
        <v>8</v>
      </c>
    </row>
    <row r="1484" spans="1:11" ht="12.75">
      <c r="A1484" s="1054">
        <v>25503001</v>
      </c>
      <c r="B1484" s="1055" t="s">
        <v>1489</v>
      </c>
      <c r="C1484" s="1055" t="s">
        <v>379</v>
      </c>
      <c r="D1484" s="1055" t="s">
        <v>1585</v>
      </c>
      <c r="E1484" s="1055" t="s">
        <v>1586</v>
      </c>
      <c r="F1484" s="1056">
        <v>-742</v>
      </c>
      <c r="G1484" s="1056">
        <v>0</v>
      </c>
      <c r="H1484" s="1056">
        <v>215</v>
      </c>
      <c r="I1484" s="1056">
        <v>-957</v>
      </c>
      <c r="K1484" s="1037">
        <f t="shared" si="23"/>
        <v>8</v>
      </c>
    </row>
    <row r="1485" spans="1:11" ht="12.75">
      <c r="A1485" s="1054">
        <v>25503001</v>
      </c>
      <c r="B1485" s="1055" t="s">
        <v>1489</v>
      </c>
      <c r="C1485" s="1055" t="s">
        <v>379</v>
      </c>
      <c r="D1485" s="1055" t="s">
        <v>1382</v>
      </c>
      <c r="E1485" s="1055" t="s">
        <v>1763</v>
      </c>
      <c r="F1485" s="1056">
        <v>-1451</v>
      </c>
      <c r="G1485" s="1056">
        <v>0</v>
      </c>
      <c r="H1485" s="1056">
        <v>297</v>
      </c>
      <c r="I1485" s="1056">
        <v>-1748</v>
      </c>
      <c r="K1485" s="1037">
        <f t="shared" si="23"/>
        <v>8</v>
      </c>
    </row>
    <row r="1486" spans="1:11" ht="12.75">
      <c r="A1486" s="1054">
        <v>25503001</v>
      </c>
      <c r="B1486" s="1055" t="s">
        <v>1489</v>
      </c>
      <c r="C1486" s="1055" t="s">
        <v>379</v>
      </c>
      <c r="D1486" s="1055" t="s">
        <v>1440</v>
      </c>
      <c r="E1486" s="1055" t="s">
        <v>1441</v>
      </c>
      <c r="F1486" s="1056">
        <v>-900</v>
      </c>
      <c r="G1486" s="1056">
        <v>0</v>
      </c>
      <c r="H1486" s="1056">
        <v>0</v>
      </c>
      <c r="I1486" s="1056">
        <v>-900</v>
      </c>
      <c r="K1486" s="1037">
        <f t="shared" si="23"/>
        <v>8</v>
      </c>
    </row>
    <row r="1487" spans="1:11" ht="12.75">
      <c r="A1487" s="1054">
        <v>25503001</v>
      </c>
      <c r="B1487" s="1055" t="s">
        <v>1489</v>
      </c>
      <c r="C1487" s="1055" t="s">
        <v>379</v>
      </c>
      <c r="D1487" s="1055" t="s">
        <v>1383</v>
      </c>
      <c r="E1487" s="1055" t="s">
        <v>1384</v>
      </c>
      <c r="F1487" s="1056">
        <v>-1395</v>
      </c>
      <c r="G1487" s="1056">
        <v>0</v>
      </c>
      <c r="H1487" s="1056">
        <v>248</v>
      </c>
      <c r="I1487" s="1056">
        <v>-1643</v>
      </c>
      <c r="K1487" s="1037">
        <f t="shared" si="23"/>
        <v>8</v>
      </c>
    </row>
    <row r="1488" spans="1:11" ht="12.75">
      <c r="A1488" s="1054">
        <v>25503001</v>
      </c>
      <c r="B1488" s="1055" t="s">
        <v>1489</v>
      </c>
      <c r="C1488" s="1055" t="s">
        <v>379</v>
      </c>
      <c r="D1488" s="1055" t="s">
        <v>1430</v>
      </c>
      <c r="E1488" s="1055" t="s">
        <v>1431</v>
      </c>
      <c r="F1488" s="1056">
        <v>-253</v>
      </c>
      <c r="G1488" s="1056">
        <v>0</v>
      </c>
      <c r="H1488" s="1056">
        <v>0</v>
      </c>
      <c r="I1488" s="1056">
        <v>-253</v>
      </c>
      <c r="K1488" s="1037">
        <f t="shared" si="23"/>
        <v>8</v>
      </c>
    </row>
    <row r="1489" spans="1:11" ht="12.75">
      <c r="A1489" s="1054">
        <v>25503001</v>
      </c>
      <c r="B1489" s="1055" t="s">
        <v>1489</v>
      </c>
      <c r="C1489" s="1055" t="s">
        <v>379</v>
      </c>
      <c r="D1489" s="1055" t="s">
        <v>1587</v>
      </c>
      <c r="E1489" s="1055" t="s">
        <v>1588</v>
      </c>
      <c r="F1489" s="1056">
        <v>-953</v>
      </c>
      <c r="G1489" s="1056">
        <v>0</v>
      </c>
      <c r="H1489" s="1056">
        <v>246</v>
      </c>
      <c r="I1489" s="1056">
        <v>-1199</v>
      </c>
      <c r="K1489" s="1037">
        <f t="shared" si="23"/>
        <v>8</v>
      </c>
    </row>
    <row r="1490" spans="1:11" ht="12.75">
      <c r="A1490" s="1054">
        <v>25503002</v>
      </c>
      <c r="B1490" s="1055" t="s">
        <v>893</v>
      </c>
      <c r="C1490" s="1055" t="s">
        <v>361</v>
      </c>
      <c r="D1490" s="1055" t="s">
        <v>893</v>
      </c>
      <c r="E1490" s="1055" t="s">
        <v>893</v>
      </c>
      <c r="F1490" s="1056">
        <v>52638</v>
      </c>
      <c r="G1490" s="1056">
        <v>9598</v>
      </c>
      <c r="H1490" s="1056">
        <v>0</v>
      </c>
      <c r="I1490" s="1056">
        <v>62236</v>
      </c>
      <c r="K1490" s="1037">
        <f t="shared" si="23"/>
        <v>8</v>
      </c>
    </row>
    <row r="1491" spans="1:11" ht="12.75">
      <c r="A1491" s="1054">
        <v>25503002</v>
      </c>
      <c r="B1491" s="1055" t="s">
        <v>893</v>
      </c>
      <c r="C1491" s="1055" t="s">
        <v>361</v>
      </c>
      <c r="D1491" s="1055" t="s">
        <v>1278</v>
      </c>
      <c r="E1491" s="1055" t="s">
        <v>1279</v>
      </c>
      <c r="F1491" s="1056">
        <v>16775</v>
      </c>
      <c r="G1491" s="1056">
        <v>1898</v>
      </c>
      <c r="H1491" s="1056">
        <v>0</v>
      </c>
      <c r="I1491" s="1056">
        <v>18674</v>
      </c>
      <c r="K1491" s="1037">
        <f t="shared" si="23"/>
        <v>8</v>
      </c>
    </row>
    <row r="1492" spans="1:11" ht="12.75">
      <c r="A1492" s="1054">
        <v>25503002</v>
      </c>
      <c r="B1492" s="1055" t="s">
        <v>893</v>
      </c>
      <c r="C1492" s="1055" t="s">
        <v>361</v>
      </c>
      <c r="D1492" s="1055" t="s">
        <v>1280</v>
      </c>
      <c r="E1492" s="1055" t="s">
        <v>1281</v>
      </c>
      <c r="F1492" s="1056">
        <v>1773</v>
      </c>
      <c r="G1492" s="1056">
        <v>319</v>
      </c>
      <c r="H1492" s="1056">
        <v>0</v>
      </c>
      <c r="I1492" s="1056">
        <v>2093</v>
      </c>
      <c r="K1492" s="1037">
        <f t="shared" si="23"/>
        <v>8</v>
      </c>
    </row>
    <row r="1493" spans="1:11" ht="12.75">
      <c r="A1493" s="1054">
        <v>25503002</v>
      </c>
      <c r="B1493" s="1055" t="s">
        <v>893</v>
      </c>
      <c r="C1493" s="1055" t="s">
        <v>361</v>
      </c>
      <c r="D1493" s="1055" t="s">
        <v>1282</v>
      </c>
      <c r="E1493" s="1055" t="s">
        <v>1281</v>
      </c>
      <c r="F1493" s="1056">
        <v>21538</v>
      </c>
      <c r="G1493" s="1056">
        <v>5634</v>
      </c>
      <c r="H1493" s="1056">
        <v>0</v>
      </c>
      <c r="I1493" s="1056">
        <v>27172</v>
      </c>
      <c r="K1493" s="1037">
        <f t="shared" si="23"/>
        <v>8</v>
      </c>
    </row>
    <row r="1494" spans="1:11" ht="12.75">
      <c r="A1494" s="1054">
        <v>25503002</v>
      </c>
      <c r="B1494" s="1055" t="s">
        <v>893</v>
      </c>
      <c r="C1494" s="1055" t="s">
        <v>361</v>
      </c>
      <c r="D1494" s="1055" t="s">
        <v>1283</v>
      </c>
      <c r="E1494" s="1055" t="s">
        <v>1284</v>
      </c>
      <c r="F1494" s="1056">
        <v>12552</v>
      </c>
      <c r="G1494" s="1056">
        <v>1746</v>
      </c>
      <c r="H1494" s="1056">
        <v>0</v>
      </c>
      <c r="I1494" s="1056">
        <v>14298</v>
      </c>
      <c r="K1494" s="1037">
        <f t="shared" si="23"/>
        <v>8</v>
      </c>
    </row>
    <row r="1495" spans="1:11" ht="12.75">
      <c r="A1495" s="1054">
        <v>25503003</v>
      </c>
      <c r="B1495" s="1055" t="s">
        <v>893</v>
      </c>
      <c r="C1495" s="1055" t="s">
        <v>807</v>
      </c>
      <c r="D1495" s="1055" t="s">
        <v>893</v>
      </c>
      <c r="E1495" s="1055" t="s">
        <v>893</v>
      </c>
      <c r="F1495" s="1056">
        <v>-618</v>
      </c>
      <c r="G1495" s="1056">
        <v>0</v>
      </c>
      <c r="H1495" s="1056">
        <v>0</v>
      </c>
      <c r="I1495" s="1056">
        <v>-618</v>
      </c>
      <c r="K1495" s="1037">
        <f t="shared" si="23"/>
        <v>8</v>
      </c>
    </row>
    <row r="1496" spans="1:11" ht="12.75">
      <c r="A1496" s="1054">
        <v>25503003</v>
      </c>
      <c r="B1496" s="1055" t="s">
        <v>893</v>
      </c>
      <c r="C1496" s="1055" t="s">
        <v>807</v>
      </c>
      <c r="D1496" s="1055" t="s">
        <v>1484</v>
      </c>
      <c r="E1496" s="1055" t="s">
        <v>1485</v>
      </c>
      <c r="F1496" s="1056">
        <v>-189</v>
      </c>
      <c r="G1496" s="1056">
        <v>0</v>
      </c>
      <c r="H1496" s="1056">
        <v>0</v>
      </c>
      <c r="I1496" s="1056">
        <v>-189</v>
      </c>
      <c r="K1496" s="1037">
        <f t="shared" si="23"/>
        <v>8</v>
      </c>
    </row>
    <row r="1497" spans="1:11" ht="12.75">
      <c r="A1497" s="1054">
        <v>25503003</v>
      </c>
      <c r="B1497" s="1055" t="s">
        <v>893</v>
      </c>
      <c r="C1497" s="1055" t="s">
        <v>807</v>
      </c>
      <c r="D1497" s="1055" t="s">
        <v>1270</v>
      </c>
      <c r="E1497" s="1055" t="s">
        <v>988</v>
      </c>
      <c r="F1497" s="1056">
        <v>-239</v>
      </c>
      <c r="G1497" s="1056">
        <v>0</v>
      </c>
      <c r="H1497" s="1056">
        <v>0</v>
      </c>
      <c r="I1497" s="1056">
        <v>-239</v>
      </c>
      <c r="K1497" s="1037">
        <f t="shared" si="23"/>
        <v>8</v>
      </c>
    </row>
    <row r="1498" spans="1:11" ht="12.75">
      <c r="A1498" s="1054">
        <v>25503003</v>
      </c>
      <c r="B1498" s="1055" t="s">
        <v>893</v>
      </c>
      <c r="C1498" s="1055" t="s">
        <v>807</v>
      </c>
      <c r="D1498" s="1055" t="s">
        <v>1370</v>
      </c>
      <c r="E1498" s="1055" t="s">
        <v>1371</v>
      </c>
      <c r="F1498" s="1056">
        <v>-38</v>
      </c>
      <c r="G1498" s="1056">
        <v>0</v>
      </c>
      <c r="H1498" s="1056">
        <v>0</v>
      </c>
      <c r="I1498" s="1056">
        <v>-38</v>
      </c>
      <c r="K1498" s="1037">
        <f t="shared" si="23"/>
        <v>8</v>
      </c>
    </row>
    <row r="1499" spans="1:11" ht="12.75">
      <c r="A1499" s="1054">
        <v>25503003</v>
      </c>
      <c r="B1499" s="1055" t="s">
        <v>893</v>
      </c>
      <c r="C1499" s="1055" t="s">
        <v>807</v>
      </c>
      <c r="D1499" s="1055" t="s">
        <v>1380</v>
      </c>
      <c r="E1499" s="1055" t="s">
        <v>1381</v>
      </c>
      <c r="F1499" s="1056">
        <v>-153</v>
      </c>
      <c r="G1499" s="1056">
        <v>0</v>
      </c>
      <c r="H1499" s="1056">
        <v>0</v>
      </c>
      <c r="I1499" s="1056">
        <v>-153</v>
      </c>
      <c r="K1499" s="1037">
        <f t="shared" si="23"/>
        <v>8</v>
      </c>
    </row>
    <row r="1500" spans="1:11" ht="12.75">
      <c r="A1500" s="1054">
        <v>25503004</v>
      </c>
      <c r="B1500" s="1055" t="s">
        <v>893</v>
      </c>
      <c r="C1500" s="1055" t="s">
        <v>753</v>
      </c>
      <c r="D1500" s="1055" t="s">
        <v>893</v>
      </c>
      <c r="E1500" s="1055" t="s">
        <v>893</v>
      </c>
      <c r="F1500" s="1056">
        <v>-12379</v>
      </c>
      <c r="G1500" s="1056">
        <v>0</v>
      </c>
      <c r="H1500" s="1056">
        <v>2596</v>
      </c>
      <c r="I1500" s="1056">
        <v>-14976</v>
      </c>
      <c r="K1500" s="1037">
        <f t="shared" si="23"/>
        <v>8</v>
      </c>
    </row>
    <row r="1501" spans="1:11" ht="12.75">
      <c r="A1501" s="1054">
        <v>25503004</v>
      </c>
      <c r="B1501" s="1055" t="s">
        <v>893</v>
      </c>
      <c r="C1501" s="1055" t="s">
        <v>753</v>
      </c>
      <c r="D1501" s="1055" t="s">
        <v>1575</v>
      </c>
      <c r="E1501" s="1055" t="s">
        <v>1576</v>
      </c>
      <c r="F1501" s="1056">
        <v>-215</v>
      </c>
      <c r="G1501" s="1056">
        <v>0</v>
      </c>
      <c r="H1501" s="1056">
        <v>0</v>
      </c>
      <c r="I1501" s="1056">
        <v>-215</v>
      </c>
      <c r="K1501" s="1037">
        <f t="shared" si="23"/>
        <v>8</v>
      </c>
    </row>
    <row r="1502" spans="1:11" ht="12.75">
      <c r="A1502" s="1054">
        <v>25503004</v>
      </c>
      <c r="B1502" s="1055" t="s">
        <v>893</v>
      </c>
      <c r="C1502" s="1055" t="s">
        <v>753</v>
      </c>
      <c r="D1502" s="1055" t="s">
        <v>1891</v>
      </c>
      <c r="E1502" s="1055" t="s">
        <v>1892</v>
      </c>
      <c r="F1502" s="1056">
        <v>0</v>
      </c>
      <c r="G1502" s="1056">
        <v>0</v>
      </c>
      <c r="H1502" s="1056">
        <v>85</v>
      </c>
      <c r="I1502" s="1056">
        <v>-85</v>
      </c>
      <c r="K1502" s="1037">
        <f t="shared" si="23"/>
        <v>8</v>
      </c>
    </row>
    <row r="1503" spans="1:11" ht="12.75">
      <c r="A1503" s="1054">
        <v>25503004</v>
      </c>
      <c r="B1503" s="1055" t="s">
        <v>893</v>
      </c>
      <c r="C1503" s="1055" t="s">
        <v>753</v>
      </c>
      <c r="D1503" s="1055" t="s">
        <v>1577</v>
      </c>
      <c r="E1503" s="1055" t="s">
        <v>1578</v>
      </c>
      <c r="F1503" s="1056">
        <v>-320</v>
      </c>
      <c r="G1503" s="1056">
        <v>0</v>
      </c>
      <c r="H1503" s="1056">
        <v>91</v>
      </c>
      <c r="I1503" s="1056">
        <v>-412</v>
      </c>
      <c r="K1503" s="1037">
        <f t="shared" si="23"/>
        <v>8</v>
      </c>
    </row>
    <row r="1504" spans="1:11" ht="12.75">
      <c r="A1504" s="1054">
        <v>25503004</v>
      </c>
      <c r="B1504" s="1055" t="s">
        <v>893</v>
      </c>
      <c r="C1504" s="1055" t="s">
        <v>753</v>
      </c>
      <c r="D1504" s="1055" t="s">
        <v>1360</v>
      </c>
      <c r="E1504" s="1055" t="s">
        <v>1361</v>
      </c>
      <c r="F1504" s="1056">
        <v>-556</v>
      </c>
      <c r="G1504" s="1056">
        <v>0</v>
      </c>
      <c r="H1504" s="1056">
        <v>111</v>
      </c>
      <c r="I1504" s="1056">
        <v>-667</v>
      </c>
      <c r="K1504" s="1037">
        <f t="shared" si="23"/>
        <v>8</v>
      </c>
    </row>
    <row r="1505" spans="1:11" ht="12.75">
      <c r="A1505" s="1054">
        <v>25503004</v>
      </c>
      <c r="B1505" s="1055" t="s">
        <v>893</v>
      </c>
      <c r="C1505" s="1055" t="s">
        <v>753</v>
      </c>
      <c r="D1505" s="1055" t="s">
        <v>1893</v>
      </c>
      <c r="E1505" s="1055" t="s">
        <v>1894</v>
      </c>
      <c r="F1505" s="1056">
        <v>0</v>
      </c>
      <c r="G1505" s="1056">
        <v>0</v>
      </c>
      <c r="H1505" s="1056">
        <v>86</v>
      </c>
      <c r="I1505" s="1056">
        <v>-86</v>
      </c>
      <c r="K1505" s="1037">
        <f t="shared" si="23"/>
        <v>8</v>
      </c>
    </row>
    <row r="1506" spans="1:11" ht="12.75">
      <c r="A1506" s="1054">
        <v>25503004</v>
      </c>
      <c r="B1506" s="1055" t="s">
        <v>893</v>
      </c>
      <c r="C1506" s="1055" t="s">
        <v>753</v>
      </c>
      <c r="D1506" s="1055" t="s">
        <v>1298</v>
      </c>
      <c r="E1506" s="1055" t="s">
        <v>987</v>
      </c>
      <c r="F1506" s="1056">
        <v>-353</v>
      </c>
      <c r="G1506" s="1056">
        <v>0</v>
      </c>
      <c r="H1506" s="1056">
        <v>0</v>
      </c>
      <c r="I1506" s="1056">
        <v>-353</v>
      </c>
      <c r="K1506" s="1037">
        <f t="shared" si="23"/>
        <v>8</v>
      </c>
    </row>
    <row r="1507" spans="1:11" ht="12.75">
      <c r="A1507" s="1054">
        <v>25503004</v>
      </c>
      <c r="B1507" s="1055" t="s">
        <v>893</v>
      </c>
      <c r="C1507" s="1055" t="s">
        <v>753</v>
      </c>
      <c r="D1507" s="1055" t="s">
        <v>1484</v>
      </c>
      <c r="E1507" s="1055" t="s">
        <v>1485</v>
      </c>
      <c r="F1507" s="1056">
        <v>-197</v>
      </c>
      <c r="G1507" s="1056">
        <v>0</v>
      </c>
      <c r="H1507" s="1056">
        <v>80</v>
      </c>
      <c r="I1507" s="1056">
        <v>-277</v>
      </c>
      <c r="K1507" s="1037">
        <f t="shared" si="23"/>
        <v>8</v>
      </c>
    </row>
    <row r="1508" spans="1:11" ht="12.75">
      <c r="A1508" s="1054">
        <v>25503004</v>
      </c>
      <c r="B1508" s="1055" t="s">
        <v>893</v>
      </c>
      <c r="C1508" s="1055" t="s">
        <v>753</v>
      </c>
      <c r="D1508" s="1055" t="s">
        <v>1579</v>
      </c>
      <c r="E1508" s="1055" t="s">
        <v>1580</v>
      </c>
      <c r="F1508" s="1056">
        <v>-359</v>
      </c>
      <c r="G1508" s="1056">
        <v>0</v>
      </c>
      <c r="H1508" s="1056">
        <v>106</v>
      </c>
      <c r="I1508" s="1056">
        <v>-465</v>
      </c>
      <c r="K1508" s="1037">
        <f t="shared" si="23"/>
        <v>8</v>
      </c>
    </row>
    <row r="1509" spans="1:11" ht="12.75">
      <c r="A1509" s="1054">
        <v>25503004</v>
      </c>
      <c r="B1509" s="1055" t="s">
        <v>893</v>
      </c>
      <c r="C1509" s="1055" t="s">
        <v>753</v>
      </c>
      <c r="D1509" s="1055" t="s">
        <v>1270</v>
      </c>
      <c r="E1509" s="1055" t="s">
        <v>988</v>
      </c>
      <c r="F1509" s="1056">
        <v>-240</v>
      </c>
      <c r="G1509" s="1056">
        <v>0</v>
      </c>
      <c r="H1509" s="1056">
        <v>99</v>
      </c>
      <c r="I1509" s="1056">
        <v>-339</v>
      </c>
      <c r="K1509" s="1037">
        <f t="shared" si="23"/>
        <v>8</v>
      </c>
    </row>
    <row r="1510" spans="1:11" ht="12.75">
      <c r="A1510" s="1054">
        <v>25503004</v>
      </c>
      <c r="B1510" s="1055" t="s">
        <v>893</v>
      </c>
      <c r="C1510" s="1055" t="s">
        <v>753</v>
      </c>
      <c r="D1510" s="1055" t="s">
        <v>1271</v>
      </c>
      <c r="E1510" s="1055" t="s">
        <v>782</v>
      </c>
      <c r="F1510" s="1056">
        <v>-101</v>
      </c>
      <c r="G1510" s="1056">
        <v>0</v>
      </c>
      <c r="H1510" s="1056">
        <v>0</v>
      </c>
      <c r="I1510" s="1056">
        <v>-101</v>
      </c>
      <c r="K1510" s="1037">
        <f t="shared" si="23"/>
        <v>8</v>
      </c>
    </row>
    <row r="1511" spans="1:11" ht="12.75">
      <c r="A1511" s="1054">
        <v>25503004</v>
      </c>
      <c r="B1511" s="1055" t="s">
        <v>893</v>
      </c>
      <c r="C1511" s="1055" t="s">
        <v>753</v>
      </c>
      <c r="D1511" s="1055" t="s">
        <v>1272</v>
      </c>
      <c r="E1511" s="1055" t="s">
        <v>1273</v>
      </c>
      <c r="F1511" s="1056">
        <v>0</v>
      </c>
      <c r="G1511" s="1056">
        <v>0</v>
      </c>
      <c r="H1511" s="1056">
        <v>117</v>
      </c>
      <c r="I1511" s="1056">
        <v>-117</v>
      </c>
      <c r="K1511" s="1037">
        <f t="shared" si="23"/>
        <v>8</v>
      </c>
    </row>
    <row r="1512" spans="1:11" ht="12.75">
      <c r="A1512" s="1054">
        <v>25503004</v>
      </c>
      <c r="B1512" s="1055" t="s">
        <v>893</v>
      </c>
      <c r="C1512" s="1055" t="s">
        <v>753</v>
      </c>
      <c r="D1512" s="1055" t="s">
        <v>1420</v>
      </c>
      <c r="E1512" s="1055" t="s">
        <v>1421</v>
      </c>
      <c r="F1512" s="1056">
        <v>-370</v>
      </c>
      <c r="G1512" s="1056">
        <v>0</v>
      </c>
      <c r="H1512" s="1056">
        <v>38</v>
      </c>
      <c r="I1512" s="1056">
        <v>-408</v>
      </c>
      <c r="K1512" s="1037">
        <f t="shared" si="23"/>
        <v>8</v>
      </c>
    </row>
    <row r="1513" spans="1:11" ht="12.75">
      <c r="A1513" s="1054">
        <v>25503004</v>
      </c>
      <c r="B1513" s="1055" t="s">
        <v>893</v>
      </c>
      <c r="C1513" s="1055" t="s">
        <v>753</v>
      </c>
      <c r="D1513" s="1055" t="s">
        <v>1493</v>
      </c>
      <c r="E1513" s="1055" t="s">
        <v>1494</v>
      </c>
      <c r="F1513" s="1056">
        <v>-408</v>
      </c>
      <c r="G1513" s="1056">
        <v>0</v>
      </c>
      <c r="H1513" s="1056">
        <v>0</v>
      </c>
      <c r="I1513" s="1056">
        <v>-408</v>
      </c>
      <c r="K1513" s="1037">
        <f t="shared" si="23"/>
        <v>8</v>
      </c>
    </row>
    <row r="1514" spans="1:11" ht="12.75">
      <c r="A1514" s="1054">
        <v>25503004</v>
      </c>
      <c r="B1514" s="1055" t="s">
        <v>893</v>
      </c>
      <c r="C1514" s="1055" t="s">
        <v>753</v>
      </c>
      <c r="D1514" s="1055" t="s">
        <v>1841</v>
      </c>
      <c r="E1514" s="1055" t="s">
        <v>1842</v>
      </c>
      <c r="F1514" s="1056">
        <v>-106</v>
      </c>
      <c r="G1514" s="1056">
        <v>0</v>
      </c>
      <c r="H1514" s="1056">
        <v>106</v>
      </c>
      <c r="I1514" s="1056">
        <v>-211</v>
      </c>
      <c r="K1514" s="1037">
        <f t="shared" si="23"/>
        <v>8</v>
      </c>
    </row>
    <row r="1515" spans="1:11" ht="12.75">
      <c r="A1515" s="1054">
        <v>25503004</v>
      </c>
      <c r="B1515" s="1055" t="s">
        <v>893</v>
      </c>
      <c r="C1515" s="1055" t="s">
        <v>753</v>
      </c>
      <c r="D1515" s="1055" t="s">
        <v>1519</v>
      </c>
      <c r="E1515" s="1055" t="s">
        <v>1520</v>
      </c>
      <c r="F1515" s="1056">
        <v>-37</v>
      </c>
      <c r="G1515" s="1056">
        <v>0</v>
      </c>
      <c r="H1515" s="1056">
        <v>0</v>
      </c>
      <c r="I1515" s="1056">
        <v>-37</v>
      </c>
      <c r="K1515" s="1037">
        <f t="shared" si="23"/>
        <v>8</v>
      </c>
    </row>
    <row r="1516" spans="1:11" ht="12.75">
      <c r="A1516" s="1054">
        <v>25503004</v>
      </c>
      <c r="B1516" s="1055" t="s">
        <v>893</v>
      </c>
      <c r="C1516" s="1055" t="s">
        <v>753</v>
      </c>
      <c r="D1516" s="1055" t="s">
        <v>1368</v>
      </c>
      <c r="E1516" s="1055" t="s">
        <v>1369</v>
      </c>
      <c r="F1516" s="1056">
        <v>-19</v>
      </c>
      <c r="G1516" s="1056">
        <v>0</v>
      </c>
      <c r="H1516" s="1056">
        <v>0</v>
      </c>
      <c r="I1516" s="1056">
        <v>-19</v>
      </c>
      <c r="K1516" s="1037">
        <f t="shared" si="23"/>
        <v>8</v>
      </c>
    </row>
    <row r="1517" spans="1:11" ht="12.75">
      <c r="A1517" s="1054">
        <v>25503004</v>
      </c>
      <c r="B1517" s="1055" t="s">
        <v>893</v>
      </c>
      <c r="C1517" s="1055" t="s">
        <v>753</v>
      </c>
      <c r="D1517" s="1055" t="s">
        <v>1895</v>
      </c>
      <c r="E1517" s="1055" t="s">
        <v>1896</v>
      </c>
      <c r="F1517" s="1056">
        <v>0</v>
      </c>
      <c r="G1517" s="1056">
        <v>0</v>
      </c>
      <c r="H1517" s="1056">
        <v>14</v>
      </c>
      <c r="I1517" s="1056">
        <v>-14</v>
      </c>
      <c r="K1517" s="1037">
        <f t="shared" si="23"/>
        <v>8</v>
      </c>
    </row>
    <row r="1518" spans="1:11" ht="12.75">
      <c r="A1518" s="1054">
        <v>25503004</v>
      </c>
      <c r="B1518" s="1055" t="s">
        <v>893</v>
      </c>
      <c r="C1518" s="1055" t="s">
        <v>753</v>
      </c>
      <c r="D1518" s="1055" t="s">
        <v>1495</v>
      </c>
      <c r="E1518" s="1055" t="s">
        <v>1496</v>
      </c>
      <c r="F1518" s="1056">
        <v>-33</v>
      </c>
      <c r="G1518" s="1056">
        <v>0</v>
      </c>
      <c r="H1518" s="1056">
        <v>0</v>
      </c>
      <c r="I1518" s="1056">
        <v>-33</v>
      </c>
      <c r="K1518" s="1037">
        <f t="shared" si="23"/>
        <v>8</v>
      </c>
    </row>
    <row r="1519" spans="1:11" ht="12.75">
      <c r="A1519" s="1054">
        <v>25503004</v>
      </c>
      <c r="B1519" s="1055" t="s">
        <v>893</v>
      </c>
      <c r="C1519" s="1055" t="s">
        <v>753</v>
      </c>
      <c r="D1519" s="1055" t="s">
        <v>1320</v>
      </c>
      <c r="E1519" s="1055" t="s">
        <v>1321</v>
      </c>
      <c r="F1519" s="1056">
        <v>-395</v>
      </c>
      <c r="G1519" s="1056">
        <v>0</v>
      </c>
      <c r="H1519" s="1056">
        <v>83</v>
      </c>
      <c r="I1519" s="1056">
        <v>-478</v>
      </c>
      <c r="K1519" s="1037">
        <f t="shared" si="23"/>
        <v>8</v>
      </c>
    </row>
    <row r="1520" spans="1:11" ht="12.75">
      <c r="A1520" s="1054">
        <v>25503004</v>
      </c>
      <c r="B1520" s="1055" t="s">
        <v>893</v>
      </c>
      <c r="C1520" s="1055" t="s">
        <v>753</v>
      </c>
      <c r="D1520" s="1055" t="s">
        <v>1274</v>
      </c>
      <c r="E1520" s="1055" t="s">
        <v>989</v>
      </c>
      <c r="F1520" s="1056">
        <v>-489</v>
      </c>
      <c r="G1520" s="1056">
        <v>0</v>
      </c>
      <c r="H1520" s="1056">
        <v>95</v>
      </c>
      <c r="I1520" s="1056">
        <v>-584</v>
      </c>
      <c r="K1520" s="1037">
        <f t="shared" si="23"/>
        <v>8</v>
      </c>
    </row>
    <row r="1521" spans="1:11" ht="12.75">
      <c r="A1521" s="1054">
        <v>25503004</v>
      </c>
      <c r="B1521" s="1055" t="s">
        <v>893</v>
      </c>
      <c r="C1521" s="1055" t="s">
        <v>753</v>
      </c>
      <c r="D1521" s="1055" t="s">
        <v>1497</v>
      </c>
      <c r="E1521" s="1055" t="s">
        <v>1498</v>
      </c>
      <c r="F1521" s="1056">
        <v>-280</v>
      </c>
      <c r="G1521" s="1056">
        <v>0</v>
      </c>
      <c r="H1521" s="1056">
        <v>0</v>
      </c>
      <c r="I1521" s="1056">
        <v>-280</v>
      </c>
      <c r="K1521" s="1037">
        <f t="shared" si="23"/>
        <v>8</v>
      </c>
    </row>
    <row r="1522" spans="1:11" ht="12.75">
      <c r="A1522" s="1054">
        <v>25503004</v>
      </c>
      <c r="B1522" s="1055" t="s">
        <v>893</v>
      </c>
      <c r="C1522" s="1055" t="s">
        <v>753</v>
      </c>
      <c r="D1522" s="1055" t="s">
        <v>1043</v>
      </c>
      <c r="E1522" s="1055" t="s">
        <v>318</v>
      </c>
      <c r="F1522" s="1056">
        <v>-690</v>
      </c>
      <c r="G1522" s="1056">
        <v>0</v>
      </c>
      <c r="H1522" s="1056">
        <v>173</v>
      </c>
      <c r="I1522" s="1056">
        <v>-863</v>
      </c>
      <c r="K1522" s="1037">
        <f t="shared" si="23"/>
        <v>8</v>
      </c>
    </row>
    <row r="1523" spans="1:11" ht="12.75">
      <c r="A1523" s="1054">
        <v>25503004</v>
      </c>
      <c r="B1523" s="1055" t="s">
        <v>893</v>
      </c>
      <c r="C1523" s="1055" t="s">
        <v>753</v>
      </c>
      <c r="D1523" s="1055" t="s">
        <v>1370</v>
      </c>
      <c r="E1523" s="1055" t="s">
        <v>1371</v>
      </c>
      <c r="F1523" s="1056">
        <v>-281</v>
      </c>
      <c r="G1523" s="1056">
        <v>0</v>
      </c>
      <c r="H1523" s="1056">
        <v>80</v>
      </c>
      <c r="I1523" s="1056">
        <v>-361</v>
      </c>
      <c r="K1523" s="1037">
        <f t="shared" si="23"/>
        <v>8</v>
      </c>
    </row>
    <row r="1524" spans="1:11" ht="12.75">
      <c r="A1524" s="1054">
        <v>25503004</v>
      </c>
      <c r="B1524" s="1055" t="s">
        <v>893</v>
      </c>
      <c r="C1524" s="1055" t="s">
        <v>753</v>
      </c>
      <c r="D1524" s="1055" t="s">
        <v>1843</v>
      </c>
      <c r="E1524" s="1055" t="s">
        <v>1844</v>
      </c>
      <c r="F1524" s="1056">
        <v>-62</v>
      </c>
      <c r="G1524" s="1056">
        <v>0</v>
      </c>
      <c r="H1524" s="1056">
        <v>0</v>
      </c>
      <c r="I1524" s="1056">
        <v>-62</v>
      </c>
      <c r="K1524" s="1037">
        <f t="shared" si="23"/>
        <v>8</v>
      </c>
    </row>
    <row r="1525" spans="1:11" ht="12.75">
      <c r="A1525" s="1054">
        <v>25503004</v>
      </c>
      <c r="B1525" s="1055" t="s">
        <v>893</v>
      </c>
      <c r="C1525" s="1055" t="s">
        <v>753</v>
      </c>
      <c r="D1525" s="1055" t="s">
        <v>1759</v>
      </c>
      <c r="E1525" s="1055" t="s">
        <v>1760</v>
      </c>
      <c r="F1525" s="1056">
        <v>-64</v>
      </c>
      <c r="G1525" s="1056">
        <v>0</v>
      </c>
      <c r="H1525" s="1056">
        <v>0</v>
      </c>
      <c r="I1525" s="1056">
        <v>-64</v>
      </c>
      <c r="K1525" s="1037">
        <f t="shared" si="23"/>
        <v>8</v>
      </c>
    </row>
    <row r="1526" spans="1:11" ht="12.75">
      <c r="A1526" s="1054">
        <v>25503004</v>
      </c>
      <c r="B1526" s="1055" t="s">
        <v>893</v>
      </c>
      <c r="C1526" s="1055" t="s">
        <v>753</v>
      </c>
      <c r="D1526" s="1055" t="s">
        <v>1581</v>
      </c>
      <c r="E1526" s="1055" t="s">
        <v>1582</v>
      </c>
      <c r="F1526" s="1056">
        <v>-214</v>
      </c>
      <c r="G1526" s="1056">
        <v>0</v>
      </c>
      <c r="H1526" s="1056">
        <v>0</v>
      </c>
      <c r="I1526" s="1056">
        <v>-214</v>
      </c>
      <c r="K1526" s="1037">
        <f t="shared" si="23"/>
        <v>8</v>
      </c>
    </row>
    <row r="1527" spans="1:11" ht="12.75">
      <c r="A1527" s="1054">
        <v>25503004</v>
      </c>
      <c r="B1527" s="1055" t="s">
        <v>893</v>
      </c>
      <c r="C1527" s="1055" t="s">
        <v>753</v>
      </c>
      <c r="D1527" s="1055" t="s">
        <v>1521</v>
      </c>
      <c r="E1527" s="1055" t="s">
        <v>1522</v>
      </c>
      <c r="F1527" s="1056">
        <v>-417</v>
      </c>
      <c r="G1527" s="1056">
        <v>0</v>
      </c>
      <c r="H1527" s="1056">
        <v>92</v>
      </c>
      <c r="I1527" s="1056">
        <v>-509</v>
      </c>
      <c r="K1527" s="1037">
        <f t="shared" si="23"/>
        <v>8</v>
      </c>
    </row>
    <row r="1528" spans="1:11" ht="12.75">
      <c r="A1528" s="1054">
        <v>25503004</v>
      </c>
      <c r="B1528" s="1055" t="s">
        <v>893</v>
      </c>
      <c r="C1528" s="1055" t="s">
        <v>753</v>
      </c>
      <c r="D1528" s="1055" t="s">
        <v>1426</v>
      </c>
      <c r="E1528" s="1055" t="s">
        <v>1427</v>
      </c>
      <c r="F1528" s="1056">
        <v>-406</v>
      </c>
      <c r="G1528" s="1056">
        <v>0</v>
      </c>
      <c r="H1528" s="1056">
        <v>87</v>
      </c>
      <c r="I1528" s="1056">
        <v>-492</v>
      </c>
      <c r="K1528" s="1037">
        <f t="shared" si="23"/>
        <v>8</v>
      </c>
    </row>
    <row r="1529" spans="1:11" ht="12.75">
      <c r="A1529" s="1054">
        <v>25503004</v>
      </c>
      <c r="B1529" s="1055" t="s">
        <v>893</v>
      </c>
      <c r="C1529" s="1055" t="s">
        <v>753</v>
      </c>
      <c r="D1529" s="1055" t="s">
        <v>1583</v>
      </c>
      <c r="E1529" s="1055" t="s">
        <v>1584</v>
      </c>
      <c r="F1529" s="1056">
        <v>-65</v>
      </c>
      <c r="G1529" s="1056">
        <v>0</v>
      </c>
      <c r="H1529" s="1056">
        <v>0</v>
      </c>
      <c r="I1529" s="1056">
        <v>-65</v>
      </c>
      <c r="K1529" s="1037">
        <f t="shared" si="23"/>
        <v>8</v>
      </c>
    </row>
    <row r="1530" spans="1:11" ht="12.75">
      <c r="A1530" s="1054">
        <v>25503004</v>
      </c>
      <c r="B1530" s="1055" t="s">
        <v>893</v>
      </c>
      <c r="C1530" s="1055" t="s">
        <v>753</v>
      </c>
      <c r="D1530" s="1055" t="s">
        <v>1372</v>
      </c>
      <c r="E1530" s="1055" t="s">
        <v>1373</v>
      </c>
      <c r="F1530" s="1056">
        <v>-2</v>
      </c>
      <c r="G1530" s="1056">
        <v>0</v>
      </c>
      <c r="H1530" s="1056">
        <v>0</v>
      </c>
      <c r="I1530" s="1056">
        <v>-2</v>
      </c>
      <c r="K1530" s="1037">
        <f t="shared" si="23"/>
        <v>8</v>
      </c>
    </row>
    <row r="1531" spans="1:11" ht="12.75">
      <c r="A1531" s="1054">
        <v>25503004</v>
      </c>
      <c r="B1531" s="1055" t="s">
        <v>893</v>
      </c>
      <c r="C1531" s="1055" t="s">
        <v>753</v>
      </c>
      <c r="D1531" s="1055" t="s">
        <v>1374</v>
      </c>
      <c r="E1531" s="1055" t="s">
        <v>1375</v>
      </c>
      <c r="F1531" s="1056">
        <v>-387</v>
      </c>
      <c r="G1531" s="1056">
        <v>0</v>
      </c>
      <c r="H1531" s="1056">
        <v>85</v>
      </c>
      <c r="I1531" s="1056">
        <v>-472</v>
      </c>
      <c r="K1531" s="1037">
        <f t="shared" si="23"/>
        <v>8</v>
      </c>
    </row>
    <row r="1532" spans="1:11" ht="12.75">
      <c r="A1532" s="1054">
        <v>25503004</v>
      </c>
      <c r="B1532" s="1055" t="s">
        <v>893</v>
      </c>
      <c r="C1532" s="1055" t="s">
        <v>753</v>
      </c>
      <c r="D1532" s="1055" t="s">
        <v>1249</v>
      </c>
      <c r="E1532" s="1055" t="s">
        <v>583</v>
      </c>
      <c r="F1532" s="1056">
        <v>-709</v>
      </c>
      <c r="G1532" s="1056">
        <v>0</v>
      </c>
      <c r="H1532" s="1056">
        <v>143</v>
      </c>
      <c r="I1532" s="1056">
        <v>-851</v>
      </c>
      <c r="K1532" s="1037">
        <f t="shared" si="23"/>
        <v>8</v>
      </c>
    </row>
    <row r="1533" spans="1:11" ht="12.75">
      <c r="A1533" s="1054">
        <v>25503004</v>
      </c>
      <c r="B1533" s="1055" t="s">
        <v>893</v>
      </c>
      <c r="C1533" s="1055" t="s">
        <v>753</v>
      </c>
      <c r="D1533" s="1055" t="s">
        <v>1376</v>
      </c>
      <c r="E1533" s="1055" t="s">
        <v>1377</v>
      </c>
      <c r="F1533" s="1056">
        <v>-493</v>
      </c>
      <c r="G1533" s="1056">
        <v>0</v>
      </c>
      <c r="H1533" s="1056">
        <v>0</v>
      </c>
      <c r="I1533" s="1056">
        <v>-493</v>
      </c>
      <c r="K1533" s="1037">
        <f t="shared" si="23"/>
        <v>8</v>
      </c>
    </row>
    <row r="1534" spans="1:11" ht="12.75">
      <c r="A1534" s="1054">
        <v>25503004</v>
      </c>
      <c r="B1534" s="1055" t="s">
        <v>893</v>
      </c>
      <c r="C1534" s="1055" t="s">
        <v>753</v>
      </c>
      <c r="D1534" s="1055" t="s">
        <v>1305</v>
      </c>
      <c r="E1534" s="1055" t="s">
        <v>990</v>
      </c>
      <c r="F1534" s="1056">
        <v>-1</v>
      </c>
      <c r="G1534" s="1056">
        <v>0</v>
      </c>
      <c r="H1534" s="1056">
        <v>0</v>
      </c>
      <c r="I1534" s="1056">
        <v>-1</v>
      </c>
      <c r="K1534" s="1037">
        <f t="shared" si="23"/>
        <v>8</v>
      </c>
    </row>
    <row r="1535" spans="1:11" ht="12.75">
      <c r="A1535" s="1054">
        <v>25503004</v>
      </c>
      <c r="B1535" s="1055" t="s">
        <v>893</v>
      </c>
      <c r="C1535" s="1055" t="s">
        <v>753</v>
      </c>
      <c r="D1535" s="1055" t="s">
        <v>1845</v>
      </c>
      <c r="E1535" s="1055" t="s">
        <v>1846</v>
      </c>
      <c r="F1535" s="1056">
        <v>-52</v>
      </c>
      <c r="G1535" s="1056">
        <v>0</v>
      </c>
      <c r="H1535" s="1056">
        <v>86</v>
      </c>
      <c r="I1535" s="1056">
        <v>-138</v>
      </c>
      <c r="K1535" s="1037">
        <f t="shared" si="23"/>
        <v>8</v>
      </c>
    </row>
    <row r="1536" spans="1:11" ht="12.75">
      <c r="A1536" s="1054">
        <v>25503004</v>
      </c>
      <c r="B1536" s="1055" t="s">
        <v>893</v>
      </c>
      <c r="C1536" s="1055" t="s">
        <v>753</v>
      </c>
      <c r="D1536" s="1055" t="s">
        <v>1306</v>
      </c>
      <c r="E1536" s="1055" t="s">
        <v>997</v>
      </c>
      <c r="F1536" s="1056">
        <v>-355</v>
      </c>
      <c r="G1536" s="1056">
        <v>0</v>
      </c>
      <c r="H1536" s="1056">
        <v>0</v>
      </c>
      <c r="I1536" s="1056">
        <v>-355</v>
      </c>
      <c r="K1536" s="1037">
        <f t="shared" si="23"/>
        <v>8</v>
      </c>
    </row>
    <row r="1537" spans="1:11" ht="12.75">
      <c r="A1537" s="1054">
        <v>25503004</v>
      </c>
      <c r="B1537" s="1055" t="s">
        <v>893</v>
      </c>
      <c r="C1537" s="1055" t="s">
        <v>753</v>
      </c>
      <c r="D1537" s="1055" t="s">
        <v>1897</v>
      </c>
      <c r="E1537" s="1055" t="s">
        <v>1898</v>
      </c>
      <c r="F1537" s="1056">
        <v>0</v>
      </c>
      <c r="G1537" s="1056">
        <v>0</v>
      </c>
      <c r="H1537" s="1056">
        <v>19</v>
      </c>
      <c r="I1537" s="1056">
        <v>-19</v>
      </c>
      <c r="K1537" s="1037">
        <f t="shared" si="23"/>
        <v>8</v>
      </c>
    </row>
    <row r="1538" spans="1:11" ht="12.75">
      <c r="A1538" s="1054">
        <v>25503004</v>
      </c>
      <c r="B1538" s="1055" t="s">
        <v>893</v>
      </c>
      <c r="C1538" s="1055" t="s">
        <v>753</v>
      </c>
      <c r="D1538" s="1055" t="s">
        <v>1250</v>
      </c>
      <c r="E1538" s="1055" t="s">
        <v>1251</v>
      </c>
      <c r="F1538" s="1056">
        <v>-402</v>
      </c>
      <c r="G1538" s="1056">
        <v>0</v>
      </c>
      <c r="H1538" s="1056">
        <v>81</v>
      </c>
      <c r="I1538" s="1056">
        <v>-483</v>
      </c>
      <c r="K1538" s="1037">
        <f t="shared" si="23"/>
        <v>8</v>
      </c>
    </row>
    <row r="1539" spans="1:11" ht="12.75">
      <c r="A1539" s="1054">
        <v>25503004</v>
      </c>
      <c r="B1539" s="1055" t="s">
        <v>893</v>
      </c>
      <c r="C1539" s="1055" t="s">
        <v>753</v>
      </c>
      <c r="D1539" s="1055" t="s">
        <v>1899</v>
      </c>
      <c r="E1539" s="1055" t="s">
        <v>1900</v>
      </c>
      <c r="F1539" s="1056">
        <v>0</v>
      </c>
      <c r="G1539" s="1056">
        <v>0</v>
      </c>
      <c r="H1539" s="1056">
        <v>94</v>
      </c>
      <c r="I1539" s="1056">
        <v>-94</v>
      </c>
      <c r="K1539" s="1037">
        <f t="shared" si="23"/>
        <v>8</v>
      </c>
    </row>
    <row r="1540" spans="1:11" ht="12.75">
      <c r="A1540" s="1054">
        <v>25503004</v>
      </c>
      <c r="B1540" s="1055" t="s">
        <v>893</v>
      </c>
      <c r="C1540" s="1055" t="s">
        <v>753</v>
      </c>
      <c r="D1540" s="1055" t="s">
        <v>1901</v>
      </c>
      <c r="E1540" s="1055" t="s">
        <v>1902</v>
      </c>
      <c r="F1540" s="1056">
        <v>0</v>
      </c>
      <c r="G1540" s="1056">
        <v>0</v>
      </c>
      <c r="H1540" s="1056">
        <v>35</v>
      </c>
      <c r="I1540" s="1056">
        <v>-35</v>
      </c>
      <c r="K1540" s="1037">
        <f t="shared" si="23"/>
        <v>8</v>
      </c>
    </row>
    <row r="1541" spans="1:11" ht="12.75">
      <c r="A1541" s="1054">
        <v>25503004</v>
      </c>
      <c r="B1541" s="1055" t="s">
        <v>893</v>
      </c>
      <c r="C1541" s="1055" t="s">
        <v>753</v>
      </c>
      <c r="D1541" s="1055" t="s">
        <v>1686</v>
      </c>
      <c r="E1541" s="1055" t="s">
        <v>1687</v>
      </c>
      <c r="F1541" s="1056">
        <v>-236</v>
      </c>
      <c r="G1541" s="1056">
        <v>0</v>
      </c>
      <c r="H1541" s="1056">
        <v>0</v>
      </c>
      <c r="I1541" s="1056">
        <v>-236</v>
      </c>
      <c r="K1541" s="1037">
        <f t="shared" ref="K1541:K1604" si="24">+LEN(A1541)</f>
        <v>8</v>
      </c>
    </row>
    <row r="1542" spans="1:11" ht="12.75">
      <c r="A1542" s="1054">
        <v>25503004</v>
      </c>
      <c r="B1542" s="1055" t="s">
        <v>893</v>
      </c>
      <c r="C1542" s="1055" t="s">
        <v>753</v>
      </c>
      <c r="D1542" s="1055" t="s">
        <v>1303</v>
      </c>
      <c r="E1542" s="1055" t="s">
        <v>806</v>
      </c>
      <c r="F1542" s="1056">
        <v>-150</v>
      </c>
      <c r="G1542" s="1056">
        <v>0</v>
      </c>
      <c r="H1542" s="1056">
        <v>0</v>
      </c>
      <c r="I1542" s="1056">
        <v>-150</v>
      </c>
      <c r="K1542" s="1037">
        <f t="shared" si="24"/>
        <v>8</v>
      </c>
    </row>
    <row r="1543" spans="1:11" ht="12.75">
      <c r="A1543" s="1054">
        <v>25503004</v>
      </c>
      <c r="B1543" s="1055" t="s">
        <v>893</v>
      </c>
      <c r="C1543" s="1055" t="s">
        <v>753</v>
      </c>
      <c r="D1543" s="1055" t="s">
        <v>1499</v>
      </c>
      <c r="E1543" s="1055" t="s">
        <v>1500</v>
      </c>
      <c r="F1543" s="1056">
        <v>-12</v>
      </c>
      <c r="G1543" s="1056">
        <v>0</v>
      </c>
      <c r="H1543" s="1056">
        <v>0</v>
      </c>
      <c r="I1543" s="1056">
        <v>-12</v>
      </c>
      <c r="K1543" s="1037">
        <f t="shared" si="24"/>
        <v>8</v>
      </c>
    </row>
    <row r="1544" spans="1:11" ht="12.75">
      <c r="A1544" s="1054">
        <v>25503004</v>
      </c>
      <c r="B1544" s="1055" t="s">
        <v>893</v>
      </c>
      <c r="C1544" s="1055" t="s">
        <v>753</v>
      </c>
      <c r="D1544" s="1055" t="s">
        <v>1523</v>
      </c>
      <c r="E1544" s="1055" t="s">
        <v>1524</v>
      </c>
      <c r="F1544" s="1056">
        <v>-132</v>
      </c>
      <c r="G1544" s="1056">
        <v>0</v>
      </c>
      <c r="H1544" s="1056">
        <v>0</v>
      </c>
      <c r="I1544" s="1056">
        <v>-132</v>
      </c>
      <c r="K1544" s="1037">
        <f t="shared" si="24"/>
        <v>8</v>
      </c>
    </row>
    <row r="1545" spans="1:11" ht="12.75">
      <c r="A1545" s="1054">
        <v>25503004</v>
      </c>
      <c r="B1545" s="1055" t="s">
        <v>893</v>
      </c>
      <c r="C1545" s="1055" t="s">
        <v>753</v>
      </c>
      <c r="D1545" s="1055" t="s">
        <v>1422</v>
      </c>
      <c r="E1545" s="1055" t="s">
        <v>1423</v>
      </c>
      <c r="F1545" s="1056">
        <v>-5</v>
      </c>
      <c r="G1545" s="1056">
        <v>0</v>
      </c>
      <c r="H1545" s="1056">
        <v>0</v>
      </c>
      <c r="I1545" s="1056">
        <v>-5</v>
      </c>
      <c r="K1545" s="1037">
        <f t="shared" si="24"/>
        <v>8</v>
      </c>
    </row>
    <row r="1546" spans="1:11" ht="12.75">
      <c r="A1546" s="1054">
        <v>25503004</v>
      </c>
      <c r="B1546" s="1055" t="s">
        <v>893</v>
      </c>
      <c r="C1546" s="1055" t="s">
        <v>753</v>
      </c>
      <c r="D1546" s="1055" t="s">
        <v>1480</v>
      </c>
      <c r="E1546" s="1055" t="s">
        <v>1481</v>
      </c>
      <c r="F1546" s="1056">
        <v>-101</v>
      </c>
      <c r="G1546" s="1056">
        <v>0</v>
      </c>
      <c r="H1546" s="1056">
        <v>0</v>
      </c>
      <c r="I1546" s="1056">
        <v>-101</v>
      </c>
      <c r="K1546" s="1037">
        <f t="shared" si="24"/>
        <v>8</v>
      </c>
    </row>
    <row r="1547" spans="1:11" ht="12.75">
      <c r="A1547" s="1054">
        <v>25503004</v>
      </c>
      <c r="B1547" s="1055" t="s">
        <v>893</v>
      </c>
      <c r="C1547" s="1055" t="s">
        <v>753</v>
      </c>
      <c r="D1547" s="1055" t="s">
        <v>1847</v>
      </c>
      <c r="E1547" s="1055" t="s">
        <v>1848</v>
      </c>
      <c r="F1547" s="1056">
        <v>-37</v>
      </c>
      <c r="G1547" s="1056">
        <v>0</v>
      </c>
      <c r="H1547" s="1056">
        <v>0</v>
      </c>
      <c r="I1547" s="1056">
        <v>-37</v>
      </c>
      <c r="K1547" s="1037">
        <f t="shared" si="24"/>
        <v>8</v>
      </c>
    </row>
    <row r="1548" spans="1:11" ht="12.75">
      <c r="A1548" s="1054">
        <v>25503004</v>
      </c>
      <c r="B1548" s="1055" t="s">
        <v>893</v>
      </c>
      <c r="C1548" s="1055" t="s">
        <v>753</v>
      </c>
      <c r="D1548" s="1055" t="s">
        <v>1761</v>
      </c>
      <c r="E1548" s="1055" t="s">
        <v>1762</v>
      </c>
      <c r="F1548" s="1056">
        <v>-94</v>
      </c>
      <c r="G1548" s="1056">
        <v>0</v>
      </c>
      <c r="H1548" s="1056">
        <v>0</v>
      </c>
      <c r="I1548" s="1056">
        <v>-94</v>
      </c>
      <c r="K1548" s="1037">
        <f t="shared" si="24"/>
        <v>8</v>
      </c>
    </row>
    <row r="1549" spans="1:11" ht="12.75">
      <c r="A1549" s="1054">
        <v>25503004</v>
      </c>
      <c r="B1549" s="1055" t="s">
        <v>893</v>
      </c>
      <c r="C1549" s="1055" t="s">
        <v>753</v>
      </c>
      <c r="D1549" s="1055" t="s">
        <v>1428</v>
      </c>
      <c r="E1549" s="1055" t="s">
        <v>1429</v>
      </c>
      <c r="F1549" s="1056">
        <v>-159</v>
      </c>
      <c r="G1549" s="1056">
        <v>0</v>
      </c>
      <c r="H1549" s="1056">
        <v>0</v>
      </c>
      <c r="I1549" s="1056">
        <v>-159</v>
      </c>
      <c r="K1549" s="1037">
        <f t="shared" si="24"/>
        <v>8</v>
      </c>
    </row>
    <row r="1550" spans="1:11" ht="12.75">
      <c r="A1550" s="1054">
        <v>25503004</v>
      </c>
      <c r="B1550" s="1055" t="s">
        <v>893</v>
      </c>
      <c r="C1550" s="1055" t="s">
        <v>753</v>
      </c>
      <c r="D1550" s="1055" t="s">
        <v>1849</v>
      </c>
      <c r="E1550" s="1055" t="s">
        <v>1850</v>
      </c>
      <c r="F1550" s="1056">
        <v>-44</v>
      </c>
      <c r="G1550" s="1056">
        <v>0</v>
      </c>
      <c r="H1550" s="1056">
        <v>84</v>
      </c>
      <c r="I1550" s="1056">
        <v>-129</v>
      </c>
      <c r="K1550" s="1037">
        <f t="shared" si="24"/>
        <v>8</v>
      </c>
    </row>
    <row r="1551" spans="1:11" ht="12.75">
      <c r="A1551" s="1054">
        <v>25503004</v>
      </c>
      <c r="B1551" s="1055" t="s">
        <v>893</v>
      </c>
      <c r="C1551" s="1055" t="s">
        <v>753</v>
      </c>
      <c r="D1551" s="1055" t="s">
        <v>1275</v>
      </c>
      <c r="E1551" s="1055" t="s">
        <v>991</v>
      </c>
      <c r="F1551" s="1056">
        <v>-427</v>
      </c>
      <c r="G1551" s="1056">
        <v>0</v>
      </c>
      <c r="H1551" s="1056">
        <v>98</v>
      </c>
      <c r="I1551" s="1056">
        <v>-525</v>
      </c>
      <c r="K1551" s="1037">
        <f t="shared" si="24"/>
        <v>8</v>
      </c>
    </row>
    <row r="1552" spans="1:11" ht="12.75">
      <c r="A1552" s="1054">
        <v>25503004</v>
      </c>
      <c r="B1552" s="1055" t="s">
        <v>893</v>
      </c>
      <c r="C1552" s="1055" t="s">
        <v>753</v>
      </c>
      <c r="D1552" s="1055" t="s">
        <v>1585</v>
      </c>
      <c r="E1552" s="1055" t="s">
        <v>1586</v>
      </c>
      <c r="F1552" s="1056">
        <v>-247</v>
      </c>
      <c r="G1552" s="1056">
        <v>0</v>
      </c>
      <c r="H1552" s="1056">
        <v>65</v>
      </c>
      <c r="I1552" s="1056">
        <v>-313</v>
      </c>
      <c r="K1552" s="1037">
        <f t="shared" si="24"/>
        <v>8</v>
      </c>
    </row>
    <row r="1553" spans="1:11" ht="12.75">
      <c r="A1553" s="1054">
        <v>25503004</v>
      </c>
      <c r="B1553" s="1055" t="s">
        <v>893</v>
      </c>
      <c r="C1553" s="1055" t="s">
        <v>753</v>
      </c>
      <c r="D1553" s="1055" t="s">
        <v>1382</v>
      </c>
      <c r="E1553" s="1055" t="s">
        <v>1763</v>
      </c>
      <c r="F1553" s="1056">
        <v>-487</v>
      </c>
      <c r="G1553" s="1056">
        <v>0</v>
      </c>
      <c r="H1553" s="1056">
        <v>99</v>
      </c>
      <c r="I1553" s="1056">
        <v>-586</v>
      </c>
      <c r="K1553" s="1037">
        <f t="shared" si="24"/>
        <v>8</v>
      </c>
    </row>
    <row r="1554" spans="1:11" ht="12.75">
      <c r="A1554" s="1054">
        <v>25503004</v>
      </c>
      <c r="B1554" s="1055" t="s">
        <v>893</v>
      </c>
      <c r="C1554" s="1055" t="s">
        <v>753</v>
      </c>
      <c r="D1554" s="1055" t="s">
        <v>1440</v>
      </c>
      <c r="E1554" s="1055" t="s">
        <v>1441</v>
      </c>
      <c r="F1554" s="1056">
        <v>-300</v>
      </c>
      <c r="G1554" s="1056">
        <v>0</v>
      </c>
      <c r="H1554" s="1056">
        <v>0</v>
      </c>
      <c r="I1554" s="1056">
        <v>-300</v>
      </c>
      <c r="K1554" s="1037">
        <f t="shared" si="24"/>
        <v>8</v>
      </c>
    </row>
    <row r="1555" spans="1:11" ht="12.75">
      <c r="A1555" s="1054">
        <v>25503004</v>
      </c>
      <c r="B1555" s="1055" t="s">
        <v>893</v>
      </c>
      <c r="C1555" s="1055" t="s">
        <v>753</v>
      </c>
      <c r="D1555" s="1055" t="s">
        <v>1383</v>
      </c>
      <c r="E1555" s="1055" t="s">
        <v>1384</v>
      </c>
      <c r="F1555" s="1056">
        <v>-465</v>
      </c>
      <c r="G1555" s="1056">
        <v>0</v>
      </c>
      <c r="H1555" s="1056">
        <v>83</v>
      </c>
      <c r="I1555" s="1056">
        <v>-547</v>
      </c>
      <c r="K1555" s="1037">
        <f t="shared" si="24"/>
        <v>8</v>
      </c>
    </row>
    <row r="1556" spans="1:11" ht="12.75">
      <c r="A1556" s="1054">
        <v>25503004</v>
      </c>
      <c r="B1556" s="1055" t="s">
        <v>893</v>
      </c>
      <c r="C1556" s="1055" t="s">
        <v>753</v>
      </c>
      <c r="D1556" s="1055" t="s">
        <v>1430</v>
      </c>
      <c r="E1556" s="1055" t="s">
        <v>1431</v>
      </c>
      <c r="F1556" s="1056">
        <v>-84</v>
      </c>
      <c r="G1556" s="1056">
        <v>0</v>
      </c>
      <c r="H1556" s="1056">
        <v>0</v>
      </c>
      <c r="I1556" s="1056">
        <v>-84</v>
      </c>
      <c r="K1556" s="1037">
        <f t="shared" si="24"/>
        <v>8</v>
      </c>
    </row>
    <row r="1557" spans="1:11" ht="12.75">
      <c r="A1557" s="1054">
        <v>25503004</v>
      </c>
      <c r="B1557" s="1055" t="s">
        <v>893</v>
      </c>
      <c r="C1557" s="1055" t="s">
        <v>753</v>
      </c>
      <c r="D1557" s="1055" t="s">
        <v>1587</v>
      </c>
      <c r="E1557" s="1055" t="s">
        <v>1588</v>
      </c>
      <c r="F1557" s="1056">
        <v>-318</v>
      </c>
      <c r="G1557" s="1056">
        <v>0</v>
      </c>
      <c r="H1557" s="1056">
        <v>82</v>
      </c>
      <c r="I1557" s="1056">
        <v>-400</v>
      </c>
      <c r="K1557" s="1037">
        <f t="shared" si="24"/>
        <v>8</v>
      </c>
    </row>
    <row r="1558" spans="1:11" ht="12.75">
      <c r="A1558" s="1054">
        <v>255040</v>
      </c>
      <c r="B1558" s="1055" t="s">
        <v>893</v>
      </c>
      <c r="C1558" s="1055" t="s">
        <v>578</v>
      </c>
      <c r="D1558" s="1055" t="s">
        <v>893</v>
      </c>
      <c r="E1558" s="1055" t="s">
        <v>893</v>
      </c>
      <c r="F1558" s="1056">
        <v>-299</v>
      </c>
      <c r="G1558" s="1056">
        <v>0</v>
      </c>
      <c r="H1558" s="1056">
        <v>0</v>
      </c>
      <c r="I1558" s="1056">
        <v>-299</v>
      </c>
      <c r="K1558" s="1037">
        <f t="shared" si="24"/>
        <v>6</v>
      </c>
    </row>
    <row r="1559" spans="1:11" ht="12.75">
      <c r="A1559" s="1054">
        <v>25504001</v>
      </c>
      <c r="B1559" s="1055" t="s">
        <v>893</v>
      </c>
      <c r="C1559" s="1055" t="s">
        <v>578</v>
      </c>
      <c r="D1559" s="1055" t="s">
        <v>893</v>
      </c>
      <c r="E1559" s="1055" t="s">
        <v>893</v>
      </c>
      <c r="F1559" s="1056">
        <v>0</v>
      </c>
      <c r="G1559" s="1056">
        <v>0</v>
      </c>
      <c r="H1559" s="1056">
        <v>0</v>
      </c>
      <c r="I1559" s="1056">
        <v>0</v>
      </c>
      <c r="K1559" s="1037">
        <f t="shared" si="24"/>
        <v>8</v>
      </c>
    </row>
    <row r="1560" spans="1:11" ht="12.75">
      <c r="A1560" s="1054">
        <v>25504004</v>
      </c>
      <c r="B1560" s="1055" t="s">
        <v>1489</v>
      </c>
      <c r="C1560" s="1055" t="s">
        <v>754</v>
      </c>
      <c r="D1560" s="1055" t="s">
        <v>893</v>
      </c>
      <c r="E1560" s="1055" t="s">
        <v>893</v>
      </c>
      <c r="F1560" s="1056">
        <v>-299</v>
      </c>
      <c r="G1560" s="1056">
        <v>0</v>
      </c>
      <c r="H1560" s="1056">
        <v>0</v>
      </c>
      <c r="I1560" s="1056">
        <v>-299</v>
      </c>
      <c r="K1560" s="1037">
        <f t="shared" si="24"/>
        <v>8</v>
      </c>
    </row>
    <row r="1561" spans="1:11" ht="12.75">
      <c r="A1561" s="1054">
        <v>25504004</v>
      </c>
      <c r="B1561" s="1055" t="s">
        <v>1489</v>
      </c>
      <c r="C1561" s="1055" t="s">
        <v>754</v>
      </c>
      <c r="D1561" s="1055" t="s">
        <v>1042</v>
      </c>
      <c r="E1561" s="1055" t="s">
        <v>1732</v>
      </c>
      <c r="F1561" s="1056">
        <v>-299</v>
      </c>
      <c r="G1561" s="1056">
        <v>0</v>
      </c>
      <c r="H1561" s="1056">
        <v>0</v>
      </c>
      <c r="I1561" s="1056">
        <v>-299</v>
      </c>
      <c r="K1561" s="1037">
        <f t="shared" si="24"/>
        <v>8</v>
      </c>
    </row>
    <row r="1562" spans="1:11" ht="12.75">
      <c r="A1562" s="1054">
        <v>255095</v>
      </c>
      <c r="B1562" s="1055" t="s">
        <v>893</v>
      </c>
      <c r="C1562" s="1055" t="s">
        <v>323</v>
      </c>
      <c r="D1562" s="1055" t="s">
        <v>893</v>
      </c>
      <c r="E1562" s="1055" t="s">
        <v>893</v>
      </c>
      <c r="F1562" s="1056">
        <v>184</v>
      </c>
      <c r="G1562" s="1056">
        <v>387</v>
      </c>
      <c r="H1562" s="1056">
        <v>1123</v>
      </c>
      <c r="I1562" s="1056">
        <v>-552</v>
      </c>
      <c r="K1562" s="1037">
        <f t="shared" si="24"/>
        <v>6</v>
      </c>
    </row>
    <row r="1563" spans="1:11" ht="12.75">
      <c r="A1563" s="1054">
        <v>25509501</v>
      </c>
      <c r="B1563" s="1055" t="s">
        <v>893</v>
      </c>
      <c r="C1563" s="1055" t="s">
        <v>579</v>
      </c>
      <c r="D1563" s="1055" t="s">
        <v>893</v>
      </c>
      <c r="E1563" s="1055" t="s">
        <v>893</v>
      </c>
      <c r="F1563" s="1056">
        <v>-2069</v>
      </c>
      <c r="G1563" s="1056">
        <v>387</v>
      </c>
      <c r="H1563" s="1056">
        <v>1073</v>
      </c>
      <c r="I1563" s="1056">
        <v>-2755</v>
      </c>
      <c r="K1563" s="1037">
        <f t="shared" si="24"/>
        <v>8</v>
      </c>
    </row>
    <row r="1564" spans="1:11" ht="12.75">
      <c r="A1564" s="1054">
        <v>25509501</v>
      </c>
      <c r="B1564" s="1055" t="s">
        <v>893</v>
      </c>
      <c r="C1564" s="1055" t="s">
        <v>579</v>
      </c>
      <c r="D1564" s="1055" t="s">
        <v>1577</v>
      </c>
      <c r="E1564" s="1055" t="s">
        <v>1578</v>
      </c>
      <c r="F1564" s="1056">
        <v>-325</v>
      </c>
      <c r="G1564" s="1056">
        <v>0</v>
      </c>
      <c r="H1564" s="1056">
        <v>217</v>
      </c>
      <c r="I1564" s="1056">
        <v>-542</v>
      </c>
      <c r="K1564" s="1037">
        <f t="shared" si="24"/>
        <v>8</v>
      </c>
    </row>
    <row r="1565" spans="1:11" ht="12.75">
      <c r="A1565" s="1054">
        <v>25509501</v>
      </c>
      <c r="B1565" s="1055" t="s">
        <v>893</v>
      </c>
      <c r="C1565" s="1055" t="s">
        <v>579</v>
      </c>
      <c r="D1565" s="1055" t="s">
        <v>1360</v>
      </c>
      <c r="E1565" s="1055" t="s">
        <v>1361</v>
      </c>
      <c r="F1565" s="1056">
        <v>-155</v>
      </c>
      <c r="G1565" s="1056">
        <v>155</v>
      </c>
      <c r="H1565" s="1056">
        <v>155</v>
      </c>
      <c r="I1565" s="1056">
        <v>-155</v>
      </c>
      <c r="K1565" s="1037">
        <f t="shared" si="24"/>
        <v>8</v>
      </c>
    </row>
    <row r="1566" spans="1:11" ht="12.75">
      <c r="A1566" s="1054">
        <v>25509501</v>
      </c>
      <c r="B1566" s="1055" t="s">
        <v>893</v>
      </c>
      <c r="C1566" s="1055" t="s">
        <v>579</v>
      </c>
      <c r="D1566" s="1055" t="s">
        <v>1298</v>
      </c>
      <c r="E1566" s="1055" t="s">
        <v>987</v>
      </c>
      <c r="F1566" s="1056">
        <v>-91</v>
      </c>
      <c r="G1566" s="1056">
        <v>91</v>
      </c>
      <c r="H1566" s="1056">
        <v>0</v>
      </c>
      <c r="I1566" s="1056">
        <v>0</v>
      </c>
      <c r="K1566" s="1037">
        <f t="shared" si="24"/>
        <v>8</v>
      </c>
    </row>
    <row r="1567" spans="1:11" ht="12.75">
      <c r="A1567" s="1054">
        <v>25509501</v>
      </c>
      <c r="B1567" s="1055" t="s">
        <v>893</v>
      </c>
      <c r="C1567" s="1055" t="s">
        <v>579</v>
      </c>
      <c r="D1567" s="1055" t="s">
        <v>1484</v>
      </c>
      <c r="E1567" s="1055" t="s">
        <v>1485</v>
      </c>
      <c r="F1567" s="1056">
        <v>48</v>
      </c>
      <c r="G1567" s="1056">
        <v>0</v>
      </c>
      <c r="H1567" s="1056">
        <v>0</v>
      </c>
      <c r="I1567" s="1056">
        <v>48</v>
      </c>
      <c r="K1567" s="1037">
        <f t="shared" si="24"/>
        <v>8</v>
      </c>
    </row>
    <row r="1568" spans="1:11" ht="12.75">
      <c r="A1568" s="1054">
        <v>25509501</v>
      </c>
      <c r="B1568" s="1055" t="s">
        <v>893</v>
      </c>
      <c r="C1568" s="1055" t="s">
        <v>579</v>
      </c>
      <c r="D1568" s="1055" t="s">
        <v>1579</v>
      </c>
      <c r="E1568" s="1055" t="s">
        <v>1580</v>
      </c>
      <c r="F1568" s="1056">
        <v>-516</v>
      </c>
      <c r="G1568" s="1056">
        <v>141</v>
      </c>
      <c r="H1568" s="1056">
        <v>391</v>
      </c>
      <c r="I1568" s="1056">
        <v>-766</v>
      </c>
      <c r="K1568" s="1037">
        <f t="shared" si="24"/>
        <v>8</v>
      </c>
    </row>
    <row r="1569" spans="1:11" ht="12.75">
      <c r="A1569" s="1054">
        <v>25509501</v>
      </c>
      <c r="B1569" s="1055" t="s">
        <v>893</v>
      </c>
      <c r="C1569" s="1055" t="s">
        <v>579</v>
      </c>
      <c r="D1569" s="1055" t="s">
        <v>1271</v>
      </c>
      <c r="E1569" s="1055" t="s">
        <v>782</v>
      </c>
      <c r="F1569" s="1056">
        <v>-131</v>
      </c>
      <c r="G1569" s="1056">
        <v>0</v>
      </c>
      <c r="H1569" s="1056">
        <v>0</v>
      </c>
      <c r="I1569" s="1056">
        <v>-131</v>
      </c>
      <c r="K1569" s="1037">
        <f t="shared" si="24"/>
        <v>8</v>
      </c>
    </row>
    <row r="1570" spans="1:11" ht="12.75">
      <c r="A1570" s="1054">
        <v>25509501</v>
      </c>
      <c r="B1570" s="1055" t="s">
        <v>893</v>
      </c>
      <c r="C1570" s="1055" t="s">
        <v>579</v>
      </c>
      <c r="D1570" s="1055" t="s">
        <v>1043</v>
      </c>
      <c r="E1570" s="1055" t="s">
        <v>318</v>
      </c>
      <c r="F1570" s="1056">
        <v>-490</v>
      </c>
      <c r="G1570" s="1056">
        <v>0</v>
      </c>
      <c r="H1570" s="1056">
        <v>0</v>
      </c>
      <c r="I1570" s="1056">
        <v>-490</v>
      </c>
      <c r="K1570" s="1037">
        <f t="shared" si="24"/>
        <v>8</v>
      </c>
    </row>
    <row r="1571" spans="1:11" ht="12.75">
      <c r="A1571" s="1054">
        <v>25509501</v>
      </c>
      <c r="B1571" s="1055" t="s">
        <v>893</v>
      </c>
      <c r="C1571" s="1055" t="s">
        <v>579</v>
      </c>
      <c r="D1571" s="1055" t="s">
        <v>1374</v>
      </c>
      <c r="E1571" s="1055" t="s">
        <v>1375</v>
      </c>
      <c r="F1571" s="1056">
        <v>-260</v>
      </c>
      <c r="G1571" s="1056">
        <v>0</v>
      </c>
      <c r="H1571" s="1056">
        <v>173</v>
      </c>
      <c r="I1571" s="1056">
        <v>-433</v>
      </c>
      <c r="K1571" s="1037">
        <f t="shared" si="24"/>
        <v>8</v>
      </c>
    </row>
    <row r="1572" spans="1:11" ht="12.75">
      <c r="A1572" s="1054">
        <v>25509501</v>
      </c>
      <c r="B1572" s="1055" t="s">
        <v>893</v>
      </c>
      <c r="C1572" s="1055" t="s">
        <v>579</v>
      </c>
      <c r="D1572" s="1055" t="s">
        <v>1306</v>
      </c>
      <c r="E1572" s="1055" t="s">
        <v>997</v>
      </c>
      <c r="F1572" s="1056">
        <v>55</v>
      </c>
      <c r="G1572" s="1056">
        <v>0</v>
      </c>
      <c r="H1572" s="1056">
        <v>0</v>
      </c>
      <c r="I1572" s="1056">
        <v>55</v>
      </c>
      <c r="K1572" s="1037">
        <f t="shared" si="24"/>
        <v>8</v>
      </c>
    </row>
    <row r="1573" spans="1:11" ht="12.75">
      <c r="A1573" s="1054">
        <v>25509501</v>
      </c>
      <c r="B1573" s="1055" t="s">
        <v>893</v>
      </c>
      <c r="C1573" s="1055" t="s">
        <v>579</v>
      </c>
      <c r="D1573" s="1055" t="s">
        <v>1383</v>
      </c>
      <c r="E1573" s="1055" t="s">
        <v>1384</v>
      </c>
      <c r="F1573" s="1056">
        <v>-205</v>
      </c>
      <c r="G1573" s="1056">
        <v>0</v>
      </c>
      <c r="H1573" s="1056">
        <v>137</v>
      </c>
      <c r="I1573" s="1056">
        <v>-342</v>
      </c>
      <c r="K1573" s="1037">
        <f t="shared" si="24"/>
        <v>8</v>
      </c>
    </row>
    <row r="1574" spans="1:11" ht="12.75">
      <c r="A1574" s="1054">
        <v>25509502</v>
      </c>
      <c r="B1574" s="1055" t="s">
        <v>893</v>
      </c>
      <c r="C1574" s="1055" t="s">
        <v>917</v>
      </c>
      <c r="D1574" s="1055" t="s">
        <v>893</v>
      </c>
      <c r="E1574" s="1055" t="s">
        <v>893</v>
      </c>
      <c r="F1574" s="1056">
        <v>2265</v>
      </c>
      <c r="G1574" s="1056">
        <v>0</v>
      </c>
      <c r="H1574" s="1056">
        <v>50</v>
      </c>
      <c r="I1574" s="1056">
        <v>2215</v>
      </c>
      <c r="K1574" s="1037">
        <f t="shared" si="24"/>
        <v>8</v>
      </c>
    </row>
    <row r="1575" spans="1:11" ht="12.75">
      <c r="A1575" s="1054">
        <v>25509502</v>
      </c>
      <c r="B1575" s="1055" t="s">
        <v>893</v>
      </c>
      <c r="C1575" s="1055" t="s">
        <v>917</v>
      </c>
      <c r="D1575" s="1055" t="s">
        <v>1577</v>
      </c>
      <c r="E1575" s="1055" t="s">
        <v>1578</v>
      </c>
      <c r="F1575" s="1056">
        <v>650</v>
      </c>
      <c r="G1575" s="1056">
        <v>0</v>
      </c>
      <c r="H1575" s="1056">
        <v>0</v>
      </c>
      <c r="I1575" s="1056">
        <v>650</v>
      </c>
      <c r="K1575" s="1037">
        <f t="shared" si="24"/>
        <v>8</v>
      </c>
    </row>
    <row r="1576" spans="1:11" ht="12.75">
      <c r="A1576" s="1054">
        <v>25509502</v>
      </c>
      <c r="B1576" s="1055" t="s">
        <v>893</v>
      </c>
      <c r="C1576" s="1055" t="s">
        <v>917</v>
      </c>
      <c r="D1576" s="1055" t="s">
        <v>1579</v>
      </c>
      <c r="E1576" s="1055" t="s">
        <v>1580</v>
      </c>
      <c r="F1576" s="1056">
        <v>750</v>
      </c>
      <c r="G1576" s="1056">
        <v>0</v>
      </c>
      <c r="H1576" s="1056">
        <v>0</v>
      </c>
      <c r="I1576" s="1056">
        <v>750</v>
      </c>
      <c r="K1576" s="1037">
        <f t="shared" si="24"/>
        <v>8</v>
      </c>
    </row>
    <row r="1577" spans="1:11" ht="12.75">
      <c r="A1577" s="1054">
        <v>25509502</v>
      </c>
      <c r="B1577" s="1055" t="s">
        <v>893</v>
      </c>
      <c r="C1577" s="1055" t="s">
        <v>917</v>
      </c>
      <c r="D1577" s="1055" t="s">
        <v>1374</v>
      </c>
      <c r="E1577" s="1055" t="s">
        <v>1375</v>
      </c>
      <c r="F1577" s="1056">
        <v>520</v>
      </c>
      <c r="G1577" s="1056">
        <v>0</v>
      </c>
      <c r="H1577" s="1056">
        <v>50</v>
      </c>
      <c r="I1577" s="1056">
        <v>470</v>
      </c>
      <c r="K1577" s="1037">
        <f t="shared" si="24"/>
        <v>8</v>
      </c>
    </row>
    <row r="1578" spans="1:11" ht="12.75">
      <c r="A1578" s="1054">
        <v>25509502</v>
      </c>
      <c r="B1578" s="1055" t="s">
        <v>893</v>
      </c>
      <c r="C1578" s="1055" t="s">
        <v>917</v>
      </c>
      <c r="D1578" s="1055" t="s">
        <v>1306</v>
      </c>
      <c r="E1578" s="1055" t="s">
        <v>997</v>
      </c>
      <c r="F1578" s="1056">
        <v>-65</v>
      </c>
      <c r="G1578" s="1056">
        <v>0</v>
      </c>
      <c r="H1578" s="1056">
        <v>0</v>
      </c>
      <c r="I1578" s="1056">
        <v>-65</v>
      </c>
      <c r="K1578" s="1037">
        <f t="shared" si="24"/>
        <v>8</v>
      </c>
    </row>
    <row r="1579" spans="1:11" ht="12.75">
      <c r="A1579" s="1054">
        <v>25509502</v>
      </c>
      <c r="B1579" s="1055" t="s">
        <v>893</v>
      </c>
      <c r="C1579" s="1055" t="s">
        <v>917</v>
      </c>
      <c r="D1579" s="1055" t="s">
        <v>1383</v>
      </c>
      <c r="E1579" s="1055" t="s">
        <v>1384</v>
      </c>
      <c r="F1579" s="1056">
        <v>410</v>
      </c>
      <c r="G1579" s="1056">
        <v>0</v>
      </c>
      <c r="H1579" s="1056">
        <v>0</v>
      </c>
      <c r="I1579" s="1056">
        <v>410</v>
      </c>
      <c r="K1579" s="1037">
        <f t="shared" si="24"/>
        <v>8</v>
      </c>
    </row>
    <row r="1580" spans="1:11" ht="12.75">
      <c r="A1580" s="1054">
        <v>25509503</v>
      </c>
      <c r="B1580" s="1055" t="s">
        <v>1489</v>
      </c>
      <c r="C1580" s="1055" t="s">
        <v>755</v>
      </c>
      <c r="D1580" s="1055" t="s">
        <v>893</v>
      </c>
      <c r="E1580" s="1055" t="s">
        <v>893</v>
      </c>
      <c r="F1580" s="1056">
        <v>-49</v>
      </c>
      <c r="G1580" s="1056">
        <v>0</v>
      </c>
      <c r="H1580" s="1056">
        <v>0</v>
      </c>
      <c r="I1580" s="1056">
        <v>-49</v>
      </c>
      <c r="K1580" s="1037">
        <f t="shared" si="24"/>
        <v>8</v>
      </c>
    </row>
    <row r="1581" spans="1:11" ht="12.75">
      <c r="A1581" s="1054">
        <v>25509503</v>
      </c>
      <c r="B1581" s="1055" t="s">
        <v>1489</v>
      </c>
      <c r="C1581" s="1055" t="s">
        <v>755</v>
      </c>
      <c r="D1581" s="1055" t="s">
        <v>1042</v>
      </c>
      <c r="E1581" s="1055" t="s">
        <v>1732</v>
      </c>
      <c r="F1581" s="1056">
        <v>-49</v>
      </c>
      <c r="G1581" s="1056">
        <v>0</v>
      </c>
      <c r="H1581" s="1056">
        <v>0</v>
      </c>
      <c r="I1581" s="1056">
        <v>-49</v>
      </c>
      <c r="K1581" s="1037">
        <f t="shared" si="24"/>
        <v>8</v>
      </c>
    </row>
    <row r="1582" spans="1:11" ht="12.75">
      <c r="A1582" s="1054">
        <v>25509504</v>
      </c>
      <c r="B1582" s="1055" t="s">
        <v>1489</v>
      </c>
      <c r="C1582" s="1055" t="s">
        <v>736</v>
      </c>
      <c r="D1582" s="1055" t="s">
        <v>893</v>
      </c>
      <c r="E1582" s="1055" t="s">
        <v>893</v>
      </c>
      <c r="F1582" s="1056">
        <v>37</v>
      </c>
      <c r="G1582" s="1056">
        <v>0</v>
      </c>
      <c r="H1582" s="1056">
        <v>0</v>
      </c>
      <c r="I1582" s="1056">
        <v>37</v>
      </c>
      <c r="K1582" s="1037">
        <f t="shared" si="24"/>
        <v>8</v>
      </c>
    </row>
    <row r="1583" spans="1:11" ht="12.75">
      <c r="A1583" s="1054">
        <v>25509504</v>
      </c>
      <c r="B1583" s="1055" t="s">
        <v>1489</v>
      </c>
      <c r="C1583" s="1055" t="s">
        <v>736</v>
      </c>
      <c r="D1583" s="1055" t="s">
        <v>1298</v>
      </c>
      <c r="E1583" s="1055" t="s">
        <v>987</v>
      </c>
      <c r="F1583" s="1056">
        <v>-35</v>
      </c>
      <c r="G1583" s="1056">
        <v>0</v>
      </c>
      <c r="H1583" s="1056">
        <v>0</v>
      </c>
      <c r="I1583" s="1056">
        <v>-35</v>
      </c>
      <c r="K1583" s="1037">
        <f t="shared" si="24"/>
        <v>8</v>
      </c>
    </row>
    <row r="1584" spans="1:11" ht="12.75">
      <c r="A1584" s="1054">
        <v>25509504</v>
      </c>
      <c r="B1584" s="1055" t="s">
        <v>1489</v>
      </c>
      <c r="C1584" s="1055" t="s">
        <v>736</v>
      </c>
      <c r="D1584" s="1055" t="s">
        <v>1271</v>
      </c>
      <c r="E1584" s="1055" t="s">
        <v>782</v>
      </c>
      <c r="F1584" s="1056">
        <v>-35</v>
      </c>
      <c r="G1584" s="1056">
        <v>0</v>
      </c>
      <c r="H1584" s="1056">
        <v>0</v>
      </c>
      <c r="I1584" s="1056">
        <v>-35</v>
      </c>
      <c r="K1584" s="1037">
        <f t="shared" si="24"/>
        <v>8</v>
      </c>
    </row>
    <row r="1585" spans="1:11" ht="12.75">
      <c r="A1585" s="1054">
        <v>25509504</v>
      </c>
      <c r="B1585" s="1055" t="s">
        <v>1489</v>
      </c>
      <c r="C1585" s="1055" t="s">
        <v>736</v>
      </c>
      <c r="D1585" s="1055" t="s">
        <v>1220</v>
      </c>
      <c r="E1585" s="1055" t="s">
        <v>1221</v>
      </c>
      <c r="F1585" s="1056">
        <v>143</v>
      </c>
      <c r="G1585" s="1056">
        <v>0</v>
      </c>
      <c r="H1585" s="1056">
        <v>0</v>
      </c>
      <c r="I1585" s="1056">
        <v>143</v>
      </c>
      <c r="K1585" s="1037">
        <f t="shared" si="24"/>
        <v>8</v>
      </c>
    </row>
    <row r="1586" spans="1:11" ht="12.75">
      <c r="A1586" s="1054">
        <v>25509504</v>
      </c>
      <c r="B1586" s="1055" t="s">
        <v>1489</v>
      </c>
      <c r="C1586" s="1055" t="s">
        <v>736</v>
      </c>
      <c r="D1586" s="1055" t="s">
        <v>1372</v>
      </c>
      <c r="E1586" s="1055" t="s">
        <v>1373</v>
      </c>
      <c r="F1586" s="1056">
        <v>-35</v>
      </c>
      <c r="G1586" s="1056">
        <v>0</v>
      </c>
      <c r="H1586" s="1056">
        <v>0</v>
      </c>
      <c r="I1586" s="1056">
        <v>-35</v>
      </c>
      <c r="K1586" s="1037">
        <f t="shared" si="24"/>
        <v>8</v>
      </c>
    </row>
    <row r="1587" spans="1:11" ht="12.75">
      <c r="A1587" s="1054">
        <v>26</v>
      </c>
      <c r="B1587" s="1055" t="s">
        <v>893</v>
      </c>
      <c r="C1587" s="1055" t="s">
        <v>820</v>
      </c>
      <c r="D1587" s="1055" t="s">
        <v>893</v>
      </c>
      <c r="E1587" s="1055" t="s">
        <v>893</v>
      </c>
      <c r="F1587" s="1056">
        <v>-14938</v>
      </c>
      <c r="G1587" s="1056">
        <v>0</v>
      </c>
      <c r="H1587" s="1056">
        <v>0</v>
      </c>
      <c r="I1587" s="1056">
        <v>-14938</v>
      </c>
      <c r="K1587" s="1037">
        <f t="shared" si="24"/>
        <v>2</v>
      </c>
    </row>
    <row r="1588" spans="1:11" ht="12.75">
      <c r="A1588" s="1054">
        <v>2615</v>
      </c>
      <c r="B1588" s="1055" t="s">
        <v>1489</v>
      </c>
      <c r="C1588" s="1055" t="s">
        <v>821</v>
      </c>
      <c r="D1588" s="1055" t="s">
        <v>893</v>
      </c>
      <c r="E1588" s="1055" t="s">
        <v>893</v>
      </c>
      <c r="F1588" s="1056">
        <v>-14938</v>
      </c>
      <c r="G1588" s="1056">
        <v>0</v>
      </c>
      <c r="H1588" s="1056">
        <v>0</v>
      </c>
      <c r="I1588" s="1056">
        <v>-14938</v>
      </c>
      <c r="K1588" s="1037">
        <f t="shared" si="24"/>
        <v>4</v>
      </c>
    </row>
    <row r="1589" spans="1:11" ht="12.75">
      <c r="A1589" s="1054">
        <v>261510</v>
      </c>
      <c r="B1589" s="1055" t="s">
        <v>1489</v>
      </c>
      <c r="C1589" s="1055" t="s">
        <v>822</v>
      </c>
      <c r="D1589" s="1055" t="s">
        <v>893</v>
      </c>
      <c r="E1589" s="1055" t="s">
        <v>893</v>
      </c>
      <c r="F1589" s="1056">
        <v>-14938</v>
      </c>
      <c r="G1589" s="1056">
        <v>0</v>
      </c>
      <c r="H1589" s="1056">
        <v>0</v>
      </c>
      <c r="I1589" s="1056">
        <v>-14938</v>
      </c>
      <c r="K1589" s="1037">
        <f t="shared" si="24"/>
        <v>6</v>
      </c>
    </row>
    <row r="1590" spans="1:11" ht="12.75">
      <c r="A1590" s="1054">
        <v>26151001</v>
      </c>
      <c r="B1590" s="1055" t="s">
        <v>1489</v>
      </c>
      <c r="C1590" s="1055" t="s">
        <v>879</v>
      </c>
      <c r="D1590" s="1055" t="s">
        <v>893</v>
      </c>
      <c r="E1590" s="1055" t="s">
        <v>893</v>
      </c>
      <c r="F1590" s="1056">
        <v>0</v>
      </c>
      <c r="G1590" s="1056">
        <v>0</v>
      </c>
      <c r="H1590" s="1056">
        <v>0</v>
      </c>
      <c r="I1590" s="1056">
        <v>0</v>
      </c>
      <c r="K1590" s="1037">
        <f t="shared" si="24"/>
        <v>8</v>
      </c>
    </row>
    <row r="1591" spans="1:11" ht="12.75">
      <c r="A1591" s="1054">
        <v>26151001</v>
      </c>
      <c r="B1591" s="1055" t="s">
        <v>1489</v>
      </c>
      <c r="C1591" s="1055" t="s">
        <v>879</v>
      </c>
      <c r="D1591" s="1055" t="s">
        <v>1067</v>
      </c>
      <c r="E1591" s="1055" t="s">
        <v>1068</v>
      </c>
      <c r="F1591" s="1056">
        <v>0</v>
      </c>
      <c r="G1591" s="1056">
        <v>0</v>
      </c>
      <c r="H1591" s="1056">
        <v>0</v>
      </c>
      <c r="I1591" s="1056">
        <v>0</v>
      </c>
      <c r="K1591" s="1037">
        <f t="shared" si="24"/>
        <v>8</v>
      </c>
    </row>
    <row r="1592" spans="1:11" ht="12.75">
      <c r="A1592" s="1054">
        <v>26151002</v>
      </c>
      <c r="B1592" s="1055" t="s">
        <v>1489</v>
      </c>
      <c r="C1592" s="1055" t="s">
        <v>823</v>
      </c>
      <c r="D1592" s="1055" t="s">
        <v>893</v>
      </c>
      <c r="E1592" s="1055" t="s">
        <v>893</v>
      </c>
      <c r="F1592" s="1056">
        <v>-14938</v>
      </c>
      <c r="G1592" s="1056">
        <v>0</v>
      </c>
      <c r="H1592" s="1056">
        <v>0</v>
      </c>
      <c r="I1592" s="1056">
        <v>-14938</v>
      </c>
      <c r="K1592" s="1037">
        <f t="shared" si="24"/>
        <v>8</v>
      </c>
    </row>
    <row r="1593" spans="1:11" ht="12.75">
      <c r="A1593" s="1054">
        <v>26151002</v>
      </c>
      <c r="B1593" s="1055" t="s">
        <v>1489</v>
      </c>
      <c r="C1593" s="1055" t="s">
        <v>823</v>
      </c>
      <c r="D1593" s="1055" t="s">
        <v>1401</v>
      </c>
      <c r="E1593" s="1055" t="s">
        <v>1402</v>
      </c>
      <c r="F1593" s="1056">
        <v>-14938</v>
      </c>
      <c r="G1593" s="1056">
        <v>0</v>
      </c>
      <c r="H1593" s="1056">
        <v>0</v>
      </c>
      <c r="I1593" s="1056">
        <v>-14938</v>
      </c>
      <c r="K1593" s="1037">
        <f t="shared" si="24"/>
        <v>8</v>
      </c>
    </row>
    <row r="1594" spans="1:11" ht="12.75">
      <c r="A1594" s="1054">
        <v>28</v>
      </c>
      <c r="B1594" s="1055" t="s">
        <v>893</v>
      </c>
      <c r="C1594" s="1055" t="s">
        <v>589</v>
      </c>
      <c r="D1594" s="1055" t="s">
        <v>893</v>
      </c>
      <c r="E1594" s="1055" t="s">
        <v>893</v>
      </c>
      <c r="F1594" s="1056">
        <v>-1270</v>
      </c>
      <c r="G1594" s="1056">
        <v>902</v>
      </c>
      <c r="H1594" s="1056">
        <v>1955</v>
      </c>
      <c r="I1594" s="1056">
        <v>-2323</v>
      </c>
      <c r="K1594" s="1037">
        <f t="shared" si="24"/>
        <v>2</v>
      </c>
    </row>
    <row r="1595" spans="1:11" ht="12.75">
      <c r="A1595" s="1054">
        <v>2805</v>
      </c>
      <c r="B1595" s="1055" t="s">
        <v>893</v>
      </c>
      <c r="C1595" s="1055" t="s">
        <v>121</v>
      </c>
      <c r="D1595" s="1055" t="s">
        <v>893</v>
      </c>
      <c r="E1595" s="1055" t="s">
        <v>893</v>
      </c>
      <c r="F1595" s="1056">
        <v>-1270</v>
      </c>
      <c r="G1595" s="1056">
        <v>902</v>
      </c>
      <c r="H1595" s="1056">
        <v>1955</v>
      </c>
      <c r="I1595" s="1056">
        <v>-2323</v>
      </c>
      <c r="K1595" s="1037">
        <f t="shared" si="24"/>
        <v>4</v>
      </c>
    </row>
    <row r="1596" spans="1:11" ht="12.75">
      <c r="A1596" s="1054">
        <v>280505</v>
      </c>
      <c r="B1596" s="1055" t="s">
        <v>893</v>
      </c>
      <c r="C1596" s="1055" t="s">
        <v>590</v>
      </c>
      <c r="D1596" s="1055" t="s">
        <v>893</v>
      </c>
      <c r="E1596" s="1055" t="s">
        <v>893</v>
      </c>
      <c r="F1596" s="1056">
        <v>-1270</v>
      </c>
      <c r="G1596" s="1056">
        <v>902</v>
      </c>
      <c r="H1596" s="1056">
        <v>1955</v>
      </c>
      <c r="I1596" s="1056">
        <v>-2323</v>
      </c>
      <c r="K1596" s="1037">
        <f t="shared" si="24"/>
        <v>6</v>
      </c>
    </row>
    <row r="1597" spans="1:11" ht="12.75">
      <c r="A1597" s="1054">
        <v>28050501</v>
      </c>
      <c r="B1597" s="1055" t="s">
        <v>893</v>
      </c>
      <c r="C1597" s="1055" t="s">
        <v>590</v>
      </c>
      <c r="D1597" s="1055" t="s">
        <v>893</v>
      </c>
      <c r="E1597" s="1055" t="s">
        <v>893</v>
      </c>
      <c r="F1597" s="1056">
        <v>-450</v>
      </c>
      <c r="G1597" s="1056">
        <v>240</v>
      </c>
      <c r="H1597" s="1056">
        <v>1152</v>
      </c>
      <c r="I1597" s="1056">
        <v>-1362</v>
      </c>
      <c r="K1597" s="1037">
        <f t="shared" si="24"/>
        <v>8</v>
      </c>
    </row>
    <row r="1598" spans="1:11" ht="12.75">
      <c r="A1598" s="1054">
        <v>28050501</v>
      </c>
      <c r="B1598" s="1055" t="s">
        <v>893</v>
      </c>
      <c r="C1598" s="1055" t="s">
        <v>590</v>
      </c>
      <c r="D1598" s="1055" t="s">
        <v>1066</v>
      </c>
      <c r="E1598" s="1055" t="s">
        <v>662</v>
      </c>
      <c r="F1598" s="1056">
        <v>-210</v>
      </c>
      <c r="G1598" s="1056">
        <v>0</v>
      </c>
      <c r="H1598" s="1056">
        <v>13</v>
      </c>
      <c r="I1598" s="1056">
        <v>-224</v>
      </c>
      <c r="K1598" s="1037">
        <f t="shared" si="24"/>
        <v>8</v>
      </c>
    </row>
    <row r="1599" spans="1:11" ht="12.75">
      <c r="A1599" s="1054">
        <v>28050501</v>
      </c>
      <c r="B1599" s="1055" t="s">
        <v>893</v>
      </c>
      <c r="C1599" s="1055" t="s">
        <v>590</v>
      </c>
      <c r="D1599" s="1055" t="s">
        <v>1191</v>
      </c>
      <c r="E1599" s="1055" t="s">
        <v>1021</v>
      </c>
      <c r="F1599" s="1056">
        <v>0</v>
      </c>
      <c r="G1599" s="1056">
        <v>0</v>
      </c>
      <c r="H1599" s="1056">
        <v>1138</v>
      </c>
      <c r="I1599" s="1056">
        <v>-1138</v>
      </c>
      <c r="K1599" s="1037">
        <f t="shared" si="24"/>
        <v>8</v>
      </c>
    </row>
    <row r="1600" spans="1:11" ht="12.75">
      <c r="A1600" s="1054">
        <v>28050501</v>
      </c>
      <c r="B1600" s="1055" t="s">
        <v>893</v>
      </c>
      <c r="C1600" s="1055" t="s">
        <v>590</v>
      </c>
      <c r="D1600" s="1055" t="s">
        <v>1035</v>
      </c>
      <c r="E1600" s="1055" t="s">
        <v>573</v>
      </c>
      <c r="F1600" s="1056">
        <v>-240</v>
      </c>
      <c r="G1600" s="1056">
        <v>240</v>
      </c>
      <c r="H1600" s="1056">
        <v>0</v>
      </c>
      <c r="I1600" s="1056">
        <v>0</v>
      </c>
      <c r="K1600" s="1037">
        <f t="shared" si="24"/>
        <v>8</v>
      </c>
    </row>
    <row r="1601" spans="1:11" ht="12.75">
      <c r="A1601" s="1054">
        <v>28050502</v>
      </c>
      <c r="B1601" s="1055" t="s">
        <v>1489</v>
      </c>
      <c r="C1601" s="1055" t="s">
        <v>794</v>
      </c>
      <c r="D1601" s="1055" t="s">
        <v>893</v>
      </c>
      <c r="E1601" s="1055" t="s">
        <v>893</v>
      </c>
      <c r="F1601" s="1056">
        <v>-787</v>
      </c>
      <c r="G1601" s="1056">
        <v>631</v>
      </c>
      <c r="H1601" s="1056">
        <v>777</v>
      </c>
      <c r="I1601" s="1056">
        <v>-933</v>
      </c>
      <c r="K1601" s="1037">
        <f t="shared" si="24"/>
        <v>8</v>
      </c>
    </row>
    <row r="1602" spans="1:11" ht="12.75">
      <c r="A1602" s="1054">
        <v>28050502</v>
      </c>
      <c r="B1602" s="1055" t="s">
        <v>1489</v>
      </c>
      <c r="C1602" s="1055" t="s">
        <v>794</v>
      </c>
      <c r="D1602" s="1055" t="s">
        <v>1035</v>
      </c>
      <c r="E1602" s="1055" t="s">
        <v>573</v>
      </c>
      <c r="F1602" s="1056">
        <v>-787</v>
      </c>
      <c r="G1602" s="1056">
        <v>631</v>
      </c>
      <c r="H1602" s="1056">
        <v>777</v>
      </c>
      <c r="I1602" s="1056">
        <v>-933</v>
      </c>
      <c r="K1602" s="1037">
        <f t="shared" si="24"/>
        <v>8</v>
      </c>
    </row>
    <row r="1603" spans="1:11" ht="12.75">
      <c r="A1603" s="1054">
        <v>28050503</v>
      </c>
      <c r="B1603" s="1055" t="s">
        <v>1489</v>
      </c>
      <c r="C1603" s="1055" t="s">
        <v>827</v>
      </c>
      <c r="D1603" s="1055" t="s">
        <v>893</v>
      </c>
      <c r="E1603" s="1055" t="s">
        <v>893</v>
      </c>
      <c r="F1603" s="1056">
        <v>-33</v>
      </c>
      <c r="G1603" s="1056">
        <v>31</v>
      </c>
      <c r="H1603" s="1056">
        <v>26</v>
      </c>
      <c r="I1603" s="1056">
        <v>-28</v>
      </c>
      <c r="K1603" s="1037">
        <f t="shared" si="24"/>
        <v>8</v>
      </c>
    </row>
    <row r="1604" spans="1:11" ht="12.75">
      <c r="A1604" s="1054">
        <v>28050503</v>
      </c>
      <c r="B1604" s="1055" t="s">
        <v>1489</v>
      </c>
      <c r="C1604" s="1055" t="s">
        <v>827</v>
      </c>
      <c r="D1604" s="1055" t="s">
        <v>1066</v>
      </c>
      <c r="E1604" s="1055" t="s">
        <v>662</v>
      </c>
      <c r="F1604" s="1056">
        <v>-27</v>
      </c>
      <c r="G1604" s="1056">
        <v>0</v>
      </c>
      <c r="H1604" s="1056">
        <v>0</v>
      </c>
      <c r="I1604" s="1056">
        <v>-27</v>
      </c>
      <c r="K1604" s="1037">
        <f t="shared" si="24"/>
        <v>8</v>
      </c>
    </row>
    <row r="1605" spans="1:11" ht="12.75">
      <c r="A1605" s="1054">
        <v>28050503</v>
      </c>
      <c r="B1605" s="1055" t="s">
        <v>1489</v>
      </c>
      <c r="C1605" s="1055" t="s">
        <v>827</v>
      </c>
      <c r="D1605" s="1055" t="s">
        <v>1038</v>
      </c>
      <c r="E1605" s="1055" t="s">
        <v>505</v>
      </c>
      <c r="F1605" s="1056">
        <v>-6</v>
      </c>
      <c r="G1605" s="1056">
        <v>31</v>
      </c>
      <c r="H1605" s="1056">
        <v>26</v>
      </c>
      <c r="I1605" s="1056">
        <v>-1</v>
      </c>
      <c r="K1605" s="1037">
        <f t="shared" ref="K1605:K1668" si="25">+LEN(A1605)</f>
        <v>8</v>
      </c>
    </row>
    <row r="1606" spans="1:11" ht="12.75">
      <c r="A1606" s="1054">
        <v>3</v>
      </c>
      <c r="B1606" s="1055" t="s">
        <v>893</v>
      </c>
      <c r="C1606" s="1055" t="s">
        <v>122</v>
      </c>
      <c r="D1606" s="1055" t="s">
        <v>893</v>
      </c>
      <c r="E1606" s="1055" t="s">
        <v>893</v>
      </c>
      <c r="F1606" s="1056">
        <v>-2291401</v>
      </c>
      <c r="G1606" s="1056">
        <v>0</v>
      </c>
      <c r="H1606" s="1056">
        <v>0</v>
      </c>
      <c r="I1606" s="1056">
        <v>-2291401</v>
      </c>
      <c r="K1606" s="1037">
        <f t="shared" si="25"/>
        <v>1</v>
      </c>
    </row>
    <row r="1607" spans="1:11" ht="12.75">
      <c r="A1607" s="1054">
        <v>31</v>
      </c>
      <c r="B1607" s="1055" t="s">
        <v>893</v>
      </c>
      <c r="C1607" s="1055" t="s">
        <v>123</v>
      </c>
      <c r="D1607" s="1055" t="s">
        <v>893</v>
      </c>
      <c r="E1607" s="1055" t="s">
        <v>893</v>
      </c>
      <c r="F1607" s="1056">
        <v>-1737000</v>
      </c>
      <c r="G1607" s="1056">
        <v>0</v>
      </c>
      <c r="H1607" s="1056">
        <v>0</v>
      </c>
      <c r="I1607" s="1056">
        <v>-1737000</v>
      </c>
      <c r="K1607" s="1037">
        <f t="shared" si="25"/>
        <v>2</v>
      </c>
    </row>
    <row r="1608" spans="1:11" ht="12.75">
      <c r="A1608" s="1054">
        <v>3105</v>
      </c>
      <c r="B1608" s="1055" t="s">
        <v>893</v>
      </c>
      <c r="C1608" s="1055" t="s">
        <v>362</v>
      </c>
      <c r="D1608" s="1055" t="s">
        <v>893</v>
      </c>
      <c r="E1608" s="1055" t="s">
        <v>893</v>
      </c>
      <c r="F1608" s="1056">
        <v>-1737000</v>
      </c>
      <c r="G1608" s="1056">
        <v>0</v>
      </c>
      <c r="H1608" s="1056">
        <v>0</v>
      </c>
      <c r="I1608" s="1056">
        <v>-1737000</v>
      </c>
      <c r="K1608" s="1037">
        <f t="shared" si="25"/>
        <v>4</v>
      </c>
    </row>
    <row r="1609" spans="1:11" ht="12.75">
      <c r="A1609" s="1054">
        <v>310505</v>
      </c>
      <c r="B1609" s="1055" t="s">
        <v>893</v>
      </c>
      <c r="C1609" s="1055" t="s">
        <v>363</v>
      </c>
      <c r="D1609" s="1055" t="s">
        <v>893</v>
      </c>
      <c r="E1609" s="1055" t="s">
        <v>893</v>
      </c>
      <c r="F1609" s="1056">
        <v>-1737000</v>
      </c>
      <c r="G1609" s="1056">
        <v>0</v>
      </c>
      <c r="H1609" s="1056">
        <v>0</v>
      </c>
      <c r="I1609" s="1056">
        <v>-1737000</v>
      </c>
      <c r="K1609" s="1037">
        <f t="shared" si="25"/>
        <v>6</v>
      </c>
    </row>
    <row r="1610" spans="1:11" ht="12.75">
      <c r="A1610" s="1054">
        <v>31050501</v>
      </c>
      <c r="B1610" s="1055" t="s">
        <v>893</v>
      </c>
      <c r="C1610" s="1055" t="s">
        <v>363</v>
      </c>
      <c r="D1610" s="1055" t="s">
        <v>893</v>
      </c>
      <c r="E1610" s="1055" t="s">
        <v>893</v>
      </c>
      <c r="F1610" s="1056">
        <v>-1737000</v>
      </c>
      <c r="G1610" s="1056">
        <v>0</v>
      </c>
      <c r="H1610" s="1056">
        <v>0</v>
      </c>
      <c r="I1610" s="1056">
        <v>-1737000</v>
      </c>
      <c r="K1610" s="1037">
        <f t="shared" si="25"/>
        <v>8</v>
      </c>
    </row>
    <row r="1611" spans="1:11" ht="12.75">
      <c r="A1611" s="1054">
        <v>33</v>
      </c>
      <c r="B1611" s="1055" t="s">
        <v>893</v>
      </c>
      <c r="C1611" s="1055" t="s">
        <v>124</v>
      </c>
      <c r="D1611" s="1055" t="s">
        <v>893</v>
      </c>
      <c r="E1611" s="1055" t="s">
        <v>893</v>
      </c>
      <c r="F1611" s="1056">
        <v>-89882</v>
      </c>
      <c r="G1611" s="1056">
        <v>0</v>
      </c>
      <c r="H1611" s="1056">
        <v>0</v>
      </c>
      <c r="I1611" s="1056">
        <v>-89882</v>
      </c>
      <c r="K1611" s="1037">
        <f t="shared" si="25"/>
        <v>2</v>
      </c>
    </row>
    <row r="1612" spans="1:11" ht="12.75">
      <c r="A1612" s="1054">
        <v>3305</v>
      </c>
      <c r="B1612" s="1055" t="s">
        <v>893</v>
      </c>
      <c r="C1612" s="1055" t="s">
        <v>364</v>
      </c>
      <c r="D1612" s="1055" t="s">
        <v>893</v>
      </c>
      <c r="E1612" s="1055" t="s">
        <v>893</v>
      </c>
      <c r="F1612" s="1056">
        <v>-89882</v>
      </c>
      <c r="G1612" s="1056">
        <v>0</v>
      </c>
      <c r="H1612" s="1056">
        <v>0</v>
      </c>
      <c r="I1612" s="1056">
        <v>-89882</v>
      </c>
      <c r="K1612" s="1037">
        <f t="shared" si="25"/>
        <v>4</v>
      </c>
    </row>
    <row r="1613" spans="1:11" ht="12.75">
      <c r="A1613" s="1054">
        <v>330505</v>
      </c>
      <c r="B1613" s="1055" t="s">
        <v>893</v>
      </c>
      <c r="C1613" s="1055" t="s">
        <v>365</v>
      </c>
      <c r="D1613" s="1055" t="s">
        <v>893</v>
      </c>
      <c r="E1613" s="1055" t="s">
        <v>893</v>
      </c>
      <c r="F1613" s="1056">
        <v>-89882</v>
      </c>
      <c r="G1613" s="1056">
        <v>0</v>
      </c>
      <c r="H1613" s="1056">
        <v>0</v>
      </c>
      <c r="I1613" s="1056">
        <v>-89882</v>
      </c>
      <c r="K1613" s="1037">
        <f t="shared" si="25"/>
        <v>6</v>
      </c>
    </row>
    <row r="1614" spans="1:11" ht="12.75">
      <c r="A1614" s="1054">
        <v>33050501</v>
      </c>
      <c r="B1614" s="1055" t="s">
        <v>893</v>
      </c>
      <c r="C1614" s="1055" t="s">
        <v>365</v>
      </c>
      <c r="D1614" s="1055" t="s">
        <v>893</v>
      </c>
      <c r="E1614" s="1055" t="s">
        <v>893</v>
      </c>
      <c r="F1614" s="1056">
        <v>-89882</v>
      </c>
      <c r="G1614" s="1056">
        <v>0</v>
      </c>
      <c r="H1614" s="1056">
        <v>0</v>
      </c>
      <c r="I1614" s="1056">
        <v>-89882</v>
      </c>
      <c r="K1614" s="1037">
        <f t="shared" si="25"/>
        <v>8</v>
      </c>
    </row>
    <row r="1615" spans="1:11" ht="12.75">
      <c r="A1615" s="1054">
        <v>36</v>
      </c>
      <c r="B1615" s="1055" t="s">
        <v>893</v>
      </c>
      <c r="C1615" s="1055" t="s">
        <v>536</v>
      </c>
      <c r="D1615" s="1055" t="s">
        <v>893</v>
      </c>
      <c r="E1615" s="1055" t="s">
        <v>893</v>
      </c>
      <c r="F1615" s="1056">
        <v>0</v>
      </c>
      <c r="G1615" s="1056">
        <v>0</v>
      </c>
      <c r="H1615" s="1056">
        <v>0</v>
      </c>
      <c r="I1615" s="1056">
        <v>0</v>
      </c>
      <c r="K1615" s="1037">
        <f t="shared" si="25"/>
        <v>2</v>
      </c>
    </row>
    <row r="1616" spans="1:11" ht="12.75">
      <c r="A1616" s="1054">
        <v>3605</v>
      </c>
      <c r="B1616" s="1055" t="s">
        <v>893</v>
      </c>
      <c r="C1616" s="1055" t="s">
        <v>537</v>
      </c>
      <c r="D1616" s="1055" t="s">
        <v>893</v>
      </c>
      <c r="E1616" s="1055" t="s">
        <v>893</v>
      </c>
      <c r="F1616" s="1056">
        <v>0</v>
      </c>
      <c r="G1616" s="1056">
        <v>0</v>
      </c>
      <c r="H1616" s="1056">
        <v>0</v>
      </c>
      <c r="I1616" s="1056">
        <v>0</v>
      </c>
      <c r="K1616" s="1037">
        <f t="shared" si="25"/>
        <v>4</v>
      </c>
    </row>
    <row r="1617" spans="1:11" ht="12.75">
      <c r="A1617" s="1054">
        <v>360501</v>
      </c>
      <c r="B1617" s="1055" t="s">
        <v>893</v>
      </c>
      <c r="C1617" s="1055" t="s">
        <v>537</v>
      </c>
      <c r="D1617" s="1055" t="s">
        <v>893</v>
      </c>
      <c r="E1617" s="1055" t="s">
        <v>893</v>
      </c>
      <c r="F1617" s="1056">
        <v>0</v>
      </c>
      <c r="G1617" s="1056">
        <v>0</v>
      </c>
      <c r="H1617" s="1056">
        <v>0</v>
      </c>
      <c r="I1617" s="1056">
        <v>0</v>
      </c>
      <c r="K1617" s="1037">
        <f t="shared" si="25"/>
        <v>6</v>
      </c>
    </row>
    <row r="1618" spans="1:11" ht="12.75">
      <c r="A1618" s="1054">
        <v>36050101</v>
      </c>
      <c r="B1618" s="1055" t="s">
        <v>893</v>
      </c>
      <c r="C1618" s="1055" t="s">
        <v>537</v>
      </c>
      <c r="D1618" s="1055" t="s">
        <v>893</v>
      </c>
      <c r="E1618" s="1055" t="s">
        <v>893</v>
      </c>
      <c r="F1618" s="1056">
        <v>0</v>
      </c>
      <c r="G1618" s="1056">
        <v>0</v>
      </c>
      <c r="H1618" s="1056">
        <v>0</v>
      </c>
      <c r="I1618" s="1056">
        <v>0</v>
      </c>
      <c r="K1618" s="1037">
        <f t="shared" si="25"/>
        <v>8</v>
      </c>
    </row>
    <row r="1619" spans="1:11" ht="12.75">
      <c r="A1619" s="1054">
        <v>37</v>
      </c>
      <c r="B1619" s="1055" t="s">
        <v>893</v>
      </c>
      <c r="C1619" s="1055" t="s">
        <v>538</v>
      </c>
      <c r="D1619" s="1055" t="s">
        <v>893</v>
      </c>
      <c r="E1619" s="1055" t="s">
        <v>893</v>
      </c>
      <c r="F1619" s="1056">
        <v>-464518</v>
      </c>
      <c r="G1619" s="1056">
        <v>0</v>
      </c>
      <c r="H1619" s="1056">
        <v>0</v>
      </c>
      <c r="I1619" s="1056">
        <v>-464518</v>
      </c>
      <c r="K1619" s="1037">
        <f t="shared" si="25"/>
        <v>2</v>
      </c>
    </row>
    <row r="1620" spans="1:11" ht="12.75">
      <c r="A1620" s="1054">
        <v>3705</v>
      </c>
      <c r="B1620" s="1055" t="s">
        <v>893</v>
      </c>
      <c r="C1620" s="1055" t="s">
        <v>403</v>
      </c>
      <c r="D1620" s="1055" t="s">
        <v>893</v>
      </c>
      <c r="E1620" s="1055" t="s">
        <v>893</v>
      </c>
      <c r="F1620" s="1056">
        <v>-521697</v>
      </c>
      <c r="G1620" s="1056">
        <v>0</v>
      </c>
      <c r="H1620" s="1056">
        <v>0</v>
      </c>
      <c r="I1620" s="1056">
        <v>-521697</v>
      </c>
      <c r="K1620" s="1037">
        <f t="shared" si="25"/>
        <v>4</v>
      </c>
    </row>
    <row r="1621" spans="1:11" ht="12.75">
      <c r="A1621" s="1054">
        <v>370501</v>
      </c>
      <c r="B1621" s="1055" t="s">
        <v>893</v>
      </c>
      <c r="C1621" s="1055" t="s">
        <v>403</v>
      </c>
      <c r="D1621" s="1055" t="s">
        <v>893</v>
      </c>
      <c r="E1621" s="1055" t="s">
        <v>893</v>
      </c>
      <c r="F1621" s="1056">
        <v>-521697</v>
      </c>
      <c r="G1621" s="1056">
        <v>0</v>
      </c>
      <c r="H1621" s="1056">
        <v>0</v>
      </c>
      <c r="I1621" s="1056">
        <v>-521697</v>
      </c>
      <c r="K1621" s="1037">
        <f t="shared" si="25"/>
        <v>6</v>
      </c>
    </row>
    <row r="1622" spans="1:11" ht="12.75">
      <c r="A1622" s="1054">
        <v>37050101</v>
      </c>
      <c r="B1622" s="1055" t="s">
        <v>1489</v>
      </c>
      <c r="C1622" s="1055" t="s">
        <v>756</v>
      </c>
      <c r="D1622" s="1055" t="s">
        <v>893</v>
      </c>
      <c r="E1622" s="1055" t="s">
        <v>893</v>
      </c>
      <c r="F1622" s="1056">
        <v>180000</v>
      </c>
      <c r="G1622" s="1056">
        <v>0</v>
      </c>
      <c r="H1622" s="1056">
        <v>0</v>
      </c>
      <c r="I1622" s="1056">
        <v>180000</v>
      </c>
      <c r="K1622" s="1037">
        <f t="shared" si="25"/>
        <v>8</v>
      </c>
    </row>
    <row r="1623" spans="1:11" ht="12.75">
      <c r="A1623" s="1054">
        <v>37050103</v>
      </c>
      <c r="B1623" s="1055" t="s">
        <v>1489</v>
      </c>
      <c r="C1623" s="1055" t="s">
        <v>757</v>
      </c>
      <c r="D1623" s="1055" t="s">
        <v>893</v>
      </c>
      <c r="E1623" s="1055" t="s">
        <v>893</v>
      </c>
      <c r="F1623" s="1056">
        <v>-93497</v>
      </c>
      <c r="G1623" s="1056">
        <v>0</v>
      </c>
      <c r="H1623" s="1056">
        <v>0</v>
      </c>
      <c r="I1623" s="1056">
        <v>-93497</v>
      </c>
      <c r="K1623" s="1037">
        <f t="shared" si="25"/>
        <v>8</v>
      </c>
    </row>
    <row r="1624" spans="1:11" ht="12.75">
      <c r="A1624" s="1054">
        <v>37050104</v>
      </c>
      <c r="B1624" s="1055" t="s">
        <v>1489</v>
      </c>
      <c r="C1624" s="1055" t="s">
        <v>758</v>
      </c>
      <c r="D1624" s="1055" t="s">
        <v>893</v>
      </c>
      <c r="E1624" s="1055" t="s">
        <v>893</v>
      </c>
      <c r="F1624" s="1056">
        <v>-92746</v>
      </c>
      <c r="G1624" s="1056">
        <v>0</v>
      </c>
      <c r="H1624" s="1056">
        <v>0</v>
      </c>
      <c r="I1624" s="1056">
        <v>-92746</v>
      </c>
      <c r="K1624" s="1037">
        <f t="shared" si="25"/>
        <v>8</v>
      </c>
    </row>
    <row r="1625" spans="1:11" ht="12.75">
      <c r="A1625" s="1054">
        <v>37050105</v>
      </c>
      <c r="B1625" s="1055" t="s">
        <v>1489</v>
      </c>
      <c r="C1625" s="1055" t="s">
        <v>759</v>
      </c>
      <c r="D1625" s="1055" t="s">
        <v>893</v>
      </c>
      <c r="E1625" s="1055" t="s">
        <v>893</v>
      </c>
      <c r="F1625" s="1056">
        <v>-128639</v>
      </c>
      <c r="G1625" s="1056">
        <v>0</v>
      </c>
      <c r="H1625" s="1056">
        <v>0</v>
      </c>
      <c r="I1625" s="1056">
        <v>-128639</v>
      </c>
      <c r="K1625" s="1037">
        <f t="shared" si="25"/>
        <v>8</v>
      </c>
    </row>
    <row r="1626" spans="1:11" ht="12.75">
      <c r="A1626" s="1054">
        <v>37050107</v>
      </c>
      <c r="B1626" s="1055" t="s">
        <v>1489</v>
      </c>
      <c r="C1626" s="1055" t="s">
        <v>760</v>
      </c>
      <c r="D1626" s="1055" t="s">
        <v>893</v>
      </c>
      <c r="E1626" s="1055" t="s">
        <v>893</v>
      </c>
      <c r="F1626" s="1056">
        <v>-107285</v>
      </c>
      <c r="G1626" s="1056">
        <v>0</v>
      </c>
      <c r="H1626" s="1056">
        <v>0</v>
      </c>
      <c r="I1626" s="1056">
        <v>-107285</v>
      </c>
      <c r="K1626" s="1037">
        <f t="shared" si="25"/>
        <v>8</v>
      </c>
    </row>
    <row r="1627" spans="1:11" ht="12.75">
      <c r="A1627" s="1054">
        <v>37050108</v>
      </c>
      <c r="B1627" s="1055" t="s">
        <v>1489</v>
      </c>
      <c r="C1627" s="1055" t="s">
        <v>880</v>
      </c>
      <c r="D1627" s="1055" t="s">
        <v>893</v>
      </c>
      <c r="E1627" s="1055" t="s">
        <v>893</v>
      </c>
      <c r="F1627" s="1056">
        <v>-135999</v>
      </c>
      <c r="G1627" s="1056">
        <v>0</v>
      </c>
      <c r="H1627" s="1056">
        <v>0</v>
      </c>
      <c r="I1627" s="1056">
        <v>-135999</v>
      </c>
      <c r="K1627" s="1037">
        <f t="shared" si="25"/>
        <v>8</v>
      </c>
    </row>
    <row r="1628" spans="1:11" ht="12.75">
      <c r="A1628" s="1054">
        <v>37050109</v>
      </c>
      <c r="B1628" s="1055" t="s">
        <v>1489</v>
      </c>
      <c r="C1628" s="1055" t="s">
        <v>1525</v>
      </c>
      <c r="D1628" s="1055" t="s">
        <v>893</v>
      </c>
      <c r="E1628" s="1055" t="s">
        <v>893</v>
      </c>
      <c r="F1628" s="1056">
        <v>-143530</v>
      </c>
      <c r="G1628" s="1056">
        <v>0</v>
      </c>
      <c r="H1628" s="1056">
        <v>0</v>
      </c>
      <c r="I1628" s="1056">
        <v>-143530</v>
      </c>
      <c r="K1628" s="1037">
        <f t="shared" si="25"/>
        <v>8</v>
      </c>
    </row>
    <row r="1629" spans="1:11" ht="12.75">
      <c r="A1629" s="1054">
        <v>3710</v>
      </c>
      <c r="B1629" s="1055" t="s">
        <v>893</v>
      </c>
      <c r="C1629" s="1055" t="s">
        <v>761</v>
      </c>
      <c r="D1629" s="1055" t="s">
        <v>893</v>
      </c>
      <c r="E1629" s="1055" t="s">
        <v>893</v>
      </c>
      <c r="F1629" s="1056">
        <v>40142</v>
      </c>
      <c r="G1629" s="1056">
        <v>0</v>
      </c>
      <c r="H1629" s="1056">
        <v>0</v>
      </c>
      <c r="I1629" s="1056">
        <v>40142</v>
      </c>
      <c r="K1629" s="1037">
        <f t="shared" si="25"/>
        <v>4</v>
      </c>
    </row>
    <row r="1630" spans="1:11" ht="12.75">
      <c r="A1630" s="1054">
        <v>371001</v>
      </c>
      <c r="B1630" s="1055" t="s">
        <v>893</v>
      </c>
      <c r="C1630" s="1055" t="s">
        <v>761</v>
      </c>
      <c r="D1630" s="1055" t="s">
        <v>893</v>
      </c>
      <c r="E1630" s="1055" t="s">
        <v>893</v>
      </c>
      <c r="F1630" s="1056">
        <v>40142</v>
      </c>
      <c r="G1630" s="1056">
        <v>0</v>
      </c>
      <c r="H1630" s="1056">
        <v>0</v>
      </c>
      <c r="I1630" s="1056">
        <v>40142</v>
      </c>
      <c r="K1630" s="1037">
        <f t="shared" si="25"/>
        <v>6</v>
      </c>
    </row>
    <row r="1631" spans="1:11" ht="12.75">
      <c r="A1631" s="1054">
        <v>37100102</v>
      </c>
      <c r="B1631" s="1055" t="s">
        <v>1489</v>
      </c>
      <c r="C1631" s="1055" t="s">
        <v>762</v>
      </c>
      <c r="D1631" s="1055" t="s">
        <v>893</v>
      </c>
      <c r="E1631" s="1055" t="s">
        <v>893</v>
      </c>
      <c r="F1631" s="1056">
        <v>40142</v>
      </c>
      <c r="G1631" s="1056">
        <v>0</v>
      </c>
      <c r="H1631" s="1056">
        <v>0</v>
      </c>
      <c r="I1631" s="1056">
        <v>40142</v>
      </c>
      <c r="K1631" s="1037">
        <f t="shared" si="25"/>
        <v>8</v>
      </c>
    </row>
    <row r="1632" spans="1:11" ht="12.75">
      <c r="A1632" s="1054">
        <v>3715</v>
      </c>
      <c r="B1632" s="1055" t="s">
        <v>1489</v>
      </c>
      <c r="C1632" s="1055" t="s">
        <v>126</v>
      </c>
      <c r="D1632" s="1055" t="s">
        <v>893</v>
      </c>
      <c r="E1632" s="1055" t="s">
        <v>893</v>
      </c>
      <c r="F1632" s="1056">
        <v>17036</v>
      </c>
      <c r="G1632" s="1056">
        <v>0</v>
      </c>
      <c r="H1632" s="1056">
        <v>0</v>
      </c>
      <c r="I1632" s="1056">
        <v>17036</v>
      </c>
      <c r="K1632" s="1037">
        <f t="shared" si="25"/>
        <v>4</v>
      </c>
    </row>
    <row r="1633" spans="1:11" ht="12.75">
      <c r="A1633" s="1054">
        <v>371505</v>
      </c>
      <c r="B1633" s="1055" t="s">
        <v>1489</v>
      </c>
      <c r="C1633" s="1055" t="s">
        <v>763</v>
      </c>
      <c r="D1633" s="1055" t="s">
        <v>893</v>
      </c>
      <c r="E1633" s="1055" t="s">
        <v>893</v>
      </c>
      <c r="F1633" s="1056">
        <v>-24077</v>
      </c>
      <c r="G1633" s="1056">
        <v>0</v>
      </c>
      <c r="H1633" s="1056">
        <v>0</v>
      </c>
      <c r="I1633" s="1056">
        <v>-24077</v>
      </c>
      <c r="K1633" s="1037">
        <f t="shared" si="25"/>
        <v>6</v>
      </c>
    </row>
    <row r="1634" spans="1:11" ht="12.75">
      <c r="A1634" s="1054">
        <v>371507</v>
      </c>
      <c r="B1634" s="1055" t="s">
        <v>1489</v>
      </c>
      <c r="C1634" s="1055" t="s">
        <v>764</v>
      </c>
      <c r="D1634" s="1055" t="s">
        <v>893</v>
      </c>
      <c r="E1634" s="1055" t="s">
        <v>893</v>
      </c>
      <c r="F1634" s="1056">
        <v>49890</v>
      </c>
      <c r="G1634" s="1056">
        <v>0</v>
      </c>
      <c r="H1634" s="1056">
        <v>0</v>
      </c>
      <c r="I1634" s="1056">
        <v>49890</v>
      </c>
      <c r="K1634" s="1037">
        <f t="shared" si="25"/>
        <v>6</v>
      </c>
    </row>
    <row r="1635" spans="1:11" ht="12.75">
      <c r="A1635" s="1054">
        <v>371507</v>
      </c>
      <c r="B1635" s="1055" t="s">
        <v>1489</v>
      </c>
      <c r="C1635" s="1055" t="s">
        <v>764</v>
      </c>
      <c r="D1635" s="1055" t="s">
        <v>1067</v>
      </c>
      <c r="E1635" s="1055" t="s">
        <v>1068</v>
      </c>
      <c r="F1635" s="1056">
        <v>49890</v>
      </c>
      <c r="G1635" s="1056">
        <v>0</v>
      </c>
      <c r="H1635" s="1056">
        <v>0</v>
      </c>
      <c r="I1635" s="1056">
        <v>49890</v>
      </c>
      <c r="K1635" s="1037">
        <f t="shared" si="25"/>
        <v>6</v>
      </c>
    </row>
    <row r="1636" spans="1:11" ht="12.75">
      <c r="A1636" s="1054">
        <v>371516</v>
      </c>
      <c r="B1636" s="1055" t="s">
        <v>1489</v>
      </c>
      <c r="C1636" s="1055" t="s">
        <v>738</v>
      </c>
      <c r="D1636" s="1055" t="s">
        <v>893</v>
      </c>
      <c r="E1636" s="1055" t="s">
        <v>893</v>
      </c>
      <c r="F1636" s="1056">
        <v>-8776</v>
      </c>
      <c r="G1636" s="1056">
        <v>0</v>
      </c>
      <c r="H1636" s="1056">
        <v>0</v>
      </c>
      <c r="I1636" s="1056">
        <v>-8776</v>
      </c>
      <c r="K1636" s="1037">
        <f t="shared" si="25"/>
        <v>6</v>
      </c>
    </row>
    <row r="1637" spans="1:11" ht="12.75">
      <c r="A1637" s="1054">
        <v>371516</v>
      </c>
      <c r="B1637" s="1055" t="s">
        <v>1489</v>
      </c>
      <c r="C1637" s="1055" t="s">
        <v>738</v>
      </c>
      <c r="D1637" s="1055" t="s">
        <v>1067</v>
      </c>
      <c r="E1637" s="1055" t="s">
        <v>1068</v>
      </c>
      <c r="F1637" s="1056">
        <v>-8776</v>
      </c>
      <c r="G1637" s="1056">
        <v>0</v>
      </c>
      <c r="H1637" s="1056">
        <v>0</v>
      </c>
      <c r="I1637" s="1056">
        <v>-8776</v>
      </c>
      <c r="K1637" s="1037">
        <f t="shared" si="25"/>
        <v>6</v>
      </c>
    </row>
    <row r="1638" spans="1:11" ht="12.75">
      <c r="A1638" s="1054">
        <v>4</v>
      </c>
      <c r="B1638" s="1055" t="s">
        <v>893</v>
      </c>
      <c r="C1638" s="1055" t="s">
        <v>127</v>
      </c>
      <c r="D1638" s="1055" t="s">
        <v>893</v>
      </c>
      <c r="E1638" s="1055" t="s">
        <v>893</v>
      </c>
      <c r="F1638" s="1056">
        <v>-2609680</v>
      </c>
      <c r="G1638" s="1056">
        <v>1599</v>
      </c>
      <c r="H1638" s="1056">
        <v>492426</v>
      </c>
      <c r="I1638" s="1056">
        <v>-3100507</v>
      </c>
      <c r="K1638" s="1037">
        <f t="shared" si="25"/>
        <v>1</v>
      </c>
    </row>
    <row r="1639" spans="1:11" ht="12.75">
      <c r="A1639" s="1054">
        <v>41</v>
      </c>
      <c r="B1639" s="1055" t="s">
        <v>893</v>
      </c>
      <c r="C1639" s="1055" t="s">
        <v>539</v>
      </c>
      <c r="D1639" s="1055" t="s">
        <v>893</v>
      </c>
      <c r="E1639" s="1055" t="s">
        <v>893</v>
      </c>
      <c r="F1639" s="1056">
        <v>-2562074</v>
      </c>
      <c r="G1639" s="1056">
        <v>1599</v>
      </c>
      <c r="H1639" s="1056">
        <v>481588</v>
      </c>
      <c r="I1639" s="1056">
        <v>-3042064</v>
      </c>
      <c r="J1639" s="996">
        <f t="shared" ref="J1639:J1672" si="26">+H1639-G1639</f>
        <v>479989</v>
      </c>
      <c r="K1639" s="1037">
        <f t="shared" si="25"/>
        <v>2</v>
      </c>
    </row>
    <row r="1640" spans="1:11" ht="12.75">
      <c r="A1640" s="1054">
        <v>4120</v>
      </c>
      <c r="B1640" s="1055" t="s">
        <v>893</v>
      </c>
      <c r="C1640" s="1055" t="s">
        <v>1764</v>
      </c>
      <c r="D1640" s="1055" t="s">
        <v>893</v>
      </c>
      <c r="E1640" s="1055" t="s">
        <v>893</v>
      </c>
      <c r="F1640" s="1056">
        <v>-2150</v>
      </c>
      <c r="G1640" s="1056">
        <v>0</v>
      </c>
      <c r="H1640" s="1056">
        <v>150</v>
      </c>
      <c r="I1640" s="1056">
        <v>-2300</v>
      </c>
      <c r="J1640" s="996">
        <f t="shared" si="26"/>
        <v>150</v>
      </c>
      <c r="K1640" s="1037">
        <f t="shared" si="25"/>
        <v>4</v>
      </c>
    </row>
    <row r="1641" spans="1:11" ht="12.75">
      <c r="A1641" s="1054">
        <v>412095</v>
      </c>
      <c r="B1641" s="1055" t="s">
        <v>893</v>
      </c>
      <c r="C1641" s="1055" t="s">
        <v>1765</v>
      </c>
      <c r="D1641" s="1055" t="s">
        <v>893</v>
      </c>
      <c r="E1641" s="1055" t="s">
        <v>893</v>
      </c>
      <c r="F1641" s="1056">
        <v>-2150</v>
      </c>
      <c r="G1641" s="1056">
        <v>0</v>
      </c>
      <c r="H1641" s="1056">
        <v>150</v>
      </c>
      <c r="I1641" s="1056">
        <v>-2300</v>
      </c>
      <c r="J1641" s="996">
        <f t="shared" si="26"/>
        <v>150</v>
      </c>
      <c r="K1641" s="1037">
        <f t="shared" si="25"/>
        <v>6</v>
      </c>
    </row>
    <row r="1642" spans="1:11" ht="12.75">
      <c r="A1642" s="1054">
        <v>41209502</v>
      </c>
      <c r="B1642" s="1055" t="s">
        <v>893</v>
      </c>
      <c r="C1642" s="1055" t="s">
        <v>366</v>
      </c>
      <c r="D1642" s="1055" t="s">
        <v>893</v>
      </c>
      <c r="E1642" s="1055" t="s">
        <v>893</v>
      </c>
      <c r="F1642" s="1056">
        <v>-2150</v>
      </c>
      <c r="G1642" s="1056">
        <v>0</v>
      </c>
      <c r="H1642" s="1056">
        <v>150</v>
      </c>
      <c r="I1642" s="1056">
        <v>-2300</v>
      </c>
      <c r="J1642" s="996">
        <f t="shared" si="26"/>
        <v>150</v>
      </c>
      <c r="K1642" s="1037">
        <f t="shared" si="25"/>
        <v>8</v>
      </c>
    </row>
    <row r="1643" spans="1:11" ht="12.75">
      <c r="A1643" s="1054">
        <v>41209502</v>
      </c>
      <c r="B1643" s="1055" t="s">
        <v>893</v>
      </c>
      <c r="C1643" s="1055" t="s">
        <v>366</v>
      </c>
      <c r="D1643" s="1055" t="s">
        <v>1034</v>
      </c>
      <c r="E1643" s="1055" t="s">
        <v>504</v>
      </c>
      <c r="F1643" s="1056">
        <v>-1950</v>
      </c>
      <c r="G1643" s="1056">
        <v>0</v>
      </c>
      <c r="H1643" s="1056">
        <v>0</v>
      </c>
      <c r="I1643" s="1056">
        <v>-1950</v>
      </c>
      <c r="J1643" s="996">
        <f t="shared" si="26"/>
        <v>0</v>
      </c>
      <c r="K1643" s="1037">
        <f t="shared" si="25"/>
        <v>8</v>
      </c>
    </row>
    <row r="1644" spans="1:11" ht="12.75">
      <c r="A1644" s="1054">
        <v>41209502</v>
      </c>
      <c r="B1644" s="1055" t="s">
        <v>893</v>
      </c>
      <c r="C1644" s="1055" t="s">
        <v>366</v>
      </c>
      <c r="D1644" s="1055" t="s">
        <v>1062</v>
      </c>
      <c r="E1644" s="1055" t="s">
        <v>510</v>
      </c>
      <c r="F1644" s="1056">
        <v>-200</v>
      </c>
      <c r="G1644" s="1056">
        <v>0</v>
      </c>
      <c r="H1644" s="1056">
        <v>0</v>
      </c>
      <c r="I1644" s="1056">
        <v>-200</v>
      </c>
      <c r="J1644" s="996">
        <f t="shared" si="26"/>
        <v>0</v>
      </c>
      <c r="K1644" s="1037">
        <f t="shared" si="25"/>
        <v>8</v>
      </c>
    </row>
    <row r="1645" spans="1:11" ht="12.75">
      <c r="A1645" s="1054">
        <v>41209502</v>
      </c>
      <c r="B1645" s="1055" t="s">
        <v>893</v>
      </c>
      <c r="C1645" s="1055" t="s">
        <v>366</v>
      </c>
      <c r="D1645" s="1055" t="s">
        <v>1374</v>
      </c>
      <c r="E1645" s="1055" t="s">
        <v>1375</v>
      </c>
      <c r="F1645" s="1056">
        <v>0</v>
      </c>
      <c r="G1645" s="1056">
        <v>0</v>
      </c>
      <c r="H1645" s="1056">
        <v>150</v>
      </c>
      <c r="I1645" s="1056">
        <v>-150</v>
      </c>
      <c r="J1645" s="996">
        <f t="shared" si="26"/>
        <v>150</v>
      </c>
      <c r="K1645" s="1037">
        <f t="shared" si="25"/>
        <v>8</v>
      </c>
    </row>
    <row r="1646" spans="1:11" ht="12.75">
      <c r="A1646" s="1054">
        <v>4135</v>
      </c>
      <c r="B1646" s="1055" t="s">
        <v>893</v>
      </c>
      <c r="C1646" s="1055" t="s">
        <v>432</v>
      </c>
      <c r="D1646" s="1055" t="s">
        <v>893</v>
      </c>
      <c r="E1646" s="1055" t="s">
        <v>893</v>
      </c>
      <c r="F1646" s="1056">
        <v>-2564687</v>
      </c>
      <c r="G1646" s="1056">
        <v>361</v>
      </c>
      <c r="H1646" s="1056">
        <v>481438</v>
      </c>
      <c r="I1646" s="1056">
        <v>-3045764</v>
      </c>
      <c r="J1646" s="996">
        <f t="shared" si="26"/>
        <v>481077</v>
      </c>
      <c r="K1646" s="1037">
        <f t="shared" si="25"/>
        <v>4</v>
      </c>
    </row>
    <row r="1647" spans="1:11" ht="12.75">
      <c r="A1647" s="1054">
        <v>413595</v>
      </c>
      <c r="B1647" s="1055" t="s">
        <v>893</v>
      </c>
      <c r="C1647" s="1055" t="s">
        <v>540</v>
      </c>
      <c r="D1647" s="1055" t="s">
        <v>893</v>
      </c>
      <c r="E1647" s="1055" t="s">
        <v>893</v>
      </c>
      <c r="F1647" s="1056">
        <v>-2564687</v>
      </c>
      <c r="G1647" s="1056">
        <v>361</v>
      </c>
      <c r="H1647" s="1056">
        <v>481438</v>
      </c>
      <c r="I1647" s="1056">
        <v>-3045764</v>
      </c>
      <c r="J1647" s="996">
        <f t="shared" si="26"/>
        <v>481077</v>
      </c>
      <c r="K1647" s="1037">
        <f t="shared" si="25"/>
        <v>6</v>
      </c>
    </row>
    <row r="1648" spans="1:11" ht="12.75">
      <c r="A1648" s="1054">
        <v>41359503</v>
      </c>
      <c r="B1648" s="1055" t="s">
        <v>1489</v>
      </c>
      <c r="C1648" s="1055" t="s">
        <v>541</v>
      </c>
      <c r="D1648" s="1055" t="s">
        <v>893</v>
      </c>
      <c r="E1648" s="1055" t="s">
        <v>893</v>
      </c>
      <c r="F1648" s="1056">
        <v>-2565076</v>
      </c>
      <c r="G1648" s="1056">
        <v>0</v>
      </c>
      <c r="H1648" s="1056">
        <v>481388</v>
      </c>
      <c r="I1648" s="1056">
        <v>-3046464</v>
      </c>
      <c r="J1648" s="996">
        <f t="shared" si="26"/>
        <v>481388</v>
      </c>
      <c r="K1648" s="1037">
        <f t="shared" si="25"/>
        <v>8</v>
      </c>
    </row>
    <row r="1649" spans="1:11" ht="12.75">
      <c r="A1649" s="1054">
        <v>41359503</v>
      </c>
      <c r="B1649" s="1055" t="s">
        <v>1489</v>
      </c>
      <c r="C1649" s="1055" t="s">
        <v>541</v>
      </c>
      <c r="D1649" s="1055" t="s">
        <v>1223</v>
      </c>
      <c r="E1649" s="1055" t="s">
        <v>742</v>
      </c>
      <c r="F1649" s="1056">
        <v>-2564271</v>
      </c>
      <c r="G1649" s="1056">
        <v>0</v>
      </c>
      <c r="H1649" s="1056">
        <v>481372</v>
      </c>
      <c r="I1649" s="1056">
        <v>-3045643</v>
      </c>
      <c r="J1649" s="996">
        <f t="shared" si="26"/>
        <v>481372</v>
      </c>
      <c r="K1649" s="1037">
        <f t="shared" si="25"/>
        <v>8</v>
      </c>
    </row>
    <row r="1650" spans="1:11" ht="12.75">
      <c r="A1650" s="1054">
        <v>41359503</v>
      </c>
      <c r="B1650" s="1055" t="s">
        <v>1489</v>
      </c>
      <c r="C1650" s="1055" t="s">
        <v>541</v>
      </c>
      <c r="D1650" s="1055" t="s">
        <v>1830</v>
      </c>
      <c r="E1650" s="1055" t="s">
        <v>1831</v>
      </c>
      <c r="F1650" s="1056">
        <v>-38</v>
      </c>
      <c r="G1650" s="1056">
        <v>0</v>
      </c>
      <c r="H1650" s="1056">
        <v>0</v>
      </c>
      <c r="I1650" s="1056">
        <v>-38</v>
      </c>
      <c r="J1650" s="996">
        <f t="shared" si="26"/>
        <v>0</v>
      </c>
      <c r="K1650" s="1037">
        <f t="shared" si="25"/>
        <v>8</v>
      </c>
    </row>
    <row r="1651" spans="1:11" ht="12.75">
      <c r="A1651" s="1054">
        <v>41359503</v>
      </c>
      <c r="B1651" s="1055" t="s">
        <v>1489</v>
      </c>
      <c r="C1651" s="1055" t="s">
        <v>541</v>
      </c>
      <c r="D1651" s="1055" t="s">
        <v>1676</v>
      </c>
      <c r="E1651" s="1055" t="s">
        <v>1677</v>
      </c>
      <c r="F1651" s="1056">
        <v>-23</v>
      </c>
      <c r="G1651" s="1056">
        <v>0</v>
      </c>
      <c r="H1651" s="1056">
        <v>0</v>
      </c>
      <c r="I1651" s="1056">
        <v>-23</v>
      </c>
      <c r="J1651" s="996">
        <f t="shared" si="26"/>
        <v>0</v>
      </c>
      <c r="K1651" s="1037">
        <f t="shared" si="25"/>
        <v>8</v>
      </c>
    </row>
    <row r="1652" spans="1:11" ht="12.75">
      <c r="A1652" s="1054">
        <v>41359503</v>
      </c>
      <c r="B1652" s="1055" t="s">
        <v>1489</v>
      </c>
      <c r="C1652" s="1055" t="s">
        <v>541</v>
      </c>
      <c r="D1652" s="1055" t="s">
        <v>1740</v>
      </c>
      <c r="E1652" s="1055" t="s">
        <v>1741</v>
      </c>
      <c r="F1652" s="1056">
        <v>-34</v>
      </c>
      <c r="G1652" s="1056">
        <v>0</v>
      </c>
      <c r="H1652" s="1056">
        <v>0</v>
      </c>
      <c r="I1652" s="1056">
        <v>-34</v>
      </c>
      <c r="J1652" s="996">
        <f t="shared" si="26"/>
        <v>0</v>
      </c>
      <c r="K1652" s="1037">
        <f t="shared" si="25"/>
        <v>8</v>
      </c>
    </row>
    <row r="1653" spans="1:11" ht="12.75">
      <c r="A1653" s="1054">
        <v>41359503</v>
      </c>
      <c r="B1653" s="1055" t="s">
        <v>1489</v>
      </c>
      <c r="C1653" s="1055" t="s">
        <v>541</v>
      </c>
      <c r="D1653" s="1055" t="s">
        <v>1742</v>
      </c>
      <c r="E1653" s="1055" t="s">
        <v>1743</v>
      </c>
      <c r="F1653" s="1056">
        <v>-72</v>
      </c>
      <c r="G1653" s="1056">
        <v>0</v>
      </c>
      <c r="H1653" s="1056">
        <v>0</v>
      </c>
      <c r="I1653" s="1056">
        <v>-72</v>
      </c>
      <c r="J1653" s="996">
        <f t="shared" si="26"/>
        <v>0</v>
      </c>
      <c r="K1653" s="1037">
        <f t="shared" si="25"/>
        <v>8</v>
      </c>
    </row>
    <row r="1654" spans="1:11" ht="12.75">
      <c r="A1654" s="1054">
        <v>41359503</v>
      </c>
      <c r="B1654" s="1055" t="s">
        <v>1489</v>
      </c>
      <c r="C1654" s="1055" t="s">
        <v>541</v>
      </c>
      <c r="D1654" s="1055" t="s">
        <v>1744</v>
      </c>
      <c r="E1654" s="1055" t="s">
        <v>1745</v>
      </c>
      <c r="F1654" s="1056">
        <v>-72</v>
      </c>
      <c r="G1654" s="1056">
        <v>0</v>
      </c>
      <c r="H1654" s="1056">
        <v>0</v>
      </c>
      <c r="I1654" s="1056">
        <v>-72</v>
      </c>
      <c r="J1654" s="996">
        <f t="shared" si="26"/>
        <v>0</v>
      </c>
      <c r="K1654" s="1037">
        <f t="shared" si="25"/>
        <v>8</v>
      </c>
    </row>
    <row r="1655" spans="1:11" ht="12.75">
      <c r="A1655" s="1054">
        <v>41359503</v>
      </c>
      <c r="B1655" s="1055" t="s">
        <v>1489</v>
      </c>
      <c r="C1655" s="1055" t="s">
        <v>541</v>
      </c>
      <c r="D1655" s="1055" t="s">
        <v>1832</v>
      </c>
      <c r="E1655" s="1055" t="s">
        <v>1833</v>
      </c>
      <c r="F1655" s="1056">
        <v>-163</v>
      </c>
      <c r="G1655" s="1056">
        <v>0</v>
      </c>
      <c r="H1655" s="1056">
        <v>0</v>
      </c>
      <c r="I1655" s="1056">
        <v>-163</v>
      </c>
      <c r="J1655" s="996">
        <f t="shared" si="26"/>
        <v>0</v>
      </c>
      <c r="K1655" s="1037">
        <f t="shared" si="25"/>
        <v>8</v>
      </c>
    </row>
    <row r="1656" spans="1:11" ht="12.75">
      <c r="A1656" s="1054">
        <v>41359503</v>
      </c>
      <c r="B1656" s="1055" t="s">
        <v>1489</v>
      </c>
      <c r="C1656" s="1055" t="s">
        <v>541</v>
      </c>
      <c r="D1656" s="1055" t="s">
        <v>1678</v>
      </c>
      <c r="E1656" s="1055" t="s">
        <v>1679</v>
      </c>
      <c r="F1656" s="1056">
        <v>-28</v>
      </c>
      <c r="G1656" s="1056">
        <v>0</v>
      </c>
      <c r="H1656" s="1056">
        <v>0</v>
      </c>
      <c r="I1656" s="1056">
        <v>-28</v>
      </c>
      <c r="J1656" s="996">
        <f t="shared" si="26"/>
        <v>0</v>
      </c>
      <c r="K1656" s="1037">
        <f t="shared" si="25"/>
        <v>8</v>
      </c>
    </row>
    <row r="1657" spans="1:11" ht="12.75">
      <c r="A1657" s="1054">
        <v>41359503</v>
      </c>
      <c r="B1657" s="1055" t="s">
        <v>1489</v>
      </c>
      <c r="C1657" s="1055" t="s">
        <v>541</v>
      </c>
      <c r="D1657" s="1055" t="s">
        <v>1516</v>
      </c>
      <c r="E1657" s="1055" t="s">
        <v>1517</v>
      </c>
      <c r="F1657" s="1056">
        <v>-35</v>
      </c>
      <c r="G1657" s="1056">
        <v>0</v>
      </c>
      <c r="H1657" s="1056">
        <v>0</v>
      </c>
      <c r="I1657" s="1056">
        <v>-35</v>
      </c>
      <c r="J1657" s="996">
        <f t="shared" si="26"/>
        <v>0</v>
      </c>
      <c r="K1657" s="1037">
        <f t="shared" si="25"/>
        <v>8</v>
      </c>
    </row>
    <row r="1658" spans="1:11" ht="12.75">
      <c r="A1658" s="1054">
        <v>41359503</v>
      </c>
      <c r="B1658" s="1055" t="s">
        <v>1489</v>
      </c>
      <c r="C1658" s="1055" t="s">
        <v>541</v>
      </c>
      <c r="D1658" s="1055" t="s">
        <v>1568</v>
      </c>
      <c r="E1658" s="1055" t="s">
        <v>1569</v>
      </c>
      <c r="F1658" s="1056">
        <v>-49</v>
      </c>
      <c r="G1658" s="1056">
        <v>0</v>
      </c>
      <c r="H1658" s="1056">
        <v>0</v>
      </c>
      <c r="I1658" s="1056">
        <v>-49</v>
      </c>
      <c r="J1658" s="996">
        <f t="shared" si="26"/>
        <v>0</v>
      </c>
      <c r="K1658" s="1037">
        <f t="shared" si="25"/>
        <v>8</v>
      </c>
    </row>
    <row r="1659" spans="1:11" ht="12.75">
      <c r="A1659" s="1054">
        <v>41359503</v>
      </c>
      <c r="B1659" s="1055" t="s">
        <v>1489</v>
      </c>
      <c r="C1659" s="1055" t="s">
        <v>541</v>
      </c>
      <c r="D1659" s="1055" t="s">
        <v>1570</v>
      </c>
      <c r="E1659" s="1055" t="s">
        <v>1571</v>
      </c>
      <c r="F1659" s="1056">
        <v>-117</v>
      </c>
      <c r="G1659" s="1056">
        <v>0</v>
      </c>
      <c r="H1659" s="1056">
        <v>0</v>
      </c>
      <c r="I1659" s="1056">
        <v>-117</v>
      </c>
      <c r="J1659" s="996">
        <f t="shared" si="26"/>
        <v>0</v>
      </c>
      <c r="K1659" s="1037">
        <f t="shared" si="25"/>
        <v>8</v>
      </c>
    </row>
    <row r="1660" spans="1:11" ht="12.75">
      <c r="A1660" s="1054">
        <v>41359503</v>
      </c>
      <c r="B1660" s="1055" t="s">
        <v>1489</v>
      </c>
      <c r="C1660" s="1055" t="s">
        <v>541</v>
      </c>
      <c r="D1660" s="1055" t="s">
        <v>1746</v>
      </c>
      <c r="E1660" s="1055" t="s">
        <v>1747</v>
      </c>
      <c r="F1660" s="1056">
        <v>-66</v>
      </c>
      <c r="G1660" s="1056">
        <v>0</v>
      </c>
      <c r="H1660" s="1056">
        <v>0</v>
      </c>
      <c r="I1660" s="1056">
        <v>-66</v>
      </c>
      <c r="J1660" s="996">
        <f t="shared" si="26"/>
        <v>0</v>
      </c>
      <c r="K1660" s="1037">
        <f t="shared" si="25"/>
        <v>8</v>
      </c>
    </row>
    <row r="1661" spans="1:11" ht="12.75">
      <c r="A1661" s="1054">
        <v>41359503</v>
      </c>
      <c r="B1661" s="1055" t="s">
        <v>1489</v>
      </c>
      <c r="C1661" s="1055" t="s">
        <v>541</v>
      </c>
      <c r="D1661" s="1055" t="s">
        <v>1889</v>
      </c>
      <c r="E1661" s="1055" t="s">
        <v>1890</v>
      </c>
      <c r="F1661" s="1056">
        <v>0</v>
      </c>
      <c r="G1661" s="1056">
        <v>0</v>
      </c>
      <c r="H1661" s="1056">
        <v>16</v>
      </c>
      <c r="I1661" s="1056">
        <v>-16</v>
      </c>
      <c r="J1661" s="996">
        <f t="shared" si="26"/>
        <v>16</v>
      </c>
      <c r="K1661" s="1037">
        <f t="shared" si="25"/>
        <v>8</v>
      </c>
    </row>
    <row r="1662" spans="1:11" ht="12.75">
      <c r="A1662" s="1054">
        <v>41359503</v>
      </c>
      <c r="B1662" s="1055" t="s">
        <v>1489</v>
      </c>
      <c r="C1662" s="1055" t="s">
        <v>541</v>
      </c>
      <c r="D1662" s="1055" t="s">
        <v>1748</v>
      </c>
      <c r="E1662" s="1055" t="s">
        <v>1749</v>
      </c>
      <c r="F1662" s="1056">
        <v>-18</v>
      </c>
      <c r="G1662" s="1056">
        <v>0</v>
      </c>
      <c r="H1662" s="1056">
        <v>0</v>
      </c>
      <c r="I1662" s="1056">
        <v>-18</v>
      </c>
      <c r="J1662" s="996">
        <f t="shared" si="26"/>
        <v>0</v>
      </c>
      <c r="K1662" s="1037">
        <f t="shared" si="25"/>
        <v>8</v>
      </c>
    </row>
    <row r="1663" spans="1:11" ht="12.75">
      <c r="A1663" s="1054">
        <v>41359503</v>
      </c>
      <c r="B1663" s="1055" t="s">
        <v>1489</v>
      </c>
      <c r="C1663" s="1055" t="s">
        <v>541</v>
      </c>
      <c r="D1663" s="1055" t="s">
        <v>1750</v>
      </c>
      <c r="E1663" s="1055" t="s">
        <v>1751</v>
      </c>
      <c r="F1663" s="1056">
        <v>-23</v>
      </c>
      <c r="G1663" s="1056">
        <v>0</v>
      </c>
      <c r="H1663" s="1056">
        <v>0</v>
      </c>
      <c r="I1663" s="1056">
        <v>-23</v>
      </c>
      <c r="J1663" s="996">
        <f t="shared" si="26"/>
        <v>0</v>
      </c>
      <c r="K1663" s="1037">
        <f t="shared" si="25"/>
        <v>8</v>
      </c>
    </row>
    <row r="1664" spans="1:11" ht="12.75">
      <c r="A1664" s="1054">
        <v>41359503</v>
      </c>
      <c r="B1664" s="1055" t="s">
        <v>1489</v>
      </c>
      <c r="C1664" s="1055" t="s">
        <v>541</v>
      </c>
      <c r="D1664" s="1055" t="s">
        <v>1680</v>
      </c>
      <c r="E1664" s="1055" t="s">
        <v>1681</v>
      </c>
      <c r="F1664" s="1056">
        <v>-68</v>
      </c>
      <c r="G1664" s="1056">
        <v>0</v>
      </c>
      <c r="H1664" s="1056">
        <v>0</v>
      </c>
      <c r="I1664" s="1056">
        <v>-68</v>
      </c>
      <c r="J1664" s="996">
        <f t="shared" si="26"/>
        <v>0</v>
      </c>
      <c r="K1664" s="1037">
        <f t="shared" si="25"/>
        <v>8</v>
      </c>
    </row>
    <row r="1665" spans="1:11" ht="12.75">
      <c r="A1665" s="1054">
        <v>41359511</v>
      </c>
      <c r="B1665" s="1055" t="s">
        <v>1489</v>
      </c>
      <c r="C1665" s="1055" t="s">
        <v>580</v>
      </c>
      <c r="D1665" s="1055" t="s">
        <v>893</v>
      </c>
      <c r="E1665" s="1055" t="s">
        <v>893</v>
      </c>
      <c r="F1665" s="1056">
        <v>-166</v>
      </c>
      <c r="G1665" s="1056">
        <v>0</v>
      </c>
      <c r="H1665" s="1056">
        <v>0</v>
      </c>
      <c r="I1665" s="1056">
        <v>-166</v>
      </c>
      <c r="J1665" s="996">
        <f t="shared" si="26"/>
        <v>0</v>
      </c>
      <c r="K1665" s="1037">
        <f t="shared" si="25"/>
        <v>8</v>
      </c>
    </row>
    <row r="1666" spans="1:11" ht="12.75">
      <c r="A1666" s="1054">
        <v>41359511</v>
      </c>
      <c r="B1666" s="1055" t="s">
        <v>1489</v>
      </c>
      <c r="C1666" s="1055" t="s">
        <v>580</v>
      </c>
      <c r="D1666" s="1055" t="s">
        <v>1271</v>
      </c>
      <c r="E1666" s="1055" t="s">
        <v>782</v>
      </c>
      <c r="F1666" s="1056">
        <v>-13</v>
      </c>
      <c r="G1666" s="1056">
        <v>0</v>
      </c>
      <c r="H1666" s="1056">
        <v>0</v>
      </c>
      <c r="I1666" s="1056">
        <v>-13</v>
      </c>
      <c r="J1666" s="996">
        <f t="shared" si="26"/>
        <v>0</v>
      </c>
      <c r="K1666" s="1037">
        <f t="shared" si="25"/>
        <v>8</v>
      </c>
    </row>
    <row r="1667" spans="1:11" ht="12.75">
      <c r="A1667" s="1054">
        <v>41359511</v>
      </c>
      <c r="B1667" s="1055" t="s">
        <v>1489</v>
      </c>
      <c r="C1667" s="1055" t="s">
        <v>580</v>
      </c>
      <c r="D1667" s="1055" t="s">
        <v>1043</v>
      </c>
      <c r="E1667" s="1055" t="s">
        <v>318</v>
      </c>
      <c r="F1667" s="1056">
        <v>-86</v>
      </c>
      <c r="G1667" s="1056">
        <v>0</v>
      </c>
      <c r="H1667" s="1056">
        <v>0</v>
      </c>
      <c r="I1667" s="1056">
        <v>-86</v>
      </c>
      <c r="J1667" s="996">
        <f t="shared" si="26"/>
        <v>0</v>
      </c>
      <c r="K1667" s="1037">
        <f t="shared" si="25"/>
        <v>8</v>
      </c>
    </row>
    <row r="1668" spans="1:11" ht="12.75">
      <c r="A1668" s="1054">
        <v>41359511</v>
      </c>
      <c r="B1668" s="1055" t="s">
        <v>1489</v>
      </c>
      <c r="C1668" s="1055" t="s">
        <v>580</v>
      </c>
      <c r="D1668" s="1055" t="s">
        <v>1306</v>
      </c>
      <c r="E1668" s="1055" t="s">
        <v>997</v>
      </c>
      <c r="F1668" s="1056">
        <v>-67</v>
      </c>
      <c r="G1668" s="1056">
        <v>0</v>
      </c>
      <c r="H1668" s="1056">
        <v>0</v>
      </c>
      <c r="I1668" s="1056">
        <v>-67</v>
      </c>
      <c r="J1668" s="996">
        <f t="shared" si="26"/>
        <v>0</v>
      </c>
      <c r="K1668" s="1037">
        <f t="shared" si="25"/>
        <v>8</v>
      </c>
    </row>
    <row r="1669" spans="1:11" ht="12.75">
      <c r="A1669" s="1054">
        <v>41359599</v>
      </c>
      <c r="B1669" s="1055" t="s">
        <v>1489</v>
      </c>
      <c r="C1669" s="1055" t="s">
        <v>918</v>
      </c>
      <c r="D1669" s="1055" t="s">
        <v>893</v>
      </c>
      <c r="E1669" s="1055" t="s">
        <v>893</v>
      </c>
      <c r="F1669" s="1056">
        <v>554</v>
      </c>
      <c r="G1669" s="1056">
        <v>361</v>
      </c>
      <c r="H1669" s="1056">
        <v>50</v>
      </c>
      <c r="I1669" s="1056">
        <v>865</v>
      </c>
      <c r="J1669" s="996">
        <f t="shared" si="26"/>
        <v>-311</v>
      </c>
      <c r="K1669" s="1037">
        <f t="shared" ref="K1669:K1732" si="27">+LEN(A1669)</f>
        <v>8</v>
      </c>
    </row>
    <row r="1670" spans="1:11" ht="12.75">
      <c r="A1670" s="1054">
        <v>41359599</v>
      </c>
      <c r="B1670" s="1055" t="s">
        <v>1489</v>
      </c>
      <c r="C1670" s="1055" t="s">
        <v>918</v>
      </c>
      <c r="D1670" s="1055" t="s">
        <v>1223</v>
      </c>
      <c r="E1670" s="1055" t="s">
        <v>742</v>
      </c>
      <c r="F1670" s="1056">
        <v>554</v>
      </c>
      <c r="G1670" s="1056">
        <v>361</v>
      </c>
      <c r="H1670" s="1056">
        <v>50</v>
      </c>
      <c r="I1670" s="1056">
        <v>865</v>
      </c>
      <c r="J1670" s="996">
        <f t="shared" si="26"/>
        <v>-311</v>
      </c>
      <c r="K1670" s="1037">
        <f t="shared" si="27"/>
        <v>8</v>
      </c>
    </row>
    <row r="1671" spans="1:11" ht="12.75">
      <c r="A1671" s="1054">
        <v>4175</v>
      </c>
      <c r="B1671" s="1055" t="s">
        <v>893</v>
      </c>
      <c r="C1671" s="1055" t="s">
        <v>367</v>
      </c>
      <c r="D1671" s="1055" t="s">
        <v>893</v>
      </c>
      <c r="E1671" s="1055" t="s">
        <v>893</v>
      </c>
      <c r="F1671" s="1056">
        <v>4763</v>
      </c>
      <c r="G1671" s="1056">
        <v>1237</v>
      </c>
      <c r="H1671" s="1056">
        <v>0</v>
      </c>
      <c r="I1671" s="1056">
        <v>6000</v>
      </c>
      <c r="J1671" s="996">
        <f t="shared" si="26"/>
        <v>-1237</v>
      </c>
      <c r="K1671" s="1037">
        <f t="shared" si="27"/>
        <v>4</v>
      </c>
    </row>
    <row r="1672" spans="1:11" ht="12.75">
      <c r="A1672" s="1054">
        <v>417505</v>
      </c>
      <c r="B1672" s="1055" t="s">
        <v>893</v>
      </c>
      <c r="C1672" s="1055" t="s">
        <v>368</v>
      </c>
      <c r="D1672" s="1055" t="s">
        <v>893</v>
      </c>
      <c r="E1672" s="1055" t="s">
        <v>893</v>
      </c>
      <c r="F1672" s="1056">
        <v>4763</v>
      </c>
      <c r="G1672" s="1056">
        <v>1237</v>
      </c>
      <c r="H1672" s="1056">
        <v>0</v>
      </c>
      <c r="I1672" s="1056">
        <v>6000</v>
      </c>
      <c r="J1672" s="996">
        <f t="shared" si="26"/>
        <v>-1237</v>
      </c>
      <c r="K1672" s="1037">
        <f t="shared" si="27"/>
        <v>6</v>
      </c>
    </row>
    <row r="1673" spans="1:11" ht="12.75">
      <c r="A1673" s="1054">
        <v>41750599</v>
      </c>
      <c r="B1673" s="1055" t="s">
        <v>1489</v>
      </c>
      <c r="C1673" s="1055" t="s">
        <v>919</v>
      </c>
      <c r="D1673" s="1055" t="s">
        <v>893</v>
      </c>
      <c r="E1673" s="1055" t="s">
        <v>893</v>
      </c>
      <c r="F1673" s="1056">
        <v>4763</v>
      </c>
      <c r="G1673" s="1056">
        <v>1237</v>
      </c>
      <c r="H1673" s="1056">
        <v>0</v>
      </c>
      <c r="I1673" s="1056">
        <v>6000</v>
      </c>
      <c r="J1673" s="996">
        <f t="shared" ref="J1673:J1736" si="28">+H1673-G1673</f>
        <v>-1237</v>
      </c>
      <c r="K1673" s="1037">
        <f t="shared" si="27"/>
        <v>8</v>
      </c>
    </row>
    <row r="1674" spans="1:11" ht="12.75">
      <c r="A1674" s="1054">
        <v>41750599</v>
      </c>
      <c r="B1674" s="1055" t="s">
        <v>1489</v>
      </c>
      <c r="C1674" s="1055" t="s">
        <v>919</v>
      </c>
      <c r="D1674" s="1055" t="s">
        <v>1223</v>
      </c>
      <c r="E1674" s="1055" t="s">
        <v>742</v>
      </c>
      <c r="F1674" s="1056">
        <v>4763</v>
      </c>
      <c r="G1674" s="1056">
        <v>1237</v>
      </c>
      <c r="H1674" s="1056">
        <v>0</v>
      </c>
      <c r="I1674" s="1056">
        <v>6000</v>
      </c>
      <c r="J1674" s="996">
        <f t="shared" si="28"/>
        <v>-1237</v>
      </c>
      <c r="K1674" s="1037">
        <f t="shared" si="27"/>
        <v>8</v>
      </c>
    </row>
    <row r="1675" spans="1:11" ht="12.75">
      <c r="A1675" s="1054">
        <v>42</v>
      </c>
      <c r="B1675" s="1055" t="s">
        <v>893</v>
      </c>
      <c r="C1675" s="1055" t="s">
        <v>369</v>
      </c>
      <c r="D1675" s="1055" t="s">
        <v>893</v>
      </c>
      <c r="E1675" s="1055" t="s">
        <v>893</v>
      </c>
      <c r="F1675" s="1056">
        <v>-45733</v>
      </c>
      <c r="G1675" s="1056">
        <v>0</v>
      </c>
      <c r="H1675" s="1056">
        <v>10755</v>
      </c>
      <c r="I1675" s="1056">
        <v>-56488</v>
      </c>
      <c r="J1675" s="996">
        <f t="shared" si="28"/>
        <v>10755</v>
      </c>
      <c r="K1675" s="1037">
        <f t="shared" si="27"/>
        <v>2</v>
      </c>
    </row>
    <row r="1676" spans="1:11" ht="12.75">
      <c r="A1676" s="1054">
        <v>4220</v>
      </c>
      <c r="B1676" s="1055" t="s">
        <v>893</v>
      </c>
      <c r="C1676" s="1055" t="s">
        <v>119</v>
      </c>
      <c r="D1676" s="1055" t="s">
        <v>893</v>
      </c>
      <c r="E1676" s="1055" t="s">
        <v>893</v>
      </c>
      <c r="F1676" s="1056">
        <v>-25492</v>
      </c>
      <c r="G1676" s="1056">
        <v>0</v>
      </c>
      <c r="H1676" s="1056">
        <v>9133</v>
      </c>
      <c r="I1676" s="1056">
        <v>-34625</v>
      </c>
      <c r="J1676" s="996">
        <f t="shared" si="28"/>
        <v>9133</v>
      </c>
      <c r="K1676" s="1037">
        <f t="shared" si="27"/>
        <v>4</v>
      </c>
    </row>
    <row r="1677" spans="1:11" ht="12.75">
      <c r="A1677" s="1054">
        <v>422010</v>
      </c>
      <c r="B1677" s="1055" t="s">
        <v>893</v>
      </c>
      <c r="C1677" s="1055" t="s">
        <v>1526</v>
      </c>
      <c r="D1677" s="1055" t="s">
        <v>893</v>
      </c>
      <c r="E1677" s="1055" t="s">
        <v>893</v>
      </c>
      <c r="F1677" s="1056">
        <v>-25492</v>
      </c>
      <c r="G1677" s="1056">
        <v>0</v>
      </c>
      <c r="H1677" s="1056">
        <v>9133</v>
      </c>
      <c r="I1677" s="1056">
        <v>-34625</v>
      </c>
      <c r="J1677" s="996">
        <f t="shared" si="28"/>
        <v>9133</v>
      </c>
      <c r="K1677" s="1037">
        <f t="shared" si="27"/>
        <v>6</v>
      </c>
    </row>
    <row r="1678" spans="1:11" ht="12.75">
      <c r="A1678" s="1054">
        <v>42201001</v>
      </c>
      <c r="B1678" s="1055" t="s">
        <v>893</v>
      </c>
      <c r="C1678" s="1055" t="s">
        <v>1526</v>
      </c>
      <c r="D1678" s="1055" t="s">
        <v>893</v>
      </c>
      <c r="E1678" s="1055" t="s">
        <v>893</v>
      </c>
      <c r="F1678" s="1056">
        <v>-20913</v>
      </c>
      <c r="G1678" s="1056">
        <v>0</v>
      </c>
      <c r="H1678" s="1056">
        <v>9133</v>
      </c>
      <c r="I1678" s="1056">
        <v>-30046</v>
      </c>
      <c r="J1678" s="996">
        <f t="shared" si="28"/>
        <v>9133</v>
      </c>
      <c r="K1678" s="1037">
        <f t="shared" si="27"/>
        <v>8</v>
      </c>
    </row>
    <row r="1679" spans="1:11" ht="12.75">
      <c r="A1679" s="1054">
        <v>42201001</v>
      </c>
      <c r="B1679" s="1055" t="s">
        <v>893</v>
      </c>
      <c r="C1679" s="1055" t="s">
        <v>1526</v>
      </c>
      <c r="D1679" s="1055" t="s">
        <v>1491</v>
      </c>
      <c r="E1679" s="1055" t="s">
        <v>1492</v>
      </c>
      <c r="F1679" s="1056">
        <v>-18507</v>
      </c>
      <c r="G1679" s="1056">
        <v>0</v>
      </c>
      <c r="H1679" s="1056">
        <v>9133</v>
      </c>
      <c r="I1679" s="1056">
        <v>-27640</v>
      </c>
      <c r="J1679" s="996">
        <f t="shared" si="28"/>
        <v>9133</v>
      </c>
      <c r="K1679" s="1037">
        <f t="shared" si="27"/>
        <v>8</v>
      </c>
    </row>
    <row r="1680" spans="1:11" ht="12.75">
      <c r="A1680" s="1054">
        <v>42201001</v>
      </c>
      <c r="B1680" s="1055" t="s">
        <v>893</v>
      </c>
      <c r="C1680" s="1055" t="s">
        <v>1526</v>
      </c>
      <c r="D1680" s="1055" t="s">
        <v>1510</v>
      </c>
      <c r="E1680" s="1055" t="s">
        <v>1511</v>
      </c>
      <c r="F1680" s="1056">
        <v>-2405</v>
      </c>
      <c r="G1680" s="1056">
        <v>0</v>
      </c>
      <c r="H1680" s="1056">
        <v>0</v>
      </c>
      <c r="I1680" s="1056">
        <v>-2405</v>
      </c>
      <c r="J1680" s="996">
        <f t="shared" si="28"/>
        <v>0</v>
      </c>
      <c r="K1680" s="1037">
        <f t="shared" si="27"/>
        <v>8</v>
      </c>
    </row>
    <row r="1681" spans="1:11" ht="12.75">
      <c r="A1681" s="1054">
        <v>42201002</v>
      </c>
      <c r="B1681" s="1055" t="s">
        <v>1489</v>
      </c>
      <c r="C1681" s="1055" t="s">
        <v>1527</v>
      </c>
      <c r="D1681" s="1055" t="s">
        <v>893</v>
      </c>
      <c r="E1681" s="1055" t="s">
        <v>893</v>
      </c>
      <c r="F1681" s="1056">
        <v>-4579</v>
      </c>
      <c r="G1681" s="1056">
        <v>0</v>
      </c>
      <c r="H1681" s="1056">
        <v>0</v>
      </c>
      <c r="I1681" s="1056">
        <v>-4579</v>
      </c>
      <c r="J1681" s="996">
        <f t="shared" si="28"/>
        <v>0</v>
      </c>
      <c r="K1681" s="1037">
        <f t="shared" si="27"/>
        <v>8</v>
      </c>
    </row>
    <row r="1682" spans="1:11" ht="12.75">
      <c r="A1682" s="1054">
        <v>42201002</v>
      </c>
      <c r="B1682" s="1055" t="s">
        <v>1489</v>
      </c>
      <c r="C1682" s="1055" t="s">
        <v>1527</v>
      </c>
      <c r="D1682" s="1055" t="s">
        <v>1491</v>
      </c>
      <c r="E1682" s="1055" t="s">
        <v>1492</v>
      </c>
      <c r="F1682" s="1056">
        <v>-4579</v>
      </c>
      <c r="G1682" s="1056">
        <v>0</v>
      </c>
      <c r="H1682" s="1056">
        <v>0</v>
      </c>
      <c r="I1682" s="1056">
        <v>-4579</v>
      </c>
      <c r="J1682" s="996">
        <f t="shared" si="28"/>
        <v>0</v>
      </c>
      <c r="K1682" s="1037">
        <f t="shared" si="27"/>
        <v>8</v>
      </c>
    </row>
    <row r="1683" spans="1:11" ht="12.75">
      <c r="A1683" s="1054">
        <v>4235</v>
      </c>
      <c r="B1683" s="1055" t="s">
        <v>1489</v>
      </c>
      <c r="C1683" s="1055" t="s">
        <v>765</v>
      </c>
      <c r="D1683" s="1055" t="s">
        <v>893</v>
      </c>
      <c r="E1683" s="1055" t="s">
        <v>893</v>
      </c>
      <c r="F1683" s="1056">
        <v>-15893</v>
      </c>
      <c r="G1683" s="1056">
        <v>0</v>
      </c>
      <c r="H1683" s="1056">
        <v>899</v>
      </c>
      <c r="I1683" s="1056">
        <v>-16792</v>
      </c>
      <c r="J1683" s="996">
        <f t="shared" si="28"/>
        <v>899</v>
      </c>
      <c r="K1683" s="1037">
        <f t="shared" si="27"/>
        <v>4</v>
      </c>
    </row>
    <row r="1684" spans="1:11" ht="12.75">
      <c r="A1684" s="1054">
        <v>423520</v>
      </c>
      <c r="B1684" s="1055" t="s">
        <v>893</v>
      </c>
      <c r="C1684" s="1055" t="s">
        <v>1688</v>
      </c>
      <c r="D1684" s="1055" t="s">
        <v>893</v>
      </c>
      <c r="E1684" s="1055" t="s">
        <v>893</v>
      </c>
      <c r="F1684" s="1056">
        <v>-2697</v>
      </c>
      <c r="G1684" s="1056">
        <v>0</v>
      </c>
      <c r="H1684" s="1056">
        <v>899</v>
      </c>
      <c r="I1684" s="1056">
        <v>-3596</v>
      </c>
      <c r="J1684" s="996">
        <f t="shared" si="28"/>
        <v>899</v>
      </c>
      <c r="K1684" s="1037">
        <f t="shared" si="27"/>
        <v>6</v>
      </c>
    </row>
    <row r="1685" spans="1:11" ht="12.75">
      <c r="A1685" s="1054">
        <v>42352001</v>
      </c>
      <c r="B1685" s="1055" t="s">
        <v>893</v>
      </c>
      <c r="C1685" s="1055" t="s">
        <v>1688</v>
      </c>
      <c r="D1685" s="1055" t="s">
        <v>893</v>
      </c>
      <c r="E1685" s="1055" t="s">
        <v>893</v>
      </c>
      <c r="F1685" s="1056">
        <v>-2697</v>
      </c>
      <c r="G1685" s="1056">
        <v>0</v>
      </c>
      <c r="H1685" s="1056">
        <v>899</v>
      </c>
      <c r="I1685" s="1056">
        <v>-3596</v>
      </c>
      <c r="J1685" s="996">
        <f t="shared" si="28"/>
        <v>899</v>
      </c>
      <c r="K1685" s="1037">
        <f t="shared" si="27"/>
        <v>8</v>
      </c>
    </row>
    <row r="1686" spans="1:11" ht="12.75">
      <c r="A1686" s="1054">
        <v>42352001</v>
      </c>
      <c r="B1686" s="1055" t="s">
        <v>893</v>
      </c>
      <c r="C1686" s="1055" t="s">
        <v>1688</v>
      </c>
      <c r="D1686" s="1055" t="s">
        <v>1062</v>
      </c>
      <c r="E1686" s="1055" t="s">
        <v>510</v>
      </c>
      <c r="F1686" s="1056">
        <v>-2697</v>
      </c>
      <c r="G1686" s="1056">
        <v>0</v>
      </c>
      <c r="H1686" s="1056">
        <v>899</v>
      </c>
      <c r="I1686" s="1056">
        <v>-3596</v>
      </c>
      <c r="J1686" s="996">
        <f t="shared" si="28"/>
        <v>899</v>
      </c>
      <c r="K1686" s="1037">
        <f t="shared" si="27"/>
        <v>8</v>
      </c>
    </row>
    <row r="1687" spans="1:11" ht="12.75">
      <c r="A1687" s="1054">
        <v>423580</v>
      </c>
      <c r="B1687" s="1055" t="s">
        <v>893</v>
      </c>
      <c r="C1687" s="1055" t="s">
        <v>366</v>
      </c>
      <c r="D1687" s="1055" t="s">
        <v>893</v>
      </c>
      <c r="E1687" s="1055" t="s">
        <v>893</v>
      </c>
      <c r="F1687" s="1056">
        <v>-1798</v>
      </c>
      <c r="G1687" s="1056">
        <v>0</v>
      </c>
      <c r="H1687" s="1056">
        <v>0</v>
      </c>
      <c r="I1687" s="1056">
        <v>-1798</v>
      </c>
      <c r="J1687" s="996">
        <f t="shared" si="28"/>
        <v>0</v>
      </c>
      <c r="K1687" s="1037">
        <f t="shared" si="27"/>
        <v>6</v>
      </c>
    </row>
    <row r="1688" spans="1:11" ht="12.75">
      <c r="A1688" s="1054">
        <v>42358001</v>
      </c>
      <c r="B1688" s="1055" t="s">
        <v>893</v>
      </c>
      <c r="C1688" s="1055" t="s">
        <v>366</v>
      </c>
      <c r="D1688" s="1055" t="s">
        <v>893</v>
      </c>
      <c r="E1688" s="1055" t="s">
        <v>893</v>
      </c>
      <c r="F1688" s="1056">
        <v>-1798</v>
      </c>
      <c r="G1688" s="1056">
        <v>0</v>
      </c>
      <c r="H1688" s="1056">
        <v>0</v>
      </c>
      <c r="I1688" s="1056">
        <v>-1798</v>
      </c>
      <c r="J1688" s="996">
        <f t="shared" si="28"/>
        <v>0</v>
      </c>
      <c r="K1688" s="1037">
        <f t="shared" si="27"/>
        <v>8</v>
      </c>
    </row>
    <row r="1689" spans="1:11" ht="12.75">
      <c r="A1689" s="1054">
        <v>42358001</v>
      </c>
      <c r="B1689" s="1055" t="s">
        <v>893</v>
      </c>
      <c r="C1689" s="1055" t="s">
        <v>366</v>
      </c>
      <c r="D1689" s="1055" t="s">
        <v>1062</v>
      </c>
      <c r="E1689" s="1055" t="s">
        <v>510</v>
      </c>
      <c r="F1689" s="1056">
        <v>-1798</v>
      </c>
      <c r="G1689" s="1056">
        <v>0</v>
      </c>
      <c r="H1689" s="1056">
        <v>0</v>
      </c>
      <c r="I1689" s="1056">
        <v>-1798</v>
      </c>
      <c r="J1689" s="996">
        <f t="shared" si="28"/>
        <v>0</v>
      </c>
      <c r="K1689" s="1037">
        <f t="shared" si="27"/>
        <v>8</v>
      </c>
    </row>
    <row r="1690" spans="1:11" ht="12.75">
      <c r="A1690" s="1054">
        <v>423596</v>
      </c>
      <c r="B1690" s="1055" t="s">
        <v>1489</v>
      </c>
      <c r="C1690" s="1055" t="s">
        <v>766</v>
      </c>
      <c r="D1690" s="1055" t="s">
        <v>893</v>
      </c>
      <c r="E1690" s="1055" t="s">
        <v>893</v>
      </c>
      <c r="F1690" s="1056">
        <v>-11398</v>
      </c>
      <c r="G1690" s="1056">
        <v>0</v>
      </c>
      <c r="H1690" s="1056">
        <v>0</v>
      </c>
      <c r="I1690" s="1056">
        <v>-11398</v>
      </c>
      <c r="J1690" s="996">
        <f t="shared" si="28"/>
        <v>0</v>
      </c>
      <c r="K1690" s="1037">
        <f t="shared" si="27"/>
        <v>6</v>
      </c>
    </row>
    <row r="1691" spans="1:11" ht="12.75">
      <c r="A1691" s="1054">
        <v>42359604</v>
      </c>
      <c r="B1691" s="1055" t="s">
        <v>1489</v>
      </c>
      <c r="C1691" s="1055" t="s">
        <v>783</v>
      </c>
      <c r="D1691" s="1055" t="s">
        <v>893</v>
      </c>
      <c r="E1691" s="1055" t="s">
        <v>893</v>
      </c>
      <c r="F1691" s="1056">
        <v>-11398</v>
      </c>
      <c r="G1691" s="1056">
        <v>0</v>
      </c>
      <c r="H1691" s="1056">
        <v>0</v>
      </c>
      <c r="I1691" s="1056">
        <v>-11398</v>
      </c>
      <c r="J1691" s="996">
        <f t="shared" si="28"/>
        <v>0</v>
      </c>
      <c r="K1691" s="1037">
        <f t="shared" si="27"/>
        <v>8</v>
      </c>
    </row>
    <row r="1692" spans="1:11" ht="12.75">
      <c r="A1692" s="1054">
        <v>42359604</v>
      </c>
      <c r="B1692" s="1055" t="s">
        <v>1489</v>
      </c>
      <c r="C1692" s="1055" t="s">
        <v>783</v>
      </c>
      <c r="D1692" s="1055" t="s">
        <v>1062</v>
      </c>
      <c r="E1692" s="1055" t="s">
        <v>510</v>
      </c>
      <c r="F1692" s="1056">
        <v>-11398</v>
      </c>
      <c r="G1692" s="1056">
        <v>0</v>
      </c>
      <c r="H1692" s="1056">
        <v>0</v>
      </c>
      <c r="I1692" s="1056">
        <v>-11398</v>
      </c>
      <c r="J1692" s="996">
        <f t="shared" si="28"/>
        <v>0</v>
      </c>
      <c r="K1692" s="1037">
        <f t="shared" si="27"/>
        <v>8</v>
      </c>
    </row>
    <row r="1693" spans="1:11" ht="12.75">
      <c r="A1693" s="1054">
        <v>4245</v>
      </c>
      <c r="B1693" s="1055" t="s">
        <v>1489</v>
      </c>
      <c r="C1693" s="1055" t="s">
        <v>1766</v>
      </c>
      <c r="D1693" s="1055" t="s">
        <v>893</v>
      </c>
      <c r="E1693" s="1055" t="s">
        <v>893</v>
      </c>
      <c r="F1693" s="1056">
        <v>-400</v>
      </c>
      <c r="G1693" s="1056">
        <v>0</v>
      </c>
      <c r="H1693" s="1056">
        <v>0</v>
      </c>
      <c r="I1693" s="1056">
        <v>-400</v>
      </c>
      <c r="J1693" s="996">
        <f t="shared" si="28"/>
        <v>0</v>
      </c>
      <c r="K1693" s="1037">
        <f t="shared" si="27"/>
        <v>4</v>
      </c>
    </row>
    <row r="1694" spans="1:11" ht="12.75">
      <c r="A1694" s="1054">
        <v>424524</v>
      </c>
      <c r="B1694" s="1055" t="s">
        <v>1489</v>
      </c>
      <c r="C1694" s="1055" t="s">
        <v>1766</v>
      </c>
      <c r="D1694" s="1055" t="s">
        <v>893</v>
      </c>
      <c r="E1694" s="1055" t="s">
        <v>893</v>
      </c>
      <c r="F1694" s="1056">
        <v>-400</v>
      </c>
      <c r="G1694" s="1056">
        <v>0</v>
      </c>
      <c r="H1694" s="1056">
        <v>0</v>
      </c>
      <c r="I1694" s="1056">
        <v>-400</v>
      </c>
      <c r="J1694" s="996">
        <f t="shared" si="28"/>
        <v>0</v>
      </c>
      <c r="K1694" s="1037">
        <f t="shared" si="27"/>
        <v>6</v>
      </c>
    </row>
    <row r="1695" spans="1:11" ht="12.75">
      <c r="A1695" s="1054">
        <v>42452401</v>
      </c>
      <c r="B1695" s="1055" t="s">
        <v>1489</v>
      </c>
      <c r="C1695" s="1055" t="s">
        <v>1766</v>
      </c>
      <c r="D1695" s="1055" t="s">
        <v>893</v>
      </c>
      <c r="E1695" s="1055" t="s">
        <v>893</v>
      </c>
      <c r="F1695" s="1056">
        <v>-400</v>
      </c>
      <c r="G1695" s="1056">
        <v>0</v>
      </c>
      <c r="H1695" s="1056">
        <v>0</v>
      </c>
      <c r="I1695" s="1056">
        <v>-400</v>
      </c>
      <c r="J1695" s="996">
        <f t="shared" si="28"/>
        <v>0</v>
      </c>
      <c r="K1695" s="1037">
        <f t="shared" si="27"/>
        <v>8</v>
      </c>
    </row>
    <row r="1696" spans="1:11" ht="12.75">
      <c r="A1696" s="1054">
        <v>42452401</v>
      </c>
      <c r="B1696" s="1055" t="s">
        <v>1489</v>
      </c>
      <c r="C1696" s="1055" t="s">
        <v>1766</v>
      </c>
      <c r="D1696" s="1055" t="s">
        <v>1767</v>
      </c>
      <c r="E1696" s="1055" t="s">
        <v>1768</v>
      </c>
      <c r="F1696" s="1056">
        <v>-200</v>
      </c>
      <c r="G1696" s="1056">
        <v>0</v>
      </c>
      <c r="H1696" s="1056">
        <v>0</v>
      </c>
      <c r="I1696" s="1056">
        <v>-200</v>
      </c>
      <c r="J1696" s="996">
        <f t="shared" si="28"/>
        <v>0</v>
      </c>
      <c r="K1696" s="1037">
        <f t="shared" si="27"/>
        <v>8</v>
      </c>
    </row>
    <row r="1697" spans="1:11" ht="12.75">
      <c r="A1697" s="1054">
        <v>42452401</v>
      </c>
      <c r="B1697" s="1055" t="s">
        <v>1489</v>
      </c>
      <c r="C1697" s="1055" t="s">
        <v>1766</v>
      </c>
      <c r="D1697" s="1055" t="s">
        <v>1210</v>
      </c>
      <c r="E1697" s="1055" t="s">
        <v>1211</v>
      </c>
      <c r="F1697" s="1056">
        <v>-200</v>
      </c>
      <c r="G1697" s="1056">
        <v>0</v>
      </c>
      <c r="H1697" s="1056">
        <v>0</v>
      </c>
      <c r="I1697" s="1056">
        <v>-200</v>
      </c>
      <c r="J1697" s="996">
        <f t="shared" si="28"/>
        <v>0</v>
      </c>
      <c r="K1697" s="1037">
        <f t="shared" si="27"/>
        <v>8</v>
      </c>
    </row>
    <row r="1698" spans="1:11" ht="12.75">
      <c r="A1698" s="1054">
        <v>4250</v>
      </c>
      <c r="B1698" s="1055" t="s">
        <v>893</v>
      </c>
      <c r="C1698" s="1055" t="s">
        <v>370</v>
      </c>
      <c r="D1698" s="1055" t="s">
        <v>893</v>
      </c>
      <c r="E1698" s="1055" t="s">
        <v>893</v>
      </c>
      <c r="F1698" s="1056">
        <v>-15</v>
      </c>
      <c r="G1698" s="1056">
        <v>0</v>
      </c>
      <c r="H1698" s="1056">
        <v>3</v>
      </c>
      <c r="I1698" s="1056">
        <v>-18</v>
      </c>
      <c r="J1698" s="996">
        <f t="shared" si="28"/>
        <v>3</v>
      </c>
      <c r="K1698" s="1037">
        <f t="shared" si="27"/>
        <v>4</v>
      </c>
    </row>
    <row r="1699" spans="1:11" ht="12.75">
      <c r="A1699" s="1054">
        <v>425050</v>
      </c>
      <c r="B1699" s="1055" t="s">
        <v>893</v>
      </c>
      <c r="C1699" s="1055" t="s">
        <v>371</v>
      </c>
      <c r="D1699" s="1055" t="s">
        <v>893</v>
      </c>
      <c r="E1699" s="1055" t="s">
        <v>893</v>
      </c>
      <c r="F1699" s="1056">
        <v>-15</v>
      </c>
      <c r="G1699" s="1056">
        <v>0</v>
      </c>
      <c r="H1699" s="1056">
        <v>3</v>
      </c>
      <c r="I1699" s="1056">
        <v>-18</v>
      </c>
      <c r="J1699" s="996">
        <f t="shared" si="28"/>
        <v>3</v>
      </c>
      <c r="K1699" s="1037">
        <f t="shared" si="27"/>
        <v>6</v>
      </c>
    </row>
    <row r="1700" spans="1:11" ht="12.75">
      <c r="A1700" s="1054">
        <v>42505003</v>
      </c>
      <c r="B1700" s="1055" t="s">
        <v>1489</v>
      </c>
      <c r="C1700" s="1055" t="s">
        <v>542</v>
      </c>
      <c r="D1700" s="1055" t="s">
        <v>893</v>
      </c>
      <c r="E1700" s="1055" t="s">
        <v>893</v>
      </c>
      <c r="F1700" s="1056">
        <v>-15</v>
      </c>
      <c r="G1700" s="1056">
        <v>0</v>
      </c>
      <c r="H1700" s="1056">
        <v>3</v>
      </c>
      <c r="I1700" s="1056">
        <v>-18</v>
      </c>
      <c r="J1700" s="996">
        <f t="shared" si="28"/>
        <v>3</v>
      </c>
      <c r="K1700" s="1037">
        <f t="shared" si="27"/>
        <v>8</v>
      </c>
    </row>
    <row r="1701" spans="1:11" ht="12.75">
      <c r="A1701" s="1054">
        <v>42505003</v>
      </c>
      <c r="B1701" s="1055" t="s">
        <v>1489</v>
      </c>
      <c r="C1701" s="1055" t="s">
        <v>542</v>
      </c>
      <c r="D1701" s="1055" t="s">
        <v>1575</v>
      </c>
      <c r="E1701" s="1055" t="s">
        <v>1576</v>
      </c>
      <c r="F1701" s="1056">
        <v>0</v>
      </c>
      <c r="G1701" s="1056">
        <v>0</v>
      </c>
      <c r="H1701" s="1056">
        <v>0</v>
      </c>
      <c r="I1701" s="1056">
        <v>0</v>
      </c>
      <c r="J1701" s="996">
        <f t="shared" si="28"/>
        <v>0</v>
      </c>
      <c r="K1701" s="1037">
        <f t="shared" si="27"/>
        <v>8</v>
      </c>
    </row>
    <row r="1702" spans="1:11" ht="12.75">
      <c r="A1702" s="1054">
        <v>42505003</v>
      </c>
      <c r="B1702" s="1055" t="s">
        <v>1489</v>
      </c>
      <c r="C1702" s="1055" t="s">
        <v>542</v>
      </c>
      <c r="D1702" s="1055" t="s">
        <v>1891</v>
      </c>
      <c r="E1702" s="1055" t="s">
        <v>1892</v>
      </c>
      <c r="F1702" s="1056">
        <v>0</v>
      </c>
      <c r="G1702" s="1056">
        <v>0</v>
      </c>
      <c r="H1702" s="1056">
        <v>0</v>
      </c>
      <c r="I1702" s="1056">
        <v>0</v>
      </c>
      <c r="J1702" s="996">
        <f t="shared" si="28"/>
        <v>0</v>
      </c>
      <c r="K1702" s="1037">
        <f t="shared" si="27"/>
        <v>8</v>
      </c>
    </row>
    <row r="1703" spans="1:11" ht="12.75">
      <c r="A1703" s="1054">
        <v>42505003</v>
      </c>
      <c r="B1703" s="1055" t="s">
        <v>1489</v>
      </c>
      <c r="C1703" s="1055" t="s">
        <v>542</v>
      </c>
      <c r="D1703" s="1055" t="s">
        <v>1577</v>
      </c>
      <c r="E1703" s="1055" t="s">
        <v>1578</v>
      </c>
      <c r="F1703" s="1056">
        <v>0</v>
      </c>
      <c r="G1703" s="1056">
        <v>0</v>
      </c>
      <c r="H1703" s="1056">
        <v>0</v>
      </c>
      <c r="I1703" s="1056">
        <v>0</v>
      </c>
      <c r="J1703" s="996">
        <f t="shared" si="28"/>
        <v>0</v>
      </c>
      <c r="K1703" s="1037">
        <f t="shared" si="27"/>
        <v>8</v>
      </c>
    </row>
    <row r="1704" spans="1:11" ht="12.75">
      <c r="A1704" s="1054">
        <v>42505003</v>
      </c>
      <c r="B1704" s="1055" t="s">
        <v>1489</v>
      </c>
      <c r="C1704" s="1055" t="s">
        <v>542</v>
      </c>
      <c r="D1704" s="1055" t="s">
        <v>1360</v>
      </c>
      <c r="E1704" s="1055" t="s">
        <v>1361</v>
      </c>
      <c r="F1704" s="1056">
        <v>0</v>
      </c>
      <c r="G1704" s="1056">
        <v>0</v>
      </c>
      <c r="H1704" s="1056">
        <v>0</v>
      </c>
      <c r="I1704" s="1056">
        <v>-1</v>
      </c>
      <c r="J1704" s="996">
        <f t="shared" si="28"/>
        <v>0</v>
      </c>
      <c r="K1704" s="1037">
        <f t="shared" si="27"/>
        <v>8</v>
      </c>
    </row>
    <row r="1705" spans="1:11" ht="12.75">
      <c r="A1705" s="1054">
        <v>42505003</v>
      </c>
      <c r="B1705" s="1055" t="s">
        <v>1489</v>
      </c>
      <c r="C1705" s="1055" t="s">
        <v>542</v>
      </c>
      <c r="D1705" s="1055" t="s">
        <v>1893</v>
      </c>
      <c r="E1705" s="1055" t="s">
        <v>1894</v>
      </c>
      <c r="F1705" s="1056">
        <v>0</v>
      </c>
      <c r="G1705" s="1056">
        <v>0</v>
      </c>
      <c r="H1705" s="1056">
        <v>0</v>
      </c>
      <c r="I1705" s="1056">
        <v>0</v>
      </c>
      <c r="J1705" s="996">
        <f t="shared" si="28"/>
        <v>0</v>
      </c>
      <c r="K1705" s="1037">
        <f t="shared" si="27"/>
        <v>8</v>
      </c>
    </row>
    <row r="1706" spans="1:11" ht="12.75">
      <c r="A1706" s="1054">
        <v>42505003</v>
      </c>
      <c r="B1706" s="1055" t="s">
        <v>1489</v>
      </c>
      <c r="C1706" s="1055" t="s">
        <v>542</v>
      </c>
      <c r="D1706" s="1055" t="s">
        <v>1298</v>
      </c>
      <c r="E1706" s="1055" t="s">
        <v>987</v>
      </c>
      <c r="F1706" s="1056">
        <v>0</v>
      </c>
      <c r="G1706" s="1056">
        <v>0</v>
      </c>
      <c r="H1706" s="1056">
        <v>0</v>
      </c>
      <c r="I1706" s="1056">
        <v>0</v>
      </c>
      <c r="J1706" s="996">
        <f t="shared" si="28"/>
        <v>0</v>
      </c>
      <c r="K1706" s="1037">
        <f t="shared" si="27"/>
        <v>8</v>
      </c>
    </row>
    <row r="1707" spans="1:11" ht="12.75">
      <c r="A1707" s="1054">
        <v>42505003</v>
      </c>
      <c r="B1707" s="1055" t="s">
        <v>1489</v>
      </c>
      <c r="C1707" s="1055" t="s">
        <v>542</v>
      </c>
      <c r="D1707" s="1055" t="s">
        <v>1484</v>
      </c>
      <c r="E1707" s="1055" t="s">
        <v>1485</v>
      </c>
      <c r="F1707" s="1056">
        <v>0</v>
      </c>
      <c r="G1707" s="1056">
        <v>0</v>
      </c>
      <c r="H1707" s="1056">
        <v>0</v>
      </c>
      <c r="I1707" s="1056">
        <v>-1</v>
      </c>
      <c r="J1707" s="996">
        <f t="shared" si="28"/>
        <v>0</v>
      </c>
      <c r="K1707" s="1037">
        <f t="shared" si="27"/>
        <v>8</v>
      </c>
    </row>
    <row r="1708" spans="1:11" ht="12.75">
      <c r="A1708" s="1054">
        <v>42505003</v>
      </c>
      <c r="B1708" s="1055" t="s">
        <v>1489</v>
      </c>
      <c r="C1708" s="1055" t="s">
        <v>542</v>
      </c>
      <c r="D1708" s="1055" t="s">
        <v>1579</v>
      </c>
      <c r="E1708" s="1055" t="s">
        <v>1580</v>
      </c>
      <c r="F1708" s="1056">
        <v>0</v>
      </c>
      <c r="G1708" s="1056">
        <v>0</v>
      </c>
      <c r="H1708" s="1056">
        <v>0</v>
      </c>
      <c r="I1708" s="1056">
        <v>0</v>
      </c>
      <c r="J1708" s="996">
        <f t="shared" si="28"/>
        <v>0</v>
      </c>
      <c r="K1708" s="1037">
        <f t="shared" si="27"/>
        <v>8</v>
      </c>
    </row>
    <row r="1709" spans="1:11" ht="12.75">
      <c r="A1709" s="1054">
        <v>42505003</v>
      </c>
      <c r="B1709" s="1055" t="s">
        <v>1489</v>
      </c>
      <c r="C1709" s="1055" t="s">
        <v>542</v>
      </c>
      <c r="D1709" s="1055" t="s">
        <v>1270</v>
      </c>
      <c r="E1709" s="1055" t="s">
        <v>988</v>
      </c>
      <c r="F1709" s="1056">
        <v>0</v>
      </c>
      <c r="G1709" s="1056">
        <v>0</v>
      </c>
      <c r="H1709" s="1056">
        <v>0</v>
      </c>
      <c r="I1709" s="1056">
        <v>-1</v>
      </c>
      <c r="J1709" s="996">
        <f t="shared" si="28"/>
        <v>0</v>
      </c>
      <c r="K1709" s="1037">
        <f t="shared" si="27"/>
        <v>8</v>
      </c>
    </row>
    <row r="1710" spans="1:11" ht="12.75">
      <c r="A1710" s="1054">
        <v>42505003</v>
      </c>
      <c r="B1710" s="1055" t="s">
        <v>1489</v>
      </c>
      <c r="C1710" s="1055" t="s">
        <v>542</v>
      </c>
      <c r="D1710" s="1055" t="s">
        <v>1271</v>
      </c>
      <c r="E1710" s="1055" t="s">
        <v>782</v>
      </c>
      <c r="F1710" s="1056">
        <v>0</v>
      </c>
      <c r="G1710" s="1056">
        <v>0</v>
      </c>
      <c r="H1710" s="1056">
        <v>0</v>
      </c>
      <c r="I1710" s="1056">
        <v>0</v>
      </c>
      <c r="J1710" s="996">
        <f t="shared" si="28"/>
        <v>0</v>
      </c>
      <c r="K1710" s="1037">
        <f t="shared" si="27"/>
        <v>8</v>
      </c>
    </row>
    <row r="1711" spans="1:11" ht="12.75">
      <c r="A1711" s="1054">
        <v>42505003</v>
      </c>
      <c r="B1711" s="1055" t="s">
        <v>1489</v>
      </c>
      <c r="C1711" s="1055" t="s">
        <v>542</v>
      </c>
      <c r="D1711" s="1055" t="s">
        <v>1272</v>
      </c>
      <c r="E1711" s="1055" t="s">
        <v>1273</v>
      </c>
      <c r="F1711" s="1056">
        <v>0</v>
      </c>
      <c r="G1711" s="1056">
        <v>0</v>
      </c>
      <c r="H1711" s="1056">
        <v>0</v>
      </c>
      <c r="I1711" s="1056">
        <v>0</v>
      </c>
      <c r="J1711" s="996">
        <f t="shared" si="28"/>
        <v>0</v>
      </c>
      <c r="K1711" s="1037">
        <f t="shared" si="27"/>
        <v>8</v>
      </c>
    </row>
    <row r="1712" spans="1:11" ht="12.75">
      <c r="A1712" s="1054">
        <v>42505003</v>
      </c>
      <c r="B1712" s="1055" t="s">
        <v>1489</v>
      </c>
      <c r="C1712" s="1055" t="s">
        <v>542</v>
      </c>
      <c r="D1712" s="1055" t="s">
        <v>1420</v>
      </c>
      <c r="E1712" s="1055" t="s">
        <v>1421</v>
      </c>
      <c r="F1712" s="1056">
        <v>0</v>
      </c>
      <c r="G1712" s="1056">
        <v>0</v>
      </c>
      <c r="H1712" s="1056">
        <v>0</v>
      </c>
      <c r="I1712" s="1056">
        <v>-1</v>
      </c>
      <c r="J1712" s="996">
        <f t="shared" si="28"/>
        <v>0</v>
      </c>
      <c r="K1712" s="1037">
        <f t="shared" si="27"/>
        <v>8</v>
      </c>
    </row>
    <row r="1713" spans="1:11" ht="12.75">
      <c r="A1713" s="1054">
        <v>42505003</v>
      </c>
      <c r="B1713" s="1055" t="s">
        <v>1489</v>
      </c>
      <c r="C1713" s="1055" t="s">
        <v>542</v>
      </c>
      <c r="D1713" s="1055" t="s">
        <v>1493</v>
      </c>
      <c r="E1713" s="1055" t="s">
        <v>1494</v>
      </c>
      <c r="F1713" s="1056">
        <v>0</v>
      </c>
      <c r="G1713" s="1056">
        <v>0</v>
      </c>
      <c r="H1713" s="1056">
        <v>0</v>
      </c>
      <c r="I1713" s="1056">
        <v>0</v>
      </c>
      <c r="J1713" s="996">
        <f t="shared" si="28"/>
        <v>0</v>
      </c>
      <c r="K1713" s="1037">
        <f t="shared" si="27"/>
        <v>8</v>
      </c>
    </row>
    <row r="1714" spans="1:11" ht="12.75">
      <c r="A1714" s="1054">
        <v>42505003</v>
      </c>
      <c r="B1714" s="1055" t="s">
        <v>1489</v>
      </c>
      <c r="C1714" s="1055" t="s">
        <v>542</v>
      </c>
      <c r="D1714" s="1055" t="s">
        <v>1841</v>
      </c>
      <c r="E1714" s="1055" t="s">
        <v>1842</v>
      </c>
      <c r="F1714" s="1056">
        <v>0</v>
      </c>
      <c r="G1714" s="1056">
        <v>0</v>
      </c>
      <c r="H1714" s="1056">
        <v>0</v>
      </c>
      <c r="I1714" s="1056">
        <v>0</v>
      </c>
      <c r="J1714" s="996">
        <f t="shared" si="28"/>
        <v>0</v>
      </c>
      <c r="K1714" s="1037">
        <f t="shared" si="27"/>
        <v>8</v>
      </c>
    </row>
    <row r="1715" spans="1:11" ht="12.75">
      <c r="A1715" s="1054">
        <v>42505003</v>
      </c>
      <c r="B1715" s="1055" t="s">
        <v>1489</v>
      </c>
      <c r="C1715" s="1055" t="s">
        <v>542</v>
      </c>
      <c r="D1715" s="1055" t="s">
        <v>1519</v>
      </c>
      <c r="E1715" s="1055" t="s">
        <v>1520</v>
      </c>
      <c r="F1715" s="1056">
        <v>0</v>
      </c>
      <c r="G1715" s="1056">
        <v>0</v>
      </c>
      <c r="H1715" s="1056">
        <v>0</v>
      </c>
      <c r="I1715" s="1056">
        <v>0</v>
      </c>
      <c r="J1715" s="996">
        <f t="shared" si="28"/>
        <v>0</v>
      </c>
      <c r="K1715" s="1037">
        <f t="shared" si="27"/>
        <v>8</v>
      </c>
    </row>
    <row r="1716" spans="1:11" ht="12.75">
      <c r="A1716" s="1054">
        <v>42505003</v>
      </c>
      <c r="B1716" s="1055" t="s">
        <v>1489</v>
      </c>
      <c r="C1716" s="1055" t="s">
        <v>542</v>
      </c>
      <c r="D1716" s="1055" t="s">
        <v>1368</v>
      </c>
      <c r="E1716" s="1055" t="s">
        <v>1369</v>
      </c>
      <c r="F1716" s="1056">
        <v>0</v>
      </c>
      <c r="G1716" s="1056">
        <v>0</v>
      </c>
      <c r="H1716" s="1056">
        <v>0</v>
      </c>
      <c r="I1716" s="1056">
        <v>0</v>
      </c>
      <c r="J1716" s="996">
        <f t="shared" si="28"/>
        <v>0</v>
      </c>
      <c r="K1716" s="1037">
        <f t="shared" si="27"/>
        <v>8</v>
      </c>
    </row>
    <row r="1717" spans="1:11" ht="12.75">
      <c r="A1717" s="1054">
        <v>42505003</v>
      </c>
      <c r="B1717" s="1055" t="s">
        <v>1489</v>
      </c>
      <c r="C1717" s="1055" t="s">
        <v>542</v>
      </c>
      <c r="D1717" s="1055" t="s">
        <v>1895</v>
      </c>
      <c r="E1717" s="1055" t="s">
        <v>1896</v>
      </c>
      <c r="F1717" s="1056">
        <v>0</v>
      </c>
      <c r="G1717" s="1056">
        <v>0</v>
      </c>
      <c r="H1717" s="1056">
        <v>0</v>
      </c>
      <c r="I1717" s="1056">
        <v>0</v>
      </c>
      <c r="J1717" s="996">
        <f t="shared" si="28"/>
        <v>0</v>
      </c>
      <c r="K1717" s="1037">
        <f t="shared" si="27"/>
        <v>8</v>
      </c>
    </row>
    <row r="1718" spans="1:11" ht="12.75">
      <c r="A1718" s="1054">
        <v>42505003</v>
      </c>
      <c r="B1718" s="1055" t="s">
        <v>1489</v>
      </c>
      <c r="C1718" s="1055" t="s">
        <v>542</v>
      </c>
      <c r="D1718" s="1055" t="s">
        <v>1495</v>
      </c>
      <c r="E1718" s="1055" t="s">
        <v>1496</v>
      </c>
      <c r="F1718" s="1056">
        <v>0</v>
      </c>
      <c r="G1718" s="1056">
        <v>0</v>
      </c>
      <c r="H1718" s="1056">
        <v>0</v>
      </c>
      <c r="I1718" s="1056">
        <v>0</v>
      </c>
      <c r="J1718" s="996">
        <f t="shared" si="28"/>
        <v>0</v>
      </c>
      <c r="K1718" s="1037">
        <f t="shared" si="27"/>
        <v>8</v>
      </c>
    </row>
    <row r="1719" spans="1:11" ht="12.75">
      <c r="A1719" s="1054">
        <v>42505003</v>
      </c>
      <c r="B1719" s="1055" t="s">
        <v>1489</v>
      </c>
      <c r="C1719" s="1055" t="s">
        <v>542</v>
      </c>
      <c r="D1719" s="1055" t="s">
        <v>1320</v>
      </c>
      <c r="E1719" s="1055" t="s">
        <v>1321</v>
      </c>
      <c r="F1719" s="1056">
        <v>0</v>
      </c>
      <c r="G1719" s="1056">
        <v>0</v>
      </c>
      <c r="H1719" s="1056">
        <v>0</v>
      </c>
      <c r="I1719" s="1056">
        <v>-1</v>
      </c>
      <c r="J1719" s="996">
        <f t="shared" si="28"/>
        <v>0</v>
      </c>
      <c r="K1719" s="1037">
        <f t="shared" si="27"/>
        <v>8</v>
      </c>
    </row>
    <row r="1720" spans="1:11" ht="12.75">
      <c r="A1720" s="1054">
        <v>42505003</v>
      </c>
      <c r="B1720" s="1055" t="s">
        <v>1489</v>
      </c>
      <c r="C1720" s="1055" t="s">
        <v>542</v>
      </c>
      <c r="D1720" s="1055" t="s">
        <v>1274</v>
      </c>
      <c r="E1720" s="1055" t="s">
        <v>989</v>
      </c>
      <c r="F1720" s="1056">
        <v>0</v>
      </c>
      <c r="G1720" s="1056">
        <v>0</v>
      </c>
      <c r="H1720" s="1056">
        <v>0</v>
      </c>
      <c r="I1720" s="1056">
        <v>-1</v>
      </c>
      <c r="J1720" s="996">
        <f t="shared" si="28"/>
        <v>0</v>
      </c>
      <c r="K1720" s="1037">
        <f t="shared" si="27"/>
        <v>8</v>
      </c>
    </row>
    <row r="1721" spans="1:11" ht="12.75">
      <c r="A1721" s="1054">
        <v>42505003</v>
      </c>
      <c r="B1721" s="1055" t="s">
        <v>1489</v>
      </c>
      <c r="C1721" s="1055" t="s">
        <v>542</v>
      </c>
      <c r="D1721" s="1055" t="s">
        <v>1497</v>
      </c>
      <c r="E1721" s="1055" t="s">
        <v>1498</v>
      </c>
      <c r="F1721" s="1056">
        <v>0</v>
      </c>
      <c r="G1721" s="1056">
        <v>0</v>
      </c>
      <c r="H1721" s="1056">
        <v>0</v>
      </c>
      <c r="I1721" s="1056">
        <v>0</v>
      </c>
      <c r="J1721" s="996">
        <f t="shared" si="28"/>
        <v>0</v>
      </c>
      <c r="K1721" s="1037">
        <f t="shared" si="27"/>
        <v>8</v>
      </c>
    </row>
    <row r="1722" spans="1:11" ht="12.75">
      <c r="A1722" s="1054">
        <v>42505003</v>
      </c>
      <c r="B1722" s="1055" t="s">
        <v>1489</v>
      </c>
      <c r="C1722" s="1055" t="s">
        <v>542</v>
      </c>
      <c r="D1722" s="1055" t="s">
        <v>1043</v>
      </c>
      <c r="E1722" s="1055" t="s">
        <v>318</v>
      </c>
      <c r="F1722" s="1056">
        <v>0</v>
      </c>
      <c r="G1722" s="1056">
        <v>0</v>
      </c>
      <c r="H1722" s="1056">
        <v>0</v>
      </c>
      <c r="I1722" s="1056">
        <v>0</v>
      </c>
      <c r="J1722" s="996">
        <f t="shared" si="28"/>
        <v>0</v>
      </c>
      <c r="K1722" s="1037">
        <f t="shared" si="27"/>
        <v>8</v>
      </c>
    </row>
    <row r="1723" spans="1:11" ht="12.75">
      <c r="A1723" s="1054">
        <v>42505003</v>
      </c>
      <c r="B1723" s="1055" t="s">
        <v>1489</v>
      </c>
      <c r="C1723" s="1055" t="s">
        <v>542</v>
      </c>
      <c r="D1723" s="1055" t="s">
        <v>1370</v>
      </c>
      <c r="E1723" s="1055" t="s">
        <v>1371</v>
      </c>
      <c r="F1723" s="1056">
        <v>0</v>
      </c>
      <c r="G1723" s="1056">
        <v>0</v>
      </c>
      <c r="H1723" s="1056">
        <v>0</v>
      </c>
      <c r="I1723" s="1056">
        <v>-1</v>
      </c>
      <c r="J1723" s="996">
        <f t="shared" si="28"/>
        <v>0</v>
      </c>
      <c r="K1723" s="1037">
        <f t="shared" si="27"/>
        <v>8</v>
      </c>
    </row>
    <row r="1724" spans="1:11" ht="12.75">
      <c r="A1724" s="1054">
        <v>42505003</v>
      </c>
      <c r="B1724" s="1055" t="s">
        <v>1489</v>
      </c>
      <c r="C1724" s="1055" t="s">
        <v>542</v>
      </c>
      <c r="D1724" s="1055" t="s">
        <v>1843</v>
      </c>
      <c r="E1724" s="1055" t="s">
        <v>1844</v>
      </c>
      <c r="F1724" s="1056">
        <v>0</v>
      </c>
      <c r="G1724" s="1056">
        <v>0</v>
      </c>
      <c r="H1724" s="1056">
        <v>0</v>
      </c>
      <c r="I1724" s="1056">
        <v>0</v>
      </c>
      <c r="J1724" s="996">
        <f t="shared" si="28"/>
        <v>0</v>
      </c>
      <c r="K1724" s="1037">
        <f t="shared" si="27"/>
        <v>8</v>
      </c>
    </row>
    <row r="1725" spans="1:11" ht="12.75">
      <c r="A1725" s="1054">
        <v>42505003</v>
      </c>
      <c r="B1725" s="1055" t="s">
        <v>1489</v>
      </c>
      <c r="C1725" s="1055" t="s">
        <v>542</v>
      </c>
      <c r="D1725" s="1055" t="s">
        <v>1759</v>
      </c>
      <c r="E1725" s="1055" t="s">
        <v>1760</v>
      </c>
      <c r="F1725" s="1056">
        <v>0</v>
      </c>
      <c r="G1725" s="1056">
        <v>0</v>
      </c>
      <c r="H1725" s="1056">
        <v>0</v>
      </c>
      <c r="I1725" s="1056">
        <v>0</v>
      </c>
      <c r="J1725" s="996">
        <f t="shared" si="28"/>
        <v>0</v>
      </c>
      <c r="K1725" s="1037">
        <f t="shared" si="27"/>
        <v>8</v>
      </c>
    </row>
    <row r="1726" spans="1:11" ht="12.75">
      <c r="A1726" s="1054">
        <v>42505003</v>
      </c>
      <c r="B1726" s="1055" t="s">
        <v>1489</v>
      </c>
      <c r="C1726" s="1055" t="s">
        <v>542</v>
      </c>
      <c r="D1726" s="1055" t="s">
        <v>1581</v>
      </c>
      <c r="E1726" s="1055" t="s">
        <v>1582</v>
      </c>
      <c r="F1726" s="1056">
        <v>0</v>
      </c>
      <c r="G1726" s="1056">
        <v>0</v>
      </c>
      <c r="H1726" s="1056">
        <v>0</v>
      </c>
      <c r="I1726" s="1056">
        <v>0</v>
      </c>
      <c r="J1726" s="996">
        <f t="shared" si="28"/>
        <v>0</v>
      </c>
      <c r="K1726" s="1037">
        <f t="shared" si="27"/>
        <v>8</v>
      </c>
    </row>
    <row r="1727" spans="1:11" ht="12.75">
      <c r="A1727" s="1054">
        <v>42505003</v>
      </c>
      <c r="B1727" s="1055" t="s">
        <v>1489</v>
      </c>
      <c r="C1727" s="1055" t="s">
        <v>542</v>
      </c>
      <c r="D1727" s="1055" t="s">
        <v>1521</v>
      </c>
      <c r="E1727" s="1055" t="s">
        <v>1522</v>
      </c>
      <c r="F1727" s="1056">
        <v>0</v>
      </c>
      <c r="G1727" s="1056">
        <v>0</v>
      </c>
      <c r="H1727" s="1056">
        <v>0</v>
      </c>
      <c r="I1727" s="1056">
        <v>-1</v>
      </c>
      <c r="J1727" s="996">
        <f t="shared" si="28"/>
        <v>0</v>
      </c>
      <c r="K1727" s="1037">
        <f t="shared" si="27"/>
        <v>8</v>
      </c>
    </row>
    <row r="1728" spans="1:11" ht="12.75">
      <c r="A1728" s="1054">
        <v>42505003</v>
      </c>
      <c r="B1728" s="1055" t="s">
        <v>1489</v>
      </c>
      <c r="C1728" s="1055" t="s">
        <v>542</v>
      </c>
      <c r="D1728" s="1055" t="s">
        <v>1426</v>
      </c>
      <c r="E1728" s="1055" t="s">
        <v>1427</v>
      </c>
      <c r="F1728" s="1056">
        <v>0</v>
      </c>
      <c r="G1728" s="1056">
        <v>0</v>
      </c>
      <c r="H1728" s="1056">
        <v>0</v>
      </c>
      <c r="I1728" s="1056">
        <v>-1</v>
      </c>
      <c r="J1728" s="996">
        <f t="shared" si="28"/>
        <v>0</v>
      </c>
      <c r="K1728" s="1037">
        <f t="shared" si="27"/>
        <v>8</v>
      </c>
    </row>
    <row r="1729" spans="1:11" ht="12.75">
      <c r="A1729" s="1054">
        <v>42505003</v>
      </c>
      <c r="B1729" s="1055" t="s">
        <v>1489</v>
      </c>
      <c r="C1729" s="1055" t="s">
        <v>542</v>
      </c>
      <c r="D1729" s="1055" t="s">
        <v>1583</v>
      </c>
      <c r="E1729" s="1055" t="s">
        <v>1584</v>
      </c>
      <c r="F1729" s="1056">
        <v>0</v>
      </c>
      <c r="G1729" s="1056">
        <v>0</v>
      </c>
      <c r="H1729" s="1056">
        <v>0</v>
      </c>
      <c r="I1729" s="1056">
        <v>0</v>
      </c>
      <c r="J1729" s="996">
        <f t="shared" si="28"/>
        <v>0</v>
      </c>
      <c r="K1729" s="1037">
        <f t="shared" si="27"/>
        <v>8</v>
      </c>
    </row>
    <row r="1730" spans="1:11" ht="12.75">
      <c r="A1730" s="1054">
        <v>42505003</v>
      </c>
      <c r="B1730" s="1055" t="s">
        <v>1489</v>
      </c>
      <c r="C1730" s="1055" t="s">
        <v>542</v>
      </c>
      <c r="D1730" s="1055" t="s">
        <v>1372</v>
      </c>
      <c r="E1730" s="1055" t="s">
        <v>1373</v>
      </c>
      <c r="F1730" s="1056">
        <v>0</v>
      </c>
      <c r="G1730" s="1056">
        <v>0</v>
      </c>
      <c r="H1730" s="1056">
        <v>0</v>
      </c>
      <c r="I1730" s="1056">
        <v>0</v>
      </c>
      <c r="J1730" s="996">
        <f t="shared" si="28"/>
        <v>0</v>
      </c>
      <c r="K1730" s="1037">
        <f t="shared" si="27"/>
        <v>8</v>
      </c>
    </row>
    <row r="1731" spans="1:11" ht="12.75">
      <c r="A1731" s="1054">
        <v>42505003</v>
      </c>
      <c r="B1731" s="1055" t="s">
        <v>1489</v>
      </c>
      <c r="C1731" s="1055" t="s">
        <v>542</v>
      </c>
      <c r="D1731" s="1055" t="s">
        <v>1374</v>
      </c>
      <c r="E1731" s="1055" t="s">
        <v>1375</v>
      </c>
      <c r="F1731" s="1056">
        <v>0</v>
      </c>
      <c r="G1731" s="1056">
        <v>0</v>
      </c>
      <c r="H1731" s="1056">
        <v>0</v>
      </c>
      <c r="I1731" s="1056">
        <v>-1</v>
      </c>
      <c r="J1731" s="996">
        <f t="shared" si="28"/>
        <v>0</v>
      </c>
      <c r="K1731" s="1037">
        <f t="shared" si="27"/>
        <v>8</v>
      </c>
    </row>
    <row r="1732" spans="1:11" ht="12.75">
      <c r="A1732" s="1054">
        <v>42505003</v>
      </c>
      <c r="B1732" s="1055" t="s">
        <v>1489</v>
      </c>
      <c r="C1732" s="1055" t="s">
        <v>542</v>
      </c>
      <c r="D1732" s="1055" t="s">
        <v>1249</v>
      </c>
      <c r="E1732" s="1055" t="s">
        <v>583</v>
      </c>
      <c r="F1732" s="1056">
        <v>0</v>
      </c>
      <c r="G1732" s="1056">
        <v>0</v>
      </c>
      <c r="H1732" s="1056">
        <v>0</v>
      </c>
      <c r="I1732" s="1056">
        <v>-1</v>
      </c>
      <c r="J1732" s="996">
        <f t="shared" si="28"/>
        <v>0</v>
      </c>
      <c r="K1732" s="1037">
        <f t="shared" si="27"/>
        <v>8</v>
      </c>
    </row>
    <row r="1733" spans="1:11" ht="12.75">
      <c r="A1733" s="1054">
        <v>42505003</v>
      </c>
      <c r="B1733" s="1055" t="s">
        <v>1489</v>
      </c>
      <c r="C1733" s="1055" t="s">
        <v>542</v>
      </c>
      <c r="D1733" s="1055" t="s">
        <v>1376</v>
      </c>
      <c r="E1733" s="1055" t="s">
        <v>1377</v>
      </c>
      <c r="F1733" s="1056">
        <v>0</v>
      </c>
      <c r="G1733" s="1056">
        <v>0</v>
      </c>
      <c r="H1733" s="1056">
        <v>0</v>
      </c>
      <c r="I1733" s="1056">
        <v>0</v>
      </c>
      <c r="J1733" s="996">
        <f t="shared" si="28"/>
        <v>0</v>
      </c>
      <c r="K1733" s="1037">
        <f t="shared" ref="K1733:K1796" si="29">+LEN(A1733)</f>
        <v>8</v>
      </c>
    </row>
    <row r="1734" spans="1:11" ht="12.75">
      <c r="A1734" s="1054">
        <v>42505003</v>
      </c>
      <c r="B1734" s="1055" t="s">
        <v>1489</v>
      </c>
      <c r="C1734" s="1055" t="s">
        <v>542</v>
      </c>
      <c r="D1734" s="1055" t="s">
        <v>1305</v>
      </c>
      <c r="E1734" s="1055" t="s">
        <v>990</v>
      </c>
      <c r="F1734" s="1056">
        <v>0</v>
      </c>
      <c r="G1734" s="1056">
        <v>0</v>
      </c>
      <c r="H1734" s="1056">
        <v>0</v>
      </c>
      <c r="I1734" s="1056">
        <v>0</v>
      </c>
      <c r="J1734" s="996">
        <f t="shared" si="28"/>
        <v>0</v>
      </c>
      <c r="K1734" s="1037">
        <f t="shared" si="29"/>
        <v>8</v>
      </c>
    </row>
    <row r="1735" spans="1:11" ht="12.75">
      <c r="A1735" s="1054">
        <v>42505003</v>
      </c>
      <c r="B1735" s="1055" t="s">
        <v>1489</v>
      </c>
      <c r="C1735" s="1055" t="s">
        <v>542</v>
      </c>
      <c r="D1735" s="1055" t="s">
        <v>1845</v>
      </c>
      <c r="E1735" s="1055" t="s">
        <v>1846</v>
      </c>
      <c r="F1735" s="1056">
        <v>0</v>
      </c>
      <c r="G1735" s="1056">
        <v>0</v>
      </c>
      <c r="H1735" s="1056">
        <v>0</v>
      </c>
      <c r="I1735" s="1056">
        <v>0</v>
      </c>
      <c r="J1735" s="996">
        <f t="shared" si="28"/>
        <v>0</v>
      </c>
      <c r="K1735" s="1037">
        <f t="shared" si="29"/>
        <v>8</v>
      </c>
    </row>
    <row r="1736" spans="1:11" ht="12.75">
      <c r="A1736" s="1054">
        <v>42505003</v>
      </c>
      <c r="B1736" s="1055" t="s">
        <v>1489</v>
      </c>
      <c r="C1736" s="1055" t="s">
        <v>542</v>
      </c>
      <c r="D1736" s="1055" t="s">
        <v>1306</v>
      </c>
      <c r="E1736" s="1055" t="s">
        <v>997</v>
      </c>
      <c r="F1736" s="1056">
        <v>0</v>
      </c>
      <c r="G1736" s="1056">
        <v>0</v>
      </c>
      <c r="H1736" s="1056">
        <v>0</v>
      </c>
      <c r="I1736" s="1056">
        <v>0</v>
      </c>
      <c r="J1736" s="996">
        <f t="shared" si="28"/>
        <v>0</v>
      </c>
      <c r="K1736" s="1037">
        <f t="shared" si="29"/>
        <v>8</v>
      </c>
    </row>
    <row r="1737" spans="1:11" ht="12.75">
      <c r="A1737" s="1054">
        <v>42505003</v>
      </c>
      <c r="B1737" s="1055" t="s">
        <v>1489</v>
      </c>
      <c r="C1737" s="1055" t="s">
        <v>542</v>
      </c>
      <c r="D1737" s="1055" t="s">
        <v>1897</v>
      </c>
      <c r="E1737" s="1055" t="s">
        <v>1898</v>
      </c>
      <c r="F1737" s="1056">
        <v>0</v>
      </c>
      <c r="G1737" s="1056">
        <v>0</v>
      </c>
      <c r="H1737" s="1056">
        <v>0</v>
      </c>
      <c r="I1737" s="1056">
        <v>0</v>
      </c>
      <c r="J1737" s="996">
        <f t="shared" ref="J1737:J1800" si="30">+H1737-G1737</f>
        <v>0</v>
      </c>
      <c r="K1737" s="1037">
        <f t="shared" si="29"/>
        <v>8</v>
      </c>
    </row>
    <row r="1738" spans="1:11" ht="12.75">
      <c r="A1738" s="1054">
        <v>42505003</v>
      </c>
      <c r="B1738" s="1055" t="s">
        <v>1489</v>
      </c>
      <c r="C1738" s="1055" t="s">
        <v>542</v>
      </c>
      <c r="D1738" s="1055" t="s">
        <v>1250</v>
      </c>
      <c r="E1738" s="1055" t="s">
        <v>1251</v>
      </c>
      <c r="F1738" s="1056">
        <v>0</v>
      </c>
      <c r="G1738" s="1056">
        <v>0</v>
      </c>
      <c r="H1738" s="1056">
        <v>0</v>
      </c>
      <c r="I1738" s="1056">
        <v>-1</v>
      </c>
      <c r="J1738" s="996">
        <f t="shared" si="30"/>
        <v>0</v>
      </c>
      <c r="K1738" s="1037">
        <f t="shared" si="29"/>
        <v>8</v>
      </c>
    </row>
    <row r="1739" spans="1:11" ht="12.75">
      <c r="A1739" s="1054">
        <v>42505003</v>
      </c>
      <c r="B1739" s="1055" t="s">
        <v>1489</v>
      </c>
      <c r="C1739" s="1055" t="s">
        <v>542</v>
      </c>
      <c r="D1739" s="1055" t="s">
        <v>1899</v>
      </c>
      <c r="E1739" s="1055" t="s">
        <v>1900</v>
      </c>
      <c r="F1739" s="1056">
        <v>0</v>
      </c>
      <c r="G1739" s="1056">
        <v>0</v>
      </c>
      <c r="H1739" s="1056">
        <v>0</v>
      </c>
      <c r="I1739" s="1056">
        <v>0</v>
      </c>
      <c r="J1739" s="996">
        <f t="shared" si="30"/>
        <v>0</v>
      </c>
      <c r="K1739" s="1037">
        <f t="shared" si="29"/>
        <v>8</v>
      </c>
    </row>
    <row r="1740" spans="1:11" ht="12.75">
      <c r="A1740" s="1054">
        <v>42505003</v>
      </c>
      <c r="B1740" s="1055" t="s">
        <v>1489</v>
      </c>
      <c r="C1740" s="1055" t="s">
        <v>542</v>
      </c>
      <c r="D1740" s="1055" t="s">
        <v>1901</v>
      </c>
      <c r="E1740" s="1055" t="s">
        <v>1902</v>
      </c>
      <c r="F1740" s="1056">
        <v>0</v>
      </c>
      <c r="G1740" s="1056">
        <v>0</v>
      </c>
      <c r="H1740" s="1056">
        <v>0</v>
      </c>
      <c r="I1740" s="1056">
        <v>0</v>
      </c>
      <c r="J1740" s="996">
        <f t="shared" si="30"/>
        <v>0</v>
      </c>
      <c r="K1740" s="1037">
        <f t="shared" si="29"/>
        <v>8</v>
      </c>
    </row>
    <row r="1741" spans="1:11" ht="12.75">
      <c r="A1741" s="1054">
        <v>42505003</v>
      </c>
      <c r="B1741" s="1055" t="s">
        <v>1489</v>
      </c>
      <c r="C1741" s="1055" t="s">
        <v>542</v>
      </c>
      <c r="D1741" s="1055" t="s">
        <v>1686</v>
      </c>
      <c r="E1741" s="1055" t="s">
        <v>1687</v>
      </c>
      <c r="F1741" s="1056">
        <v>0</v>
      </c>
      <c r="G1741" s="1056">
        <v>0</v>
      </c>
      <c r="H1741" s="1056">
        <v>0</v>
      </c>
      <c r="I1741" s="1056">
        <v>0</v>
      </c>
      <c r="J1741" s="996">
        <f t="shared" si="30"/>
        <v>0</v>
      </c>
      <c r="K1741" s="1037">
        <f t="shared" si="29"/>
        <v>8</v>
      </c>
    </row>
    <row r="1742" spans="1:11" ht="12.75">
      <c r="A1742" s="1054">
        <v>42505003</v>
      </c>
      <c r="B1742" s="1055" t="s">
        <v>1489</v>
      </c>
      <c r="C1742" s="1055" t="s">
        <v>542</v>
      </c>
      <c r="D1742" s="1055" t="s">
        <v>1303</v>
      </c>
      <c r="E1742" s="1055" t="s">
        <v>806</v>
      </c>
      <c r="F1742" s="1056">
        <v>0</v>
      </c>
      <c r="G1742" s="1056">
        <v>0</v>
      </c>
      <c r="H1742" s="1056">
        <v>0</v>
      </c>
      <c r="I1742" s="1056">
        <v>0</v>
      </c>
      <c r="J1742" s="996">
        <f t="shared" si="30"/>
        <v>0</v>
      </c>
      <c r="K1742" s="1037">
        <f t="shared" si="29"/>
        <v>8</v>
      </c>
    </row>
    <row r="1743" spans="1:11" ht="12.75">
      <c r="A1743" s="1054">
        <v>42505003</v>
      </c>
      <c r="B1743" s="1055" t="s">
        <v>1489</v>
      </c>
      <c r="C1743" s="1055" t="s">
        <v>542</v>
      </c>
      <c r="D1743" s="1055" t="s">
        <v>1499</v>
      </c>
      <c r="E1743" s="1055" t="s">
        <v>1500</v>
      </c>
      <c r="F1743" s="1056">
        <v>0</v>
      </c>
      <c r="G1743" s="1056">
        <v>0</v>
      </c>
      <c r="H1743" s="1056">
        <v>0</v>
      </c>
      <c r="I1743" s="1056">
        <v>0</v>
      </c>
      <c r="J1743" s="996">
        <f t="shared" si="30"/>
        <v>0</v>
      </c>
      <c r="K1743" s="1037">
        <f t="shared" si="29"/>
        <v>8</v>
      </c>
    </row>
    <row r="1744" spans="1:11" ht="12.75">
      <c r="A1744" s="1054">
        <v>42505003</v>
      </c>
      <c r="B1744" s="1055" t="s">
        <v>1489</v>
      </c>
      <c r="C1744" s="1055" t="s">
        <v>542</v>
      </c>
      <c r="D1744" s="1055" t="s">
        <v>1523</v>
      </c>
      <c r="E1744" s="1055" t="s">
        <v>1524</v>
      </c>
      <c r="F1744" s="1056">
        <v>0</v>
      </c>
      <c r="G1744" s="1056">
        <v>0</v>
      </c>
      <c r="H1744" s="1056">
        <v>0</v>
      </c>
      <c r="I1744" s="1056">
        <v>0</v>
      </c>
      <c r="J1744" s="996">
        <f t="shared" si="30"/>
        <v>0</v>
      </c>
      <c r="K1744" s="1037">
        <f t="shared" si="29"/>
        <v>8</v>
      </c>
    </row>
    <row r="1745" spans="1:11" ht="12.75">
      <c r="A1745" s="1054">
        <v>42505003</v>
      </c>
      <c r="B1745" s="1055" t="s">
        <v>1489</v>
      </c>
      <c r="C1745" s="1055" t="s">
        <v>542</v>
      </c>
      <c r="D1745" s="1055" t="s">
        <v>1422</v>
      </c>
      <c r="E1745" s="1055" t="s">
        <v>1423</v>
      </c>
      <c r="F1745" s="1056">
        <v>0</v>
      </c>
      <c r="G1745" s="1056">
        <v>0</v>
      </c>
      <c r="H1745" s="1056">
        <v>0</v>
      </c>
      <c r="I1745" s="1056">
        <v>0</v>
      </c>
      <c r="J1745" s="996">
        <f t="shared" si="30"/>
        <v>0</v>
      </c>
      <c r="K1745" s="1037">
        <f t="shared" si="29"/>
        <v>8</v>
      </c>
    </row>
    <row r="1746" spans="1:11" ht="12.75">
      <c r="A1746" s="1054">
        <v>42505003</v>
      </c>
      <c r="B1746" s="1055" t="s">
        <v>1489</v>
      </c>
      <c r="C1746" s="1055" t="s">
        <v>542</v>
      </c>
      <c r="D1746" s="1055" t="s">
        <v>1480</v>
      </c>
      <c r="E1746" s="1055" t="s">
        <v>1481</v>
      </c>
      <c r="F1746" s="1056">
        <v>0</v>
      </c>
      <c r="G1746" s="1056">
        <v>0</v>
      </c>
      <c r="H1746" s="1056">
        <v>0</v>
      </c>
      <c r="I1746" s="1056">
        <v>0</v>
      </c>
      <c r="J1746" s="996">
        <f t="shared" si="30"/>
        <v>0</v>
      </c>
      <c r="K1746" s="1037">
        <f t="shared" si="29"/>
        <v>8</v>
      </c>
    </row>
    <row r="1747" spans="1:11" ht="12.75">
      <c r="A1747" s="1054">
        <v>42505003</v>
      </c>
      <c r="B1747" s="1055" t="s">
        <v>1489</v>
      </c>
      <c r="C1747" s="1055" t="s">
        <v>542</v>
      </c>
      <c r="D1747" s="1055" t="s">
        <v>1847</v>
      </c>
      <c r="E1747" s="1055" t="s">
        <v>1848</v>
      </c>
      <c r="F1747" s="1056">
        <v>0</v>
      </c>
      <c r="G1747" s="1056">
        <v>0</v>
      </c>
      <c r="H1747" s="1056">
        <v>0</v>
      </c>
      <c r="I1747" s="1056">
        <v>0</v>
      </c>
      <c r="J1747" s="996">
        <f t="shared" si="30"/>
        <v>0</v>
      </c>
      <c r="K1747" s="1037">
        <f t="shared" si="29"/>
        <v>8</v>
      </c>
    </row>
    <row r="1748" spans="1:11" ht="12.75">
      <c r="A1748" s="1054">
        <v>42505003</v>
      </c>
      <c r="B1748" s="1055" t="s">
        <v>1489</v>
      </c>
      <c r="C1748" s="1055" t="s">
        <v>542</v>
      </c>
      <c r="D1748" s="1055" t="s">
        <v>1761</v>
      </c>
      <c r="E1748" s="1055" t="s">
        <v>1762</v>
      </c>
      <c r="F1748" s="1056">
        <v>0</v>
      </c>
      <c r="G1748" s="1056">
        <v>0</v>
      </c>
      <c r="H1748" s="1056">
        <v>0</v>
      </c>
      <c r="I1748" s="1056">
        <v>0</v>
      </c>
      <c r="J1748" s="996">
        <f t="shared" si="30"/>
        <v>0</v>
      </c>
      <c r="K1748" s="1037">
        <f t="shared" si="29"/>
        <v>8</v>
      </c>
    </row>
    <row r="1749" spans="1:11" ht="12.75">
      <c r="A1749" s="1054">
        <v>42505003</v>
      </c>
      <c r="B1749" s="1055" t="s">
        <v>1489</v>
      </c>
      <c r="C1749" s="1055" t="s">
        <v>542</v>
      </c>
      <c r="D1749" s="1055" t="s">
        <v>1428</v>
      </c>
      <c r="E1749" s="1055" t="s">
        <v>1429</v>
      </c>
      <c r="F1749" s="1056">
        <v>0</v>
      </c>
      <c r="G1749" s="1056">
        <v>0</v>
      </c>
      <c r="H1749" s="1056">
        <v>0</v>
      </c>
      <c r="I1749" s="1056">
        <v>0</v>
      </c>
      <c r="J1749" s="996">
        <f t="shared" si="30"/>
        <v>0</v>
      </c>
      <c r="K1749" s="1037">
        <f t="shared" si="29"/>
        <v>8</v>
      </c>
    </row>
    <row r="1750" spans="1:11" ht="12.75">
      <c r="A1750" s="1054">
        <v>42505003</v>
      </c>
      <c r="B1750" s="1055" t="s">
        <v>1489</v>
      </c>
      <c r="C1750" s="1055" t="s">
        <v>542</v>
      </c>
      <c r="D1750" s="1055" t="s">
        <v>1849</v>
      </c>
      <c r="E1750" s="1055" t="s">
        <v>1850</v>
      </c>
      <c r="F1750" s="1056">
        <v>0</v>
      </c>
      <c r="G1750" s="1056">
        <v>0</v>
      </c>
      <c r="H1750" s="1056">
        <v>0</v>
      </c>
      <c r="I1750" s="1056">
        <v>0</v>
      </c>
      <c r="J1750" s="996">
        <f t="shared" si="30"/>
        <v>0</v>
      </c>
      <c r="K1750" s="1037">
        <f t="shared" si="29"/>
        <v>8</v>
      </c>
    </row>
    <row r="1751" spans="1:11" ht="12.75">
      <c r="A1751" s="1054">
        <v>42505003</v>
      </c>
      <c r="B1751" s="1055" t="s">
        <v>1489</v>
      </c>
      <c r="C1751" s="1055" t="s">
        <v>542</v>
      </c>
      <c r="D1751" s="1055" t="s">
        <v>1275</v>
      </c>
      <c r="E1751" s="1055" t="s">
        <v>991</v>
      </c>
      <c r="F1751" s="1056">
        <v>0</v>
      </c>
      <c r="G1751" s="1056">
        <v>0</v>
      </c>
      <c r="H1751" s="1056">
        <v>0</v>
      </c>
      <c r="I1751" s="1056">
        <v>-1</v>
      </c>
      <c r="J1751" s="996">
        <f t="shared" si="30"/>
        <v>0</v>
      </c>
      <c r="K1751" s="1037">
        <f t="shared" si="29"/>
        <v>8</v>
      </c>
    </row>
    <row r="1752" spans="1:11" ht="12.75">
      <c r="A1752" s="1054">
        <v>42505003</v>
      </c>
      <c r="B1752" s="1055" t="s">
        <v>1489</v>
      </c>
      <c r="C1752" s="1055" t="s">
        <v>542</v>
      </c>
      <c r="D1752" s="1055" t="s">
        <v>1380</v>
      </c>
      <c r="E1752" s="1055" t="s">
        <v>1381</v>
      </c>
      <c r="F1752" s="1056">
        <v>0</v>
      </c>
      <c r="G1752" s="1056">
        <v>0</v>
      </c>
      <c r="H1752" s="1056">
        <v>0</v>
      </c>
      <c r="I1752" s="1056">
        <v>0</v>
      </c>
      <c r="J1752" s="996">
        <f t="shared" si="30"/>
        <v>0</v>
      </c>
      <c r="K1752" s="1037">
        <f t="shared" si="29"/>
        <v>8</v>
      </c>
    </row>
    <row r="1753" spans="1:11" ht="12.75">
      <c r="A1753" s="1054">
        <v>42505003</v>
      </c>
      <c r="B1753" s="1055" t="s">
        <v>1489</v>
      </c>
      <c r="C1753" s="1055" t="s">
        <v>542</v>
      </c>
      <c r="D1753" s="1055" t="s">
        <v>1585</v>
      </c>
      <c r="E1753" s="1055" t="s">
        <v>1586</v>
      </c>
      <c r="F1753" s="1056">
        <v>0</v>
      </c>
      <c r="G1753" s="1056">
        <v>0</v>
      </c>
      <c r="H1753" s="1056">
        <v>0</v>
      </c>
      <c r="I1753" s="1056">
        <v>0</v>
      </c>
      <c r="J1753" s="996">
        <f t="shared" si="30"/>
        <v>0</v>
      </c>
      <c r="K1753" s="1037">
        <f t="shared" si="29"/>
        <v>8</v>
      </c>
    </row>
    <row r="1754" spans="1:11" ht="12.75">
      <c r="A1754" s="1054">
        <v>42505003</v>
      </c>
      <c r="B1754" s="1055" t="s">
        <v>1489</v>
      </c>
      <c r="C1754" s="1055" t="s">
        <v>542</v>
      </c>
      <c r="D1754" s="1055" t="s">
        <v>1382</v>
      </c>
      <c r="E1754" s="1055" t="s">
        <v>1763</v>
      </c>
      <c r="F1754" s="1056">
        <v>0</v>
      </c>
      <c r="G1754" s="1056">
        <v>0</v>
      </c>
      <c r="H1754" s="1056">
        <v>0</v>
      </c>
      <c r="I1754" s="1056">
        <v>-1</v>
      </c>
      <c r="J1754" s="996">
        <f t="shared" si="30"/>
        <v>0</v>
      </c>
      <c r="K1754" s="1037">
        <f t="shared" si="29"/>
        <v>8</v>
      </c>
    </row>
    <row r="1755" spans="1:11" ht="12.75">
      <c r="A1755" s="1054">
        <v>42505003</v>
      </c>
      <c r="B1755" s="1055" t="s">
        <v>1489</v>
      </c>
      <c r="C1755" s="1055" t="s">
        <v>542</v>
      </c>
      <c r="D1755" s="1055" t="s">
        <v>1440</v>
      </c>
      <c r="E1755" s="1055" t="s">
        <v>1441</v>
      </c>
      <c r="F1755" s="1056">
        <v>0</v>
      </c>
      <c r="G1755" s="1056">
        <v>0</v>
      </c>
      <c r="H1755" s="1056">
        <v>0</v>
      </c>
      <c r="I1755" s="1056">
        <v>0</v>
      </c>
      <c r="J1755" s="996">
        <f t="shared" si="30"/>
        <v>0</v>
      </c>
      <c r="K1755" s="1037">
        <f t="shared" si="29"/>
        <v>8</v>
      </c>
    </row>
    <row r="1756" spans="1:11" ht="12.75">
      <c r="A1756" s="1054">
        <v>42505003</v>
      </c>
      <c r="B1756" s="1055" t="s">
        <v>1489</v>
      </c>
      <c r="C1756" s="1055" t="s">
        <v>542</v>
      </c>
      <c r="D1756" s="1055" t="s">
        <v>1383</v>
      </c>
      <c r="E1756" s="1055" t="s">
        <v>1384</v>
      </c>
      <c r="F1756" s="1056">
        <v>0</v>
      </c>
      <c r="G1756" s="1056">
        <v>0</v>
      </c>
      <c r="H1756" s="1056">
        <v>0</v>
      </c>
      <c r="I1756" s="1056">
        <v>-1</v>
      </c>
      <c r="J1756" s="996">
        <f t="shared" si="30"/>
        <v>0</v>
      </c>
      <c r="K1756" s="1037">
        <f t="shared" si="29"/>
        <v>8</v>
      </c>
    </row>
    <row r="1757" spans="1:11" ht="12.75">
      <c r="A1757" s="1054">
        <v>42505003</v>
      </c>
      <c r="B1757" s="1055" t="s">
        <v>1489</v>
      </c>
      <c r="C1757" s="1055" t="s">
        <v>542</v>
      </c>
      <c r="D1757" s="1055" t="s">
        <v>1430</v>
      </c>
      <c r="E1757" s="1055" t="s">
        <v>1431</v>
      </c>
      <c r="F1757" s="1056">
        <v>0</v>
      </c>
      <c r="G1757" s="1056">
        <v>0</v>
      </c>
      <c r="H1757" s="1056">
        <v>0</v>
      </c>
      <c r="I1757" s="1056">
        <v>0</v>
      </c>
      <c r="J1757" s="996">
        <f t="shared" si="30"/>
        <v>0</v>
      </c>
      <c r="K1757" s="1037">
        <f t="shared" si="29"/>
        <v>8</v>
      </c>
    </row>
    <row r="1758" spans="1:11" ht="12.75">
      <c r="A1758" s="1054">
        <v>42505003</v>
      </c>
      <c r="B1758" s="1055" t="s">
        <v>1489</v>
      </c>
      <c r="C1758" s="1055" t="s">
        <v>542</v>
      </c>
      <c r="D1758" s="1055" t="s">
        <v>1587</v>
      </c>
      <c r="E1758" s="1055" t="s">
        <v>1588</v>
      </c>
      <c r="F1758" s="1056">
        <v>0</v>
      </c>
      <c r="G1758" s="1056">
        <v>0</v>
      </c>
      <c r="H1758" s="1056">
        <v>0</v>
      </c>
      <c r="I1758" s="1056">
        <v>0</v>
      </c>
      <c r="J1758" s="996">
        <f t="shared" si="30"/>
        <v>0</v>
      </c>
      <c r="K1758" s="1037">
        <f t="shared" si="29"/>
        <v>8</v>
      </c>
    </row>
    <row r="1759" spans="1:11" ht="12.75">
      <c r="A1759" s="1054">
        <v>4255</v>
      </c>
      <c r="B1759" s="1055" t="s">
        <v>1489</v>
      </c>
      <c r="C1759" s="1055" t="s">
        <v>132</v>
      </c>
      <c r="D1759" s="1055" t="s">
        <v>893</v>
      </c>
      <c r="E1759" s="1055" t="s">
        <v>893</v>
      </c>
      <c r="F1759" s="1056">
        <v>-606</v>
      </c>
      <c r="G1759" s="1056">
        <v>0</v>
      </c>
      <c r="H1759" s="1056">
        <v>0</v>
      </c>
      <c r="I1759" s="1056">
        <v>-606</v>
      </c>
      <c r="J1759" s="996">
        <f t="shared" si="30"/>
        <v>0</v>
      </c>
      <c r="K1759" s="1037">
        <f t="shared" si="29"/>
        <v>4</v>
      </c>
    </row>
    <row r="1760" spans="1:11" ht="12.75">
      <c r="A1760" s="1054">
        <v>425540</v>
      </c>
      <c r="B1760" s="1055" t="s">
        <v>893</v>
      </c>
      <c r="C1760" s="1055" t="s">
        <v>372</v>
      </c>
      <c r="D1760" s="1055" t="s">
        <v>893</v>
      </c>
      <c r="E1760" s="1055" t="s">
        <v>893</v>
      </c>
      <c r="F1760" s="1056">
        <v>-606</v>
      </c>
      <c r="G1760" s="1056">
        <v>0</v>
      </c>
      <c r="H1760" s="1056">
        <v>0</v>
      </c>
      <c r="I1760" s="1056">
        <v>-606</v>
      </c>
      <c r="J1760" s="996">
        <f t="shared" si="30"/>
        <v>0</v>
      </c>
      <c r="K1760" s="1037">
        <f t="shared" si="29"/>
        <v>6</v>
      </c>
    </row>
    <row r="1761" spans="1:11" ht="12.75">
      <c r="A1761" s="1054">
        <v>42554001</v>
      </c>
      <c r="B1761" s="1055" t="s">
        <v>893</v>
      </c>
      <c r="C1761" s="1055" t="s">
        <v>372</v>
      </c>
      <c r="D1761" s="1055" t="s">
        <v>893</v>
      </c>
      <c r="E1761" s="1055" t="s">
        <v>893</v>
      </c>
      <c r="F1761" s="1056">
        <v>-606</v>
      </c>
      <c r="G1761" s="1056">
        <v>0</v>
      </c>
      <c r="H1761" s="1056">
        <v>0</v>
      </c>
      <c r="I1761" s="1056">
        <v>-606</v>
      </c>
      <c r="J1761" s="996">
        <f t="shared" si="30"/>
        <v>0</v>
      </c>
      <c r="K1761" s="1037">
        <f t="shared" si="29"/>
        <v>8</v>
      </c>
    </row>
    <row r="1762" spans="1:11" ht="12.75">
      <c r="A1762" s="1054">
        <v>42554001</v>
      </c>
      <c r="B1762" s="1055" t="s">
        <v>893</v>
      </c>
      <c r="C1762" s="1055" t="s">
        <v>372</v>
      </c>
      <c r="D1762" s="1055" t="s">
        <v>1255</v>
      </c>
      <c r="E1762" s="1055" t="s">
        <v>1256</v>
      </c>
      <c r="F1762" s="1056">
        <v>-332</v>
      </c>
      <c r="G1762" s="1056">
        <v>0</v>
      </c>
      <c r="H1762" s="1056">
        <v>0</v>
      </c>
      <c r="I1762" s="1056">
        <v>-332</v>
      </c>
      <c r="J1762" s="996">
        <f t="shared" si="30"/>
        <v>0</v>
      </c>
      <c r="K1762" s="1037">
        <f t="shared" si="29"/>
        <v>8</v>
      </c>
    </row>
    <row r="1763" spans="1:11" ht="12.75">
      <c r="A1763" s="1054">
        <v>42554001</v>
      </c>
      <c r="B1763" s="1055" t="s">
        <v>893</v>
      </c>
      <c r="C1763" s="1055" t="s">
        <v>372</v>
      </c>
      <c r="D1763" s="1055" t="s">
        <v>1257</v>
      </c>
      <c r="E1763" s="1055" t="s">
        <v>1258</v>
      </c>
      <c r="F1763" s="1056">
        <v>-47</v>
      </c>
      <c r="G1763" s="1056">
        <v>0</v>
      </c>
      <c r="H1763" s="1056">
        <v>0</v>
      </c>
      <c r="I1763" s="1056">
        <v>-47</v>
      </c>
      <c r="J1763" s="996">
        <f t="shared" si="30"/>
        <v>0</v>
      </c>
      <c r="K1763" s="1037">
        <f t="shared" si="29"/>
        <v>8</v>
      </c>
    </row>
    <row r="1764" spans="1:11" ht="12.75">
      <c r="A1764" s="1054">
        <v>42554001</v>
      </c>
      <c r="B1764" s="1055" t="s">
        <v>893</v>
      </c>
      <c r="C1764" s="1055" t="s">
        <v>372</v>
      </c>
      <c r="D1764" s="1055" t="s">
        <v>1265</v>
      </c>
      <c r="E1764" s="1055" t="s">
        <v>1266</v>
      </c>
      <c r="F1764" s="1056">
        <v>-226</v>
      </c>
      <c r="G1764" s="1056">
        <v>0</v>
      </c>
      <c r="H1764" s="1056">
        <v>0</v>
      </c>
      <c r="I1764" s="1056">
        <v>-226</v>
      </c>
      <c r="J1764" s="996">
        <f t="shared" si="30"/>
        <v>0</v>
      </c>
      <c r="K1764" s="1037">
        <f t="shared" si="29"/>
        <v>8</v>
      </c>
    </row>
    <row r="1765" spans="1:11" ht="12.75">
      <c r="A1765" s="1054">
        <v>4295</v>
      </c>
      <c r="B1765" s="1055" t="s">
        <v>893</v>
      </c>
      <c r="C1765" s="1055" t="s">
        <v>133</v>
      </c>
      <c r="D1765" s="1055" t="s">
        <v>893</v>
      </c>
      <c r="E1765" s="1055" t="s">
        <v>893</v>
      </c>
      <c r="F1765" s="1056">
        <v>-3327</v>
      </c>
      <c r="G1765" s="1056">
        <v>0</v>
      </c>
      <c r="H1765" s="1056">
        <v>720</v>
      </c>
      <c r="I1765" s="1056">
        <v>-4047</v>
      </c>
      <c r="J1765" s="996">
        <f t="shared" si="30"/>
        <v>720</v>
      </c>
      <c r="K1765" s="1037">
        <f t="shared" si="29"/>
        <v>4</v>
      </c>
    </row>
    <row r="1766" spans="1:11" ht="12.75">
      <c r="A1766" s="1054">
        <v>429505</v>
      </c>
      <c r="B1766" s="1055" t="s">
        <v>893</v>
      </c>
      <c r="C1766" s="1055" t="s">
        <v>373</v>
      </c>
      <c r="D1766" s="1055" t="s">
        <v>893</v>
      </c>
      <c r="E1766" s="1055" t="s">
        <v>893</v>
      </c>
      <c r="F1766" s="1056">
        <v>-38</v>
      </c>
      <c r="G1766" s="1056">
        <v>0</v>
      </c>
      <c r="H1766" s="1056">
        <v>77</v>
      </c>
      <c r="I1766" s="1056">
        <v>-115</v>
      </c>
      <c r="J1766" s="996">
        <f t="shared" si="30"/>
        <v>77</v>
      </c>
      <c r="K1766" s="1037">
        <f t="shared" si="29"/>
        <v>6</v>
      </c>
    </row>
    <row r="1767" spans="1:11" ht="12.75">
      <c r="A1767" s="1054">
        <v>42950501</v>
      </c>
      <c r="B1767" s="1055" t="s">
        <v>893</v>
      </c>
      <c r="C1767" s="1055" t="s">
        <v>373</v>
      </c>
      <c r="D1767" s="1055" t="s">
        <v>893</v>
      </c>
      <c r="E1767" s="1055" t="s">
        <v>893</v>
      </c>
      <c r="F1767" s="1056">
        <v>-38</v>
      </c>
      <c r="G1767" s="1056">
        <v>0</v>
      </c>
      <c r="H1767" s="1056">
        <v>77</v>
      </c>
      <c r="I1767" s="1056">
        <v>-115</v>
      </c>
      <c r="J1767" s="996">
        <f t="shared" si="30"/>
        <v>77</v>
      </c>
      <c r="K1767" s="1037">
        <f t="shared" si="29"/>
        <v>8</v>
      </c>
    </row>
    <row r="1768" spans="1:11" ht="12.75">
      <c r="A1768" s="1054">
        <v>42950501</v>
      </c>
      <c r="B1768" s="1055" t="s">
        <v>893</v>
      </c>
      <c r="C1768" s="1055" t="s">
        <v>373</v>
      </c>
      <c r="D1768" s="1055" t="s">
        <v>1060</v>
      </c>
      <c r="E1768" s="1055" t="s">
        <v>1061</v>
      </c>
      <c r="F1768" s="1056">
        <v>-38</v>
      </c>
      <c r="G1768" s="1056">
        <v>0</v>
      </c>
      <c r="H1768" s="1056">
        <v>77</v>
      </c>
      <c r="I1768" s="1056">
        <v>-115</v>
      </c>
      <c r="J1768" s="996">
        <f t="shared" si="30"/>
        <v>77</v>
      </c>
      <c r="K1768" s="1037">
        <f t="shared" si="29"/>
        <v>8</v>
      </c>
    </row>
    <row r="1769" spans="1:11" ht="12.75">
      <c r="A1769" s="1054">
        <v>429516</v>
      </c>
      <c r="B1769" s="1055" t="s">
        <v>1489</v>
      </c>
      <c r="C1769" s="1055" t="s">
        <v>767</v>
      </c>
      <c r="D1769" s="1055" t="s">
        <v>893</v>
      </c>
      <c r="E1769" s="1055" t="s">
        <v>893</v>
      </c>
      <c r="F1769" s="1056">
        <v>-3288</v>
      </c>
      <c r="G1769" s="1056">
        <v>0</v>
      </c>
      <c r="H1769" s="1056">
        <v>643</v>
      </c>
      <c r="I1769" s="1056">
        <v>-3930</v>
      </c>
      <c r="J1769" s="996">
        <f t="shared" si="30"/>
        <v>643</v>
      </c>
      <c r="K1769" s="1037">
        <f t="shared" si="29"/>
        <v>6</v>
      </c>
    </row>
    <row r="1770" spans="1:11" ht="12.75">
      <c r="A1770" s="1054">
        <v>42951601</v>
      </c>
      <c r="B1770" s="1055" t="s">
        <v>1489</v>
      </c>
      <c r="C1770" s="1055" t="s">
        <v>767</v>
      </c>
      <c r="D1770" s="1055" t="s">
        <v>893</v>
      </c>
      <c r="E1770" s="1055" t="s">
        <v>893</v>
      </c>
      <c r="F1770" s="1056">
        <v>-3288</v>
      </c>
      <c r="G1770" s="1056">
        <v>0</v>
      </c>
      <c r="H1770" s="1056">
        <v>643</v>
      </c>
      <c r="I1770" s="1056">
        <v>-3930</v>
      </c>
      <c r="J1770" s="996">
        <f t="shared" si="30"/>
        <v>643</v>
      </c>
      <c r="K1770" s="1037">
        <f t="shared" si="29"/>
        <v>8</v>
      </c>
    </row>
    <row r="1771" spans="1:11" ht="12.75">
      <c r="A1771" s="1054">
        <v>42951601</v>
      </c>
      <c r="B1771" s="1055" t="s">
        <v>1489</v>
      </c>
      <c r="C1771" s="1055" t="s">
        <v>767</v>
      </c>
      <c r="D1771" s="1055" t="s">
        <v>1298</v>
      </c>
      <c r="E1771" s="1055" t="s">
        <v>987</v>
      </c>
      <c r="F1771" s="1056">
        <v>-251</v>
      </c>
      <c r="G1771" s="1056">
        <v>0</v>
      </c>
      <c r="H1771" s="1056">
        <v>78</v>
      </c>
      <c r="I1771" s="1056">
        <v>-328</v>
      </c>
      <c r="J1771" s="996">
        <f t="shared" si="30"/>
        <v>78</v>
      </c>
      <c r="K1771" s="1037">
        <f t="shared" si="29"/>
        <v>8</v>
      </c>
    </row>
    <row r="1772" spans="1:11" ht="12.75">
      <c r="A1772" s="1054">
        <v>42951601</v>
      </c>
      <c r="B1772" s="1055" t="s">
        <v>1489</v>
      </c>
      <c r="C1772" s="1055" t="s">
        <v>767</v>
      </c>
      <c r="D1772" s="1055" t="s">
        <v>1270</v>
      </c>
      <c r="E1772" s="1055" t="s">
        <v>988</v>
      </c>
      <c r="F1772" s="1056">
        <v>-395</v>
      </c>
      <c r="G1772" s="1056">
        <v>0</v>
      </c>
      <c r="H1772" s="1056">
        <v>158</v>
      </c>
      <c r="I1772" s="1056">
        <v>-554</v>
      </c>
      <c r="J1772" s="996">
        <f t="shared" si="30"/>
        <v>158</v>
      </c>
      <c r="K1772" s="1037">
        <f t="shared" si="29"/>
        <v>8</v>
      </c>
    </row>
    <row r="1773" spans="1:11" ht="12.75">
      <c r="A1773" s="1054">
        <v>42951601</v>
      </c>
      <c r="B1773" s="1055" t="s">
        <v>1489</v>
      </c>
      <c r="C1773" s="1055" t="s">
        <v>767</v>
      </c>
      <c r="D1773" s="1055" t="s">
        <v>1271</v>
      </c>
      <c r="E1773" s="1055" t="s">
        <v>782</v>
      </c>
      <c r="F1773" s="1056">
        <v>-178</v>
      </c>
      <c r="G1773" s="1056">
        <v>0</v>
      </c>
      <c r="H1773" s="1056">
        <v>55</v>
      </c>
      <c r="I1773" s="1056">
        <v>-233</v>
      </c>
      <c r="J1773" s="996">
        <f t="shared" si="30"/>
        <v>55</v>
      </c>
      <c r="K1773" s="1037">
        <f t="shared" si="29"/>
        <v>8</v>
      </c>
    </row>
    <row r="1774" spans="1:11" ht="12.75">
      <c r="A1774" s="1054">
        <v>42951601</v>
      </c>
      <c r="B1774" s="1055" t="s">
        <v>1489</v>
      </c>
      <c r="C1774" s="1055" t="s">
        <v>767</v>
      </c>
      <c r="D1774" s="1055" t="s">
        <v>1304</v>
      </c>
      <c r="E1774" s="1055" t="s">
        <v>1819</v>
      </c>
      <c r="F1774" s="1056">
        <v>-709</v>
      </c>
      <c r="G1774" s="1056">
        <v>0</v>
      </c>
      <c r="H1774" s="1056">
        <v>107</v>
      </c>
      <c r="I1774" s="1056">
        <v>-817</v>
      </c>
      <c r="J1774" s="996">
        <f t="shared" si="30"/>
        <v>107</v>
      </c>
      <c r="K1774" s="1037">
        <f t="shared" si="29"/>
        <v>8</v>
      </c>
    </row>
    <row r="1775" spans="1:11" ht="12.75">
      <c r="A1775" s="1054">
        <v>42951601</v>
      </c>
      <c r="B1775" s="1055" t="s">
        <v>1489</v>
      </c>
      <c r="C1775" s="1055" t="s">
        <v>767</v>
      </c>
      <c r="D1775" s="1055" t="s">
        <v>1274</v>
      </c>
      <c r="E1775" s="1055" t="s">
        <v>989</v>
      </c>
      <c r="F1775" s="1056">
        <v>-457</v>
      </c>
      <c r="G1775" s="1056">
        <v>0</v>
      </c>
      <c r="H1775" s="1056">
        <v>35</v>
      </c>
      <c r="I1775" s="1056">
        <v>-491</v>
      </c>
      <c r="J1775" s="996">
        <f t="shared" si="30"/>
        <v>35</v>
      </c>
      <c r="K1775" s="1037">
        <f t="shared" si="29"/>
        <v>8</v>
      </c>
    </row>
    <row r="1776" spans="1:11" ht="12.75">
      <c r="A1776" s="1054">
        <v>42951601</v>
      </c>
      <c r="B1776" s="1055" t="s">
        <v>1489</v>
      </c>
      <c r="C1776" s="1055" t="s">
        <v>767</v>
      </c>
      <c r="D1776" s="1055" t="s">
        <v>1249</v>
      </c>
      <c r="E1776" s="1055" t="s">
        <v>583</v>
      </c>
      <c r="F1776" s="1056">
        <v>-937</v>
      </c>
      <c r="G1776" s="1056">
        <v>0</v>
      </c>
      <c r="H1776" s="1056">
        <v>198</v>
      </c>
      <c r="I1776" s="1056">
        <v>-1135</v>
      </c>
      <c r="J1776" s="996">
        <f t="shared" si="30"/>
        <v>198</v>
      </c>
      <c r="K1776" s="1037">
        <f t="shared" si="29"/>
        <v>8</v>
      </c>
    </row>
    <row r="1777" spans="1:11" ht="12.75">
      <c r="A1777" s="1054">
        <v>42951601</v>
      </c>
      <c r="B1777" s="1055" t="s">
        <v>1489</v>
      </c>
      <c r="C1777" s="1055" t="s">
        <v>767</v>
      </c>
      <c r="D1777" s="1055" t="s">
        <v>1275</v>
      </c>
      <c r="E1777" s="1055" t="s">
        <v>991</v>
      </c>
      <c r="F1777" s="1056">
        <v>-318</v>
      </c>
      <c r="G1777" s="1056">
        <v>0</v>
      </c>
      <c r="H1777" s="1056">
        <v>12</v>
      </c>
      <c r="I1777" s="1056">
        <v>-329</v>
      </c>
      <c r="J1777" s="996">
        <f t="shared" si="30"/>
        <v>12</v>
      </c>
      <c r="K1777" s="1037">
        <f t="shared" si="29"/>
        <v>8</v>
      </c>
    </row>
    <row r="1778" spans="1:11" ht="12.75">
      <c r="A1778" s="1054">
        <v>42951601</v>
      </c>
      <c r="B1778" s="1055" t="s">
        <v>1489</v>
      </c>
      <c r="C1778" s="1055" t="s">
        <v>767</v>
      </c>
      <c r="D1778" s="1055" t="s">
        <v>1060</v>
      </c>
      <c r="E1778" s="1055" t="s">
        <v>1061</v>
      </c>
      <c r="F1778" s="1056">
        <v>-43</v>
      </c>
      <c r="G1778" s="1056">
        <v>0</v>
      </c>
      <c r="H1778" s="1056">
        <v>0</v>
      </c>
      <c r="I1778" s="1056">
        <v>-43</v>
      </c>
      <c r="J1778" s="996">
        <f t="shared" si="30"/>
        <v>0</v>
      </c>
      <c r="K1778" s="1037">
        <f t="shared" si="29"/>
        <v>8</v>
      </c>
    </row>
    <row r="1779" spans="1:11" ht="12.75">
      <c r="A1779" s="1054">
        <v>429581</v>
      </c>
      <c r="B1779" s="1055" t="s">
        <v>893</v>
      </c>
      <c r="C1779" s="1055" t="s">
        <v>374</v>
      </c>
      <c r="D1779" s="1055" t="s">
        <v>893</v>
      </c>
      <c r="E1779" s="1055" t="s">
        <v>893</v>
      </c>
      <c r="F1779" s="1056">
        <v>-2</v>
      </c>
      <c r="G1779" s="1056">
        <v>0</v>
      </c>
      <c r="H1779" s="1056">
        <v>0</v>
      </c>
      <c r="I1779" s="1056">
        <v>-2</v>
      </c>
      <c r="J1779" s="996">
        <f t="shared" si="30"/>
        <v>0</v>
      </c>
      <c r="K1779" s="1037">
        <f t="shared" si="29"/>
        <v>6</v>
      </c>
    </row>
    <row r="1780" spans="1:11" ht="12.75">
      <c r="A1780" s="1054">
        <v>42958101</v>
      </c>
      <c r="B1780" s="1055" t="s">
        <v>893</v>
      </c>
      <c r="C1780" s="1055" t="s">
        <v>374</v>
      </c>
      <c r="D1780" s="1055" t="s">
        <v>893</v>
      </c>
      <c r="E1780" s="1055" t="s">
        <v>893</v>
      </c>
      <c r="F1780" s="1056">
        <v>-2</v>
      </c>
      <c r="G1780" s="1056">
        <v>0</v>
      </c>
      <c r="H1780" s="1056">
        <v>0</v>
      </c>
      <c r="I1780" s="1056">
        <v>-2</v>
      </c>
      <c r="J1780" s="996">
        <f t="shared" si="30"/>
        <v>0</v>
      </c>
      <c r="K1780" s="1037">
        <f t="shared" si="29"/>
        <v>8</v>
      </c>
    </row>
    <row r="1781" spans="1:11" ht="12.75">
      <c r="A1781" s="1054">
        <v>42958101</v>
      </c>
      <c r="B1781" s="1055" t="s">
        <v>893</v>
      </c>
      <c r="C1781" s="1055" t="s">
        <v>374</v>
      </c>
      <c r="D1781" s="1055" t="s">
        <v>1033</v>
      </c>
      <c r="E1781" s="1055" t="s">
        <v>695</v>
      </c>
      <c r="F1781" s="1056">
        <v>0</v>
      </c>
      <c r="G1781" s="1056">
        <v>0</v>
      </c>
      <c r="H1781" s="1056">
        <v>0</v>
      </c>
      <c r="I1781" s="1056">
        <v>0</v>
      </c>
      <c r="J1781" s="996">
        <f t="shared" si="30"/>
        <v>0</v>
      </c>
      <c r="K1781" s="1037">
        <f t="shared" si="29"/>
        <v>8</v>
      </c>
    </row>
    <row r="1782" spans="1:11" ht="12.75">
      <c r="A1782" s="1054">
        <v>42958101</v>
      </c>
      <c r="B1782" s="1055" t="s">
        <v>893</v>
      </c>
      <c r="C1782" s="1055" t="s">
        <v>374</v>
      </c>
      <c r="D1782" s="1055" t="s">
        <v>1035</v>
      </c>
      <c r="E1782" s="1055" t="s">
        <v>573</v>
      </c>
      <c r="F1782" s="1056">
        <v>-2</v>
      </c>
      <c r="G1782" s="1056">
        <v>0</v>
      </c>
      <c r="H1782" s="1056">
        <v>0</v>
      </c>
      <c r="I1782" s="1056">
        <v>-2</v>
      </c>
      <c r="J1782" s="996">
        <f t="shared" si="30"/>
        <v>0</v>
      </c>
      <c r="K1782" s="1037">
        <f t="shared" si="29"/>
        <v>8</v>
      </c>
    </row>
    <row r="1783" spans="1:11" ht="12.75">
      <c r="A1783" s="1054">
        <v>43</v>
      </c>
      <c r="B1783" s="1055" t="s">
        <v>893</v>
      </c>
      <c r="C1783" s="1055" t="s">
        <v>134</v>
      </c>
      <c r="D1783" s="1055" t="s">
        <v>893</v>
      </c>
      <c r="E1783" s="1055" t="s">
        <v>893</v>
      </c>
      <c r="F1783" s="1056">
        <v>-1872</v>
      </c>
      <c r="G1783" s="1056">
        <v>0</v>
      </c>
      <c r="H1783" s="1056">
        <v>83</v>
      </c>
      <c r="I1783" s="1056">
        <v>-1956</v>
      </c>
      <c r="J1783" s="996">
        <f t="shared" si="30"/>
        <v>83</v>
      </c>
      <c r="K1783" s="1037">
        <f t="shared" si="29"/>
        <v>2</v>
      </c>
    </row>
    <row r="1784" spans="1:11" ht="12.75">
      <c r="A1784" s="1054">
        <v>4310</v>
      </c>
      <c r="B1784" s="1055" t="s">
        <v>1489</v>
      </c>
      <c r="C1784" s="1055" t="s">
        <v>134</v>
      </c>
      <c r="D1784" s="1055" t="s">
        <v>893</v>
      </c>
      <c r="E1784" s="1055" t="s">
        <v>893</v>
      </c>
      <c r="F1784" s="1056">
        <v>-1872</v>
      </c>
      <c r="G1784" s="1056">
        <v>0</v>
      </c>
      <c r="H1784" s="1056">
        <v>83</v>
      </c>
      <c r="I1784" s="1056">
        <v>-1956</v>
      </c>
      <c r="J1784" s="996">
        <f t="shared" si="30"/>
        <v>83</v>
      </c>
      <c r="K1784" s="1037">
        <f t="shared" si="29"/>
        <v>4</v>
      </c>
    </row>
    <row r="1785" spans="1:11" ht="12.75">
      <c r="A1785" s="1054">
        <v>431005</v>
      </c>
      <c r="B1785" s="1055" t="s">
        <v>1489</v>
      </c>
      <c r="C1785" s="1055" t="s">
        <v>130</v>
      </c>
      <c r="D1785" s="1055" t="s">
        <v>893</v>
      </c>
      <c r="E1785" s="1055" t="s">
        <v>893</v>
      </c>
      <c r="F1785" s="1056">
        <v>-1212</v>
      </c>
      <c r="G1785" s="1056">
        <v>0</v>
      </c>
      <c r="H1785" s="1056">
        <v>0</v>
      </c>
      <c r="I1785" s="1056">
        <v>-1212</v>
      </c>
      <c r="J1785" s="996">
        <f t="shared" si="30"/>
        <v>0</v>
      </c>
      <c r="K1785" s="1037">
        <f t="shared" si="29"/>
        <v>6</v>
      </c>
    </row>
    <row r="1786" spans="1:11" ht="12.75">
      <c r="A1786" s="1054">
        <v>431005</v>
      </c>
      <c r="B1786" s="1055" t="s">
        <v>1489</v>
      </c>
      <c r="C1786" s="1055" t="s">
        <v>130</v>
      </c>
      <c r="D1786" s="1055" t="s">
        <v>1822</v>
      </c>
      <c r="E1786" s="1055" t="s">
        <v>1823</v>
      </c>
      <c r="F1786" s="1056">
        <v>-549</v>
      </c>
      <c r="G1786" s="1056">
        <v>0</v>
      </c>
      <c r="H1786" s="1056">
        <v>0</v>
      </c>
      <c r="I1786" s="1056">
        <v>-549</v>
      </c>
      <c r="J1786" s="996">
        <f t="shared" si="30"/>
        <v>0</v>
      </c>
      <c r="K1786" s="1037">
        <f t="shared" si="29"/>
        <v>6</v>
      </c>
    </row>
    <row r="1787" spans="1:11" ht="12.75">
      <c r="A1787" s="1054">
        <v>431005</v>
      </c>
      <c r="B1787" s="1055" t="s">
        <v>1489</v>
      </c>
      <c r="C1787" s="1055" t="s">
        <v>130</v>
      </c>
      <c r="D1787" s="1055" t="s">
        <v>1285</v>
      </c>
      <c r="E1787" s="1055" t="s">
        <v>786</v>
      </c>
      <c r="F1787" s="1056">
        <v>-623</v>
      </c>
      <c r="G1787" s="1056">
        <v>0</v>
      </c>
      <c r="H1787" s="1056">
        <v>0</v>
      </c>
      <c r="I1787" s="1056">
        <v>-623</v>
      </c>
      <c r="J1787" s="996">
        <f t="shared" si="30"/>
        <v>0</v>
      </c>
      <c r="K1787" s="1037">
        <f t="shared" si="29"/>
        <v>6</v>
      </c>
    </row>
    <row r="1788" spans="1:11" ht="12.75">
      <c r="A1788" s="1054">
        <v>431005</v>
      </c>
      <c r="B1788" s="1055" t="s">
        <v>1489</v>
      </c>
      <c r="C1788" s="1055" t="s">
        <v>130</v>
      </c>
      <c r="D1788" s="1055" t="s">
        <v>1418</v>
      </c>
      <c r="E1788" s="1055" t="s">
        <v>1419</v>
      </c>
      <c r="F1788" s="1056">
        <v>-37</v>
      </c>
      <c r="G1788" s="1056">
        <v>0</v>
      </c>
      <c r="H1788" s="1056">
        <v>0</v>
      </c>
      <c r="I1788" s="1056">
        <v>-37</v>
      </c>
      <c r="J1788" s="996">
        <f t="shared" si="30"/>
        <v>0</v>
      </c>
      <c r="K1788" s="1037">
        <f t="shared" si="29"/>
        <v>6</v>
      </c>
    </row>
    <row r="1789" spans="1:11" ht="12.75">
      <c r="A1789" s="1054">
        <v>431005</v>
      </c>
      <c r="B1789" s="1055" t="s">
        <v>1489</v>
      </c>
      <c r="C1789" s="1055" t="s">
        <v>130</v>
      </c>
      <c r="D1789" s="1055" t="s">
        <v>1171</v>
      </c>
      <c r="E1789" s="1055" t="s">
        <v>335</v>
      </c>
      <c r="F1789" s="1056">
        <v>0</v>
      </c>
      <c r="G1789" s="1056">
        <v>0</v>
      </c>
      <c r="H1789" s="1056">
        <v>0</v>
      </c>
      <c r="I1789" s="1056">
        <v>0</v>
      </c>
      <c r="J1789" s="996">
        <f t="shared" si="30"/>
        <v>0</v>
      </c>
      <c r="K1789" s="1037">
        <f t="shared" si="29"/>
        <v>6</v>
      </c>
    </row>
    <row r="1790" spans="1:11" ht="12.75">
      <c r="A1790" s="1054">
        <v>431005</v>
      </c>
      <c r="B1790" s="1055" t="s">
        <v>1489</v>
      </c>
      <c r="C1790" s="1055" t="s">
        <v>130</v>
      </c>
      <c r="D1790" s="1055" t="s">
        <v>1172</v>
      </c>
      <c r="E1790" s="1055" t="s">
        <v>1173</v>
      </c>
      <c r="F1790" s="1056">
        <v>-4</v>
      </c>
      <c r="G1790" s="1056">
        <v>0</v>
      </c>
      <c r="H1790" s="1056">
        <v>0</v>
      </c>
      <c r="I1790" s="1056">
        <v>-4</v>
      </c>
      <c r="J1790" s="996">
        <f t="shared" si="30"/>
        <v>0</v>
      </c>
      <c r="K1790" s="1037">
        <f t="shared" si="29"/>
        <v>6</v>
      </c>
    </row>
    <row r="1791" spans="1:11" ht="12.75">
      <c r="A1791" s="1054">
        <v>431005</v>
      </c>
      <c r="B1791" s="1055" t="s">
        <v>1489</v>
      </c>
      <c r="C1791" s="1055" t="s">
        <v>130</v>
      </c>
      <c r="D1791" s="1055" t="s">
        <v>1168</v>
      </c>
      <c r="E1791" s="1055" t="s">
        <v>1169</v>
      </c>
      <c r="F1791" s="1056">
        <v>0</v>
      </c>
      <c r="G1791" s="1056">
        <v>0</v>
      </c>
      <c r="H1791" s="1056">
        <v>0</v>
      </c>
      <c r="I1791" s="1056">
        <v>0</v>
      </c>
      <c r="J1791" s="996">
        <f t="shared" si="30"/>
        <v>0</v>
      </c>
      <c r="K1791" s="1037">
        <f t="shared" si="29"/>
        <v>6</v>
      </c>
    </row>
    <row r="1792" spans="1:11" ht="12.75">
      <c r="A1792" s="1054">
        <v>431040</v>
      </c>
      <c r="B1792" s="1055" t="s">
        <v>1489</v>
      </c>
      <c r="C1792" s="1055" t="s">
        <v>401</v>
      </c>
      <c r="D1792" s="1055" t="s">
        <v>893</v>
      </c>
      <c r="E1792" s="1055" t="s">
        <v>893</v>
      </c>
      <c r="F1792" s="1056">
        <v>-660</v>
      </c>
      <c r="G1792" s="1056">
        <v>0</v>
      </c>
      <c r="H1792" s="1056">
        <v>83</v>
      </c>
      <c r="I1792" s="1056">
        <v>-743</v>
      </c>
      <c r="J1792" s="996">
        <f t="shared" si="30"/>
        <v>83</v>
      </c>
      <c r="K1792" s="1037">
        <f t="shared" si="29"/>
        <v>6</v>
      </c>
    </row>
    <row r="1793" spans="1:11" ht="12.75">
      <c r="A1793" s="1054">
        <v>431040</v>
      </c>
      <c r="B1793" s="1055" t="s">
        <v>1489</v>
      </c>
      <c r="C1793" s="1055" t="s">
        <v>401</v>
      </c>
      <c r="D1793" s="1055" t="s">
        <v>1168</v>
      </c>
      <c r="E1793" s="1055" t="s">
        <v>1169</v>
      </c>
      <c r="F1793" s="1056">
        <v>0</v>
      </c>
      <c r="G1793" s="1056">
        <v>0</v>
      </c>
      <c r="H1793" s="1056">
        <v>30</v>
      </c>
      <c r="I1793" s="1056">
        <v>-30</v>
      </c>
      <c r="J1793" s="996">
        <f t="shared" si="30"/>
        <v>30</v>
      </c>
      <c r="K1793" s="1037">
        <f t="shared" si="29"/>
        <v>6</v>
      </c>
    </row>
    <row r="1794" spans="1:11" ht="12.75">
      <c r="A1794" s="1054">
        <v>431040</v>
      </c>
      <c r="B1794" s="1055" t="s">
        <v>1489</v>
      </c>
      <c r="C1794" s="1055" t="s">
        <v>401</v>
      </c>
      <c r="D1794" s="1055" t="s">
        <v>1035</v>
      </c>
      <c r="E1794" s="1055" t="s">
        <v>573</v>
      </c>
      <c r="F1794" s="1056">
        <v>-639</v>
      </c>
      <c r="G1794" s="1056">
        <v>0</v>
      </c>
      <c r="H1794" s="1056">
        <v>53</v>
      </c>
      <c r="I1794" s="1056">
        <v>-692</v>
      </c>
      <c r="J1794" s="996">
        <f t="shared" si="30"/>
        <v>53</v>
      </c>
      <c r="K1794" s="1037">
        <f t="shared" si="29"/>
        <v>6</v>
      </c>
    </row>
    <row r="1795" spans="1:11" ht="12.75">
      <c r="A1795" s="1054">
        <v>431040</v>
      </c>
      <c r="B1795" s="1055" t="s">
        <v>1489</v>
      </c>
      <c r="C1795" s="1055" t="s">
        <v>401</v>
      </c>
      <c r="D1795" s="1055" t="s">
        <v>1038</v>
      </c>
      <c r="E1795" s="1055" t="s">
        <v>505</v>
      </c>
      <c r="F1795" s="1056">
        <v>-22</v>
      </c>
      <c r="G1795" s="1056">
        <v>0</v>
      </c>
      <c r="H1795" s="1056">
        <v>0</v>
      </c>
      <c r="I1795" s="1056">
        <v>-22</v>
      </c>
      <c r="J1795" s="996">
        <f t="shared" si="30"/>
        <v>0</v>
      </c>
      <c r="K1795" s="1037">
        <f t="shared" si="29"/>
        <v>6</v>
      </c>
    </row>
    <row r="1796" spans="1:11" ht="12.75">
      <c r="A1796" s="1054">
        <v>5</v>
      </c>
      <c r="B1796" s="1055" t="s">
        <v>893</v>
      </c>
      <c r="C1796" s="1055" t="s">
        <v>135</v>
      </c>
      <c r="D1796" s="1055" t="s">
        <v>893</v>
      </c>
      <c r="E1796" s="1055" t="s">
        <v>893</v>
      </c>
      <c r="F1796" s="1056">
        <v>1489965</v>
      </c>
      <c r="G1796" s="1056">
        <v>304937</v>
      </c>
      <c r="H1796" s="1056">
        <v>13278</v>
      </c>
      <c r="I1796" s="1056">
        <v>1781624</v>
      </c>
      <c r="J1796" s="996">
        <f t="shared" si="30"/>
        <v>-291659</v>
      </c>
      <c r="K1796" s="1037">
        <f t="shared" si="29"/>
        <v>1</v>
      </c>
    </row>
    <row r="1797" spans="1:11" ht="12.75">
      <c r="A1797" s="1054">
        <v>52</v>
      </c>
      <c r="B1797" s="1055" t="s">
        <v>893</v>
      </c>
      <c r="C1797" s="1055" t="s">
        <v>395</v>
      </c>
      <c r="D1797" s="1055" t="s">
        <v>893</v>
      </c>
      <c r="E1797" s="1055" t="s">
        <v>893</v>
      </c>
      <c r="F1797" s="1056">
        <v>1409553</v>
      </c>
      <c r="G1797" s="1056">
        <v>289236</v>
      </c>
      <c r="H1797" s="1056">
        <v>9402</v>
      </c>
      <c r="I1797" s="1056">
        <v>1689387</v>
      </c>
      <c r="J1797" s="996">
        <f t="shared" si="30"/>
        <v>-279834</v>
      </c>
      <c r="K1797" s="1037">
        <f t="shared" ref="K1797:K1860" si="31">+LEN(A1797)</f>
        <v>2</v>
      </c>
    </row>
    <row r="1798" spans="1:11" ht="12.75">
      <c r="A1798" s="1054">
        <v>5204</v>
      </c>
      <c r="B1798" s="1055" t="s">
        <v>893</v>
      </c>
      <c r="C1798" s="1055" t="s">
        <v>768</v>
      </c>
      <c r="D1798" s="1055" t="s">
        <v>893</v>
      </c>
      <c r="E1798" s="1055" t="s">
        <v>893</v>
      </c>
      <c r="F1798" s="1056">
        <v>60022</v>
      </c>
      <c r="G1798" s="1056">
        <v>12039</v>
      </c>
      <c r="H1798" s="1056">
        <v>0</v>
      </c>
      <c r="I1798" s="1056">
        <v>72061</v>
      </c>
      <c r="J1798" s="996">
        <f t="shared" si="30"/>
        <v>-12039</v>
      </c>
      <c r="K1798" s="1037">
        <f t="shared" si="31"/>
        <v>4</v>
      </c>
    </row>
    <row r="1799" spans="1:11" ht="12.75">
      <c r="A1799" s="1054">
        <v>520468</v>
      </c>
      <c r="B1799" s="1055" t="s">
        <v>893</v>
      </c>
      <c r="C1799" s="1055" t="s">
        <v>377</v>
      </c>
      <c r="D1799" s="1055" t="s">
        <v>893</v>
      </c>
      <c r="E1799" s="1055" t="s">
        <v>893</v>
      </c>
      <c r="F1799" s="1056">
        <v>7544</v>
      </c>
      <c r="G1799" s="1056">
        <v>1523</v>
      </c>
      <c r="H1799" s="1056">
        <v>0</v>
      </c>
      <c r="I1799" s="1056">
        <v>9067</v>
      </c>
      <c r="J1799" s="996">
        <f t="shared" si="30"/>
        <v>-1523</v>
      </c>
      <c r="K1799" s="1037">
        <f t="shared" si="31"/>
        <v>6</v>
      </c>
    </row>
    <row r="1800" spans="1:11" ht="12.75">
      <c r="A1800" s="1054">
        <v>520468</v>
      </c>
      <c r="B1800" s="1055" t="s">
        <v>893</v>
      </c>
      <c r="C1800" s="1055" t="s">
        <v>377</v>
      </c>
      <c r="D1800" s="1055" t="s">
        <v>1575</v>
      </c>
      <c r="E1800" s="1055" t="s">
        <v>1576</v>
      </c>
      <c r="F1800" s="1056">
        <v>131</v>
      </c>
      <c r="G1800" s="1056">
        <v>0</v>
      </c>
      <c r="H1800" s="1056">
        <v>0</v>
      </c>
      <c r="I1800" s="1056">
        <v>131</v>
      </c>
      <c r="J1800" s="996">
        <f t="shared" si="30"/>
        <v>0</v>
      </c>
      <c r="K1800" s="1037">
        <f t="shared" si="31"/>
        <v>6</v>
      </c>
    </row>
    <row r="1801" spans="1:11" ht="12.75">
      <c r="A1801" s="1054">
        <v>520468</v>
      </c>
      <c r="B1801" s="1055" t="s">
        <v>893</v>
      </c>
      <c r="C1801" s="1055" t="s">
        <v>377</v>
      </c>
      <c r="D1801" s="1055" t="s">
        <v>1891</v>
      </c>
      <c r="E1801" s="1055" t="s">
        <v>1892</v>
      </c>
      <c r="F1801" s="1056">
        <v>0</v>
      </c>
      <c r="G1801" s="1056">
        <v>52</v>
      </c>
      <c r="H1801" s="1056">
        <v>0</v>
      </c>
      <c r="I1801" s="1056">
        <v>52</v>
      </c>
      <c r="J1801" s="996">
        <f t="shared" ref="J1801:J1864" si="32">+H1801-G1801</f>
        <v>-52</v>
      </c>
      <c r="K1801" s="1037">
        <f t="shared" si="31"/>
        <v>6</v>
      </c>
    </row>
    <row r="1802" spans="1:11" ht="12.75">
      <c r="A1802" s="1054">
        <v>520468</v>
      </c>
      <c r="B1802" s="1055" t="s">
        <v>893</v>
      </c>
      <c r="C1802" s="1055" t="s">
        <v>377</v>
      </c>
      <c r="D1802" s="1055" t="s">
        <v>1577</v>
      </c>
      <c r="E1802" s="1055" t="s">
        <v>1578</v>
      </c>
      <c r="F1802" s="1056">
        <v>194</v>
      </c>
      <c r="G1802" s="1056">
        <v>56</v>
      </c>
      <c r="H1802" s="1056">
        <v>0</v>
      </c>
      <c r="I1802" s="1056">
        <v>250</v>
      </c>
      <c r="J1802" s="996">
        <f t="shared" si="32"/>
        <v>-56</v>
      </c>
      <c r="K1802" s="1037">
        <f t="shared" si="31"/>
        <v>6</v>
      </c>
    </row>
    <row r="1803" spans="1:11" ht="12.75">
      <c r="A1803" s="1054">
        <v>520468</v>
      </c>
      <c r="B1803" s="1055" t="s">
        <v>893</v>
      </c>
      <c r="C1803" s="1055" t="s">
        <v>377</v>
      </c>
      <c r="D1803" s="1055" t="s">
        <v>1360</v>
      </c>
      <c r="E1803" s="1055" t="s">
        <v>1361</v>
      </c>
      <c r="F1803" s="1056">
        <v>336</v>
      </c>
      <c r="G1803" s="1056">
        <v>68</v>
      </c>
      <c r="H1803" s="1056">
        <v>0</v>
      </c>
      <c r="I1803" s="1056">
        <v>404</v>
      </c>
      <c r="J1803" s="996">
        <f t="shared" si="32"/>
        <v>-68</v>
      </c>
      <c r="K1803" s="1037">
        <f t="shared" si="31"/>
        <v>6</v>
      </c>
    </row>
    <row r="1804" spans="1:11" ht="12.75">
      <c r="A1804" s="1054">
        <v>520468</v>
      </c>
      <c r="B1804" s="1055" t="s">
        <v>893</v>
      </c>
      <c r="C1804" s="1055" t="s">
        <v>377</v>
      </c>
      <c r="D1804" s="1055" t="s">
        <v>1893</v>
      </c>
      <c r="E1804" s="1055" t="s">
        <v>1894</v>
      </c>
      <c r="F1804" s="1056">
        <v>0</v>
      </c>
      <c r="G1804" s="1056">
        <v>53</v>
      </c>
      <c r="H1804" s="1056">
        <v>0</v>
      </c>
      <c r="I1804" s="1056">
        <v>53</v>
      </c>
      <c r="J1804" s="996">
        <f t="shared" si="32"/>
        <v>-53</v>
      </c>
      <c r="K1804" s="1037">
        <f t="shared" si="31"/>
        <v>6</v>
      </c>
    </row>
    <row r="1805" spans="1:11" ht="12.75">
      <c r="A1805" s="1054">
        <v>520468</v>
      </c>
      <c r="B1805" s="1055" t="s">
        <v>893</v>
      </c>
      <c r="C1805" s="1055" t="s">
        <v>377</v>
      </c>
      <c r="D1805" s="1055" t="s">
        <v>1298</v>
      </c>
      <c r="E1805" s="1055" t="s">
        <v>987</v>
      </c>
      <c r="F1805" s="1056">
        <v>184</v>
      </c>
      <c r="G1805" s="1056">
        <v>0</v>
      </c>
      <c r="H1805" s="1056">
        <v>0</v>
      </c>
      <c r="I1805" s="1056">
        <v>184</v>
      </c>
      <c r="J1805" s="996">
        <f t="shared" si="32"/>
        <v>0</v>
      </c>
      <c r="K1805" s="1037">
        <f t="shared" si="31"/>
        <v>6</v>
      </c>
    </row>
    <row r="1806" spans="1:11" ht="12.75">
      <c r="A1806" s="1054">
        <v>520468</v>
      </c>
      <c r="B1806" s="1055" t="s">
        <v>893</v>
      </c>
      <c r="C1806" s="1055" t="s">
        <v>377</v>
      </c>
      <c r="D1806" s="1055" t="s">
        <v>1362</v>
      </c>
      <c r="E1806" s="1055" t="s">
        <v>1363</v>
      </c>
      <c r="F1806" s="1056">
        <v>2</v>
      </c>
      <c r="G1806" s="1056">
        <v>0</v>
      </c>
      <c r="H1806" s="1056">
        <v>0</v>
      </c>
      <c r="I1806" s="1056">
        <v>2</v>
      </c>
      <c r="J1806" s="996">
        <f t="shared" si="32"/>
        <v>0</v>
      </c>
      <c r="K1806" s="1037">
        <f t="shared" si="31"/>
        <v>6</v>
      </c>
    </row>
    <row r="1807" spans="1:11" ht="12.75">
      <c r="A1807" s="1054">
        <v>520468</v>
      </c>
      <c r="B1807" s="1055" t="s">
        <v>893</v>
      </c>
      <c r="C1807" s="1055" t="s">
        <v>377</v>
      </c>
      <c r="D1807" s="1055" t="s">
        <v>1484</v>
      </c>
      <c r="E1807" s="1055" t="s">
        <v>1485</v>
      </c>
      <c r="F1807" s="1056">
        <v>208</v>
      </c>
      <c r="G1807" s="1056">
        <v>49</v>
      </c>
      <c r="H1807" s="1056">
        <v>0</v>
      </c>
      <c r="I1807" s="1056">
        <v>257</v>
      </c>
      <c r="J1807" s="996">
        <f t="shared" si="32"/>
        <v>-49</v>
      </c>
      <c r="K1807" s="1037">
        <f t="shared" si="31"/>
        <v>6</v>
      </c>
    </row>
    <row r="1808" spans="1:11" ht="12.75">
      <c r="A1808" s="1054">
        <v>520468</v>
      </c>
      <c r="B1808" s="1055" t="s">
        <v>893</v>
      </c>
      <c r="C1808" s="1055" t="s">
        <v>377</v>
      </c>
      <c r="D1808" s="1055" t="s">
        <v>1579</v>
      </c>
      <c r="E1808" s="1055" t="s">
        <v>1580</v>
      </c>
      <c r="F1808" s="1056">
        <v>219</v>
      </c>
      <c r="G1808" s="1056">
        <v>64</v>
      </c>
      <c r="H1808" s="1056">
        <v>0</v>
      </c>
      <c r="I1808" s="1056">
        <v>283</v>
      </c>
      <c r="J1808" s="996">
        <f t="shared" si="32"/>
        <v>-64</v>
      </c>
      <c r="K1808" s="1037">
        <f t="shared" si="31"/>
        <v>6</v>
      </c>
    </row>
    <row r="1809" spans="1:11" ht="12.75">
      <c r="A1809" s="1054">
        <v>520468</v>
      </c>
      <c r="B1809" s="1055" t="s">
        <v>893</v>
      </c>
      <c r="C1809" s="1055" t="s">
        <v>377</v>
      </c>
      <c r="D1809" s="1055" t="s">
        <v>1270</v>
      </c>
      <c r="E1809" s="1055" t="s">
        <v>988</v>
      </c>
      <c r="F1809" s="1056">
        <v>281</v>
      </c>
      <c r="G1809" s="1056">
        <v>61</v>
      </c>
      <c r="H1809" s="1056">
        <v>0</v>
      </c>
      <c r="I1809" s="1056">
        <v>341</v>
      </c>
      <c r="J1809" s="996">
        <f t="shared" si="32"/>
        <v>-61</v>
      </c>
      <c r="K1809" s="1037">
        <f t="shared" si="31"/>
        <v>6</v>
      </c>
    </row>
    <row r="1810" spans="1:11" ht="12.75">
      <c r="A1810" s="1054">
        <v>520468</v>
      </c>
      <c r="B1810" s="1055" t="s">
        <v>893</v>
      </c>
      <c r="C1810" s="1055" t="s">
        <v>377</v>
      </c>
      <c r="D1810" s="1055" t="s">
        <v>1271</v>
      </c>
      <c r="E1810" s="1055" t="s">
        <v>782</v>
      </c>
      <c r="F1810" s="1056">
        <v>50</v>
      </c>
      <c r="G1810" s="1056">
        <v>0</v>
      </c>
      <c r="H1810" s="1056">
        <v>0</v>
      </c>
      <c r="I1810" s="1056">
        <v>50</v>
      </c>
      <c r="J1810" s="996">
        <f t="shared" si="32"/>
        <v>0</v>
      </c>
      <c r="K1810" s="1037">
        <f t="shared" si="31"/>
        <v>6</v>
      </c>
    </row>
    <row r="1811" spans="1:11" ht="12.75">
      <c r="A1811" s="1054">
        <v>520468</v>
      </c>
      <c r="B1811" s="1055" t="s">
        <v>893</v>
      </c>
      <c r="C1811" s="1055" t="s">
        <v>377</v>
      </c>
      <c r="D1811" s="1055" t="s">
        <v>1272</v>
      </c>
      <c r="E1811" s="1055" t="s">
        <v>1273</v>
      </c>
      <c r="F1811" s="1056">
        <v>0</v>
      </c>
      <c r="G1811" s="1056">
        <v>71</v>
      </c>
      <c r="H1811" s="1056">
        <v>0</v>
      </c>
      <c r="I1811" s="1056">
        <v>71</v>
      </c>
      <c r="J1811" s="996">
        <f t="shared" si="32"/>
        <v>-71</v>
      </c>
      <c r="K1811" s="1037">
        <f t="shared" si="31"/>
        <v>6</v>
      </c>
    </row>
    <row r="1812" spans="1:11" ht="12.75">
      <c r="A1812" s="1054">
        <v>520468</v>
      </c>
      <c r="B1812" s="1055" t="s">
        <v>893</v>
      </c>
      <c r="C1812" s="1055" t="s">
        <v>377</v>
      </c>
      <c r="D1812" s="1055" t="s">
        <v>1420</v>
      </c>
      <c r="E1812" s="1055" t="s">
        <v>1421</v>
      </c>
      <c r="F1812" s="1056">
        <v>208</v>
      </c>
      <c r="G1812" s="1056">
        <v>23</v>
      </c>
      <c r="H1812" s="1056">
        <v>0</v>
      </c>
      <c r="I1812" s="1056">
        <v>231</v>
      </c>
      <c r="J1812" s="996">
        <f t="shared" si="32"/>
        <v>-23</v>
      </c>
      <c r="K1812" s="1037">
        <f t="shared" si="31"/>
        <v>6</v>
      </c>
    </row>
    <row r="1813" spans="1:11" ht="12.75">
      <c r="A1813" s="1054">
        <v>520468</v>
      </c>
      <c r="B1813" s="1055" t="s">
        <v>893</v>
      </c>
      <c r="C1813" s="1055" t="s">
        <v>377</v>
      </c>
      <c r="D1813" s="1055" t="s">
        <v>1493</v>
      </c>
      <c r="E1813" s="1055" t="s">
        <v>1494</v>
      </c>
      <c r="F1813" s="1056">
        <v>249</v>
      </c>
      <c r="G1813" s="1056">
        <v>0</v>
      </c>
      <c r="H1813" s="1056">
        <v>0</v>
      </c>
      <c r="I1813" s="1056">
        <v>249</v>
      </c>
      <c r="J1813" s="996">
        <f t="shared" si="32"/>
        <v>0</v>
      </c>
      <c r="K1813" s="1037">
        <f t="shared" si="31"/>
        <v>6</v>
      </c>
    </row>
    <row r="1814" spans="1:11" ht="12.75">
      <c r="A1814" s="1054">
        <v>520468</v>
      </c>
      <c r="B1814" s="1055" t="s">
        <v>893</v>
      </c>
      <c r="C1814" s="1055" t="s">
        <v>377</v>
      </c>
      <c r="D1814" s="1055" t="s">
        <v>1841</v>
      </c>
      <c r="E1814" s="1055" t="s">
        <v>1842</v>
      </c>
      <c r="F1814" s="1056">
        <v>64</v>
      </c>
      <c r="G1814" s="1056">
        <v>62</v>
      </c>
      <c r="H1814" s="1056">
        <v>0</v>
      </c>
      <c r="I1814" s="1056">
        <v>127</v>
      </c>
      <c r="J1814" s="996">
        <f t="shared" si="32"/>
        <v>-62</v>
      </c>
      <c r="K1814" s="1037">
        <f t="shared" si="31"/>
        <v>6</v>
      </c>
    </row>
    <row r="1815" spans="1:11" ht="12.75">
      <c r="A1815" s="1054">
        <v>520468</v>
      </c>
      <c r="B1815" s="1055" t="s">
        <v>893</v>
      </c>
      <c r="C1815" s="1055" t="s">
        <v>377</v>
      </c>
      <c r="D1815" s="1055" t="s">
        <v>1519</v>
      </c>
      <c r="E1815" s="1055" t="s">
        <v>1520</v>
      </c>
      <c r="F1815" s="1056">
        <v>23</v>
      </c>
      <c r="G1815" s="1056">
        <v>0</v>
      </c>
      <c r="H1815" s="1056">
        <v>0</v>
      </c>
      <c r="I1815" s="1056">
        <v>23</v>
      </c>
      <c r="J1815" s="996">
        <f t="shared" si="32"/>
        <v>0</v>
      </c>
      <c r="K1815" s="1037">
        <f t="shared" si="31"/>
        <v>6</v>
      </c>
    </row>
    <row r="1816" spans="1:11" ht="12.75">
      <c r="A1816" s="1054">
        <v>520468</v>
      </c>
      <c r="B1816" s="1055" t="s">
        <v>893</v>
      </c>
      <c r="C1816" s="1055" t="s">
        <v>377</v>
      </c>
      <c r="D1816" s="1055" t="s">
        <v>1368</v>
      </c>
      <c r="E1816" s="1055" t="s">
        <v>1369</v>
      </c>
      <c r="F1816" s="1056">
        <v>11</v>
      </c>
      <c r="G1816" s="1056">
        <v>0</v>
      </c>
      <c r="H1816" s="1056">
        <v>0</v>
      </c>
      <c r="I1816" s="1056">
        <v>11</v>
      </c>
      <c r="J1816" s="996">
        <f t="shared" si="32"/>
        <v>0</v>
      </c>
      <c r="K1816" s="1037">
        <f t="shared" si="31"/>
        <v>6</v>
      </c>
    </row>
    <row r="1817" spans="1:11" ht="12.75">
      <c r="A1817" s="1054">
        <v>520468</v>
      </c>
      <c r="B1817" s="1055" t="s">
        <v>893</v>
      </c>
      <c r="C1817" s="1055" t="s">
        <v>377</v>
      </c>
      <c r="D1817" s="1055" t="s">
        <v>1895</v>
      </c>
      <c r="E1817" s="1055" t="s">
        <v>1896</v>
      </c>
      <c r="F1817" s="1056">
        <v>0</v>
      </c>
      <c r="G1817" s="1056">
        <v>9</v>
      </c>
      <c r="H1817" s="1056">
        <v>0</v>
      </c>
      <c r="I1817" s="1056">
        <v>9</v>
      </c>
      <c r="J1817" s="996">
        <f t="shared" si="32"/>
        <v>-9</v>
      </c>
      <c r="K1817" s="1037">
        <f t="shared" si="31"/>
        <v>6</v>
      </c>
    </row>
    <row r="1818" spans="1:11" ht="12.75">
      <c r="A1818" s="1054">
        <v>520468</v>
      </c>
      <c r="B1818" s="1055" t="s">
        <v>893</v>
      </c>
      <c r="C1818" s="1055" t="s">
        <v>377</v>
      </c>
      <c r="D1818" s="1055" t="s">
        <v>1495</v>
      </c>
      <c r="E1818" s="1055" t="s">
        <v>1496</v>
      </c>
      <c r="F1818" s="1056">
        <v>20</v>
      </c>
      <c r="G1818" s="1056">
        <v>0</v>
      </c>
      <c r="H1818" s="1056">
        <v>0</v>
      </c>
      <c r="I1818" s="1056">
        <v>20</v>
      </c>
      <c r="J1818" s="996">
        <f t="shared" si="32"/>
        <v>0</v>
      </c>
      <c r="K1818" s="1037">
        <f t="shared" si="31"/>
        <v>6</v>
      </c>
    </row>
    <row r="1819" spans="1:11" ht="12.75">
      <c r="A1819" s="1054">
        <v>520468</v>
      </c>
      <c r="B1819" s="1055" t="s">
        <v>893</v>
      </c>
      <c r="C1819" s="1055" t="s">
        <v>377</v>
      </c>
      <c r="D1819" s="1055" t="s">
        <v>1320</v>
      </c>
      <c r="E1819" s="1055" t="s">
        <v>1321</v>
      </c>
      <c r="F1819" s="1056">
        <v>217</v>
      </c>
      <c r="G1819" s="1056">
        <v>51</v>
      </c>
      <c r="H1819" s="1056">
        <v>0</v>
      </c>
      <c r="I1819" s="1056">
        <v>268</v>
      </c>
      <c r="J1819" s="996">
        <f t="shared" si="32"/>
        <v>-51</v>
      </c>
      <c r="K1819" s="1037">
        <f t="shared" si="31"/>
        <v>6</v>
      </c>
    </row>
    <row r="1820" spans="1:11" ht="12.75">
      <c r="A1820" s="1054">
        <v>520468</v>
      </c>
      <c r="B1820" s="1055" t="s">
        <v>893</v>
      </c>
      <c r="C1820" s="1055" t="s">
        <v>377</v>
      </c>
      <c r="D1820" s="1055" t="s">
        <v>1274</v>
      </c>
      <c r="E1820" s="1055" t="s">
        <v>989</v>
      </c>
      <c r="F1820" s="1056">
        <v>296</v>
      </c>
      <c r="G1820" s="1056">
        <v>58</v>
      </c>
      <c r="H1820" s="1056">
        <v>0</v>
      </c>
      <c r="I1820" s="1056">
        <v>354</v>
      </c>
      <c r="J1820" s="996">
        <f t="shared" si="32"/>
        <v>-58</v>
      </c>
      <c r="K1820" s="1037">
        <f t="shared" si="31"/>
        <v>6</v>
      </c>
    </row>
    <row r="1821" spans="1:11" ht="12.75">
      <c r="A1821" s="1054">
        <v>520468</v>
      </c>
      <c r="B1821" s="1055" t="s">
        <v>893</v>
      </c>
      <c r="C1821" s="1055" t="s">
        <v>377</v>
      </c>
      <c r="D1821" s="1055" t="s">
        <v>1497</v>
      </c>
      <c r="E1821" s="1055" t="s">
        <v>1498</v>
      </c>
      <c r="F1821" s="1056">
        <v>171</v>
      </c>
      <c r="G1821" s="1056">
        <v>0</v>
      </c>
      <c r="H1821" s="1056">
        <v>0</v>
      </c>
      <c r="I1821" s="1056">
        <v>171</v>
      </c>
      <c r="J1821" s="996">
        <f t="shared" si="32"/>
        <v>0</v>
      </c>
      <c r="K1821" s="1037">
        <f t="shared" si="31"/>
        <v>6</v>
      </c>
    </row>
    <row r="1822" spans="1:11" ht="12.75">
      <c r="A1822" s="1054">
        <v>520468</v>
      </c>
      <c r="B1822" s="1055" t="s">
        <v>893</v>
      </c>
      <c r="C1822" s="1055" t="s">
        <v>377</v>
      </c>
      <c r="D1822" s="1055" t="s">
        <v>1043</v>
      </c>
      <c r="E1822" s="1055" t="s">
        <v>318</v>
      </c>
      <c r="F1822" s="1056">
        <v>421</v>
      </c>
      <c r="G1822" s="1056">
        <v>105</v>
      </c>
      <c r="H1822" s="1056">
        <v>0</v>
      </c>
      <c r="I1822" s="1056">
        <v>526</v>
      </c>
      <c r="J1822" s="996">
        <f t="shared" si="32"/>
        <v>-105</v>
      </c>
      <c r="K1822" s="1037">
        <f t="shared" si="31"/>
        <v>6</v>
      </c>
    </row>
    <row r="1823" spans="1:11" ht="12.75">
      <c r="A1823" s="1054">
        <v>520468</v>
      </c>
      <c r="B1823" s="1055" t="s">
        <v>893</v>
      </c>
      <c r="C1823" s="1055" t="s">
        <v>377</v>
      </c>
      <c r="D1823" s="1055" t="s">
        <v>1370</v>
      </c>
      <c r="E1823" s="1055" t="s">
        <v>1371</v>
      </c>
      <c r="F1823" s="1056">
        <v>193</v>
      </c>
      <c r="G1823" s="1056">
        <v>49</v>
      </c>
      <c r="H1823" s="1056">
        <v>0</v>
      </c>
      <c r="I1823" s="1056">
        <v>242</v>
      </c>
      <c r="J1823" s="996">
        <f t="shared" si="32"/>
        <v>-49</v>
      </c>
      <c r="K1823" s="1037">
        <f t="shared" si="31"/>
        <v>6</v>
      </c>
    </row>
    <row r="1824" spans="1:11" ht="12.75">
      <c r="A1824" s="1054">
        <v>520468</v>
      </c>
      <c r="B1824" s="1055" t="s">
        <v>893</v>
      </c>
      <c r="C1824" s="1055" t="s">
        <v>377</v>
      </c>
      <c r="D1824" s="1055" t="s">
        <v>1843</v>
      </c>
      <c r="E1824" s="1055" t="s">
        <v>1844</v>
      </c>
      <c r="F1824" s="1056">
        <v>38</v>
      </c>
      <c r="G1824" s="1056">
        <v>0</v>
      </c>
      <c r="H1824" s="1056">
        <v>0</v>
      </c>
      <c r="I1824" s="1056">
        <v>38</v>
      </c>
      <c r="J1824" s="996">
        <f t="shared" si="32"/>
        <v>0</v>
      </c>
      <c r="K1824" s="1037">
        <f t="shared" si="31"/>
        <v>6</v>
      </c>
    </row>
    <row r="1825" spans="1:11" ht="12.75">
      <c r="A1825" s="1054">
        <v>520468</v>
      </c>
      <c r="B1825" s="1055" t="s">
        <v>893</v>
      </c>
      <c r="C1825" s="1055" t="s">
        <v>377</v>
      </c>
      <c r="D1825" s="1055" t="s">
        <v>1759</v>
      </c>
      <c r="E1825" s="1055" t="s">
        <v>1760</v>
      </c>
      <c r="F1825" s="1056">
        <v>39</v>
      </c>
      <c r="G1825" s="1056">
        <v>0</v>
      </c>
      <c r="H1825" s="1056">
        <v>0</v>
      </c>
      <c r="I1825" s="1056">
        <v>39</v>
      </c>
      <c r="J1825" s="996">
        <f t="shared" si="32"/>
        <v>0</v>
      </c>
      <c r="K1825" s="1037">
        <f t="shared" si="31"/>
        <v>6</v>
      </c>
    </row>
    <row r="1826" spans="1:11" ht="12.75">
      <c r="A1826" s="1054">
        <v>520468</v>
      </c>
      <c r="B1826" s="1055" t="s">
        <v>893</v>
      </c>
      <c r="C1826" s="1055" t="s">
        <v>377</v>
      </c>
      <c r="D1826" s="1055" t="s">
        <v>1581</v>
      </c>
      <c r="E1826" s="1055" t="s">
        <v>1582</v>
      </c>
      <c r="F1826" s="1056">
        <v>130</v>
      </c>
      <c r="G1826" s="1056">
        <v>0</v>
      </c>
      <c r="H1826" s="1056">
        <v>0</v>
      </c>
      <c r="I1826" s="1056">
        <v>130</v>
      </c>
      <c r="J1826" s="996">
        <f t="shared" si="32"/>
        <v>0</v>
      </c>
      <c r="K1826" s="1037">
        <f t="shared" si="31"/>
        <v>6</v>
      </c>
    </row>
    <row r="1827" spans="1:11" ht="12.75">
      <c r="A1827" s="1054">
        <v>520468</v>
      </c>
      <c r="B1827" s="1055" t="s">
        <v>893</v>
      </c>
      <c r="C1827" s="1055" t="s">
        <v>377</v>
      </c>
      <c r="D1827" s="1055" t="s">
        <v>1521</v>
      </c>
      <c r="E1827" s="1055" t="s">
        <v>1522</v>
      </c>
      <c r="F1827" s="1056">
        <v>251</v>
      </c>
      <c r="G1827" s="1056">
        <v>56</v>
      </c>
      <c r="H1827" s="1056">
        <v>0</v>
      </c>
      <c r="I1827" s="1056">
        <v>308</v>
      </c>
      <c r="J1827" s="996">
        <f t="shared" si="32"/>
        <v>-56</v>
      </c>
      <c r="K1827" s="1037">
        <f t="shared" si="31"/>
        <v>6</v>
      </c>
    </row>
    <row r="1828" spans="1:11" ht="12.75">
      <c r="A1828" s="1054">
        <v>520468</v>
      </c>
      <c r="B1828" s="1055" t="s">
        <v>893</v>
      </c>
      <c r="C1828" s="1055" t="s">
        <v>377</v>
      </c>
      <c r="D1828" s="1055" t="s">
        <v>1426</v>
      </c>
      <c r="E1828" s="1055" t="s">
        <v>1427</v>
      </c>
      <c r="F1828" s="1056">
        <v>247</v>
      </c>
      <c r="G1828" s="1056">
        <v>50</v>
      </c>
      <c r="H1828" s="1056">
        <v>0</v>
      </c>
      <c r="I1828" s="1056">
        <v>297</v>
      </c>
      <c r="J1828" s="996">
        <f t="shared" si="32"/>
        <v>-50</v>
      </c>
      <c r="K1828" s="1037">
        <f t="shared" si="31"/>
        <v>6</v>
      </c>
    </row>
    <row r="1829" spans="1:11" ht="12.75">
      <c r="A1829" s="1054">
        <v>520468</v>
      </c>
      <c r="B1829" s="1055" t="s">
        <v>893</v>
      </c>
      <c r="C1829" s="1055" t="s">
        <v>377</v>
      </c>
      <c r="D1829" s="1055" t="s">
        <v>1583</v>
      </c>
      <c r="E1829" s="1055" t="s">
        <v>1584</v>
      </c>
      <c r="F1829" s="1056">
        <v>40</v>
      </c>
      <c r="G1829" s="1056">
        <v>0</v>
      </c>
      <c r="H1829" s="1056">
        <v>0</v>
      </c>
      <c r="I1829" s="1056">
        <v>40</v>
      </c>
      <c r="J1829" s="996">
        <f t="shared" si="32"/>
        <v>0</v>
      </c>
      <c r="K1829" s="1037">
        <f t="shared" si="31"/>
        <v>6</v>
      </c>
    </row>
    <row r="1830" spans="1:11" ht="12.75">
      <c r="A1830" s="1054">
        <v>520468</v>
      </c>
      <c r="B1830" s="1055" t="s">
        <v>893</v>
      </c>
      <c r="C1830" s="1055" t="s">
        <v>377</v>
      </c>
      <c r="D1830" s="1055" t="s">
        <v>1374</v>
      </c>
      <c r="E1830" s="1055" t="s">
        <v>1375</v>
      </c>
      <c r="F1830" s="1056">
        <v>231</v>
      </c>
      <c r="G1830" s="1056">
        <v>52</v>
      </c>
      <c r="H1830" s="1056">
        <v>0</v>
      </c>
      <c r="I1830" s="1056">
        <v>283</v>
      </c>
      <c r="J1830" s="996">
        <f t="shared" si="32"/>
        <v>-52</v>
      </c>
      <c r="K1830" s="1037">
        <f t="shared" si="31"/>
        <v>6</v>
      </c>
    </row>
    <row r="1831" spans="1:11" ht="12.75">
      <c r="A1831" s="1054">
        <v>520468</v>
      </c>
      <c r="B1831" s="1055" t="s">
        <v>893</v>
      </c>
      <c r="C1831" s="1055" t="s">
        <v>377</v>
      </c>
      <c r="D1831" s="1055" t="s">
        <v>1249</v>
      </c>
      <c r="E1831" s="1055" t="s">
        <v>583</v>
      </c>
      <c r="F1831" s="1056">
        <v>432</v>
      </c>
      <c r="G1831" s="1056">
        <v>87</v>
      </c>
      <c r="H1831" s="1056">
        <v>0</v>
      </c>
      <c r="I1831" s="1056">
        <v>519</v>
      </c>
      <c r="J1831" s="996">
        <f t="shared" si="32"/>
        <v>-87</v>
      </c>
      <c r="K1831" s="1037">
        <f t="shared" si="31"/>
        <v>6</v>
      </c>
    </row>
    <row r="1832" spans="1:11" ht="12.75">
      <c r="A1832" s="1054">
        <v>520468</v>
      </c>
      <c r="B1832" s="1055" t="s">
        <v>893</v>
      </c>
      <c r="C1832" s="1055" t="s">
        <v>377</v>
      </c>
      <c r="D1832" s="1055" t="s">
        <v>1376</v>
      </c>
      <c r="E1832" s="1055" t="s">
        <v>1377</v>
      </c>
      <c r="F1832" s="1056">
        <v>262</v>
      </c>
      <c r="G1832" s="1056">
        <v>0</v>
      </c>
      <c r="H1832" s="1056">
        <v>0</v>
      </c>
      <c r="I1832" s="1056">
        <v>262</v>
      </c>
      <c r="J1832" s="996">
        <f t="shared" si="32"/>
        <v>0</v>
      </c>
      <c r="K1832" s="1037">
        <f t="shared" si="31"/>
        <v>6</v>
      </c>
    </row>
    <row r="1833" spans="1:11" ht="12.75">
      <c r="A1833" s="1054">
        <v>520468</v>
      </c>
      <c r="B1833" s="1055" t="s">
        <v>893</v>
      </c>
      <c r="C1833" s="1055" t="s">
        <v>377</v>
      </c>
      <c r="D1833" s="1055" t="s">
        <v>1845</v>
      </c>
      <c r="E1833" s="1055" t="s">
        <v>1846</v>
      </c>
      <c r="F1833" s="1056">
        <v>32</v>
      </c>
      <c r="G1833" s="1056">
        <v>52</v>
      </c>
      <c r="H1833" s="1056">
        <v>0</v>
      </c>
      <c r="I1833" s="1056">
        <v>84</v>
      </c>
      <c r="J1833" s="996">
        <f t="shared" si="32"/>
        <v>-52</v>
      </c>
      <c r="K1833" s="1037">
        <f t="shared" si="31"/>
        <v>6</v>
      </c>
    </row>
    <row r="1834" spans="1:11" ht="12.75">
      <c r="A1834" s="1054">
        <v>520468</v>
      </c>
      <c r="B1834" s="1055" t="s">
        <v>893</v>
      </c>
      <c r="C1834" s="1055" t="s">
        <v>377</v>
      </c>
      <c r="D1834" s="1055" t="s">
        <v>1306</v>
      </c>
      <c r="E1834" s="1055" t="s">
        <v>997</v>
      </c>
      <c r="F1834" s="1056">
        <v>178</v>
      </c>
      <c r="G1834" s="1056">
        <v>0</v>
      </c>
      <c r="H1834" s="1056">
        <v>0</v>
      </c>
      <c r="I1834" s="1056">
        <v>178</v>
      </c>
      <c r="J1834" s="996">
        <f t="shared" si="32"/>
        <v>0</v>
      </c>
      <c r="K1834" s="1037">
        <f t="shared" si="31"/>
        <v>6</v>
      </c>
    </row>
    <row r="1835" spans="1:11" ht="12.75">
      <c r="A1835" s="1054">
        <v>520468</v>
      </c>
      <c r="B1835" s="1055" t="s">
        <v>893</v>
      </c>
      <c r="C1835" s="1055" t="s">
        <v>377</v>
      </c>
      <c r="D1835" s="1055" t="s">
        <v>1897</v>
      </c>
      <c r="E1835" s="1055" t="s">
        <v>1898</v>
      </c>
      <c r="F1835" s="1056">
        <v>0</v>
      </c>
      <c r="G1835" s="1056">
        <v>11</v>
      </c>
      <c r="H1835" s="1056">
        <v>0</v>
      </c>
      <c r="I1835" s="1056">
        <v>11</v>
      </c>
      <c r="J1835" s="996">
        <f t="shared" si="32"/>
        <v>-11</v>
      </c>
      <c r="K1835" s="1037">
        <f t="shared" si="31"/>
        <v>6</v>
      </c>
    </row>
    <row r="1836" spans="1:11" ht="12.75">
      <c r="A1836" s="1054">
        <v>520468</v>
      </c>
      <c r="B1836" s="1055" t="s">
        <v>893</v>
      </c>
      <c r="C1836" s="1055" t="s">
        <v>377</v>
      </c>
      <c r="D1836" s="1055" t="s">
        <v>1250</v>
      </c>
      <c r="E1836" s="1055" t="s">
        <v>1251</v>
      </c>
      <c r="F1836" s="1056">
        <v>242</v>
      </c>
      <c r="G1836" s="1056">
        <v>47</v>
      </c>
      <c r="H1836" s="1056">
        <v>0</v>
      </c>
      <c r="I1836" s="1056">
        <v>289</v>
      </c>
      <c r="J1836" s="996">
        <f t="shared" si="32"/>
        <v>-47</v>
      </c>
      <c r="K1836" s="1037">
        <f t="shared" si="31"/>
        <v>6</v>
      </c>
    </row>
    <row r="1837" spans="1:11" ht="12.75">
      <c r="A1837" s="1054">
        <v>520468</v>
      </c>
      <c r="B1837" s="1055" t="s">
        <v>893</v>
      </c>
      <c r="C1837" s="1055" t="s">
        <v>377</v>
      </c>
      <c r="D1837" s="1055" t="s">
        <v>1899</v>
      </c>
      <c r="E1837" s="1055" t="s">
        <v>1900</v>
      </c>
      <c r="F1837" s="1056">
        <v>0</v>
      </c>
      <c r="G1837" s="1056">
        <v>57</v>
      </c>
      <c r="H1837" s="1056">
        <v>0</v>
      </c>
      <c r="I1837" s="1056">
        <v>57</v>
      </c>
      <c r="J1837" s="996">
        <f t="shared" si="32"/>
        <v>-57</v>
      </c>
      <c r="K1837" s="1037">
        <f t="shared" si="31"/>
        <v>6</v>
      </c>
    </row>
    <row r="1838" spans="1:11" ht="12.75">
      <c r="A1838" s="1054">
        <v>520468</v>
      </c>
      <c r="B1838" s="1055" t="s">
        <v>893</v>
      </c>
      <c r="C1838" s="1055" t="s">
        <v>377</v>
      </c>
      <c r="D1838" s="1055" t="s">
        <v>1901</v>
      </c>
      <c r="E1838" s="1055" t="s">
        <v>1902</v>
      </c>
      <c r="F1838" s="1056">
        <v>0</v>
      </c>
      <c r="G1838" s="1056">
        <v>21</v>
      </c>
      <c r="H1838" s="1056">
        <v>0</v>
      </c>
      <c r="I1838" s="1056">
        <v>21</v>
      </c>
      <c r="J1838" s="996">
        <f t="shared" si="32"/>
        <v>-21</v>
      </c>
      <c r="K1838" s="1037">
        <f t="shared" si="31"/>
        <v>6</v>
      </c>
    </row>
    <row r="1839" spans="1:11" ht="12.75">
      <c r="A1839" s="1054">
        <v>520468</v>
      </c>
      <c r="B1839" s="1055" t="s">
        <v>893</v>
      </c>
      <c r="C1839" s="1055" t="s">
        <v>377</v>
      </c>
      <c r="D1839" s="1055" t="s">
        <v>1686</v>
      </c>
      <c r="E1839" s="1055" t="s">
        <v>1687</v>
      </c>
      <c r="F1839" s="1056">
        <v>141</v>
      </c>
      <c r="G1839" s="1056">
        <v>0</v>
      </c>
      <c r="H1839" s="1056">
        <v>0</v>
      </c>
      <c r="I1839" s="1056">
        <v>141</v>
      </c>
      <c r="J1839" s="996">
        <f t="shared" si="32"/>
        <v>0</v>
      </c>
      <c r="K1839" s="1037">
        <f t="shared" si="31"/>
        <v>6</v>
      </c>
    </row>
    <row r="1840" spans="1:11" ht="12.75">
      <c r="A1840" s="1054">
        <v>520468</v>
      </c>
      <c r="B1840" s="1055" t="s">
        <v>893</v>
      </c>
      <c r="C1840" s="1055" t="s">
        <v>377</v>
      </c>
      <c r="D1840" s="1055" t="s">
        <v>1303</v>
      </c>
      <c r="E1840" s="1055" t="s">
        <v>806</v>
      </c>
      <c r="F1840" s="1056">
        <v>72</v>
      </c>
      <c r="G1840" s="1056">
        <v>0</v>
      </c>
      <c r="H1840" s="1056">
        <v>0</v>
      </c>
      <c r="I1840" s="1056">
        <v>72</v>
      </c>
      <c r="J1840" s="996">
        <f t="shared" si="32"/>
        <v>0</v>
      </c>
      <c r="K1840" s="1037">
        <f t="shared" si="31"/>
        <v>6</v>
      </c>
    </row>
    <row r="1841" spans="1:11" ht="12.75">
      <c r="A1841" s="1054">
        <v>520468</v>
      </c>
      <c r="B1841" s="1055" t="s">
        <v>893</v>
      </c>
      <c r="C1841" s="1055" t="s">
        <v>377</v>
      </c>
      <c r="D1841" s="1055" t="s">
        <v>1523</v>
      </c>
      <c r="E1841" s="1055" t="s">
        <v>1524</v>
      </c>
      <c r="F1841" s="1056">
        <v>79</v>
      </c>
      <c r="G1841" s="1056">
        <v>0</v>
      </c>
      <c r="H1841" s="1056">
        <v>0</v>
      </c>
      <c r="I1841" s="1056">
        <v>79</v>
      </c>
      <c r="J1841" s="996">
        <f t="shared" si="32"/>
        <v>0</v>
      </c>
      <c r="K1841" s="1037">
        <f t="shared" si="31"/>
        <v>6</v>
      </c>
    </row>
    <row r="1842" spans="1:11" ht="12.75">
      <c r="A1842" s="1054">
        <v>520468</v>
      </c>
      <c r="B1842" s="1055" t="s">
        <v>893</v>
      </c>
      <c r="C1842" s="1055" t="s">
        <v>377</v>
      </c>
      <c r="D1842" s="1055" t="s">
        <v>1480</v>
      </c>
      <c r="E1842" s="1055" t="s">
        <v>1481</v>
      </c>
      <c r="F1842" s="1056">
        <v>24</v>
      </c>
      <c r="G1842" s="1056">
        <v>0</v>
      </c>
      <c r="H1842" s="1056">
        <v>0</v>
      </c>
      <c r="I1842" s="1056">
        <v>24</v>
      </c>
      <c r="J1842" s="996">
        <f t="shared" si="32"/>
        <v>0</v>
      </c>
      <c r="K1842" s="1037">
        <f t="shared" si="31"/>
        <v>6</v>
      </c>
    </row>
    <row r="1843" spans="1:11" ht="12.75">
      <c r="A1843" s="1054">
        <v>520468</v>
      </c>
      <c r="B1843" s="1055" t="s">
        <v>893</v>
      </c>
      <c r="C1843" s="1055" t="s">
        <v>377</v>
      </c>
      <c r="D1843" s="1055" t="s">
        <v>1847</v>
      </c>
      <c r="E1843" s="1055" t="s">
        <v>1848</v>
      </c>
      <c r="F1843" s="1056">
        <v>23</v>
      </c>
      <c r="G1843" s="1056">
        <v>0</v>
      </c>
      <c r="H1843" s="1056">
        <v>0</v>
      </c>
      <c r="I1843" s="1056">
        <v>23</v>
      </c>
      <c r="J1843" s="996">
        <f t="shared" si="32"/>
        <v>0</v>
      </c>
      <c r="K1843" s="1037">
        <f t="shared" si="31"/>
        <v>6</v>
      </c>
    </row>
    <row r="1844" spans="1:11" ht="12.75">
      <c r="A1844" s="1054">
        <v>520468</v>
      </c>
      <c r="B1844" s="1055" t="s">
        <v>893</v>
      </c>
      <c r="C1844" s="1055" t="s">
        <v>377</v>
      </c>
      <c r="D1844" s="1055" t="s">
        <v>1761</v>
      </c>
      <c r="E1844" s="1055" t="s">
        <v>1762</v>
      </c>
      <c r="F1844" s="1056">
        <v>56</v>
      </c>
      <c r="G1844" s="1056">
        <v>0</v>
      </c>
      <c r="H1844" s="1056">
        <v>0</v>
      </c>
      <c r="I1844" s="1056">
        <v>56</v>
      </c>
      <c r="J1844" s="996">
        <f t="shared" si="32"/>
        <v>0</v>
      </c>
      <c r="K1844" s="1037">
        <f t="shared" si="31"/>
        <v>6</v>
      </c>
    </row>
    <row r="1845" spans="1:11" ht="12.75">
      <c r="A1845" s="1054">
        <v>520468</v>
      </c>
      <c r="B1845" s="1055" t="s">
        <v>893</v>
      </c>
      <c r="C1845" s="1055" t="s">
        <v>377</v>
      </c>
      <c r="D1845" s="1055" t="s">
        <v>1428</v>
      </c>
      <c r="E1845" s="1055" t="s">
        <v>1429</v>
      </c>
      <c r="F1845" s="1056">
        <v>97</v>
      </c>
      <c r="G1845" s="1056">
        <v>0</v>
      </c>
      <c r="H1845" s="1056">
        <v>0</v>
      </c>
      <c r="I1845" s="1056">
        <v>97</v>
      </c>
      <c r="J1845" s="996">
        <f t="shared" si="32"/>
        <v>0</v>
      </c>
      <c r="K1845" s="1037">
        <f t="shared" si="31"/>
        <v>6</v>
      </c>
    </row>
    <row r="1846" spans="1:11" ht="12.75">
      <c r="A1846" s="1054">
        <v>520468</v>
      </c>
      <c r="B1846" s="1055" t="s">
        <v>893</v>
      </c>
      <c r="C1846" s="1055" t="s">
        <v>377</v>
      </c>
      <c r="D1846" s="1055" t="s">
        <v>1849</v>
      </c>
      <c r="E1846" s="1055" t="s">
        <v>1850</v>
      </c>
      <c r="F1846" s="1056">
        <v>27</v>
      </c>
      <c r="G1846" s="1056">
        <v>51</v>
      </c>
      <c r="H1846" s="1056">
        <v>0</v>
      </c>
      <c r="I1846" s="1056">
        <v>78</v>
      </c>
      <c r="J1846" s="996">
        <f t="shared" si="32"/>
        <v>-51</v>
      </c>
      <c r="K1846" s="1037">
        <f t="shared" si="31"/>
        <v>6</v>
      </c>
    </row>
    <row r="1847" spans="1:11" ht="12.75">
      <c r="A1847" s="1054">
        <v>520468</v>
      </c>
      <c r="B1847" s="1055" t="s">
        <v>893</v>
      </c>
      <c r="C1847" s="1055" t="s">
        <v>377</v>
      </c>
      <c r="D1847" s="1055" t="s">
        <v>1275</v>
      </c>
      <c r="E1847" s="1055" t="s">
        <v>991</v>
      </c>
      <c r="F1847" s="1056">
        <v>218</v>
      </c>
      <c r="G1847" s="1056">
        <v>7</v>
      </c>
      <c r="H1847" s="1056">
        <v>0</v>
      </c>
      <c r="I1847" s="1056">
        <v>225</v>
      </c>
      <c r="J1847" s="996">
        <f t="shared" si="32"/>
        <v>-7</v>
      </c>
      <c r="K1847" s="1037">
        <f t="shared" si="31"/>
        <v>6</v>
      </c>
    </row>
    <row r="1848" spans="1:11" ht="12.75">
      <c r="A1848" s="1054">
        <v>520468</v>
      </c>
      <c r="B1848" s="1055" t="s">
        <v>893</v>
      </c>
      <c r="C1848" s="1055" t="s">
        <v>377</v>
      </c>
      <c r="D1848" s="1055" t="s">
        <v>1380</v>
      </c>
      <c r="E1848" s="1055" t="s">
        <v>1381</v>
      </c>
      <c r="F1848" s="1056">
        <v>95</v>
      </c>
      <c r="G1848" s="1056">
        <v>0</v>
      </c>
      <c r="H1848" s="1056">
        <v>0</v>
      </c>
      <c r="I1848" s="1056">
        <v>95</v>
      </c>
      <c r="J1848" s="996">
        <f t="shared" si="32"/>
        <v>0</v>
      </c>
      <c r="K1848" s="1037">
        <f t="shared" si="31"/>
        <v>6</v>
      </c>
    </row>
    <row r="1849" spans="1:11" ht="12.75">
      <c r="A1849" s="1054">
        <v>520468</v>
      </c>
      <c r="B1849" s="1055" t="s">
        <v>893</v>
      </c>
      <c r="C1849" s="1055" t="s">
        <v>377</v>
      </c>
      <c r="D1849" s="1055" t="s">
        <v>1585</v>
      </c>
      <c r="E1849" s="1055" t="s">
        <v>1586</v>
      </c>
      <c r="F1849" s="1056">
        <v>144</v>
      </c>
      <c r="G1849" s="1056">
        <v>43</v>
      </c>
      <c r="H1849" s="1056">
        <v>0</v>
      </c>
      <c r="I1849" s="1056">
        <v>186</v>
      </c>
      <c r="J1849" s="996">
        <f t="shared" si="32"/>
        <v>-43</v>
      </c>
      <c r="K1849" s="1037">
        <f t="shared" si="31"/>
        <v>6</v>
      </c>
    </row>
    <row r="1850" spans="1:11" ht="12.75">
      <c r="A1850" s="1054">
        <v>520468</v>
      </c>
      <c r="B1850" s="1055" t="s">
        <v>893</v>
      </c>
      <c r="C1850" s="1055" t="s">
        <v>377</v>
      </c>
      <c r="D1850" s="1055" t="s">
        <v>1382</v>
      </c>
      <c r="E1850" s="1055" t="s">
        <v>1763</v>
      </c>
      <c r="F1850" s="1056">
        <v>268</v>
      </c>
      <c r="G1850" s="1056">
        <v>60</v>
      </c>
      <c r="H1850" s="1056">
        <v>0</v>
      </c>
      <c r="I1850" s="1056">
        <v>329</v>
      </c>
      <c r="J1850" s="996">
        <f t="shared" si="32"/>
        <v>-60</v>
      </c>
      <c r="K1850" s="1037">
        <f t="shared" si="31"/>
        <v>6</v>
      </c>
    </row>
    <row r="1851" spans="1:11" ht="12.75">
      <c r="A1851" s="1054">
        <v>520468</v>
      </c>
      <c r="B1851" s="1055" t="s">
        <v>893</v>
      </c>
      <c r="C1851" s="1055" t="s">
        <v>377</v>
      </c>
      <c r="D1851" s="1055" t="s">
        <v>1440</v>
      </c>
      <c r="E1851" s="1055" t="s">
        <v>1441</v>
      </c>
      <c r="F1851" s="1056">
        <v>172</v>
      </c>
      <c r="G1851" s="1056">
        <v>0</v>
      </c>
      <c r="H1851" s="1056">
        <v>0</v>
      </c>
      <c r="I1851" s="1056">
        <v>172</v>
      </c>
      <c r="J1851" s="996">
        <f t="shared" si="32"/>
        <v>0</v>
      </c>
      <c r="K1851" s="1037">
        <f t="shared" si="31"/>
        <v>6</v>
      </c>
    </row>
    <row r="1852" spans="1:11" ht="12.75">
      <c r="A1852" s="1054">
        <v>520468</v>
      </c>
      <c r="B1852" s="1055" t="s">
        <v>893</v>
      </c>
      <c r="C1852" s="1055" t="s">
        <v>377</v>
      </c>
      <c r="D1852" s="1055" t="s">
        <v>1383</v>
      </c>
      <c r="E1852" s="1055" t="s">
        <v>1384</v>
      </c>
      <c r="F1852" s="1056">
        <v>282</v>
      </c>
      <c r="G1852" s="1056">
        <v>48</v>
      </c>
      <c r="H1852" s="1056">
        <v>0</v>
      </c>
      <c r="I1852" s="1056">
        <v>330</v>
      </c>
      <c r="J1852" s="996">
        <f t="shared" si="32"/>
        <v>-48</v>
      </c>
      <c r="K1852" s="1037">
        <f t="shared" si="31"/>
        <v>6</v>
      </c>
    </row>
    <row r="1853" spans="1:11" ht="12.75">
      <c r="A1853" s="1054">
        <v>520468</v>
      </c>
      <c r="B1853" s="1055" t="s">
        <v>893</v>
      </c>
      <c r="C1853" s="1055" t="s">
        <v>377</v>
      </c>
      <c r="D1853" s="1055" t="s">
        <v>1430</v>
      </c>
      <c r="E1853" s="1055" t="s">
        <v>1431</v>
      </c>
      <c r="F1853" s="1056">
        <v>51</v>
      </c>
      <c r="G1853" s="1056">
        <v>0</v>
      </c>
      <c r="H1853" s="1056">
        <v>0</v>
      </c>
      <c r="I1853" s="1056">
        <v>51</v>
      </c>
      <c r="J1853" s="996">
        <f t="shared" si="32"/>
        <v>0</v>
      </c>
      <c r="K1853" s="1037">
        <f t="shared" si="31"/>
        <v>6</v>
      </c>
    </row>
    <row r="1854" spans="1:11" ht="12.75">
      <c r="A1854" s="1054">
        <v>520468</v>
      </c>
      <c r="B1854" s="1055" t="s">
        <v>893</v>
      </c>
      <c r="C1854" s="1055" t="s">
        <v>377</v>
      </c>
      <c r="D1854" s="1055" t="s">
        <v>1587</v>
      </c>
      <c r="E1854" s="1055" t="s">
        <v>1588</v>
      </c>
      <c r="F1854" s="1056">
        <v>194</v>
      </c>
      <c r="G1854" s="1056">
        <v>50</v>
      </c>
      <c r="H1854" s="1056">
        <v>0</v>
      </c>
      <c r="I1854" s="1056">
        <v>244</v>
      </c>
      <c r="J1854" s="996">
        <f t="shared" si="32"/>
        <v>-50</v>
      </c>
      <c r="K1854" s="1037">
        <f t="shared" si="31"/>
        <v>6</v>
      </c>
    </row>
    <row r="1855" spans="1:11" ht="12.75">
      <c r="A1855" s="1054">
        <v>520469</v>
      </c>
      <c r="B1855" s="1055" t="s">
        <v>893</v>
      </c>
      <c r="C1855" s="1055" t="s">
        <v>378</v>
      </c>
      <c r="D1855" s="1055" t="s">
        <v>893</v>
      </c>
      <c r="E1855" s="1055" t="s">
        <v>893</v>
      </c>
      <c r="F1855" s="1056">
        <v>12</v>
      </c>
      <c r="G1855" s="1056">
        <v>5</v>
      </c>
      <c r="H1855" s="1056">
        <v>0</v>
      </c>
      <c r="I1855" s="1056">
        <v>16</v>
      </c>
      <c r="J1855" s="996">
        <f t="shared" si="32"/>
        <v>-5</v>
      </c>
      <c r="K1855" s="1037">
        <f t="shared" si="31"/>
        <v>6</v>
      </c>
    </row>
    <row r="1856" spans="1:11" ht="12.75">
      <c r="A1856" s="1054">
        <v>520469</v>
      </c>
      <c r="B1856" s="1055" t="s">
        <v>893</v>
      </c>
      <c r="C1856" s="1055" t="s">
        <v>378</v>
      </c>
      <c r="D1856" s="1055" t="s">
        <v>1575</v>
      </c>
      <c r="E1856" s="1055" t="s">
        <v>1576</v>
      </c>
      <c r="F1856" s="1056">
        <v>0</v>
      </c>
      <c r="G1856" s="1056">
        <v>0</v>
      </c>
      <c r="H1856" s="1056">
        <v>0</v>
      </c>
      <c r="I1856" s="1056">
        <v>0</v>
      </c>
      <c r="J1856" s="996">
        <f t="shared" si="32"/>
        <v>0</v>
      </c>
      <c r="K1856" s="1037">
        <f t="shared" si="31"/>
        <v>6</v>
      </c>
    </row>
    <row r="1857" spans="1:11" ht="12.75">
      <c r="A1857" s="1054">
        <v>520469</v>
      </c>
      <c r="B1857" s="1055" t="s">
        <v>893</v>
      </c>
      <c r="C1857" s="1055" t="s">
        <v>378</v>
      </c>
      <c r="D1857" s="1055" t="s">
        <v>1577</v>
      </c>
      <c r="E1857" s="1055" t="s">
        <v>1578</v>
      </c>
      <c r="F1857" s="1056">
        <v>0</v>
      </c>
      <c r="G1857" s="1056">
        <v>0</v>
      </c>
      <c r="H1857" s="1056">
        <v>0</v>
      </c>
      <c r="I1857" s="1056">
        <v>0</v>
      </c>
      <c r="J1857" s="996">
        <f t="shared" si="32"/>
        <v>0</v>
      </c>
      <c r="K1857" s="1037">
        <f t="shared" si="31"/>
        <v>6</v>
      </c>
    </row>
    <row r="1858" spans="1:11" ht="12.75">
      <c r="A1858" s="1054">
        <v>520469</v>
      </c>
      <c r="B1858" s="1055" t="s">
        <v>893</v>
      </c>
      <c r="C1858" s="1055" t="s">
        <v>378</v>
      </c>
      <c r="D1858" s="1055" t="s">
        <v>1360</v>
      </c>
      <c r="E1858" s="1055" t="s">
        <v>1361</v>
      </c>
      <c r="F1858" s="1056">
        <v>0</v>
      </c>
      <c r="G1858" s="1056">
        <v>0</v>
      </c>
      <c r="H1858" s="1056">
        <v>0</v>
      </c>
      <c r="I1858" s="1056">
        <v>0</v>
      </c>
      <c r="J1858" s="996">
        <f t="shared" si="32"/>
        <v>0</v>
      </c>
      <c r="K1858" s="1037">
        <f t="shared" si="31"/>
        <v>6</v>
      </c>
    </row>
    <row r="1859" spans="1:11" ht="12.75">
      <c r="A1859" s="1054">
        <v>520469</v>
      </c>
      <c r="B1859" s="1055" t="s">
        <v>893</v>
      </c>
      <c r="C1859" s="1055" t="s">
        <v>378</v>
      </c>
      <c r="D1859" s="1055" t="s">
        <v>1298</v>
      </c>
      <c r="E1859" s="1055" t="s">
        <v>987</v>
      </c>
      <c r="F1859" s="1056">
        <v>0</v>
      </c>
      <c r="G1859" s="1056">
        <v>0</v>
      </c>
      <c r="H1859" s="1056">
        <v>0</v>
      </c>
      <c r="I1859" s="1056">
        <v>0</v>
      </c>
      <c r="J1859" s="996">
        <f t="shared" si="32"/>
        <v>0</v>
      </c>
      <c r="K1859" s="1037">
        <f t="shared" si="31"/>
        <v>6</v>
      </c>
    </row>
    <row r="1860" spans="1:11" ht="12.75">
      <c r="A1860" s="1054">
        <v>520469</v>
      </c>
      <c r="B1860" s="1055" t="s">
        <v>893</v>
      </c>
      <c r="C1860" s="1055" t="s">
        <v>378</v>
      </c>
      <c r="D1860" s="1055" t="s">
        <v>1362</v>
      </c>
      <c r="E1860" s="1055" t="s">
        <v>1363</v>
      </c>
      <c r="F1860" s="1056">
        <v>4</v>
      </c>
      <c r="G1860" s="1056">
        <v>0</v>
      </c>
      <c r="H1860" s="1056">
        <v>0</v>
      </c>
      <c r="I1860" s="1056">
        <v>4</v>
      </c>
      <c r="J1860" s="996">
        <f t="shared" si="32"/>
        <v>0</v>
      </c>
      <c r="K1860" s="1037">
        <f t="shared" si="31"/>
        <v>6</v>
      </c>
    </row>
    <row r="1861" spans="1:11" ht="12.75">
      <c r="A1861" s="1054">
        <v>520469</v>
      </c>
      <c r="B1861" s="1055" t="s">
        <v>893</v>
      </c>
      <c r="C1861" s="1055" t="s">
        <v>378</v>
      </c>
      <c r="D1861" s="1055" t="s">
        <v>1484</v>
      </c>
      <c r="E1861" s="1055" t="s">
        <v>1485</v>
      </c>
      <c r="F1861" s="1056">
        <v>0</v>
      </c>
      <c r="G1861" s="1056">
        <v>0</v>
      </c>
      <c r="H1861" s="1056">
        <v>0</v>
      </c>
      <c r="I1861" s="1056">
        <v>0</v>
      </c>
      <c r="J1861" s="996">
        <f t="shared" si="32"/>
        <v>0</v>
      </c>
      <c r="K1861" s="1037">
        <f t="shared" ref="K1861:K1924" si="33">+LEN(A1861)</f>
        <v>6</v>
      </c>
    </row>
    <row r="1862" spans="1:11" ht="12.75">
      <c r="A1862" s="1054">
        <v>520469</v>
      </c>
      <c r="B1862" s="1055" t="s">
        <v>893</v>
      </c>
      <c r="C1862" s="1055" t="s">
        <v>378</v>
      </c>
      <c r="D1862" s="1055" t="s">
        <v>1579</v>
      </c>
      <c r="E1862" s="1055" t="s">
        <v>1580</v>
      </c>
      <c r="F1862" s="1056">
        <v>0</v>
      </c>
      <c r="G1862" s="1056">
        <v>0</v>
      </c>
      <c r="H1862" s="1056">
        <v>0</v>
      </c>
      <c r="I1862" s="1056">
        <v>0</v>
      </c>
      <c r="J1862" s="996">
        <f t="shared" si="32"/>
        <v>0</v>
      </c>
      <c r="K1862" s="1037">
        <f t="shared" si="33"/>
        <v>6</v>
      </c>
    </row>
    <row r="1863" spans="1:11" ht="12.75">
      <c r="A1863" s="1054">
        <v>520469</v>
      </c>
      <c r="B1863" s="1055" t="s">
        <v>893</v>
      </c>
      <c r="C1863" s="1055" t="s">
        <v>378</v>
      </c>
      <c r="D1863" s="1055" t="s">
        <v>1270</v>
      </c>
      <c r="E1863" s="1055" t="s">
        <v>988</v>
      </c>
      <c r="F1863" s="1056">
        <v>0</v>
      </c>
      <c r="G1863" s="1056">
        <v>0</v>
      </c>
      <c r="H1863" s="1056">
        <v>0</v>
      </c>
      <c r="I1863" s="1056">
        <v>0</v>
      </c>
      <c r="J1863" s="996">
        <f t="shared" si="32"/>
        <v>0</v>
      </c>
      <c r="K1863" s="1037">
        <f t="shared" si="33"/>
        <v>6</v>
      </c>
    </row>
    <row r="1864" spans="1:11" ht="12.75">
      <c r="A1864" s="1054">
        <v>520469</v>
      </c>
      <c r="B1864" s="1055" t="s">
        <v>893</v>
      </c>
      <c r="C1864" s="1055" t="s">
        <v>378</v>
      </c>
      <c r="D1864" s="1055" t="s">
        <v>1420</v>
      </c>
      <c r="E1864" s="1055" t="s">
        <v>1421</v>
      </c>
      <c r="F1864" s="1056">
        <v>0</v>
      </c>
      <c r="G1864" s="1056">
        <v>0</v>
      </c>
      <c r="H1864" s="1056">
        <v>0</v>
      </c>
      <c r="I1864" s="1056">
        <v>0</v>
      </c>
      <c r="J1864" s="996">
        <f t="shared" si="32"/>
        <v>0</v>
      </c>
      <c r="K1864" s="1037">
        <f t="shared" si="33"/>
        <v>6</v>
      </c>
    </row>
    <row r="1865" spans="1:11" ht="12.75">
      <c r="A1865" s="1054">
        <v>520469</v>
      </c>
      <c r="B1865" s="1055" t="s">
        <v>893</v>
      </c>
      <c r="C1865" s="1055" t="s">
        <v>378</v>
      </c>
      <c r="D1865" s="1055" t="s">
        <v>1493</v>
      </c>
      <c r="E1865" s="1055" t="s">
        <v>1494</v>
      </c>
      <c r="F1865" s="1056">
        <v>0</v>
      </c>
      <c r="G1865" s="1056">
        <v>0</v>
      </c>
      <c r="H1865" s="1056">
        <v>0</v>
      </c>
      <c r="I1865" s="1056">
        <v>0</v>
      </c>
      <c r="J1865" s="996">
        <f t="shared" ref="J1865:J1928" si="34">+H1865-G1865</f>
        <v>0</v>
      </c>
      <c r="K1865" s="1037">
        <f t="shared" si="33"/>
        <v>6</v>
      </c>
    </row>
    <row r="1866" spans="1:11" ht="12.75">
      <c r="A1866" s="1054">
        <v>520469</v>
      </c>
      <c r="B1866" s="1055" t="s">
        <v>893</v>
      </c>
      <c r="C1866" s="1055" t="s">
        <v>378</v>
      </c>
      <c r="D1866" s="1055" t="s">
        <v>1519</v>
      </c>
      <c r="E1866" s="1055" t="s">
        <v>1520</v>
      </c>
      <c r="F1866" s="1056">
        <v>0</v>
      </c>
      <c r="G1866" s="1056">
        <v>0</v>
      </c>
      <c r="H1866" s="1056">
        <v>0</v>
      </c>
      <c r="I1866" s="1056">
        <v>0</v>
      </c>
      <c r="J1866" s="996">
        <f t="shared" si="34"/>
        <v>0</v>
      </c>
      <c r="K1866" s="1037">
        <f t="shared" si="33"/>
        <v>6</v>
      </c>
    </row>
    <row r="1867" spans="1:11" ht="12.75">
      <c r="A1867" s="1054">
        <v>520469</v>
      </c>
      <c r="B1867" s="1055" t="s">
        <v>893</v>
      </c>
      <c r="C1867" s="1055" t="s">
        <v>378</v>
      </c>
      <c r="D1867" s="1055" t="s">
        <v>1320</v>
      </c>
      <c r="E1867" s="1055" t="s">
        <v>1321</v>
      </c>
      <c r="F1867" s="1056">
        <v>0</v>
      </c>
      <c r="G1867" s="1056">
        <v>0</v>
      </c>
      <c r="H1867" s="1056">
        <v>0</v>
      </c>
      <c r="I1867" s="1056">
        <v>0</v>
      </c>
      <c r="J1867" s="996">
        <f t="shared" si="34"/>
        <v>0</v>
      </c>
      <c r="K1867" s="1037">
        <f t="shared" si="33"/>
        <v>6</v>
      </c>
    </row>
    <row r="1868" spans="1:11" ht="12.75">
      <c r="A1868" s="1054">
        <v>520469</v>
      </c>
      <c r="B1868" s="1055" t="s">
        <v>893</v>
      </c>
      <c r="C1868" s="1055" t="s">
        <v>378</v>
      </c>
      <c r="D1868" s="1055" t="s">
        <v>1274</v>
      </c>
      <c r="E1868" s="1055" t="s">
        <v>989</v>
      </c>
      <c r="F1868" s="1056">
        <v>0</v>
      </c>
      <c r="G1868" s="1056">
        <v>0</v>
      </c>
      <c r="H1868" s="1056">
        <v>0</v>
      </c>
      <c r="I1868" s="1056">
        <v>0</v>
      </c>
      <c r="J1868" s="996">
        <f t="shared" si="34"/>
        <v>0</v>
      </c>
      <c r="K1868" s="1037">
        <f t="shared" si="33"/>
        <v>6</v>
      </c>
    </row>
    <row r="1869" spans="1:11" ht="12.75">
      <c r="A1869" s="1054">
        <v>520469</v>
      </c>
      <c r="B1869" s="1055" t="s">
        <v>893</v>
      </c>
      <c r="C1869" s="1055" t="s">
        <v>378</v>
      </c>
      <c r="D1869" s="1055" t="s">
        <v>1497</v>
      </c>
      <c r="E1869" s="1055" t="s">
        <v>1498</v>
      </c>
      <c r="F1869" s="1056">
        <v>0</v>
      </c>
      <c r="G1869" s="1056">
        <v>0</v>
      </c>
      <c r="H1869" s="1056">
        <v>0</v>
      </c>
      <c r="I1869" s="1056">
        <v>0</v>
      </c>
      <c r="J1869" s="996">
        <f t="shared" si="34"/>
        <v>0</v>
      </c>
      <c r="K1869" s="1037">
        <f t="shared" si="33"/>
        <v>6</v>
      </c>
    </row>
    <row r="1870" spans="1:11" ht="12.75">
      <c r="A1870" s="1054">
        <v>520469</v>
      </c>
      <c r="B1870" s="1055" t="s">
        <v>893</v>
      </c>
      <c r="C1870" s="1055" t="s">
        <v>378</v>
      </c>
      <c r="D1870" s="1055" t="s">
        <v>1043</v>
      </c>
      <c r="E1870" s="1055" t="s">
        <v>318</v>
      </c>
      <c r="F1870" s="1056">
        <v>0</v>
      </c>
      <c r="G1870" s="1056">
        <v>0</v>
      </c>
      <c r="H1870" s="1056">
        <v>0</v>
      </c>
      <c r="I1870" s="1056">
        <v>0</v>
      </c>
      <c r="J1870" s="996">
        <f t="shared" si="34"/>
        <v>0</v>
      </c>
      <c r="K1870" s="1037">
        <f t="shared" si="33"/>
        <v>6</v>
      </c>
    </row>
    <row r="1871" spans="1:11" ht="12.75">
      <c r="A1871" s="1054">
        <v>520469</v>
      </c>
      <c r="B1871" s="1055" t="s">
        <v>893</v>
      </c>
      <c r="C1871" s="1055" t="s">
        <v>378</v>
      </c>
      <c r="D1871" s="1055" t="s">
        <v>1370</v>
      </c>
      <c r="E1871" s="1055" t="s">
        <v>1371</v>
      </c>
      <c r="F1871" s="1056">
        <v>0</v>
      </c>
      <c r="G1871" s="1056">
        <v>0</v>
      </c>
      <c r="H1871" s="1056">
        <v>0</v>
      </c>
      <c r="I1871" s="1056">
        <v>0</v>
      </c>
      <c r="J1871" s="996">
        <f t="shared" si="34"/>
        <v>0</v>
      </c>
      <c r="K1871" s="1037">
        <f t="shared" si="33"/>
        <v>6</v>
      </c>
    </row>
    <row r="1872" spans="1:11" ht="12.75">
      <c r="A1872" s="1054">
        <v>520469</v>
      </c>
      <c r="B1872" s="1055" t="s">
        <v>893</v>
      </c>
      <c r="C1872" s="1055" t="s">
        <v>378</v>
      </c>
      <c r="D1872" s="1055" t="s">
        <v>1581</v>
      </c>
      <c r="E1872" s="1055" t="s">
        <v>1582</v>
      </c>
      <c r="F1872" s="1056">
        <v>0</v>
      </c>
      <c r="G1872" s="1056">
        <v>0</v>
      </c>
      <c r="H1872" s="1056">
        <v>0</v>
      </c>
      <c r="I1872" s="1056">
        <v>0</v>
      </c>
      <c r="J1872" s="996">
        <f t="shared" si="34"/>
        <v>0</v>
      </c>
      <c r="K1872" s="1037">
        <f t="shared" si="33"/>
        <v>6</v>
      </c>
    </row>
    <row r="1873" spans="1:11" ht="12.75">
      <c r="A1873" s="1054">
        <v>520469</v>
      </c>
      <c r="B1873" s="1055" t="s">
        <v>893</v>
      </c>
      <c r="C1873" s="1055" t="s">
        <v>378</v>
      </c>
      <c r="D1873" s="1055" t="s">
        <v>1521</v>
      </c>
      <c r="E1873" s="1055" t="s">
        <v>1522</v>
      </c>
      <c r="F1873" s="1056">
        <v>0</v>
      </c>
      <c r="G1873" s="1056">
        <v>0</v>
      </c>
      <c r="H1873" s="1056">
        <v>0</v>
      </c>
      <c r="I1873" s="1056">
        <v>0</v>
      </c>
      <c r="J1873" s="996">
        <f t="shared" si="34"/>
        <v>0</v>
      </c>
      <c r="K1873" s="1037">
        <f t="shared" si="33"/>
        <v>6</v>
      </c>
    </row>
    <row r="1874" spans="1:11" ht="12.75">
      <c r="A1874" s="1054">
        <v>520469</v>
      </c>
      <c r="B1874" s="1055" t="s">
        <v>893</v>
      </c>
      <c r="C1874" s="1055" t="s">
        <v>378</v>
      </c>
      <c r="D1874" s="1055" t="s">
        <v>1426</v>
      </c>
      <c r="E1874" s="1055" t="s">
        <v>1427</v>
      </c>
      <c r="F1874" s="1056">
        <v>0</v>
      </c>
      <c r="G1874" s="1056">
        <v>0</v>
      </c>
      <c r="H1874" s="1056">
        <v>0</v>
      </c>
      <c r="I1874" s="1056">
        <v>0</v>
      </c>
      <c r="J1874" s="996">
        <f t="shared" si="34"/>
        <v>0</v>
      </c>
      <c r="K1874" s="1037">
        <f t="shared" si="33"/>
        <v>6</v>
      </c>
    </row>
    <row r="1875" spans="1:11" ht="12.75">
      <c r="A1875" s="1054">
        <v>520469</v>
      </c>
      <c r="B1875" s="1055" t="s">
        <v>893</v>
      </c>
      <c r="C1875" s="1055" t="s">
        <v>378</v>
      </c>
      <c r="D1875" s="1055" t="s">
        <v>1583</v>
      </c>
      <c r="E1875" s="1055" t="s">
        <v>1584</v>
      </c>
      <c r="F1875" s="1056">
        <v>0</v>
      </c>
      <c r="G1875" s="1056">
        <v>0</v>
      </c>
      <c r="H1875" s="1056">
        <v>0</v>
      </c>
      <c r="I1875" s="1056">
        <v>0</v>
      </c>
      <c r="J1875" s="996">
        <f t="shared" si="34"/>
        <v>0</v>
      </c>
      <c r="K1875" s="1037">
        <f t="shared" si="33"/>
        <v>6</v>
      </c>
    </row>
    <row r="1876" spans="1:11" ht="12.75">
      <c r="A1876" s="1054">
        <v>520469</v>
      </c>
      <c r="B1876" s="1055" t="s">
        <v>893</v>
      </c>
      <c r="C1876" s="1055" t="s">
        <v>378</v>
      </c>
      <c r="D1876" s="1055" t="s">
        <v>1374</v>
      </c>
      <c r="E1876" s="1055" t="s">
        <v>1375</v>
      </c>
      <c r="F1876" s="1056">
        <v>0</v>
      </c>
      <c r="G1876" s="1056">
        <v>0</v>
      </c>
      <c r="H1876" s="1056">
        <v>0</v>
      </c>
      <c r="I1876" s="1056">
        <v>0</v>
      </c>
      <c r="J1876" s="996">
        <f t="shared" si="34"/>
        <v>0</v>
      </c>
      <c r="K1876" s="1037">
        <f t="shared" si="33"/>
        <v>6</v>
      </c>
    </row>
    <row r="1877" spans="1:11" ht="12.75">
      <c r="A1877" s="1054">
        <v>520469</v>
      </c>
      <c r="B1877" s="1055" t="s">
        <v>893</v>
      </c>
      <c r="C1877" s="1055" t="s">
        <v>378</v>
      </c>
      <c r="D1877" s="1055" t="s">
        <v>1249</v>
      </c>
      <c r="E1877" s="1055" t="s">
        <v>583</v>
      </c>
      <c r="F1877" s="1056">
        <v>0</v>
      </c>
      <c r="G1877" s="1056">
        <v>0</v>
      </c>
      <c r="H1877" s="1056">
        <v>0</v>
      </c>
      <c r="I1877" s="1056">
        <v>0</v>
      </c>
      <c r="J1877" s="996">
        <f t="shared" si="34"/>
        <v>0</v>
      </c>
      <c r="K1877" s="1037">
        <f t="shared" si="33"/>
        <v>6</v>
      </c>
    </row>
    <row r="1878" spans="1:11" ht="12.75">
      <c r="A1878" s="1054">
        <v>520469</v>
      </c>
      <c r="B1878" s="1055" t="s">
        <v>893</v>
      </c>
      <c r="C1878" s="1055" t="s">
        <v>378</v>
      </c>
      <c r="D1878" s="1055" t="s">
        <v>1376</v>
      </c>
      <c r="E1878" s="1055" t="s">
        <v>1377</v>
      </c>
      <c r="F1878" s="1056">
        <v>0</v>
      </c>
      <c r="G1878" s="1056">
        <v>0</v>
      </c>
      <c r="H1878" s="1056">
        <v>0</v>
      </c>
      <c r="I1878" s="1056">
        <v>0</v>
      </c>
      <c r="J1878" s="996">
        <f t="shared" si="34"/>
        <v>0</v>
      </c>
      <c r="K1878" s="1037">
        <f t="shared" si="33"/>
        <v>6</v>
      </c>
    </row>
    <row r="1879" spans="1:11" ht="12.75">
      <c r="A1879" s="1054">
        <v>520469</v>
      </c>
      <c r="B1879" s="1055" t="s">
        <v>893</v>
      </c>
      <c r="C1879" s="1055" t="s">
        <v>378</v>
      </c>
      <c r="D1879" s="1055" t="s">
        <v>1306</v>
      </c>
      <c r="E1879" s="1055" t="s">
        <v>997</v>
      </c>
      <c r="F1879" s="1056">
        <v>0</v>
      </c>
      <c r="G1879" s="1056">
        <v>0</v>
      </c>
      <c r="H1879" s="1056">
        <v>0</v>
      </c>
      <c r="I1879" s="1056">
        <v>0</v>
      </c>
      <c r="J1879" s="996">
        <f t="shared" si="34"/>
        <v>0</v>
      </c>
      <c r="K1879" s="1037">
        <f t="shared" si="33"/>
        <v>6</v>
      </c>
    </row>
    <row r="1880" spans="1:11" ht="12.75">
      <c r="A1880" s="1054">
        <v>520469</v>
      </c>
      <c r="B1880" s="1055" t="s">
        <v>893</v>
      </c>
      <c r="C1880" s="1055" t="s">
        <v>378</v>
      </c>
      <c r="D1880" s="1055" t="s">
        <v>1250</v>
      </c>
      <c r="E1880" s="1055" t="s">
        <v>1251</v>
      </c>
      <c r="F1880" s="1056">
        <v>0</v>
      </c>
      <c r="G1880" s="1056">
        <v>0</v>
      </c>
      <c r="H1880" s="1056">
        <v>0</v>
      </c>
      <c r="I1880" s="1056">
        <v>0</v>
      </c>
      <c r="J1880" s="996">
        <f t="shared" si="34"/>
        <v>0</v>
      </c>
      <c r="K1880" s="1037">
        <f t="shared" si="33"/>
        <v>6</v>
      </c>
    </row>
    <row r="1881" spans="1:11" ht="12.75">
      <c r="A1881" s="1054">
        <v>520469</v>
      </c>
      <c r="B1881" s="1055" t="s">
        <v>893</v>
      </c>
      <c r="C1881" s="1055" t="s">
        <v>378</v>
      </c>
      <c r="D1881" s="1055" t="s">
        <v>1686</v>
      </c>
      <c r="E1881" s="1055" t="s">
        <v>1687</v>
      </c>
      <c r="F1881" s="1056">
        <v>0</v>
      </c>
      <c r="G1881" s="1056">
        <v>0</v>
      </c>
      <c r="H1881" s="1056">
        <v>0</v>
      </c>
      <c r="I1881" s="1056">
        <v>0</v>
      </c>
      <c r="J1881" s="996">
        <f t="shared" si="34"/>
        <v>0</v>
      </c>
      <c r="K1881" s="1037">
        <f t="shared" si="33"/>
        <v>6</v>
      </c>
    </row>
    <row r="1882" spans="1:11" ht="12.75">
      <c r="A1882" s="1054">
        <v>520469</v>
      </c>
      <c r="B1882" s="1055" t="s">
        <v>893</v>
      </c>
      <c r="C1882" s="1055" t="s">
        <v>378</v>
      </c>
      <c r="D1882" s="1055" t="s">
        <v>1303</v>
      </c>
      <c r="E1882" s="1055" t="s">
        <v>806</v>
      </c>
      <c r="F1882" s="1056">
        <v>5</v>
      </c>
      <c r="G1882" s="1056">
        <v>0</v>
      </c>
      <c r="H1882" s="1056">
        <v>0</v>
      </c>
      <c r="I1882" s="1056">
        <v>5</v>
      </c>
      <c r="J1882" s="996">
        <f t="shared" si="34"/>
        <v>0</v>
      </c>
      <c r="K1882" s="1037">
        <f t="shared" si="33"/>
        <v>6</v>
      </c>
    </row>
    <row r="1883" spans="1:11" ht="12.75">
      <c r="A1883" s="1054">
        <v>520469</v>
      </c>
      <c r="B1883" s="1055" t="s">
        <v>893</v>
      </c>
      <c r="C1883" s="1055" t="s">
        <v>378</v>
      </c>
      <c r="D1883" s="1055" t="s">
        <v>1523</v>
      </c>
      <c r="E1883" s="1055" t="s">
        <v>1524</v>
      </c>
      <c r="F1883" s="1056">
        <v>0</v>
      </c>
      <c r="G1883" s="1056">
        <v>0</v>
      </c>
      <c r="H1883" s="1056">
        <v>0</v>
      </c>
      <c r="I1883" s="1056">
        <v>0</v>
      </c>
      <c r="J1883" s="996">
        <f t="shared" si="34"/>
        <v>0</v>
      </c>
      <c r="K1883" s="1037">
        <f t="shared" si="33"/>
        <v>6</v>
      </c>
    </row>
    <row r="1884" spans="1:11" ht="12.75">
      <c r="A1884" s="1054">
        <v>520469</v>
      </c>
      <c r="B1884" s="1055" t="s">
        <v>893</v>
      </c>
      <c r="C1884" s="1055" t="s">
        <v>378</v>
      </c>
      <c r="D1884" s="1055" t="s">
        <v>1428</v>
      </c>
      <c r="E1884" s="1055" t="s">
        <v>1429</v>
      </c>
      <c r="F1884" s="1056">
        <v>0</v>
      </c>
      <c r="G1884" s="1056">
        <v>0</v>
      </c>
      <c r="H1884" s="1056">
        <v>0</v>
      </c>
      <c r="I1884" s="1056">
        <v>0</v>
      </c>
      <c r="J1884" s="996">
        <f t="shared" si="34"/>
        <v>0</v>
      </c>
      <c r="K1884" s="1037">
        <f t="shared" si="33"/>
        <v>6</v>
      </c>
    </row>
    <row r="1885" spans="1:11" ht="12.75">
      <c r="A1885" s="1054">
        <v>520469</v>
      </c>
      <c r="B1885" s="1055" t="s">
        <v>893</v>
      </c>
      <c r="C1885" s="1055" t="s">
        <v>378</v>
      </c>
      <c r="D1885" s="1055" t="s">
        <v>1275</v>
      </c>
      <c r="E1885" s="1055" t="s">
        <v>991</v>
      </c>
      <c r="F1885" s="1056">
        <v>0</v>
      </c>
      <c r="G1885" s="1056">
        <v>0</v>
      </c>
      <c r="H1885" s="1056">
        <v>0</v>
      </c>
      <c r="I1885" s="1056">
        <v>0</v>
      </c>
      <c r="J1885" s="996">
        <f t="shared" si="34"/>
        <v>0</v>
      </c>
      <c r="K1885" s="1037">
        <f t="shared" si="33"/>
        <v>6</v>
      </c>
    </row>
    <row r="1886" spans="1:11" ht="12.75">
      <c r="A1886" s="1054">
        <v>520469</v>
      </c>
      <c r="B1886" s="1055" t="s">
        <v>893</v>
      </c>
      <c r="C1886" s="1055" t="s">
        <v>378</v>
      </c>
      <c r="D1886" s="1055" t="s">
        <v>1380</v>
      </c>
      <c r="E1886" s="1055" t="s">
        <v>1381</v>
      </c>
      <c r="F1886" s="1056">
        <v>2</v>
      </c>
      <c r="G1886" s="1056">
        <v>0</v>
      </c>
      <c r="H1886" s="1056">
        <v>0</v>
      </c>
      <c r="I1886" s="1056">
        <v>2</v>
      </c>
      <c r="J1886" s="996">
        <f t="shared" si="34"/>
        <v>0</v>
      </c>
      <c r="K1886" s="1037">
        <f t="shared" si="33"/>
        <v>6</v>
      </c>
    </row>
    <row r="1887" spans="1:11" ht="12.75">
      <c r="A1887" s="1054">
        <v>520469</v>
      </c>
      <c r="B1887" s="1055" t="s">
        <v>893</v>
      </c>
      <c r="C1887" s="1055" t="s">
        <v>378</v>
      </c>
      <c r="D1887" s="1055" t="s">
        <v>1585</v>
      </c>
      <c r="E1887" s="1055" t="s">
        <v>1586</v>
      </c>
      <c r="F1887" s="1056">
        <v>0</v>
      </c>
      <c r="G1887" s="1056">
        <v>5</v>
      </c>
      <c r="H1887" s="1056">
        <v>0</v>
      </c>
      <c r="I1887" s="1056">
        <v>5</v>
      </c>
      <c r="J1887" s="996">
        <f t="shared" si="34"/>
        <v>-5</v>
      </c>
      <c r="K1887" s="1037">
        <f t="shared" si="33"/>
        <v>6</v>
      </c>
    </row>
    <row r="1888" spans="1:11" ht="12.75">
      <c r="A1888" s="1054">
        <v>520469</v>
      </c>
      <c r="B1888" s="1055" t="s">
        <v>893</v>
      </c>
      <c r="C1888" s="1055" t="s">
        <v>378</v>
      </c>
      <c r="D1888" s="1055" t="s">
        <v>1382</v>
      </c>
      <c r="E1888" s="1055" t="s">
        <v>1763</v>
      </c>
      <c r="F1888" s="1056">
        <v>-3</v>
      </c>
      <c r="G1888" s="1056">
        <v>0</v>
      </c>
      <c r="H1888" s="1056">
        <v>0</v>
      </c>
      <c r="I1888" s="1056">
        <v>-3</v>
      </c>
      <c r="J1888" s="996">
        <f t="shared" si="34"/>
        <v>0</v>
      </c>
      <c r="K1888" s="1037">
        <f t="shared" si="33"/>
        <v>6</v>
      </c>
    </row>
    <row r="1889" spans="1:11" ht="12.75">
      <c r="A1889" s="1054">
        <v>520469</v>
      </c>
      <c r="B1889" s="1055" t="s">
        <v>893</v>
      </c>
      <c r="C1889" s="1055" t="s">
        <v>378</v>
      </c>
      <c r="D1889" s="1055" t="s">
        <v>1440</v>
      </c>
      <c r="E1889" s="1055" t="s">
        <v>1441</v>
      </c>
      <c r="F1889" s="1056">
        <v>0</v>
      </c>
      <c r="G1889" s="1056">
        <v>0</v>
      </c>
      <c r="H1889" s="1056">
        <v>0</v>
      </c>
      <c r="I1889" s="1056">
        <v>0</v>
      </c>
      <c r="J1889" s="996">
        <f t="shared" si="34"/>
        <v>0</v>
      </c>
      <c r="K1889" s="1037">
        <f t="shared" si="33"/>
        <v>6</v>
      </c>
    </row>
    <row r="1890" spans="1:11" ht="12.75">
      <c r="A1890" s="1054">
        <v>520469</v>
      </c>
      <c r="B1890" s="1055" t="s">
        <v>893</v>
      </c>
      <c r="C1890" s="1055" t="s">
        <v>378</v>
      </c>
      <c r="D1890" s="1055" t="s">
        <v>1383</v>
      </c>
      <c r="E1890" s="1055" t="s">
        <v>1384</v>
      </c>
      <c r="F1890" s="1056">
        <v>0</v>
      </c>
      <c r="G1890" s="1056">
        <v>0</v>
      </c>
      <c r="H1890" s="1056">
        <v>0</v>
      </c>
      <c r="I1890" s="1056">
        <v>0</v>
      </c>
      <c r="J1890" s="996">
        <f t="shared" si="34"/>
        <v>0</v>
      </c>
      <c r="K1890" s="1037">
        <f t="shared" si="33"/>
        <v>6</v>
      </c>
    </row>
    <row r="1891" spans="1:11" ht="12.75">
      <c r="A1891" s="1054">
        <v>520469</v>
      </c>
      <c r="B1891" s="1055" t="s">
        <v>893</v>
      </c>
      <c r="C1891" s="1055" t="s">
        <v>378</v>
      </c>
      <c r="D1891" s="1055" t="s">
        <v>1587</v>
      </c>
      <c r="E1891" s="1055" t="s">
        <v>1588</v>
      </c>
      <c r="F1891" s="1056">
        <v>0</v>
      </c>
      <c r="G1891" s="1056">
        <v>0</v>
      </c>
      <c r="H1891" s="1056">
        <v>0</v>
      </c>
      <c r="I1891" s="1056">
        <v>0</v>
      </c>
      <c r="J1891" s="996">
        <f t="shared" si="34"/>
        <v>0</v>
      </c>
      <c r="K1891" s="1037">
        <f t="shared" si="33"/>
        <v>6</v>
      </c>
    </row>
    <row r="1892" spans="1:11" ht="12.75">
      <c r="A1892" s="1054">
        <v>520470</v>
      </c>
      <c r="B1892" s="1055" t="s">
        <v>893</v>
      </c>
      <c r="C1892" s="1055" t="s">
        <v>379</v>
      </c>
      <c r="D1892" s="1055" t="s">
        <v>893</v>
      </c>
      <c r="E1892" s="1055" t="s">
        <v>893</v>
      </c>
      <c r="F1892" s="1056">
        <v>39295</v>
      </c>
      <c r="G1892" s="1056">
        <v>7970</v>
      </c>
      <c r="H1892" s="1056">
        <v>0</v>
      </c>
      <c r="I1892" s="1056">
        <v>47264</v>
      </c>
      <c r="J1892" s="996">
        <f t="shared" si="34"/>
        <v>-7970</v>
      </c>
      <c r="K1892" s="1037">
        <f t="shared" si="33"/>
        <v>6</v>
      </c>
    </row>
    <row r="1893" spans="1:11" ht="12.75">
      <c r="A1893" s="1054">
        <v>520470</v>
      </c>
      <c r="B1893" s="1055" t="s">
        <v>893</v>
      </c>
      <c r="C1893" s="1055" t="s">
        <v>379</v>
      </c>
      <c r="D1893" s="1055" t="s">
        <v>1575</v>
      </c>
      <c r="E1893" s="1055" t="s">
        <v>1576</v>
      </c>
      <c r="F1893" s="1056">
        <v>646</v>
      </c>
      <c r="G1893" s="1056">
        <v>0</v>
      </c>
      <c r="H1893" s="1056">
        <v>0</v>
      </c>
      <c r="I1893" s="1056">
        <v>646</v>
      </c>
      <c r="J1893" s="996">
        <f t="shared" si="34"/>
        <v>0</v>
      </c>
      <c r="K1893" s="1037">
        <f t="shared" si="33"/>
        <v>6</v>
      </c>
    </row>
    <row r="1894" spans="1:11" ht="12.75">
      <c r="A1894" s="1054">
        <v>520470</v>
      </c>
      <c r="B1894" s="1055" t="s">
        <v>893</v>
      </c>
      <c r="C1894" s="1055" t="s">
        <v>379</v>
      </c>
      <c r="D1894" s="1055" t="s">
        <v>1891</v>
      </c>
      <c r="E1894" s="1055" t="s">
        <v>1892</v>
      </c>
      <c r="F1894" s="1056">
        <v>0</v>
      </c>
      <c r="G1894" s="1056">
        <v>257</v>
      </c>
      <c r="H1894" s="1056">
        <v>0</v>
      </c>
      <c r="I1894" s="1056">
        <v>257</v>
      </c>
      <c r="J1894" s="996">
        <f t="shared" si="34"/>
        <v>-257</v>
      </c>
      <c r="K1894" s="1037">
        <f t="shared" si="33"/>
        <v>6</v>
      </c>
    </row>
    <row r="1895" spans="1:11" ht="12.75">
      <c r="A1895" s="1054">
        <v>520470</v>
      </c>
      <c r="B1895" s="1055" t="s">
        <v>893</v>
      </c>
      <c r="C1895" s="1055" t="s">
        <v>379</v>
      </c>
      <c r="D1895" s="1055" t="s">
        <v>1577</v>
      </c>
      <c r="E1895" s="1055" t="s">
        <v>1578</v>
      </c>
      <c r="F1895" s="1056">
        <v>961</v>
      </c>
      <c r="G1895" s="1056">
        <v>274</v>
      </c>
      <c r="H1895" s="1056">
        <v>0</v>
      </c>
      <c r="I1895" s="1056">
        <v>1235</v>
      </c>
      <c r="J1895" s="996">
        <f t="shared" si="34"/>
        <v>-274</v>
      </c>
      <c r="K1895" s="1037">
        <f t="shared" si="33"/>
        <v>6</v>
      </c>
    </row>
    <row r="1896" spans="1:11" ht="12.75">
      <c r="A1896" s="1054">
        <v>520470</v>
      </c>
      <c r="B1896" s="1055" t="s">
        <v>893</v>
      </c>
      <c r="C1896" s="1055" t="s">
        <v>379</v>
      </c>
      <c r="D1896" s="1055" t="s">
        <v>1360</v>
      </c>
      <c r="E1896" s="1055" t="s">
        <v>1361</v>
      </c>
      <c r="F1896" s="1056">
        <v>1668</v>
      </c>
      <c r="G1896" s="1056">
        <v>333</v>
      </c>
      <c r="H1896" s="1056">
        <v>0</v>
      </c>
      <c r="I1896" s="1056">
        <v>2002</v>
      </c>
      <c r="J1896" s="996">
        <f t="shared" si="34"/>
        <v>-333</v>
      </c>
      <c r="K1896" s="1037">
        <f t="shared" si="33"/>
        <v>6</v>
      </c>
    </row>
    <row r="1897" spans="1:11" ht="12.75">
      <c r="A1897" s="1054">
        <v>520470</v>
      </c>
      <c r="B1897" s="1055" t="s">
        <v>893</v>
      </c>
      <c r="C1897" s="1055" t="s">
        <v>379</v>
      </c>
      <c r="D1897" s="1055" t="s">
        <v>1893</v>
      </c>
      <c r="E1897" s="1055" t="s">
        <v>1894</v>
      </c>
      <c r="F1897" s="1056">
        <v>0</v>
      </c>
      <c r="G1897" s="1056">
        <v>259</v>
      </c>
      <c r="H1897" s="1056">
        <v>0</v>
      </c>
      <c r="I1897" s="1056">
        <v>259</v>
      </c>
      <c r="J1897" s="996">
        <f t="shared" si="34"/>
        <v>-259</v>
      </c>
      <c r="K1897" s="1037">
        <f t="shared" si="33"/>
        <v>6</v>
      </c>
    </row>
    <row r="1898" spans="1:11" ht="12.75">
      <c r="A1898" s="1054">
        <v>520470</v>
      </c>
      <c r="B1898" s="1055" t="s">
        <v>893</v>
      </c>
      <c r="C1898" s="1055" t="s">
        <v>379</v>
      </c>
      <c r="D1898" s="1055" t="s">
        <v>1298</v>
      </c>
      <c r="E1898" s="1055" t="s">
        <v>987</v>
      </c>
      <c r="F1898" s="1056">
        <v>1060</v>
      </c>
      <c r="G1898" s="1056">
        <v>0</v>
      </c>
      <c r="H1898" s="1056">
        <v>0</v>
      </c>
      <c r="I1898" s="1056">
        <v>1060</v>
      </c>
      <c r="J1898" s="996">
        <f t="shared" si="34"/>
        <v>0</v>
      </c>
      <c r="K1898" s="1037">
        <f t="shared" si="33"/>
        <v>6</v>
      </c>
    </row>
    <row r="1899" spans="1:11" ht="12.75">
      <c r="A1899" s="1054">
        <v>520470</v>
      </c>
      <c r="B1899" s="1055" t="s">
        <v>893</v>
      </c>
      <c r="C1899" s="1055" t="s">
        <v>379</v>
      </c>
      <c r="D1899" s="1055" t="s">
        <v>1362</v>
      </c>
      <c r="E1899" s="1055" t="s">
        <v>1363</v>
      </c>
      <c r="F1899" s="1056">
        <v>14</v>
      </c>
      <c r="G1899" s="1056">
        <v>0</v>
      </c>
      <c r="H1899" s="1056">
        <v>0</v>
      </c>
      <c r="I1899" s="1056">
        <v>14</v>
      </c>
      <c r="J1899" s="996">
        <f t="shared" si="34"/>
        <v>0</v>
      </c>
      <c r="K1899" s="1037">
        <f t="shared" si="33"/>
        <v>6</v>
      </c>
    </row>
    <row r="1900" spans="1:11" ht="12.75">
      <c r="A1900" s="1054">
        <v>520470</v>
      </c>
      <c r="B1900" s="1055" t="s">
        <v>893</v>
      </c>
      <c r="C1900" s="1055" t="s">
        <v>379</v>
      </c>
      <c r="D1900" s="1055" t="s">
        <v>1484</v>
      </c>
      <c r="E1900" s="1055" t="s">
        <v>1485</v>
      </c>
      <c r="F1900" s="1056">
        <v>1157</v>
      </c>
      <c r="G1900" s="1056">
        <v>241</v>
      </c>
      <c r="H1900" s="1056">
        <v>0</v>
      </c>
      <c r="I1900" s="1056">
        <v>1398</v>
      </c>
      <c r="J1900" s="996">
        <f t="shared" si="34"/>
        <v>-241</v>
      </c>
      <c r="K1900" s="1037">
        <f t="shared" si="33"/>
        <v>6</v>
      </c>
    </row>
    <row r="1901" spans="1:11" ht="12.75">
      <c r="A1901" s="1054">
        <v>520470</v>
      </c>
      <c r="B1901" s="1055" t="s">
        <v>893</v>
      </c>
      <c r="C1901" s="1055" t="s">
        <v>379</v>
      </c>
      <c r="D1901" s="1055" t="s">
        <v>1579</v>
      </c>
      <c r="E1901" s="1055" t="s">
        <v>1580</v>
      </c>
      <c r="F1901" s="1056">
        <v>1078</v>
      </c>
      <c r="G1901" s="1056">
        <v>317</v>
      </c>
      <c r="H1901" s="1056">
        <v>0</v>
      </c>
      <c r="I1901" s="1056">
        <v>1394</v>
      </c>
      <c r="J1901" s="996">
        <f t="shared" si="34"/>
        <v>-317</v>
      </c>
      <c r="K1901" s="1037">
        <f t="shared" si="33"/>
        <v>6</v>
      </c>
    </row>
    <row r="1902" spans="1:11" ht="12.75">
      <c r="A1902" s="1054">
        <v>520470</v>
      </c>
      <c r="B1902" s="1055" t="s">
        <v>893</v>
      </c>
      <c r="C1902" s="1055" t="s">
        <v>379</v>
      </c>
      <c r="D1902" s="1055" t="s">
        <v>1270</v>
      </c>
      <c r="E1902" s="1055" t="s">
        <v>988</v>
      </c>
      <c r="F1902" s="1056">
        <v>1435</v>
      </c>
      <c r="G1902" s="1056">
        <v>298</v>
      </c>
      <c r="H1902" s="1056">
        <v>0</v>
      </c>
      <c r="I1902" s="1056">
        <v>1733</v>
      </c>
      <c r="J1902" s="996">
        <f t="shared" si="34"/>
        <v>-298</v>
      </c>
      <c r="K1902" s="1037">
        <f t="shared" si="33"/>
        <v>6</v>
      </c>
    </row>
    <row r="1903" spans="1:11" ht="12.75">
      <c r="A1903" s="1054">
        <v>520470</v>
      </c>
      <c r="B1903" s="1055" t="s">
        <v>893</v>
      </c>
      <c r="C1903" s="1055" t="s">
        <v>379</v>
      </c>
      <c r="D1903" s="1055" t="s">
        <v>1271</v>
      </c>
      <c r="E1903" s="1055" t="s">
        <v>782</v>
      </c>
      <c r="F1903" s="1056">
        <v>302</v>
      </c>
      <c r="G1903" s="1056">
        <v>0</v>
      </c>
      <c r="H1903" s="1056">
        <v>0</v>
      </c>
      <c r="I1903" s="1056">
        <v>302</v>
      </c>
      <c r="J1903" s="996">
        <f t="shared" si="34"/>
        <v>0</v>
      </c>
      <c r="K1903" s="1037">
        <f t="shared" si="33"/>
        <v>6</v>
      </c>
    </row>
    <row r="1904" spans="1:11" ht="12.75">
      <c r="A1904" s="1054">
        <v>520470</v>
      </c>
      <c r="B1904" s="1055" t="s">
        <v>893</v>
      </c>
      <c r="C1904" s="1055" t="s">
        <v>379</v>
      </c>
      <c r="D1904" s="1055" t="s">
        <v>1272</v>
      </c>
      <c r="E1904" s="1055" t="s">
        <v>1273</v>
      </c>
      <c r="F1904" s="1056">
        <v>0</v>
      </c>
      <c r="G1904" s="1056">
        <v>351</v>
      </c>
      <c r="H1904" s="1056">
        <v>0</v>
      </c>
      <c r="I1904" s="1056">
        <v>351</v>
      </c>
      <c r="J1904" s="996">
        <f t="shared" si="34"/>
        <v>-351</v>
      </c>
      <c r="K1904" s="1037">
        <f t="shared" si="33"/>
        <v>6</v>
      </c>
    </row>
    <row r="1905" spans="1:11" ht="12.75">
      <c r="A1905" s="1054">
        <v>520470</v>
      </c>
      <c r="B1905" s="1055" t="s">
        <v>893</v>
      </c>
      <c r="C1905" s="1055" t="s">
        <v>379</v>
      </c>
      <c r="D1905" s="1055" t="s">
        <v>1420</v>
      </c>
      <c r="E1905" s="1055" t="s">
        <v>1421</v>
      </c>
      <c r="F1905" s="1056">
        <v>1114</v>
      </c>
      <c r="G1905" s="1056">
        <v>274</v>
      </c>
      <c r="H1905" s="1056">
        <v>0</v>
      </c>
      <c r="I1905" s="1056">
        <v>1388</v>
      </c>
      <c r="J1905" s="996">
        <f t="shared" si="34"/>
        <v>-274</v>
      </c>
      <c r="K1905" s="1037">
        <f t="shared" si="33"/>
        <v>6</v>
      </c>
    </row>
    <row r="1906" spans="1:11" ht="12.75">
      <c r="A1906" s="1054">
        <v>520470</v>
      </c>
      <c r="B1906" s="1055" t="s">
        <v>893</v>
      </c>
      <c r="C1906" s="1055" t="s">
        <v>379</v>
      </c>
      <c r="D1906" s="1055" t="s">
        <v>1493</v>
      </c>
      <c r="E1906" s="1055" t="s">
        <v>1494</v>
      </c>
      <c r="F1906" s="1056">
        <v>1256</v>
      </c>
      <c r="G1906" s="1056">
        <v>0</v>
      </c>
      <c r="H1906" s="1056">
        <v>0</v>
      </c>
      <c r="I1906" s="1056">
        <v>1256</v>
      </c>
      <c r="J1906" s="996">
        <f t="shared" si="34"/>
        <v>0</v>
      </c>
      <c r="K1906" s="1037">
        <f t="shared" si="33"/>
        <v>6</v>
      </c>
    </row>
    <row r="1907" spans="1:11" ht="12.75">
      <c r="A1907" s="1054">
        <v>520470</v>
      </c>
      <c r="B1907" s="1055" t="s">
        <v>893</v>
      </c>
      <c r="C1907" s="1055" t="s">
        <v>379</v>
      </c>
      <c r="D1907" s="1055" t="s">
        <v>1841</v>
      </c>
      <c r="E1907" s="1055" t="s">
        <v>1842</v>
      </c>
      <c r="F1907" s="1056">
        <v>317</v>
      </c>
      <c r="G1907" s="1056">
        <v>317</v>
      </c>
      <c r="H1907" s="1056">
        <v>0</v>
      </c>
      <c r="I1907" s="1056">
        <v>634</v>
      </c>
      <c r="J1907" s="996">
        <f t="shared" si="34"/>
        <v>-317</v>
      </c>
      <c r="K1907" s="1037">
        <f t="shared" si="33"/>
        <v>6</v>
      </c>
    </row>
    <row r="1908" spans="1:11" ht="12.75">
      <c r="A1908" s="1054">
        <v>520470</v>
      </c>
      <c r="B1908" s="1055" t="s">
        <v>893</v>
      </c>
      <c r="C1908" s="1055" t="s">
        <v>379</v>
      </c>
      <c r="D1908" s="1055" t="s">
        <v>1519</v>
      </c>
      <c r="E1908" s="1055" t="s">
        <v>1520</v>
      </c>
      <c r="F1908" s="1056">
        <v>112</v>
      </c>
      <c r="G1908" s="1056">
        <v>0</v>
      </c>
      <c r="H1908" s="1056">
        <v>0</v>
      </c>
      <c r="I1908" s="1056">
        <v>112</v>
      </c>
      <c r="J1908" s="996">
        <f t="shared" si="34"/>
        <v>0</v>
      </c>
      <c r="K1908" s="1037">
        <f t="shared" si="33"/>
        <v>6</v>
      </c>
    </row>
    <row r="1909" spans="1:11" ht="12.75">
      <c r="A1909" s="1054">
        <v>520470</v>
      </c>
      <c r="B1909" s="1055" t="s">
        <v>893</v>
      </c>
      <c r="C1909" s="1055" t="s">
        <v>379</v>
      </c>
      <c r="D1909" s="1055" t="s">
        <v>1368</v>
      </c>
      <c r="E1909" s="1055" t="s">
        <v>1369</v>
      </c>
      <c r="F1909" s="1056">
        <v>56</v>
      </c>
      <c r="G1909" s="1056">
        <v>0</v>
      </c>
      <c r="H1909" s="1056">
        <v>0</v>
      </c>
      <c r="I1909" s="1056">
        <v>56</v>
      </c>
      <c r="J1909" s="996">
        <f t="shared" si="34"/>
        <v>0</v>
      </c>
      <c r="K1909" s="1037">
        <f t="shared" si="33"/>
        <v>6</v>
      </c>
    </row>
    <row r="1910" spans="1:11" ht="12.75">
      <c r="A1910" s="1054">
        <v>520470</v>
      </c>
      <c r="B1910" s="1055" t="s">
        <v>893</v>
      </c>
      <c r="C1910" s="1055" t="s">
        <v>379</v>
      </c>
      <c r="D1910" s="1055" t="s">
        <v>1895</v>
      </c>
      <c r="E1910" s="1055" t="s">
        <v>1896</v>
      </c>
      <c r="F1910" s="1056">
        <v>0</v>
      </c>
      <c r="G1910" s="1056">
        <v>42</v>
      </c>
      <c r="H1910" s="1056">
        <v>0</v>
      </c>
      <c r="I1910" s="1056">
        <v>42</v>
      </c>
      <c r="J1910" s="996">
        <f t="shared" si="34"/>
        <v>-42</v>
      </c>
      <c r="K1910" s="1037">
        <f t="shared" si="33"/>
        <v>6</v>
      </c>
    </row>
    <row r="1911" spans="1:11" ht="12.75">
      <c r="A1911" s="1054">
        <v>520470</v>
      </c>
      <c r="B1911" s="1055" t="s">
        <v>893</v>
      </c>
      <c r="C1911" s="1055" t="s">
        <v>379</v>
      </c>
      <c r="D1911" s="1055" t="s">
        <v>1495</v>
      </c>
      <c r="E1911" s="1055" t="s">
        <v>1496</v>
      </c>
      <c r="F1911" s="1056">
        <v>100</v>
      </c>
      <c r="G1911" s="1056">
        <v>0</v>
      </c>
      <c r="H1911" s="1056">
        <v>0</v>
      </c>
      <c r="I1911" s="1056">
        <v>100</v>
      </c>
      <c r="J1911" s="996">
        <f t="shared" si="34"/>
        <v>0</v>
      </c>
      <c r="K1911" s="1037">
        <f t="shared" si="33"/>
        <v>6</v>
      </c>
    </row>
    <row r="1912" spans="1:11" ht="12.75">
      <c r="A1912" s="1054">
        <v>520470</v>
      </c>
      <c r="B1912" s="1055" t="s">
        <v>893</v>
      </c>
      <c r="C1912" s="1055" t="s">
        <v>379</v>
      </c>
      <c r="D1912" s="1055" t="s">
        <v>1320</v>
      </c>
      <c r="E1912" s="1055" t="s">
        <v>1321</v>
      </c>
      <c r="F1912" s="1056">
        <v>1185</v>
      </c>
      <c r="G1912" s="1056">
        <v>249</v>
      </c>
      <c r="H1912" s="1056">
        <v>0</v>
      </c>
      <c r="I1912" s="1056">
        <v>1434</v>
      </c>
      <c r="J1912" s="996">
        <f t="shared" si="34"/>
        <v>-249</v>
      </c>
      <c r="K1912" s="1037">
        <f t="shared" si="33"/>
        <v>6</v>
      </c>
    </row>
    <row r="1913" spans="1:11" ht="12.75">
      <c r="A1913" s="1054">
        <v>520470</v>
      </c>
      <c r="B1913" s="1055" t="s">
        <v>893</v>
      </c>
      <c r="C1913" s="1055" t="s">
        <v>379</v>
      </c>
      <c r="D1913" s="1055" t="s">
        <v>1274</v>
      </c>
      <c r="E1913" s="1055" t="s">
        <v>989</v>
      </c>
      <c r="F1913" s="1056">
        <v>1468</v>
      </c>
      <c r="G1913" s="1056">
        <v>284</v>
      </c>
      <c r="H1913" s="1056">
        <v>0</v>
      </c>
      <c r="I1913" s="1056">
        <v>1752</v>
      </c>
      <c r="J1913" s="996">
        <f t="shared" si="34"/>
        <v>-284</v>
      </c>
      <c r="K1913" s="1037">
        <f t="shared" si="33"/>
        <v>6</v>
      </c>
    </row>
    <row r="1914" spans="1:11" ht="12.75">
      <c r="A1914" s="1054">
        <v>520470</v>
      </c>
      <c r="B1914" s="1055" t="s">
        <v>893</v>
      </c>
      <c r="C1914" s="1055" t="s">
        <v>379</v>
      </c>
      <c r="D1914" s="1055" t="s">
        <v>1497</v>
      </c>
      <c r="E1914" s="1055" t="s">
        <v>1498</v>
      </c>
      <c r="F1914" s="1056">
        <v>841</v>
      </c>
      <c r="G1914" s="1056">
        <v>0</v>
      </c>
      <c r="H1914" s="1056">
        <v>0</v>
      </c>
      <c r="I1914" s="1056">
        <v>841</v>
      </c>
      <c r="J1914" s="996">
        <f t="shared" si="34"/>
        <v>0</v>
      </c>
      <c r="K1914" s="1037">
        <f t="shared" si="33"/>
        <v>6</v>
      </c>
    </row>
    <row r="1915" spans="1:11" ht="12.75">
      <c r="A1915" s="1054">
        <v>520470</v>
      </c>
      <c r="B1915" s="1055" t="s">
        <v>893</v>
      </c>
      <c r="C1915" s="1055" t="s">
        <v>379</v>
      </c>
      <c r="D1915" s="1055" t="s">
        <v>1043</v>
      </c>
      <c r="E1915" s="1055" t="s">
        <v>318</v>
      </c>
      <c r="F1915" s="1056">
        <v>2071</v>
      </c>
      <c r="G1915" s="1056">
        <v>518</v>
      </c>
      <c r="H1915" s="1056">
        <v>0</v>
      </c>
      <c r="I1915" s="1056">
        <v>2589</v>
      </c>
      <c r="J1915" s="996">
        <f t="shared" si="34"/>
        <v>-518</v>
      </c>
      <c r="K1915" s="1037">
        <f t="shared" si="33"/>
        <v>6</v>
      </c>
    </row>
    <row r="1916" spans="1:11" ht="12.75">
      <c r="A1916" s="1054">
        <v>520470</v>
      </c>
      <c r="B1916" s="1055" t="s">
        <v>893</v>
      </c>
      <c r="C1916" s="1055" t="s">
        <v>379</v>
      </c>
      <c r="D1916" s="1055" t="s">
        <v>1370</v>
      </c>
      <c r="E1916" s="1055" t="s">
        <v>1371</v>
      </c>
      <c r="F1916" s="1056">
        <v>1226</v>
      </c>
      <c r="G1916" s="1056">
        <v>241</v>
      </c>
      <c r="H1916" s="1056">
        <v>0</v>
      </c>
      <c r="I1916" s="1056">
        <v>1467</v>
      </c>
      <c r="J1916" s="996">
        <f t="shared" si="34"/>
        <v>-241</v>
      </c>
      <c r="K1916" s="1037">
        <f t="shared" si="33"/>
        <v>6</v>
      </c>
    </row>
    <row r="1917" spans="1:11" ht="12.75">
      <c r="A1917" s="1054">
        <v>520470</v>
      </c>
      <c r="B1917" s="1055" t="s">
        <v>893</v>
      </c>
      <c r="C1917" s="1055" t="s">
        <v>379</v>
      </c>
      <c r="D1917" s="1055" t="s">
        <v>1843</v>
      </c>
      <c r="E1917" s="1055" t="s">
        <v>1844</v>
      </c>
      <c r="F1917" s="1056">
        <v>186</v>
      </c>
      <c r="G1917" s="1056">
        <v>0</v>
      </c>
      <c r="H1917" s="1056">
        <v>0</v>
      </c>
      <c r="I1917" s="1056">
        <v>186</v>
      </c>
      <c r="J1917" s="996">
        <f t="shared" si="34"/>
        <v>0</v>
      </c>
      <c r="K1917" s="1037">
        <f t="shared" si="33"/>
        <v>6</v>
      </c>
    </row>
    <row r="1918" spans="1:11" ht="12.75">
      <c r="A1918" s="1054">
        <v>520470</v>
      </c>
      <c r="B1918" s="1055" t="s">
        <v>893</v>
      </c>
      <c r="C1918" s="1055" t="s">
        <v>379</v>
      </c>
      <c r="D1918" s="1055" t="s">
        <v>1759</v>
      </c>
      <c r="E1918" s="1055" t="s">
        <v>1760</v>
      </c>
      <c r="F1918" s="1056">
        <v>192</v>
      </c>
      <c r="G1918" s="1056">
        <v>0</v>
      </c>
      <c r="H1918" s="1056">
        <v>0</v>
      </c>
      <c r="I1918" s="1056">
        <v>192</v>
      </c>
      <c r="J1918" s="996">
        <f t="shared" si="34"/>
        <v>0</v>
      </c>
      <c r="K1918" s="1037">
        <f t="shared" si="33"/>
        <v>6</v>
      </c>
    </row>
    <row r="1919" spans="1:11" ht="12.75">
      <c r="A1919" s="1054">
        <v>520470</v>
      </c>
      <c r="B1919" s="1055" t="s">
        <v>893</v>
      </c>
      <c r="C1919" s="1055" t="s">
        <v>379</v>
      </c>
      <c r="D1919" s="1055" t="s">
        <v>1581</v>
      </c>
      <c r="E1919" s="1055" t="s">
        <v>1582</v>
      </c>
      <c r="F1919" s="1056">
        <v>642</v>
      </c>
      <c r="G1919" s="1056">
        <v>0</v>
      </c>
      <c r="H1919" s="1056">
        <v>0</v>
      </c>
      <c r="I1919" s="1056">
        <v>642</v>
      </c>
      <c r="J1919" s="996">
        <f t="shared" si="34"/>
        <v>0</v>
      </c>
      <c r="K1919" s="1037">
        <f t="shared" si="33"/>
        <v>6</v>
      </c>
    </row>
    <row r="1920" spans="1:11" ht="12.75">
      <c r="A1920" s="1054">
        <v>520470</v>
      </c>
      <c r="B1920" s="1055" t="s">
        <v>893</v>
      </c>
      <c r="C1920" s="1055" t="s">
        <v>379</v>
      </c>
      <c r="D1920" s="1055" t="s">
        <v>1521</v>
      </c>
      <c r="E1920" s="1055" t="s">
        <v>1522</v>
      </c>
      <c r="F1920" s="1056">
        <v>1251</v>
      </c>
      <c r="G1920" s="1056">
        <v>277</v>
      </c>
      <c r="H1920" s="1056">
        <v>0</v>
      </c>
      <c r="I1920" s="1056">
        <v>1528</v>
      </c>
      <c r="J1920" s="996">
        <f t="shared" si="34"/>
        <v>-277</v>
      </c>
      <c r="K1920" s="1037">
        <f t="shared" si="33"/>
        <v>6</v>
      </c>
    </row>
    <row r="1921" spans="1:11" ht="12.75">
      <c r="A1921" s="1054">
        <v>520470</v>
      </c>
      <c r="B1921" s="1055" t="s">
        <v>893</v>
      </c>
      <c r="C1921" s="1055" t="s">
        <v>379</v>
      </c>
      <c r="D1921" s="1055" t="s">
        <v>1426</v>
      </c>
      <c r="E1921" s="1055" t="s">
        <v>1427</v>
      </c>
      <c r="F1921" s="1056">
        <v>1218</v>
      </c>
      <c r="G1921" s="1056">
        <v>260</v>
      </c>
      <c r="H1921" s="1056">
        <v>0</v>
      </c>
      <c r="I1921" s="1056">
        <v>1477</v>
      </c>
      <c r="J1921" s="996">
        <f t="shared" si="34"/>
        <v>-260</v>
      </c>
      <c r="K1921" s="1037">
        <f t="shared" si="33"/>
        <v>6</v>
      </c>
    </row>
    <row r="1922" spans="1:11" ht="12.75">
      <c r="A1922" s="1054">
        <v>520470</v>
      </c>
      <c r="B1922" s="1055" t="s">
        <v>893</v>
      </c>
      <c r="C1922" s="1055" t="s">
        <v>379</v>
      </c>
      <c r="D1922" s="1055" t="s">
        <v>1583</v>
      </c>
      <c r="E1922" s="1055" t="s">
        <v>1584</v>
      </c>
      <c r="F1922" s="1056">
        <v>196</v>
      </c>
      <c r="G1922" s="1056">
        <v>0</v>
      </c>
      <c r="H1922" s="1056">
        <v>0</v>
      </c>
      <c r="I1922" s="1056">
        <v>196</v>
      </c>
      <c r="J1922" s="996">
        <f t="shared" si="34"/>
        <v>0</v>
      </c>
      <c r="K1922" s="1037">
        <f t="shared" si="33"/>
        <v>6</v>
      </c>
    </row>
    <row r="1923" spans="1:11" ht="12.75">
      <c r="A1923" s="1054">
        <v>520470</v>
      </c>
      <c r="B1923" s="1055" t="s">
        <v>893</v>
      </c>
      <c r="C1923" s="1055" t="s">
        <v>379</v>
      </c>
      <c r="D1923" s="1055" t="s">
        <v>1374</v>
      </c>
      <c r="E1923" s="1055" t="s">
        <v>1375</v>
      </c>
      <c r="F1923" s="1056">
        <v>1161</v>
      </c>
      <c r="G1923" s="1056">
        <v>256</v>
      </c>
      <c r="H1923" s="1056">
        <v>0</v>
      </c>
      <c r="I1923" s="1056">
        <v>1416</v>
      </c>
      <c r="J1923" s="996">
        <f t="shared" si="34"/>
        <v>-256</v>
      </c>
      <c r="K1923" s="1037">
        <f t="shared" si="33"/>
        <v>6</v>
      </c>
    </row>
    <row r="1924" spans="1:11" ht="12.75">
      <c r="A1924" s="1054">
        <v>520470</v>
      </c>
      <c r="B1924" s="1055" t="s">
        <v>893</v>
      </c>
      <c r="C1924" s="1055" t="s">
        <v>379</v>
      </c>
      <c r="D1924" s="1055" t="s">
        <v>1249</v>
      </c>
      <c r="E1924" s="1055" t="s">
        <v>583</v>
      </c>
      <c r="F1924" s="1056">
        <v>2126</v>
      </c>
      <c r="G1924" s="1056">
        <v>428</v>
      </c>
      <c r="H1924" s="1056">
        <v>0</v>
      </c>
      <c r="I1924" s="1056">
        <v>2554</v>
      </c>
      <c r="J1924" s="996">
        <f t="shared" si="34"/>
        <v>-428</v>
      </c>
      <c r="K1924" s="1037">
        <f t="shared" si="33"/>
        <v>6</v>
      </c>
    </row>
    <row r="1925" spans="1:11" ht="12.75">
      <c r="A1925" s="1054">
        <v>520470</v>
      </c>
      <c r="B1925" s="1055" t="s">
        <v>893</v>
      </c>
      <c r="C1925" s="1055" t="s">
        <v>379</v>
      </c>
      <c r="D1925" s="1055" t="s">
        <v>1376</v>
      </c>
      <c r="E1925" s="1055" t="s">
        <v>1377</v>
      </c>
      <c r="F1925" s="1056">
        <v>1481</v>
      </c>
      <c r="G1925" s="1056">
        <v>0</v>
      </c>
      <c r="H1925" s="1056">
        <v>0</v>
      </c>
      <c r="I1925" s="1056">
        <v>1481</v>
      </c>
      <c r="J1925" s="996">
        <f t="shared" si="34"/>
        <v>0</v>
      </c>
      <c r="K1925" s="1037">
        <f t="shared" ref="K1925:K1965" si="35">+LEN(A1925)</f>
        <v>6</v>
      </c>
    </row>
    <row r="1926" spans="1:11" ht="12.75">
      <c r="A1926" s="1054">
        <v>520470</v>
      </c>
      <c r="B1926" s="1055" t="s">
        <v>893</v>
      </c>
      <c r="C1926" s="1055" t="s">
        <v>379</v>
      </c>
      <c r="D1926" s="1055" t="s">
        <v>1845</v>
      </c>
      <c r="E1926" s="1055" t="s">
        <v>1846</v>
      </c>
      <c r="F1926" s="1056">
        <v>157</v>
      </c>
      <c r="G1926" s="1056">
        <v>257</v>
      </c>
      <c r="H1926" s="1056">
        <v>0</v>
      </c>
      <c r="I1926" s="1056">
        <v>414</v>
      </c>
      <c r="J1926" s="996">
        <f t="shared" si="34"/>
        <v>-257</v>
      </c>
      <c r="K1926" s="1037">
        <f t="shared" si="35"/>
        <v>6</v>
      </c>
    </row>
    <row r="1927" spans="1:11" ht="12.75">
      <c r="A1927" s="1054">
        <v>520470</v>
      </c>
      <c r="B1927" s="1055" t="s">
        <v>893</v>
      </c>
      <c r="C1927" s="1055" t="s">
        <v>379</v>
      </c>
      <c r="D1927" s="1055" t="s">
        <v>1306</v>
      </c>
      <c r="E1927" s="1055" t="s">
        <v>997</v>
      </c>
      <c r="F1927" s="1056">
        <v>1064</v>
      </c>
      <c r="G1927" s="1056">
        <v>0</v>
      </c>
      <c r="H1927" s="1056">
        <v>0</v>
      </c>
      <c r="I1927" s="1056">
        <v>1064</v>
      </c>
      <c r="J1927" s="996">
        <f t="shared" si="34"/>
        <v>0</v>
      </c>
      <c r="K1927" s="1037">
        <f t="shared" si="35"/>
        <v>6</v>
      </c>
    </row>
    <row r="1928" spans="1:11" ht="12.75">
      <c r="A1928" s="1054">
        <v>520470</v>
      </c>
      <c r="B1928" s="1055" t="s">
        <v>893</v>
      </c>
      <c r="C1928" s="1055" t="s">
        <v>379</v>
      </c>
      <c r="D1928" s="1055" t="s">
        <v>1897</v>
      </c>
      <c r="E1928" s="1055" t="s">
        <v>1898</v>
      </c>
      <c r="F1928" s="1056">
        <v>0</v>
      </c>
      <c r="G1928" s="1056">
        <v>56</v>
      </c>
      <c r="H1928" s="1056">
        <v>0</v>
      </c>
      <c r="I1928" s="1056">
        <v>56</v>
      </c>
      <c r="J1928" s="996">
        <f t="shared" si="34"/>
        <v>-56</v>
      </c>
      <c r="K1928" s="1037">
        <f t="shared" si="35"/>
        <v>6</v>
      </c>
    </row>
    <row r="1929" spans="1:11" ht="12.75">
      <c r="A1929" s="1054">
        <v>520470</v>
      </c>
      <c r="B1929" s="1055" t="s">
        <v>893</v>
      </c>
      <c r="C1929" s="1055" t="s">
        <v>379</v>
      </c>
      <c r="D1929" s="1055" t="s">
        <v>1250</v>
      </c>
      <c r="E1929" s="1055" t="s">
        <v>1251</v>
      </c>
      <c r="F1929" s="1056">
        <v>1207</v>
      </c>
      <c r="G1929" s="1056">
        <v>243</v>
      </c>
      <c r="H1929" s="1056">
        <v>0</v>
      </c>
      <c r="I1929" s="1056">
        <v>1450</v>
      </c>
      <c r="J1929" s="996">
        <f t="shared" ref="J1929:J1992" si="36">+H1929-G1929</f>
        <v>-243</v>
      </c>
      <c r="K1929" s="1037">
        <f t="shared" si="35"/>
        <v>6</v>
      </c>
    </row>
    <row r="1930" spans="1:11" ht="12.75">
      <c r="A1930" s="1054">
        <v>520470</v>
      </c>
      <c r="B1930" s="1055" t="s">
        <v>893</v>
      </c>
      <c r="C1930" s="1055" t="s">
        <v>379</v>
      </c>
      <c r="D1930" s="1055" t="s">
        <v>1899</v>
      </c>
      <c r="E1930" s="1055" t="s">
        <v>1900</v>
      </c>
      <c r="F1930" s="1056">
        <v>0</v>
      </c>
      <c r="G1930" s="1056">
        <v>282</v>
      </c>
      <c r="H1930" s="1056">
        <v>0</v>
      </c>
      <c r="I1930" s="1056">
        <v>282</v>
      </c>
      <c r="J1930" s="996">
        <f t="shared" si="36"/>
        <v>-282</v>
      </c>
      <c r="K1930" s="1037">
        <f t="shared" si="35"/>
        <v>6</v>
      </c>
    </row>
    <row r="1931" spans="1:11" ht="12.75">
      <c r="A1931" s="1054">
        <v>520470</v>
      </c>
      <c r="B1931" s="1055" t="s">
        <v>893</v>
      </c>
      <c r="C1931" s="1055" t="s">
        <v>379</v>
      </c>
      <c r="D1931" s="1055" t="s">
        <v>1901</v>
      </c>
      <c r="E1931" s="1055" t="s">
        <v>1902</v>
      </c>
      <c r="F1931" s="1056">
        <v>0</v>
      </c>
      <c r="G1931" s="1056">
        <v>105</v>
      </c>
      <c r="H1931" s="1056">
        <v>0</v>
      </c>
      <c r="I1931" s="1056">
        <v>105</v>
      </c>
      <c r="J1931" s="996">
        <f t="shared" si="36"/>
        <v>-105</v>
      </c>
      <c r="K1931" s="1037">
        <f t="shared" si="35"/>
        <v>6</v>
      </c>
    </row>
    <row r="1932" spans="1:11" ht="12.75">
      <c r="A1932" s="1054">
        <v>520470</v>
      </c>
      <c r="B1932" s="1055" t="s">
        <v>893</v>
      </c>
      <c r="C1932" s="1055" t="s">
        <v>379</v>
      </c>
      <c r="D1932" s="1055" t="s">
        <v>1686</v>
      </c>
      <c r="E1932" s="1055" t="s">
        <v>1687</v>
      </c>
      <c r="F1932" s="1056">
        <v>709</v>
      </c>
      <c r="G1932" s="1056">
        <v>0</v>
      </c>
      <c r="H1932" s="1056">
        <v>0</v>
      </c>
      <c r="I1932" s="1056">
        <v>709</v>
      </c>
      <c r="J1932" s="996">
        <f t="shared" si="36"/>
        <v>0</v>
      </c>
      <c r="K1932" s="1037">
        <f t="shared" si="35"/>
        <v>6</v>
      </c>
    </row>
    <row r="1933" spans="1:11" ht="12.75">
      <c r="A1933" s="1054">
        <v>520470</v>
      </c>
      <c r="B1933" s="1055" t="s">
        <v>893</v>
      </c>
      <c r="C1933" s="1055" t="s">
        <v>379</v>
      </c>
      <c r="D1933" s="1055" t="s">
        <v>1303</v>
      </c>
      <c r="E1933" s="1055" t="s">
        <v>806</v>
      </c>
      <c r="F1933" s="1056">
        <v>468</v>
      </c>
      <c r="G1933" s="1056">
        <v>0</v>
      </c>
      <c r="H1933" s="1056">
        <v>0</v>
      </c>
      <c r="I1933" s="1056">
        <v>468</v>
      </c>
      <c r="J1933" s="996">
        <f t="shared" si="36"/>
        <v>0</v>
      </c>
      <c r="K1933" s="1037">
        <f t="shared" si="35"/>
        <v>6</v>
      </c>
    </row>
    <row r="1934" spans="1:11" ht="12.75">
      <c r="A1934" s="1054">
        <v>520470</v>
      </c>
      <c r="B1934" s="1055" t="s">
        <v>893</v>
      </c>
      <c r="C1934" s="1055" t="s">
        <v>379</v>
      </c>
      <c r="D1934" s="1055" t="s">
        <v>1523</v>
      </c>
      <c r="E1934" s="1055" t="s">
        <v>1524</v>
      </c>
      <c r="F1934" s="1056">
        <v>414</v>
      </c>
      <c r="G1934" s="1056">
        <v>0</v>
      </c>
      <c r="H1934" s="1056">
        <v>0</v>
      </c>
      <c r="I1934" s="1056">
        <v>414</v>
      </c>
      <c r="J1934" s="996">
        <f t="shared" si="36"/>
        <v>0</v>
      </c>
      <c r="K1934" s="1037">
        <f t="shared" si="35"/>
        <v>6</v>
      </c>
    </row>
    <row r="1935" spans="1:11" ht="12.75">
      <c r="A1935" s="1054">
        <v>520470</v>
      </c>
      <c r="B1935" s="1055" t="s">
        <v>893</v>
      </c>
      <c r="C1935" s="1055" t="s">
        <v>379</v>
      </c>
      <c r="D1935" s="1055" t="s">
        <v>1480</v>
      </c>
      <c r="E1935" s="1055" t="s">
        <v>1481</v>
      </c>
      <c r="F1935" s="1056">
        <v>302</v>
      </c>
      <c r="G1935" s="1056">
        <v>0</v>
      </c>
      <c r="H1935" s="1056">
        <v>0</v>
      </c>
      <c r="I1935" s="1056">
        <v>302</v>
      </c>
      <c r="J1935" s="996">
        <f t="shared" si="36"/>
        <v>0</v>
      </c>
      <c r="K1935" s="1037">
        <f t="shared" si="35"/>
        <v>6</v>
      </c>
    </row>
    <row r="1936" spans="1:11" ht="12.75">
      <c r="A1936" s="1054">
        <v>520470</v>
      </c>
      <c r="B1936" s="1055" t="s">
        <v>893</v>
      </c>
      <c r="C1936" s="1055" t="s">
        <v>379</v>
      </c>
      <c r="D1936" s="1055" t="s">
        <v>1847</v>
      </c>
      <c r="E1936" s="1055" t="s">
        <v>1848</v>
      </c>
      <c r="F1936" s="1056">
        <v>112</v>
      </c>
      <c r="G1936" s="1056">
        <v>0</v>
      </c>
      <c r="H1936" s="1056">
        <v>0</v>
      </c>
      <c r="I1936" s="1056">
        <v>112</v>
      </c>
      <c r="J1936" s="996">
        <f t="shared" si="36"/>
        <v>0</v>
      </c>
      <c r="K1936" s="1037">
        <f t="shared" si="35"/>
        <v>6</v>
      </c>
    </row>
    <row r="1937" spans="1:11" ht="12.75">
      <c r="A1937" s="1054">
        <v>520470</v>
      </c>
      <c r="B1937" s="1055" t="s">
        <v>893</v>
      </c>
      <c r="C1937" s="1055" t="s">
        <v>379</v>
      </c>
      <c r="D1937" s="1055" t="s">
        <v>1761</v>
      </c>
      <c r="E1937" s="1055" t="s">
        <v>1762</v>
      </c>
      <c r="F1937" s="1056">
        <v>283</v>
      </c>
      <c r="G1937" s="1056">
        <v>0</v>
      </c>
      <c r="H1937" s="1056">
        <v>0</v>
      </c>
      <c r="I1937" s="1056">
        <v>283</v>
      </c>
      <c r="J1937" s="996">
        <f t="shared" si="36"/>
        <v>0</v>
      </c>
      <c r="K1937" s="1037">
        <f t="shared" si="35"/>
        <v>6</v>
      </c>
    </row>
    <row r="1938" spans="1:11" ht="12.75">
      <c r="A1938" s="1054">
        <v>520470</v>
      </c>
      <c r="B1938" s="1055" t="s">
        <v>893</v>
      </c>
      <c r="C1938" s="1055" t="s">
        <v>379</v>
      </c>
      <c r="D1938" s="1055" t="s">
        <v>1428</v>
      </c>
      <c r="E1938" s="1055" t="s">
        <v>1429</v>
      </c>
      <c r="F1938" s="1056">
        <v>478</v>
      </c>
      <c r="G1938" s="1056">
        <v>0</v>
      </c>
      <c r="H1938" s="1056">
        <v>0</v>
      </c>
      <c r="I1938" s="1056">
        <v>478</v>
      </c>
      <c r="J1938" s="996">
        <f t="shared" si="36"/>
        <v>0</v>
      </c>
      <c r="K1938" s="1037">
        <f t="shared" si="35"/>
        <v>6</v>
      </c>
    </row>
    <row r="1939" spans="1:11" ht="12.75">
      <c r="A1939" s="1054">
        <v>520470</v>
      </c>
      <c r="B1939" s="1055" t="s">
        <v>893</v>
      </c>
      <c r="C1939" s="1055" t="s">
        <v>379</v>
      </c>
      <c r="D1939" s="1055" t="s">
        <v>1849</v>
      </c>
      <c r="E1939" s="1055" t="s">
        <v>1850</v>
      </c>
      <c r="F1939" s="1056">
        <v>133</v>
      </c>
      <c r="G1939" s="1056">
        <v>253</v>
      </c>
      <c r="H1939" s="1056">
        <v>0</v>
      </c>
      <c r="I1939" s="1056">
        <v>386</v>
      </c>
      <c r="J1939" s="996">
        <f t="shared" si="36"/>
        <v>-253</v>
      </c>
      <c r="K1939" s="1037">
        <f t="shared" si="35"/>
        <v>6</v>
      </c>
    </row>
    <row r="1940" spans="1:11" ht="12.75">
      <c r="A1940" s="1054">
        <v>520470</v>
      </c>
      <c r="B1940" s="1055" t="s">
        <v>893</v>
      </c>
      <c r="C1940" s="1055" t="s">
        <v>379</v>
      </c>
      <c r="D1940" s="1055" t="s">
        <v>1275</v>
      </c>
      <c r="E1940" s="1055" t="s">
        <v>991</v>
      </c>
      <c r="F1940" s="1056">
        <v>1282</v>
      </c>
      <c r="G1940" s="1056">
        <v>294</v>
      </c>
      <c r="H1940" s="1056">
        <v>0</v>
      </c>
      <c r="I1940" s="1056">
        <v>1576</v>
      </c>
      <c r="J1940" s="996">
        <f t="shared" si="36"/>
        <v>-294</v>
      </c>
      <c r="K1940" s="1037">
        <f t="shared" si="35"/>
        <v>6</v>
      </c>
    </row>
    <row r="1941" spans="1:11" ht="12.75">
      <c r="A1941" s="1054">
        <v>520470</v>
      </c>
      <c r="B1941" s="1055" t="s">
        <v>893</v>
      </c>
      <c r="C1941" s="1055" t="s">
        <v>379</v>
      </c>
      <c r="D1941" s="1055" t="s">
        <v>1380</v>
      </c>
      <c r="E1941" s="1055" t="s">
        <v>1381</v>
      </c>
      <c r="F1941" s="1056">
        <v>469</v>
      </c>
      <c r="G1941" s="1056">
        <v>0</v>
      </c>
      <c r="H1941" s="1056">
        <v>0</v>
      </c>
      <c r="I1941" s="1056">
        <v>469</v>
      </c>
      <c r="J1941" s="996">
        <f t="shared" si="36"/>
        <v>0</v>
      </c>
      <c r="K1941" s="1037">
        <f t="shared" si="35"/>
        <v>6</v>
      </c>
    </row>
    <row r="1942" spans="1:11" ht="12.75">
      <c r="A1942" s="1054">
        <v>520470</v>
      </c>
      <c r="B1942" s="1055" t="s">
        <v>893</v>
      </c>
      <c r="C1942" s="1055" t="s">
        <v>379</v>
      </c>
      <c r="D1942" s="1055" t="s">
        <v>1585</v>
      </c>
      <c r="E1942" s="1055" t="s">
        <v>1586</v>
      </c>
      <c r="F1942" s="1056">
        <v>742</v>
      </c>
      <c r="G1942" s="1056">
        <v>215</v>
      </c>
      <c r="H1942" s="1056">
        <v>0</v>
      </c>
      <c r="I1942" s="1056">
        <v>957</v>
      </c>
      <c r="J1942" s="996">
        <f t="shared" si="36"/>
        <v>-215</v>
      </c>
      <c r="K1942" s="1037">
        <f t="shared" si="35"/>
        <v>6</v>
      </c>
    </row>
    <row r="1943" spans="1:11" ht="12.75">
      <c r="A1943" s="1054">
        <v>520470</v>
      </c>
      <c r="B1943" s="1055" t="s">
        <v>893</v>
      </c>
      <c r="C1943" s="1055" t="s">
        <v>379</v>
      </c>
      <c r="D1943" s="1055" t="s">
        <v>1382</v>
      </c>
      <c r="E1943" s="1055" t="s">
        <v>1763</v>
      </c>
      <c r="F1943" s="1056">
        <v>1451</v>
      </c>
      <c r="G1943" s="1056">
        <v>297</v>
      </c>
      <c r="H1943" s="1056">
        <v>0</v>
      </c>
      <c r="I1943" s="1056">
        <v>1748</v>
      </c>
      <c r="J1943" s="996">
        <f t="shared" si="36"/>
        <v>-297</v>
      </c>
      <c r="K1943" s="1037">
        <f t="shared" si="35"/>
        <v>6</v>
      </c>
    </row>
    <row r="1944" spans="1:11" ht="12.75">
      <c r="A1944" s="1054">
        <v>520470</v>
      </c>
      <c r="B1944" s="1055" t="s">
        <v>893</v>
      </c>
      <c r="C1944" s="1055" t="s">
        <v>379</v>
      </c>
      <c r="D1944" s="1055" t="s">
        <v>1440</v>
      </c>
      <c r="E1944" s="1055" t="s">
        <v>1441</v>
      </c>
      <c r="F1944" s="1056">
        <v>900</v>
      </c>
      <c r="G1944" s="1056">
        <v>0</v>
      </c>
      <c r="H1944" s="1056">
        <v>0</v>
      </c>
      <c r="I1944" s="1056">
        <v>900</v>
      </c>
      <c r="J1944" s="996">
        <f t="shared" si="36"/>
        <v>0</v>
      </c>
      <c r="K1944" s="1037">
        <f t="shared" si="35"/>
        <v>6</v>
      </c>
    </row>
    <row r="1945" spans="1:11" ht="12.75">
      <c r="A1945" s="1054">
        <v>520470</v>
      </c>
      <c r="B1945" s="1055" t="s">
        <v>893</v>
      </c>
      <c r="C1945" s="1055" t="s">
        <v>379</v>
      </c>
      <c r="D1945" s="1055" t="s">
        <v>1383</v>
      </c>
      <c r="E1945" s="1055" t="s">
        <v>1384</v>
      </c>
      <c r="F1945" s="1056">
        <v>1395</v>
      </c>
      <c r="G1945" s="1056">
        <v>248</v>
      </c>
      <c r="H1945" s="1056">
        <v>0</v>
      </c>
      <c r="I1945" s="1056">
        <v>1643</v>
      </c>
      <c r="J1945" s="996">
        <f t="shared" si="36"/>
        <v>-248</v>
      </c>
      <c r="K1945" s="1037">
        <f t="shared" si="35"/>
        <v>6</v>
      </c>
    </row>
    <row r="1946" spans="1:11" ht="12.75">
      <c r="A1946" s="1054">
        <v>520470</v>
      </c>
      <c r="B1946" s="1055" t="s">
        <v>893</v>
      </c>
      <c r="C1946" s="1055" t="s">
        <v>379</v>
      </c>
      <c r="D1946" s="1055" t="s">
        <v>1430</v>
      </c>
      <c r="E1946" s="1055" t="s">
        <v>1431</v>
      </c>
      <c r="F1946" s="1056">
        <v>253</v>
      </c>
      <c r="G1946" s="1056">
        <v>0</v>
      </c>
      <c r="H1946" s="1056">
        <v>0</v>
      </c>
      <c r="I1946" s="1056">
        <v>253</v>
      </c>
      <c r="J1946" s="996">
        <f t="shared" si="36"/>
        <v>0</v>
      </c>
      <c r="K1946" s="1037">
        <f t="shared" si="35"/>
        <v>6</v>
      </c>
    </row>
    <row r="1947" spans="1:11" ht="12.75">
      <c r="A1947" s="1054">
        <v>520470</v>
      </c>
      <c r="B1947" s="1055" t="s">
        <v>893</v>
      </c>
      <c r="C1947" s="1055" t="s">
        <v>379</v>
      </c>
      <c r="D1947" s="1055" t="s">
        <v>1587</v>
      </c>
      <c r="E1947" s="1055" t="s">
        <v>1588</v>
      </c>
      <c r="F1947" s="1056">
        <v>953</v>
      </c>
      <c r="G1947" s="1056">
        <v>246</v>
      </c>
      <c r="H1947" s="1056">
        <v>0</v>
      </c>
      <c r="I1947" s="1056">
        <v>1199</v>
      </c>
      <c r="J1947" s="996">
        <f t="shared" si="36"/>
        <v>-246</v>
      </c>
      <c r="K1947" s="1037">
        <f t="shared" si="35"/>
        <v>6</v>
      </c>
    </row>
    <row r="1948" spans="1:11" ht="12.75">
      <c r="A1948" s="1054">
        <v>520472</v>
      </c>
      <c r="B1948" s="1055" t="s">
        <v>893</v>
      </c>
      <c r="C1948" s="1055" t="s">
        <v>380</v>
      </c>
      <c r="D1948" s="1055" t="s">
        <v>893</v>
      </c>
      <c r="E1948" s="1055" t="s">
        <v>893</v>
      </c>
      <c r="F1948" s="1056">
        <v>13172</v>
      </c>
      <c r="G1948" s="1056">
        <v>2542</v>
      </c>
      <c r="H1948" s="1056">
        <v>0</v>
      </c>
      <c r="I1948" s="1056">
        <v>15714</v>
      </c>
      <c r="J1948" s="996">
        <f t="shared" si="36"/>
        <v>-2542</v>
      </c>
      <c r="K1948" s="1037">
        <f t="shared" si="35"/>
        <v>6</v>
      </c>
    </row>
    <row r="1949" spans="1:11" ht="12.75">
      <c r="A1949" s="1054">
        <v>520472</v>
      </c>
      <c r="B1949" s="1055" t="s">
        <v>893</v>
      </c>
      <c r="C1949" s="1055" t="s">
        <v>380</v>
      </c>
      <c r="D1949" s="1055" t="s">
        <v>1575</v>
      </c>
      <c r="E1949" s="1055" t="s">
        <v>1576</v>
      </c>
      <c r="F1949" s="1056">
        <v>224</v>
      </c>
      <c r="G1949" s="1056">
        <v>0</v>
      </c>
      <c r="H1949" s="1056">
        <v>0</v>
      </c>
      <c r="I1949" s="1056">
        <v>224</v>
      </c>
      <c r="J1949" s="996">
        <f t="shared" si="36"/>
        <v>0</v>
      </c>
      <c r="K1949" s="1037">
        <f t="shared" si="35"/>
        <v>6</v>
      </c>
    </row>
    <row r="1950" spans="1:11" ht="12.75">
      <c r="A1950" s="1054">
        <v>520472</v>
      </c>
      <c r="B1950" s="1055" t="s">
        <v>893</v>
      </c>
      <c r="C1950" s="1055" t="s">
        <v>380</v>
      </c>
      <c r="D1950" s="1055" t="s">
        <v>1891</v>
      </c>
      <c r="E1950" s="1055" t="s">
        <v>1892</v>
      </c>
      <c r="F1950" s="1056">
        <v>0</v>
      </c>
      <c r="G1950" s="1056">
        <v>86</v>
      </c>
      <c r="H1950" s="1056">
        <v>0</v>
      </c>
      <c r="I1950" s="1056">
        <v>86</v>
      </c>
      <c r="J1950" s="996">
        <f t="shared" si="36"/>
        <v>-86</v>
      </c>
      <c r="K1950" s="1037">
        <f t="shared" si="35"/>
        <v>6</v>
      </c>
    </row>
    <row r="1951" spans="1:11" ht="12.75">
      <c r="A1951" s="1054">
        <v>520472</v>
      </c>
      <c r="B1951" s="1055" t="s">
        <v>893</v>
      </c>
      <c r="C1951" s="1055" t="s">
        <v>380</v>
      </c>
      <c r="D1951" s="1055" t="s">
        <v>1577</v>
      </c>
      <c r="E1951" s="1055" t="s">
        <v>1578</v>
      </c>
      <c r="F1951" s="1056">
        <v>318</v>
      </c>
      <c r="G1951" s="1056">
        <v>91</v>
      </c>
      <c r="H1951" s="1056">
        <v>0</v>
      </c>
      <c r="I1951" s="1056">
        <v>410</v>
      </c>
      <c r="J1951" s="996">
        <f t="shared" si="36"/>
        <v>-91</v>
      </c>
      <c r="K1951" s="1037">
        <f t="shared" si="35"/>
        <v>6</v>
      </c>
    </row>
    <row r="1952" spans="1:11" ht="12.75">
      <c r="A1952" s="1054">
        <v>520472</v>
      </c>
      <c r="B1952" s="1055" t="s">
        <v>893</v>
      </c>
      <c r="C1952" s="1055" t="s">
        <v>380</v>
      </c>
      <c r="D1952" s="1055" t="s">
        <v>1360</v>
      </c>
      <c r="E1952" s="1055" t="s">
        <v>1361</v>
      </c>
      <c r="F1952" s="1056">
        <v>552</v>
      </c>
      <c r="G1952" s="1056">
        <v>111</v>
      </c>
      <c r="H1952" s="1056">
        <v>0</v>
      </c>
      <c r="I1952" s="1056">
        <v>663</v>
      </c>
      <c r="J1952" s="996">
        <f t="shared" si="36"/>
        <v>-111</v>
      </c>
      <c r="K1952" s="1037">
        <f t="shared" si="35"/>
        <v>6</v>
      </c>
    </row>
    <row r="1953" spans="1:11" ht="12.75">
      <c r="A1953" s="1054">
        <v>520472</v>
      </c>
      <c r="B1953" s="1055" t="s">
        <v>893</v>
      </c>
      <c r="C1953" s="1055" t="s">
        <v>380</v>
      </c>
      <c r="D1953" s="1055" t="s">
        <v>1893</v>
      </c>
      <c r="E1953" s="1055" t="s">
        <v>1894</v>
      </c>
      <c r="F1953" s="1056">
        <v>0</v>
      </c>
      <c r="G1953" s="1056">
        <v>86</v>
      </c>
      <c r="H1953" s="1056">
        <v>0</v>
      </c>
      <c r="I1953" s="1056">
        <v>86</v>
      </c>
      <c r="J1953" s="996">
        <f t="shared" si="36"/>
        <v>-86</v>
      </c>
      <c r="K1953" s="1037">
        <f t="shared" si="35"/>
        <v>6</v>
      </c>
    </row>
    <row r="1954" spans="1:11" ht="12.75">
      <c r="A1954" s="1054">
        <v>520472</v>
      </c>
      <c r="B1954" s="1055" t="s">
        <v>893</v>
      </c>
      <c r="C1954" s="1055" t="s">
        <v>380</v>
      </c>
      <c r="D1954" s="1055" t="s">
        <v>1298</v>
      </c>
      <c r="E1954" s="1055" t="s">
        <v>987</v>
      </c>
      <c r="F1954" s="1056">
        <v>384</v>
      </c>
      <c r="G1954" s="1056">
        <v>0</v>
      </c>
      <c r="H1954" s="1056">
        <v>0</v>
      </c>
      <c r="I1954" s="1056">
        <v>384</v>
      </c>
      <c r="J1954" s="996">
        <f t="shared" si="36"/>
        <v>0</v>
      </c>
      <c r="K1954" s="1037">
        <f t="shared" si="35"/>
        <v>6</v>
      </c>
    </row>
    <row r="1955" spans="1:11" ht="12.75">
      <c r="A1955" s="1054">
        <v>520472</v>
      </c>
      <c r="B1955" s="1055" t="s">
        <v>893</v>
      </c>
      <c r="C1955" s="1055" t="s">
        <v>380</v>
      </c>
      <c r="D1955" s="1055" t="s">
        <v>1362</v>
      </c>
      <c r="E1955" s="1055" t="s">
        <v>1363</v>
      </c>
      <c r="F1955" s="1056">
        <v>42</v>
      </c>
      <c r="G1955" s="1056">
        <v>0</v>
      </c>
      <c r="H1955" s="1056">
        <v>0</v>
      </c>
      <c r="I1955" s="1056">
        <v>42</v>
      </c>
      <c r="J1955" s="996">
        <f t="shared" si="36"/>
        <v>0</v>
      </c>
      <c r="K1955" s="1037">
        <f t="shared" si="35"/>
        <v>6</v>
      </c>
    </row>
    <row r="1956" spans="1:11" ht="12.75">
      <c r="A1956" s="1054">
        <v>520472</v>
      </c>
      <c r="B1956" s="1055" t="s">
        <v>893</v>
      </c>
      <c r="C1956" s="1055" t="s">
        <v>380</v>
      </c>
      <c r="D1956" s="1055" t="s">
        <v>1484</v>
      </c>
      <c r="E1956" s="1055" t="s">
        <v>1485</v>
      </c>
      <c r="F1956" s="1056">
        <v>384</v>
      </c>
      <c r="G1956" s="1056">
        <v>80</v>
      </c>
      <c r="H1956" s="1056">
        <v>0</v>
      </c>
      <c r="I1956" s="1056">
        <v>464</v>
      </c>
      <c r="J1956" s="996">
        <f t="shared" si="36"/>
        <v>-80</v>
      </c>
      <c r="K1956" s="1037">
        <f t="shared" si="35"/>
        <v>6</v>
      </c>
    </row>
    <row r="1957" spans="1:11" ht="12.75">
      <c r="A1957" s="1054">
        <v>520472</v>
      </c>
      <c r="B1957" s="1055" t="s">
        <v>893</v>
      </c>
      <c r="C1957" s="1055" t="s">
        <v>380</v>
      </c>
      <c r="D1957" s="1055" t="s">
        <v>1579</v>
      </c>
      <c r="E1957" s="1055" t="s">
        <v>1580</v>
      </c>
      <c r="F1957" s="1056">
        <v>359</v>
      </c>
      <c r="G1957" s="1056">
        <v>106</v>
      </c>
      <c r="H1957" s="1056">
        <v>0</v>
      </c>
      <c r="I1957" s="1056">
        <v>465</v>
      </c>
      <c r="J1957" s="996">
        <f t="shared" si="36"/>
        <v>-106</v>
      </c>
      <c r="K1957" s="1037">
        <f t="shared" si="35"/>
        <v>6</v>
      </c>
    </row>
    <row r="1958" spans="1:11" ht="12.75">
      <c r="A1958" s="1054">
        <v>520472</v>
      </c>
      <c r="B1958" s="1055" t="s">
        <v>893</v>
      </c>
      <c r="C1958" s="1055" t="s">
        <v>380</v>
      </c>
      <c r="D1958" s="1055" t="s">
        <v>1270</v>
      </c>
      <c r="E1958" s="1055" t="s">
        <v>988</v>
      </c>
      <c r="F1958" s="1056">
        <v>480</v>
      </c>
      <c r="G1958" s="1056">
        <v>99</v>
      </c>
      <c r="H1958" s="1056">
        <v>0</v>
      </c>
      <c r="I1958" s="1056">
        <v>580</v>
      </c>
      <c r="J1958" s="996">
        <f t="shared" si="36"/>
        <v>-99</v>
      </c>
      <c r="K1958" s="1037">
        <f t="shared" si="35"/>
        <v>6</v>
      </c>
    </row>
    <row r="1959" spans="1:11" ht="12.75">
      <c r="A1959" s="1054">
        <v>520472</v>
      </c>
      <c r="B1959" s="1055" t="s">
        <v>893</v>
      </c>
      <c r="C1959" s="1055" t="s">
        <v>380</v>
      </c>
      <c r="D1959" s="1055" t="s">
        <v>1271</v>
      </c>
      <c r="E1959" s="1055" t="s">
        <v>782</v>
      </c>
      <c r="F1959" s="1056">
        <v>94</v>
      </c>
      <c r="G1959" s="1056">
        <v>0</v>
      </c>
      <c r="H1959" s="1056">
        <v>0</v>
      </c>
      <c r="I1959" s="1056">
        <v>94</v>
      </c>
      <c r="J1959" s="996">
        <f t="shared" si="36"/>
        <v>0</v>
      </c>
      <c r="K1959" s="1037">
        <f t="shared" si="35"/>
        <v>6</v>
      </c>
    </row>
    <row r="1960" spans="1:11" ht="12.75">
      <c r="A1960" s="1054">
        <v>520472</v>
      </c>
      <c r="B1960" s="1055" t="s">
        <v>893</v>
      </c>
      <c r="C1960" s="1055" t="s">
        <v>380</v>
      </c>
      <c r="D1960" s="1055" t="s">
        <v>1272</v>
      </c>
      <c r="E1960" s="1055" t="s">
        <v>1273</v>
      </c>
      <c r="F1960" s="1056">
        <v>0</v>
      </c>
      <c r="G1960" s="1056">
        <v>117</v>
      </c>
      <c r="H1960" s="1056">
        <v>0</v>
      </c>
      <c r="I1960" s="1056">
        <v>117</v>
      </c>
      <c r="J1960" s="996">
        <f t="shared" si="36"/>
        <v>-117</v>
      </c>
      <c r="K1960" s="1037">
        <f t="shared" si="35"/>
        <v>6</v>
      </c>
    </row>
    <row r="1961" spans="1:11" ht="12.75">
      <c r="A1961" s="1054">
        <v>520472</v>
      </c>
      <c r="B1961" s="1055" t="s">
        <v>893</v>
      </c>
      <c r="C1961" s="1055" t="s">
        <v>380</v>
      </c>
      <c r="D1961" s="1055" t="s">
        <v>1420</v>
      </c>
      <c r="E1961" s="1055" t="s">
        <v>1421</v>
      </c>
      <c r="F1961" s="1056">
        <v>352</v>
      </c>
      <c r="G1961" s="1056">
        <v>38</v>
      </c>
      <c r="H1961" s="1056">
        <v>0</v>
      </c>
      <c r="I1961" s="1056">
        <v>390</v>
      </c>
      <c r="J1961" s="996">
        <f t="shared" si="36"/>
        <v>-38</v>
      </c>
      <c r="K1961" s="1037">
        <f t="shared" si="35"/>
        <v>6</v>
      </c>
    </row>
    <row r="1962" spans="1:11" ht="12.75">
      <c r="A1962" s="1054">
        <v>520472</v>
      </c>
      <c r="B1962" s="1055" t="s">
        <v>893</v>
      </c>
      <c r="C1962" s="1055" t="s">
        <v>380</v>
      </c>
      <c r="D1962" s="1055" t="s">
        <v>1493</v>
      </c>
      <c r="E1962" s="1055" t="s">
        <v>1494</v>
      </c>
      <c r="F1962" s="1056">
        <v>422</v>
      </c>
      <c r="G1962" s="1056">
        <v>0</v>
      </c>
      <c r="H1962" s="1056">
        <v>0</v>
      </c>
      <c r="I1962" s="1056">
        <v>422</v>
      </c>
      <c r="J1962" s="996">
        <f t="shared" si="36"/>
        <v>0</v>
      </c>
      <c r="K1962" s="1037">
        <f t="shared" si="35"/>
        <v>6</v>
      </c>
    </row>
    <row r="1963" spans="1:11" ht="12.75">
      <c r="A1963" s="1054">
        <v>520472</v>
      </c>
      <c r="B1963" s="1055" t="s">
        <v>893</v>
      </c>
      <c r="C1963" s="1055" t="s">
        <v>380</v>
      </c>
      <c r="D1963" s="1055" t="s">
        <v>1841</v>
      </c>
      <c r="E1963" s="1055" t="s">
        <v>1842</v>
      </c>
      <c r="F1963" s="1056">
        <v>106</v>
      </c>
      <c r="G1963" s="1056">
        <v>104</v>
      </c>
      <c r="H1963" s="1056">
        <v>0</v>
      </c>
      <c r="I1963" s="1056">
        <v>210</v>
      </c>
      <c r="J1963" s="996">
        <f t="shared" si="36"/>
        <v>-104</v>
      </c>
      <c r="K1963" s="1037">
        <f t="shared" si="35"/>
        <v>6</v>
      </c>
    </row>
    <row r="1964" spans="1:11" ht="12.75">
      <c r="A1964" s="1054">
        <v>520472</v>
      </c>
      <c r="B1964" s="1055" t="s">
        <v>893</v>
      </c>
      <c r="C1964" s="1055" t="s">
        <v>380</v>
      </c>
      <c r="D1964" s="1055" t="s">
        <v>1519</v>
      </c>
      <c r="E1964" s="1055" t="s">
        <v>1520</v>
      </c>
      <c r="F1964" s="1056">
        <v>39</v>
      </c>
      <c r="G1964" s="1056">
        <v>0</v>
      </c>
      <c r="H1964" s="1056">
        <v>0</v>
      </c>
      <c r="I1964" s="1056">
        <v>39</v>
      </c>
      <c r="J1964" s="996">
        <f t="shared" si="36"/>
        <v>0</v>
      </c>
      <c r="K1964" s="1037">
        <f t="shared" si="35"/>
        <v>6</v>
      </c>
    </row>
    <row r="1965" spans="1:11" ht="12.75">
      <c r="A1965" s="1054">
        <v>520472</v>
      </c>
      <c r="B1965" s="1055" t="s">
        <v>893</v>
      </c>
      <c r="C1965" s="1055" t="s">
        <v>380</v>
      </c>
      <c r="D1965" s="1055" t="s">
        <v>1368</v>
      </c>
      <c r="E1965" s="1055" t="s">
        <v>1369</v>
      </c>
      <c r="F1965" s="1056">
        <v>45</v>
      </c>
      <c r="G1965" s="1056">
        <v>0</v>
      </c>
      <c r="H1965" s="1056">
        <v>0</v>
      </c>
      <c r="I1965" s="1056">
        <v>45</v>
      </c>
      <c r="J1965" s="996">
        <f t="shared" si="36"/>
        <v>0</v>
      </c>
      <c r="K1965" s="1037">
        <f t="shared" si="35"/>
        <v>6</v>
      </c>
    </row>
    <row r="1966" spans="1:11" ht="12.75">
      <c r="A1966" s="1054">
        <v>520472</v>
      </c>
      <c r="B1966" s="1055" t="s">
        <v>893</v>
      </c>
      <c r="C1966" s="1055" t="s">
        <v>380</v>
      </c>
      <c r="D1966" s="1055" t="s">
        <v>1895</v>
      </c>
      <c r="E1966" s="1055" t="s">
        <v>1896</v>
      </c>
      <c r="F1966" s="1056">
        <v>0</v>
      </c>
      <c r="G1966" s="1056">
        <v>15</v>
      </c>
      <c r="H1966" s="1056">
        <v>0</v>
      </c>
      <c r="I1966" s="1056">
        <v>15</v>
      </c>
      <c r="J1966" s="996">
        <f t="shared" si="36"/>
        <v>-15</v>
      </c>
      <c r="K1966" s="1037">
        <f t="shared" ref="K1966:K2029" si="37">+LEN(A1966)</f>
        <v>6</v>
      </c>
    </row>
    <row r="1967" spans="1:11" ht="12.75">
      <c r="A1967" s="1054">
        <v>520472</v>
      </c>
      <c r="B1967" s="1055" t="s">
        <v>893</v>
      </c>
      <c r="C1967" s="1055" t="s">
        <v>380</v>
      </c>
      <c r="D1967" s="1055" t="s">
        <v>1495</v>
      </c>
      <c r="E1967" s="1055" t="s">
        <v>1496</v>
      </c>
      <c r="F1967" s="1056">
        <v>36</v>
      </c>
      <c r="G1967" s="1056">
        <v>0</v>
      </c>
      <c r="H1967" s="1056">
        <v>0</v>
      </c>
      <c r="I1967" s="1056">
        <v>36</v>
      </c>
      <c r="J1967" s="996">
        <f t="shared" si="36"/>
        <v>0</v>
      </c>
      <c r="K1967" s="1037">
        <f t="shared" si="37"/>
        <v>6</v>
      </c>
    </row>
    <row r="1968" spans="1:11" ht="12.75">
      <c r="A1968" s="1054">
        <v>520472</v>
      </c>
      <c r="B1968" s="1055" t="s">
        <v>893</v>
      </c>
      <c r="C1968" s="1055" t="s">
        <v>380</v>
      </c>
      <c r="D1968" s="1055" t="s">
        <v>1320</v>
      </c>
      <c r="E1968" s="1055" t="s">
        <v>1321</v>
      </c>
      <c r="F1968" s="1056">
        <v>392</v>
      </c>
      <c r="G1968" s="1056">
        <v>83</v>
      </c>
      <c r="H1968" s="1056">
        <v>0</v>
      </c>
      <c r="I1968" s="1056">
        <v>475</v>
      </c>
      <c r="J1968" s="996">
        <f t="shared" si="36"/>
        <v>-83</v>
      </c>
      <c r="K1968" s="1037">
        <f t="shared" si="37"/>
        <v>6</v>
      </c>
    </row>
    <row r="1969" spans="1:11" ht="12.75">
      <c r="A1969" s="1054">
        <v>520472</v>
      </c>
      <c r="B1969" s="1055" t="s">
        <v>893</v>
      </c>
      <c r="C1969" s="1055" t="s">
        <v>380</v>
      </c>
      <c r="D1969" s="1055" t="s">
        <v>1274</v>
      </c>
      <c r="E1969" s="1055" t="s">
        <v>989</v>
      </c>
      <c r="F1969" s="1056">
        <v>489</v>
      </c>
      <c r="G1969" s="1056">
        <v>95</v>
      </c>
      <c r="H1969" s="1056">
        <v>0</v>
      </c>
      <c r="I1969" s="1056">
        <v>584</v>
      </c>
      <c r="J1969" s="996">
        <f t="shared" si="36"/>
        <v>-95</v>
      </c>
      <c r="K1969" s="1037">
        <f t="shared" si="37"/>
        <v>6</v>
      </c>
    </row>
    <row r="1970" spans="1:11" ht="12.75">
      <c r="A1970" s="1054">
        <v>520472</v>
      </c>
      <c r="B1970" s="1055" t="s">
        <v>893</v>
      </c>
      <c r="C1970" s="1055" t="s">
        <v>380</v>
      </c>
      <c r="D1970" s="1055" t="s">
        <v>1497</v>
      </c>
      <c r="E1970" s="1055" t="s">
        <v>1498</v>
      </c>
      <c r="F1970" s="1056">
        <v>295</v>
      </c>
      <c r="G1970" s="1056">
        <v>0</v>
      </c>
      <c r="H1970" s="1056">
        <v>0</v>
      </c>
      <c r="I1970" s="1056">
        <v>295</v>
      </c>
      <c r="J1970" s="996">
        <f t="shared" si="36"/>
        <v>0</v>
      </c>
      <c r="K1970" s="1037">
        <f t="shared" si="37"/>
        <v>6</v>
      </c>
    </row>
    <row r="1971" spans="1:11" ht="12.75">
      <c r="A1971" s="1054">
        <v>520472</v>
      </c>
      <c r="B1971" s="1055" t="s">
        <v>893</v>
      </c>
      <c r="C1971" s="1055" t="s">
        <v>380</v>
      </c>
      <c r="D1971" s="1055" t="s">
        <v>1043</v>
      </c>
      <c r="E1971" s="1055" t="s">
        <v>318</v>
      </c>
      <c r="F1971" s="1056">
        <v>690</v>
      </c>
      <c r="G1971" s="1056">
        <v>173</v>
      </c>
      <c r="H1971" s="1056">
        <v>0</v>
      </c>
      <c r="I1971" s="1056">
        <v>863</v>
      </c>
      <c r="J1971" s="996">
        <f t="shared" si="36"/>
        <v>-173</v>
      </c>
      <c r="K1971" s="1037">
        <f t="shared" si="37"/>
        <v>6</v>
      </c>
    </row>
    <row r="1972" spans="1:11" ht="12.75">
      <c r="A1972" s="1054">
        <v>520472</v>
      </c>
      <c r="B1972" s="1055" t="s">
        <v>893</v>
      </c>
      <c r="C1972" s="1055" t="s">
        <v>380</v>
      </c>
      <c r="D1972" s="1055" t="s">
        <v>1370</v>
      </c>
      <c r="E1972" s="1055" t="s">
        <v>1371</v>
      </c>
      <c r="F1972" s="1056">
        <v>319</v>
      </c>
      <c r="G1972" s="1056">
        <v>80</v>
      </c>
      <c r="H1972" s="1056">
        <v>0</v>
      </c>
      <c r="I1972" s="1056">
        <v>399</v>
      </c>
      <c r="J1972" s="996">
        <f t="shared" si="36"/>
        <v>-80</v>
      </c>
      <c r="K1972" s="1037">
        <f t="shared" si="37"/>
        <v>6</v>
      </c>
    </row>
    <row r="1973" spans="1:11" ht="12.75">
      <c r="A1973" s="1054">
        <v>520472</v>
      </c>
      <c r="B1973" s="1055" t="s">
        <v>893</v>
      </c>
      <c r="C1973" s="1055" t="s">
        <v>380</v>
      </c>
      <c r="D1973" s="1055" t="s">
        <v>1843</v>
      </c>
      <c r="E1973" s="1055" t="s">
        <v>1844</v>
      </c>
      <c r="F1973" s="1056">
        <v>62</v>
      </c>
      <c r="G1973" s="1056">
        <v>0</v>
      </c>
      <c r="H1973" s="1056">
        <v>0</v>
      </c>
      <c r="I1973" s="1056">
        <v>62</v>
      </c>
      <c r="J1973" s="996">
        <f t="shared" si="36"/>
        <v>0</v>
      </c>
      <c r="K1973" s="1037">
        <f t="shared" si="37"/>
        <v>6</v>
      </c>
    </row>
    <row r="1974" spans="1:11" ht="12.75">
      <c r="A1974" s="1054">
        <v>520472</v>
      </c>
      <c r="B1974" s="1055" t="s">
        <v>893</v>
      </c>
      <c r="C1974" s="1055" t="s">
        <v>380</v>
      </c>
      <c r="D1974" s="1055" t="s">
        <v>1759</v>
      </c>
      <c r="E1974" s="1055" t="s">
        <v>1760</v>
      </c>
      <c r="F1974" s="1056">
        <v>66</v>
      </c>
      <c r="G1974" s="1056">
        <v>0</v>
      </c>
      <c r="H1974" s="1056">
        <v>0</v>
      </c>
      <c r="I1974" s="1056">
        <v>66</v>
      </c>
      <c r="J1974" s="996">
        <f t="shared" si="36"/>
        <v>0</v>
      </c>
      <c r="K1974" s="1037">
        <f t="shared" si="37"/>
        <v>6</v>
      </c>
    </row>
    <row r="1975" spans="1:11" ht="12.75">
      <c r="A1975" s="1054">
        <v>520472</v>
      </c>
      <c r="B1975" s="1055" t="s">
        <v>893</v>
      </c>
      <c r="C1975" s="1055" t="s">
        <v>380</v>
      </c>
      <c r="D1975" s="1055" t="s">
        <v>1581</v>
      </c>
      <c r="E1975" s="1055" t="s">
        <v>1582</v>
      </c>
      <c r="F1975" s="1056">
        <v>223</v>
      </c>
      <c r="G1975" s="1056">
        <v>0</v>
      </c>
      <c r="H1975" s="1056">
        <v>0</v>
      </c>
      <c r="I1975" s="1056">
        <v>223</v>
      </c>
      <c r="J1975" s="996">
        <f t="shared" si="36"/>
        <v>0</v>
      </c>
      <c r="K1975" s="1037">
        <f t="shared" si="37"/>
        <v>6</v>
      </c>
    </row>
    <row r="1976" spans="1:11" ht="12.75">
      <c r="A1976" s="1054">
        <v>520472</v>
      </c>
      <c r="B1976" s="1055" t="s">
        <v>893</v>
      </c>
      <c r="C1976" s="1055" t="s">
        <v>380</v>
      </c>
      <c r="D1976" s="1055" t="s">
        <v>1521</v>
      </c>
      <c r="E1976" s="1055" t="s">
        <v>1522</v>
      </c>
      <c r="F1976" s="1056">
        <v>413</v>
      </c>
      <c r="G1976" s="1056">
        <v>92</v>
      </c>
      <c r="H1976" s="1056">
        <v>0</v>
      </c>
      <c r="I1976" s="1056">
        <v>505</v>
      </c>
      <c r="J1976" s="996">
        <f t="shared" si="36"/>
        <v>-92</v>
      </c>
      <c r="K1976" s="1037">
        <f t="shared" si="37"/>
        <v>6</v>
      </c>
    </row>
    <row r="1977" spans="1:11" ht="12.75">
      <c r="A1977" s="1054">
        <v>520472</v>
      </c>
      <c r="B1977" s="1055" t="s">
        <v>893</v>
      </c>
      <c r="C1977" s="1055" t="s">
        <v>380</v>
      </c>
      <c r="D1977" s="1055" t="s">
        <v>1426</v>
      </c>
      <c r="E1977" s="1055" t="s">
        <v>1427</v>
      </c>
      <c r="F1977" s="1056">
        <v>406</v>
      </c>
      <c r="G1977" s="1056">
        <v>82</v>
      </c>
      <c r="H1977" s="1056">
        <v>0</v>
      </c>
      <c r="I1977" s="1056">
        <v>488</v>
      </c>
      <c r="J1977" s="996">
        <f t="shared" si="36"/>
        <v>-82</v>
      </c>
      <c r="K1977" s="1037">
        <f t="shared" si="37"/>
        <v>6</v>
      </c>
    </row>
    <row r="1978" spans="1:11" ht="12.75">
      <c r="A1978" s="1054">
        <v>520472</v>
      </c>
      <c r="B1978" s="1055" t="s">
        <v>893</v>
      </c>
      <c r="C1978" s="1055" t="s">
        <v>380</v>
      </c>
      <c r="D1978" s="1055" t="s">
        <v>1583</v>
      </c>
      <c r="E1978" s="1055" t="s">
        <v>1584</v>
      </c>
      <c r="F1978" s="1056">
        <v>65</v>
      </c>
      <c r="G1978" s="1056">
        <v>0</v>
      </c>
      <c r="H1978" s="1056">
        <v>0</v>
      </c>
      <c r="I1978" s="1056">
        <v>65</v>
      </c>
      <c r="J1978" s="996">
        <f t="shared" si="36"/>
        <v>0</v>
      </c>
      <c r="K1978" s="1037">
        <f t="shared" si="37"/>
        <v>6</v>
      </c>
    </row>
    <row r="1979" spans="1:11" ht="12.75">
      <c r="A1979" s="1054">
        <v>520472</v>
      </c>
      <c r="B1979" s="1055" t="s">
        <v>893</v>
      </c>
      <c r="C1979" s="1055" t="s">
        <v>380</v>
      </c>
      <c r="D1979" s="1055" t="s">
        <v>1374</v>
      </c>
      <c r="E1979" s="1055" t="s">
        <v>1375</v>
      </c>
      <c r="F1979" s="1056">
        <v>382</v>
      </c>
      <c r="G1979" s="1056">
        <v>85</v>
      </c>
      <c r="H1979" s="1056">
        <v>0</v>
      </c>
      <c r="I1979" s="1056">
        <v>468</v>
      </c>
      <c r="J1979" s="996">
        <f t="shared" si="36"/>
        <v>-85</v>
      </c>
      <c r="K1979" s="1037">
        <f t="shared" si="37"/>
        <v>6</v>
      </c>
    </row>
    <row r="1980" spans="1:11" ht="12.75">
      <c r="A1980" s="1054">
        <v>520472</v>
      </c>
      <c r="B1980" s="1055" t="s">
        <v>893</v>
      </c>
      <c r="C1980" s="1055" t="s">
        <v>380</v>
      </c>
      <c r="D1980" s="1055" t="s">
        <v>1249</v>
      </c>
      <c r="E1980" s="1055" t="s">
        <v>583</v>
      </c>
      <c r="F1980" s="1056">
        <v>709</v>
      </c>
      <c r="G1980" s="1056">
        <v>143</v>
      </c>
      <c r="H1980" s="1056">
        <v>0</v>
      </c>
      <c r="I1980" s="1056">
        <v>852</v>
      </c>
      <c r="J1980" s="996">
        <f t="shared" si="36"/>
        <v>-143</v>
      </c>
      <c r="K1980" s="1037">
        <f t="shared" si="37"/>
        <v>6</v>
      </c>
    </row>
    <row r="1981" spans="1:11" ht="12.75">
      <c r="A1981" s="1054">
        <v>520472</v>
      </c>
      <c r="B1981" s="1055" t="s">
        <v>893</v>
      </c>
      <c r="C1981" s="1055" t="s">
        <v>380</v>
      </c>
      <c r="D1981" s="1055" t="s">
        <v>1376</v>
      </c>
      <c r="E1981" s="1055" t="s">
        <v>1377</v>
      </c>
      <c r="F1981" s="1056">
        <v>494</v>
      </c>
      <c r="G1981" s="1056">
        <v>0</v>
      </c>
      <c r="H1981" s="1056">
        <v>0</v>
      </c>
      <c r="I1981" s="1056">
        <v>494</v>
      </c>
      <c r="J1981" s="996">
        <f t="shared" si="36"/>
        <v>0</v>
      </c>
      <c r="K1981" s="1037">
        <f t="shared" si="37"/>
        <v>6</v>
      </c>
    </row>
    <row r="1982" spans="1:11" ht="12.75">
      <c r="A1982" s="1054">
        <v>520472</v>
      </c>
      <c r="B1982" s="1055" t="s">
        <v>893</v>
      </c>
      <c r="C1982" s="1055" t="s">
        <v>380</v>
      </c>
      <c r="D1982" s="1055" t="s">
        <v>1845</v>
      </c>
      <c r="E1982" s="1055" t="s">
        <v>1846</v>
      </c>
      <c r="F1982" s="1056">
        <v>52</v>
      </c>
      <c r="G1982" s="1056">
        <v>86</v>
      </c>
      <c r="H1982" s="1056">
        <v>0</v>
      </c>
      <c r="I1982" s="1056">
        <v>138</v>
      </c>
      <c r="J1982" s="996">
        <f t="shared" si="36"/>
        <v>-86</v>
      </c>
      <c r="K1982" s="1037">
        <f t="shared" si="37"/>
        <v>6</v>
      </c>
    </row>
    <row r="1983" spans="1:11" ht="12.75">
      <c r="A1983" s="1054">
        <v>520472</v>
      </c>
      <c r="B1983" s="1055" t="s">
        <v>893</v>
      </c>
      <c r="C1983" s="1055" t="s">
        <v>380</v>
      </c>
      <c r="D1983" s="1055" t="s">
        <v>1306</v>
      </c>
      <c r="E1983" s="1055" t="s">
        <v>997</v>
      </c>
      <c r="F1983" s="1056">
        <v>370</v>
      </c>
      <c r="G1983" s="1056">
        <v>0</v>
      </c>
      <c r="H1983" s="1056">
        <v>0</v>
      </c>
      <c r="I1983" s="1056">
        <v>370</v>
      </c>
      <c r="J1983" s="996">
        <f t="shared" si="36"/>
        <v>0</v>
      </c>
      <c r="K1983" s="1037">
        <f t="shared" si="37"/>
        <v>6</v>
      </c>
    </row>
    <row r="1984" spans="1:11" ht="12.75">
      <c r="A1984" s="1054">
        <v>520472</v>
      </c>
      <c r="B1984" s="1055" t="s">
        <v>893</v>
      </c>
      <c r="C1984" s="1055" t="s">
        <v>380</v>
      </c>
      <c r="D1984" s="1055" t="s">
        <v>1897</v>
      </c>
      <c r="E1984" s="1055" t="s">
        <v>1898</v>
      </c>
      <c r="F1984" s="1056">
        <v>0</v>
      </c>
      <c r="G1984" s="1056">
        <v>19</v>
      </c>
      <c r="H1984" s="1056">
        <v>0</v>
      </c>
      <c r="I1984" s="1056">
        <v>19</v>
      </c>
      <c r="J1984" s="996">
        <f t="shared" si="36"/>
        <v>-19</v>
      </c>
      <c r="K1984" s="1037">
        <f t="shared" si="37"/>
        <v>6</v>
      </c>
    </row>
    <row r="1985" spans="1:11" ht="12.75">
      <c r="A1985" s="1054">
        <v>520472</v>
      </c>
      <c r="B1985" s="1055" t="s">
        <v>893</v>
      </c>
      <c r="C1985" s="1055" t="s">
        <v>380</v>
      </c>
      <c r="D1985" s="1055" t="s">
        <v>1250</v>
      </c>
      <c r="E1985" s="1055" t="s">
        <v>1251</v>
      </c>
      <c r="F1985" s="1056">
        <v>398</v>
      </c>
      <c r="G1985" s="1056">
        <v>76</v>
      </c>
      <c r="H1985" s="1056">
        <v>0</v>
      </c>
      <c r="I1985" s="1056">
        <v>474</v>
      </c>
      <c r="J1985" s="996">
        <f t="shared" si="36"/>
        <v>-76</v>
      </c>
      <c r="K1985" s="1037">
        <f t="shared" si="37"/>
        <v>6</v>
      </c>
    </row>
    <row r="1986" spans="1:11" ht="12.75">
      <c r="A1986" s="1054">
        <v>520472</v>
      </c>
      <c r="B1986" s="1055" t="s">
        <v>893</v>
      </c>
      <c r="C1986" s="1055" t="s">
        <v>380</v>
      </c>
      <c r="D1986" s="1055" t="s">
        <v>1899</v>
      </c>
      <c r="E1986" s="1055" t="s">
        <v>1900</v>
      </c>
      <c r="F1986" s="1056">
        <v>0</v>
      </c>
      <c r="G1986" s="1056">
        <v>94</v>
      </c>
      <c r="H1986" s="1056">
        <v>0</v>
      </c>
      <c r="I1986" s="1056">
        <v>94</v>
      </c>
      <c r="J1986" s="996">
        <f t="shared" si="36"/>
        <v>-94</v>
      </c>
      <c r="K1986" s="1037">
        <f t="shared" si="37"/>
        <v>6</v>
      </c>
    </row>
    <row r="1987" spans="1:11" ht="12.75">
      <c r="A1987" s="1054">
        <v>520472</v>
      </c>
      <c r="B1987" s="1055" t="s">
        <v>893</v>
      </c>
      <c r="C1987" s="1055" t="s">
        <v>380</v>
      </c>
      <c r="D1987" s="1055" t="s">
        <v>1901</v>
      </c>
      <c r="E1987" s="1055" t="s">
        <v>1902</v>
      </c>
      <c r="F1987" s="1056">
        <v>0</v>
      </c>
      <c r="G1987" s="1056">
        <v>35</v>
      </c>
      <c r="H1987" s="1056">
        <v>0</v>
      </c>
      <c r="I1987" s="1056">
        <v>35</v>
      </c>
      <c r="J1987" s="996">
        <f t="shared" si="36"/>
        <v>-35</v>
      </c>
      <c r="K1987" s="1037">
        <f t="shared" si="37"/>
        <v>6</v>
      </c>
    </row>
    <row r="1988" spans="1:11" ht="12.75">
      <c r="A1988" s="1054">
        <v>520472</v>
      </c>
      <c r="B1988" s="1055" t="s">
        <v>893</v>
      </c>
      <c r="C1988" s="1055" t="s">
        <v>380</v>
      </c>
      <c r="D1988" s="1055" t="s">
        <v>1686</v>
      </c>
      <c r="E1988" s="1055" t="s">
        <v>1687</v>
      </c>
      <c r="F1988" s="1056">
        <v>249</v>
      </c>
      <c r="G1988" s="1056">
        <v>0</v>
      </c>
      <c r="H1988" s="1056">
        <v>0</v>
      </c>
      <c r="I1988" s="1056">
        <v>249</v>
      </c>
      <c r="J1988" s="996">
        <f t="shared" si="36"/>
        <v>0</v>
      </c>
      <c r="K1988" s="1037">
        <f t="shared" si="37"/>
        <v>6</v>
      </c>
    </row>
    <row r="1989" spans="1:11" ht="12.75">
      <c r="A1989" s="1054">
        <v>520472</v>
      </c>
      <c r="B1989" s="1055" t="s">
        <v>893</v>
      </c>
      <c r="C1989" s="1055" t="s">
        <v>380</v>
      </c>
      <c r="D1989" s="1055" t="s">
        <v>1303</v>
      </c>
      <c r="E1989" s="1055" t="s">
        <v>806</v>
      </c>
      <c r="F1989" s="1056">
        <v>155</v>
      </c>
      <c r="G1989" s="1056">
        <v>0</v>
      </c>
      <c r="H1989" s="1056">
        <v>0</v>
      </c>
      <c r="I1989" s="1056">
        <v>155</v>
      </c>
      <c r="J1989" s="996">
        <f t="shared" si="36"/>
        <v>0</v>
      </c>
      <c r="K1989" s="1037">
        <f t="shared" si="37"/>
        <v>6</v>
      </c>
    </row>
    <row r="1990" spans="1:11" ht="12.75">
      <c r="A1990" s="1054">
        <v>520472</v>
      </c>
      <c r="B1990" s="1055" t="s">
        <v>893</v>
      </c>
      <c r="C1990" s="1055" t="s">
        <v>380</v>
      </c>
      <c r="D1990" s="1055" t="s">
        <v>1523</v>
      </c>
      <c r="E1990" s="1055" t="s">
        <v>1524</v>
      </c>
      <c r="F1990" s="1056">
        <v>135</v>
      </c>
      <c r="G1990" s="1056">
        <v>0</v>
      </c>
      <c r="H1990" s="1056">
        <v>0</v>
      </c>
      <c r="I1990" s="1056">
        <v>135</v>
      </c>
      <c r="J1990" s="996">
        <f t="shared" si="36"/>
        <v>0</v>
      </c>
      <c r="K1990" s="1037">
        <f t="shared" si="37"/>
        <v>6</v>
      </c>
    </row>
    <row r="1991" spans="1:11" ht="12.75">
      <c r="A1991" s="1054">
        <v>520472</v>
      </c>
      <c r="B1991" s="1055" t="s">
        <v>893</v>
      </c>
      <c r="C1991" s="1055" t="s">
        <v>380</v>
      </c>
      <c r="D1991" s="1055" t="s">
        <v>1480</v>
      </c>
      <c r="E1991" s="1055" t="s">
        <v>1481</v>
      </c>
      <c r="F1991" s="1056">
        <v>94</v>
      </c>
      <c r="G1991" s="1056">
        <v>0</v>
      </c>
      <c r="H1991" s="1056">
        <v>0</v>
      </c>
      <c r="I1991" s="1056">
        <v>94</v>
      </c>
      <c r="J1991" s="996">
        <f t="shared" si="36"/>
        <v>0</v>
      </c>
      <c r="K1991" s="1037">
        <f t="shared" si="37"/>
        <v>6</v>
      </c>
    </row>
    <row r="1992" spans="1:11" ht="12.75">
      <c r="A1992" s="1054">
        <v>520472</v>
      </c>
      <c r="B1992" s="1055" t="s">
        <v>893</v>
      </c>
      <c r="C1992" s="1055" t="s">
        <v>380</v>
      </c>
      <c r="D1992" s="1055" t="s">
        <v>1847</v>
      </c>
      <c r="E1992" s="1055" t="s">
        <v>1848</v>
      </c>
      <c r="F1992" s="1056">
        <v>39</v>
      </c>
      <c r="G1992" s="1056">
        <v>0</v>
      </c>
      <c r="H1992" s="1056">
        <v>0</v>
      </c>
      <c r="I1992" s="1056">
        <v>39</v>
      </c>
      <c r="J1992" s="996">
        <f t="shared" si="36"/>
        <v>0</v>
      </c>
      <c r="K1992" s="1037">
        <f t="shared" si="37"/>
        <v>6</v>
      </c>
    </row>
    <row r="1993" spans="1:11" ht="12.75">
      <c r="A1993" s="1054">
        <v>520472</v>
      </c>
      <c r="B1993" s="1055" t="s">
        <v>893</v>
      </c>
      <c r="C1993" s="1055" t="s">
        <v>380</v>
      </c>
      <c r="D1993" s="1055" t="s">
        <v>1761</v>
      </c>
      <c r="E1993" s="1055" t="s">
        <v>1762</v>
      </c>
      <c r="F1993" s="1056">
        <v>129</v>
      </c>
      <c r="G1993" s="1056">
        <v>0</v>
      </c>
      <c r="H1993" s="1056">
        <v>0</v>
      </c>
      <c r="I1993" s="1056">
        <v>129</v>
      </c>
      <c r="J1993" s="996">
        <f t="shared" ref="J1993:J2056" si="38">+H1993-G1993</f>
        <v>0</v>
      </c>
      <c r="K1993" s="1037">
        <f t="shared" si="37"/>
        <v>6</v>
      </c>
    </row>
    <row r="1994" spans="1:11" ht="12.75">
      <c r="A1994" s="1054">
        <v>520472</v>
      </c>
      <c r="B1994" s="1055" t="s">
        <v>893</v>
      </c>
      <c r="C1994" s="1055" t="s">
        <v>380</v>
      </c>
      <c r="D1994" s="1055" t="s">
        <v>1428</v>
      </c>
      <c r="E1994" s="1055" t="s">
        <v>1429</v>
      </c>
      <c r="F1994" s="1056">
        <v>180</v>
      </c>
      <c r="G1994" s="1056">
        <v>0</v>
      </c>
      <c r="H1994" s="1056">
        <v>0</v>
      </c>
      <c r="I1994" s="1056">
        <v>180</v>
      </c>
      <c r="J1994" s="996">
        <f t="shared" si="38"/>
        <v>0</v>
      </c>
      <c r="K1994" s="1037">
        <f t="shared" si="37"/>
        <v>6</v>
      </c>
    </row>
    <row r="1995" spans="1:11" ht="12.75">
      <c r="A1995" s="1054">
        <v>520472</v>
      </c>
      <c r="B1995" s="1055" t="s">
        <v>893</v>
      </c>
      <c r="C1995" s="1055" t="s">
        <v>380</v>
      </c>
      <c r="D1995" s="1055" t="s">
        <v>1849</v>
      </c>
      <c r="E1995" s="1055" t="s">
        <v>1850</v>
      </c>
      <c r="F1995" s="1056">
        <v>44</v>
      </c>
      <c r="G1995" s="1056">
        <v>84</v>
      </c>
      <c r="H1995" s="1056">
        <v>0</v>
      </c>
      <c r="I1995" s="1056">
        <v>129</v>
      </c>
      <c r="J1995" s="996">
        <f t="shared" si="38"/>
        <v>-84</v>
      </c>
      <c r="K1995" s="1037">
        <f t="shared" si="37"/>
        <v>6</v>
      </c>
    </row>
    <row r="1996" spans="1:11" ht="12.75">
      <c r="A1996" s="1054">
        <v>520472</v>
      </c>
      <c r="B1996" s="1055" t="s">
        <v>893</v>
      </c>
      <c r="C1996" s="1055" t="s">
        <v>380</v>
      </c>
      <c r="D1996" s="1055" t="s">
        <v>1275</v>
      </c>
      <c r="E1996" s="1055" t="s">
        <v>991</v>
      </c>
      <c r="F1996" s="1056">
        <v>406</v>
      </c>
      <c r="G1996" s="1056">
        <v>48</v>
      </c>
      <c r="H1996" s="1056">
        <v>0</v>
      </c>
      <c r="I1996" s="1056">
        <v>454</v>
      </c>
      <c r="J1996" s="996">
        <f t="shared" si="38"/>
        <v>-48</v>
      </c>
      <c r="K1996" s="1037">
        <f t="shared" si="37"/>
        <v>6</v>
      </c>
    </row>
    <row r="1997" spans="1:11" ht="12.75">
      <c r="A1997" s="1054">
        <v>520472</v>
      </c>
      <c r="B1997" s="1055" t="s">
        <v>893</v>
      </c>
      <c r="C1997" s="1055" t="s">
        <v>380</v>
      </c>
      <c r="D1997" s="1055" t="s">
        <v>1380</v>
      </c>
      <c r="E1997" s="1055" t="s">
        <v>1381</v>
      </c>
      <c r="F1997" s="1056">
        <v>173</v>
      </c>
      <c r="G1997" s="1056">
        <v>0</v>
      </c>
      <c r="H1997" s="1056">
        <v>0</v>
      </c>
      <c r="I1997" s="1056">
        <v>173</v>
      </c>
      <c r="J1997" s="996">
        <f t="shared" si="38"/>
        <v>0</v>
      </c>
      <c r="K1997" s="1037">
        <f t="shared" si="37"/>
        <v>6</v>
      </c>
    </row>
    <row r="1998" spans="1:11" ht="12.75">
      <c r="A1998" s="1054">
        <v>520472</v>
      </c>
      <c r="B1998" s="1055" t="s">
        <v>893</v>
      </c>
      <c r="C1998" s="1055" t="s">
        <v>380</v>
      </c>
      <c r="D1998" s="1055" t="s">
        <v>1585</v>
      </c>
      <c r="E1998" s="1055" t="s">
        <v>1586</v>
      </c>
      <c r="F1998" s="1056">
        <v>248</v>
      </c>
      <c r="G1998" s="1056">
        <v>70</v>
      </c>
      <c r="H1998" s="1056">
        <v>0</v>
      </c>
      <c r="I1998" s="1056">
        <v>318</v>
      </c>
      <c r="J1998" s="996">
        <f t="shared" si="38"/>
        <v>-70</v>
      </c>
      <c r="K1998" s="1037">
        <f t="shared" si="37"/>
        <v>6</v>
      </c>
    </row>
    <row r="1999" spans="1:11" ht="12.75">
      <c r="A1999" s="1054">
        <v>520472</v>
      </c>
      <c r="B1999" s="1055" t="s">
        <v>893</v>
      </c>
      <c r="C1999" s="1055" t="s">
        <v>380</v>
      </c>
      <c r="D1999" s="1055" t="s">
        <v>1382</v>
      </c>
      <c r="E1999" s="1055" t="s">
        <v>1763</v>
      </c>
      <c r="F1999" s="1056">
        <v>488</v>
      </c>
      <c r="G1999" s="1056">
        <v>99</v>
      </c>
      <c r="H1999" s="1056">
        <v>0</v>
      </c>
      <c r="I1999" s="1056">
        <v>587</v>
      </c>
      <c r="J1999" s="996">
        <f t="shared" si="38"/>
        <v>-99</v>
      </c>
      <c r="K1999" s="1037">
        <f t="shared" si="37"/>
        <v>6</v>
      </c>
    </row>
    <row r="2000" spans="1:11" ht="12.75">
      <c r="A2000" s="1054">
        <v>520472</v>
      </c>
      <c r="B2000" s="1055" t="s">
        <v>893</v>
      </c>
      <c r="C2000" s="1055" t="s">
        <v>380</v>
      </c>
      <c r="D2000" s="1055" t="s">
        <v>1440</v>
      </c>
      <c r="E2000" s="1055" t="s">
        <v>1441</v>
      </c>
      <c r="F2000" s="1056">
        <v>304</v>
      </c>
      <c r="G2000" s="1056">
        <v>0</v>
      </c>
      <c r="H2000" s="1056">
        <v>0</v>
      </c>
      <c r="I2000" s="1056">
        <v>304</v>
      </c>
      <c r="J2000" s="996">
        <f t="shared" si="38"/>
        <v>0</v>
      </c>
      <c r="K2000" s="1037">
        <f t="shared" si="37"/>
        <v>6</v>
      </c>
    </row>
    <row r="2001" spans="1:11" ht="12.75">
      <c r="A2001" s="1054">
        <v>520472</v>
      </c>
      <c r="B2001" s="1055" t="s">
        <v>893</v>
      </c>
      <c r="C2001" s="1055" t="s">
        <v>380</v>
      </c>
      <c r="D2001" s="1055" t="s">
        <v>1383</v>
      </c>
      <c r="E2001" s="1055" t="s">
        <v>1384</v>
      </c>
      <c r="F2001" s="1056">
        <v>464</v>
      </c>
      <c r="G2001" s="1056">
        <v>82</v>
      </c>
      <c r="H2001" s="1056">
        <v>0</v>
      </c>
      <c r="I2001" s="1056">
        <v>546</v>
      </c>
      <c r="J2001" s="996">
        <f t="shared" si="38"/>
        <v>-82</v>
      </c>
      <c r="K2001" s="1037">
        <f t="shared" si="37"/>
        <v>6</v>
      </c>
    </row>
    <row r="2002" spans="1:11" ht="12.75">
      <c r="A2002" s="1054">
        <v>520472</v>
      </c>
      <c r="B2002" s="1055" t="s">
        <v>893</v>
      </c>
      <c r="C2002" s="1055" t="s">
        <v>380</v>
      </c>
      <c r="D2002" s="1055" t="s">
        <v>1430</v>
      </c>
      <c r="E2002" s="1055" t="s">
        <v>1431</v>
      </c>
      <c r="F2002" s="1056">
        <v>84</v>
      </c>
      <c r="G2002" s="1056">
        <v>0</v>
      </c>
      <c r="H2002" s="1056">
        <v>0</v>
      </c>
      <c r="I2002" s="1056">
        <v>84</v>
      </c>
      <c r="J2002" s="996">
        <f t="shared" si="38"/>
        <v>0</v>
      </c>
      <c r="K2002" s="1037">
        <f t="shared" si="37"/>
        <v>6</v>
      </c>
    </row>
    <row r="2003" spans="1:11" ht="13.9" customHeight="1">
      <c r="A2003" s="1054">
        <v>520472</v>
      </c>
      <c r="B2003" s="1055" t="s">
        <v>893</v>
      </c>
      <c r="C2003" s="1055" t="s">
        <v>380</v>
      </c>
      <c r="D2003" s="1055" t="s">
        <v>1587</v>
      </c>
      <c r="E2003" s="1055" t="s">
        <v>1588</v>
      </c>
      <c r="F2003" s="1056">
        <v>318</v>
      </c>
      <c r="G2003" s="1056">
        <v>82</v>
      </c>
      <c r="H2003" s="1056">
        <v>0</v>
      </c>
      <c r="I2003" s="1056">
        <v>400</v>
      </c>
      <c r="J2003" s="996">
        <f t="shared" si="38"/>
        <v>-82</v>
      </c>
      <c r="K2003" s="1037">
        <f t="shared" si="37"/>
        <v>6</v>
      </c>
    </row>
    <row r="2004" spans="1:11" ht="13.9" customHeight="1">
      <c r="A2004" s="1054">
        <v>5205</v>
      </c>
      <c r="B2004" s="1055" t="s">
        <v>893</v>
      </c>
      <c r="C2004" s="1055" t="s">
        <v>543</v>
      </c>
      <c r="D2004" s="1055" t="s">
        <v>893</v>
      </c>
      <c r="E2004" s="1055" t="s">
        <v>893</v>
      </c>
      <c r="F2004" s="1056">
        <v>444289</v>
      </c>
      <c r="G2004" s="1056">
        <v>90781</v>
      </c>
      <c r="H2004" s="1056">
        <v>1214</v>
      </c>
      <c r="I2004" s="1056">
        <v>533855</v>
      </c>
      <c r="J2004" s="996">
        <f t="shared" si="38"/>
        <v>-89567</v>
      </c>
      <c r="K2004" s="1037">
        <f t="shared" si="37"/>
        <v>4</v>
      </c>
    </row>
    <row r="2005" spans="1:11" ht="13.9" customHeight="1">
      <c r="A2005" s="1054">
        <v>520506</v>
      </c>
      <c r="B2005" s="1055" t="s">
        <v>893</v>
      </c>
      <c r="C2005" s="1055" t="s">
        <v>381</v>
      </c>
      <c r="D2005" s="1055" t="s">
        <v>893</v>
      </c>
      <c r="E2005" s="1055" t="s">
        <v>893</v>
      </c>
      <c r="F2005" s="1056">
        <v>253155</v>
      </c>
      <c r="G2005" s="1056">
        <v>50192</v>
      </c>
      <c r="H2005" s="1056">
        <v>153</v>
      </c>
      <c r="I2005" s="1056">
        <v>303194</v>
      </c>
      <c r="J2005" s="996">
        <f t="shared" si="38"/>
        <v>-50039</v>
      </c>
      <c r="K2005" s="1037">
        <f t="shared" si="37"/>
        <v>6</v>
      </c>
    </row>
    <row r="2006" spans="1:11" ht="13.9" customHeight="1">
      <c r="A2006" s="1054">
        <v>52050601</v>
      </c>
      <c r="B2006" s="1055" t="s">
        <v>893</v>
      </c>
      <c r="C2006" s="1055" t="s">
        <v>381</v>
      </c>
      <c r="D2006" s="1055" t="s">
        <v>893</v>
      </c>
      <c r="E2006" s="1055" t="s">
        <v>893</v>
      </c>
      <c r="F2006" s="1056">
        <v>253155</v>
      </c>
      <c r="G2006" s="1056">
        <v>50192</v>
      </c>
      <c r="H2006" s="1056">
        <v>153</v>
      </c>
      <c r="I2006" s="1056">
        <v>303194</v>
      </c>
      <c r="J2006" s="996">
        <f t="shared" si="38"/>
        <v>-50039</v>
      </c>
      <c r="K2006" s="1037">
        <f t="shared" si="37"/>
        <v>8</v>
      </c>
    </row>
    <row r="2007" spans="1:11" ht="13.9" customHeight="1">
      <c r="A2007" s="1054">
        <v>52050601</v>
      </c>
      <c r="B2007" s="1055" t="s">
        <v>893</v>
      </c>
      <c r="C2007" s="1055" t="s">
        <v>381</v>
      </c>
      <c r="D2007" s="1055" t="s">
        <v>1575</v>
      </c>
      <c r="E2007" s="1055" t="s">
        <v>1576</v>
      </c>
      <c r="F2007" s="1056">
        <v>5194</v>
      </c>
      <c r="G2007" s="1056">
        <v>0</v>
      </c>
      <c r="H2007" s="1056">
        <v>0</v>
      </c>
      <c r="I2007" s="1056">
        <v>5194</v>
      </c>
      <c r="J2007" s="996">
        <f t="shared" si="38"/>
        <v>0</v>
      </c>
      <c r="K2007" s="1037">
        <f t="shared" si="37"/>
        <v>8</v>
      </c>
    </row>
    <row r="2008" spans="1:11" ht="13.9" customHeight="1">
      <c r="A2008" s="1054">
        <v>52050601</v>
      </c>
      <c r="B2008" s="1055" t="s">
        <v>893</v>
      </c>
      <c r="C2008" s="1055" t="s">
        <v>381</v>
      </c>
      <c r="D2008" s="1055" t="s">
        <v>1891</v>
      </c>
      <c r="E2008" s="1055" t="s">
        <v>1892</v>
      </c>
      <c r="F2008" s="1056">
        <v>0</v>
      </c>
      <c r="G2008" s="1056">
        <v>1751</v>
      </c>
      <c r="H2008" s="1056">
        <v>0</v>
      </c>
      <c r="I2008" s="1056">
        <v>1751</v>
      </c>
      <c r="J2008" s="996">
        <f t="shared" si="38"/>
        <v>-1751</v>
      </c>
      <c r="K2008" s="1037">
        <f t="shared" si="37"/>
        <v>8</v>
      </c>
    </row>
    <row r="2009" spans="1:11" ht="13.9" customHeight="1">
      <c r="A2009" s="1054">
        <v>52050601</v>
      </c>
      <c r="B2009" s="1055" t="s">
        <v>893</v>
      </c>
      <c r="C2009" s="1055" t="s">
        <v>381</v>
      </c>
      <c r="D2009" s="1055" t="s">
        <v>1577</v>
      </c>
      <c r="E2009" s="1055" t="s">
        <v>1578</v>
      </c>
      <c r="F2009" s="1056">
        <v>6945</v>
      </c>
      <c r="G2009" s="1056">
        <v>1751</v>
      </c>
      <c r="H2009" s="1056">
        <v>0</v>
      </c>
      <c r="I2009" s="1056">
        <v>8696</v>
      </c>
      <c r="J2009" s="996">
        <f t="shared" si="38"/>
        <v>-1751</v>
      </c>
      <c r="K2009" s="1037">
        <f t="shared" si="37"/>
        <v>8</v>
      </c>
    </row>
    <row r="2010" spans="1:11" ht="13.9" customHeight="1">
      <c r="A2010" s="1054">
        <v>52050601</v>
      </c>
      <c r="B2010" s="1055" t="s">
        <v>893</v>
      </c>
      <c r="C2010" s="1055" t="s">
        <v>381</v>
      </c>
      <c r="D2010" s="1055" t="s">
        <v>1360</v>
      </c>
      <c r="E2010" s="1055" t="s">
        <v>1361</v>
      </c>
      <c r="F2010" s="1056">
        <v>8638</v>
      </c>
      <c r="G2010" s="1056">
        <v>1751</v>
      </c>
      <c r="H2010" s="1056">
        <v>0</v>
      </c>
      <c r="I2010" s="1056">
        <v>10389</v>
      </c>
      <c r="J2010" s="996">
        <f t="shared" si="38"/>
        <v>-1751</v>
      </c>
      <c r="K2010" s="1037">
        <f t="shared" si="37"/>
        <v>8</v>
      </c>
    </row>
    <row r="2011" spans="1:11" ht="13.9" customHeight="1">
      <c r="A2011" s="1054">
        <v>52050601</v>
      </c>
      <c r="B2011" s="1055" t="s">
        <v>893</v>
      </c>
      <c r="C2011" s="1055" t="s">
        <v>381</v>
      </c>
      <c r="D2011" s="1055" t="s">
        <v>1893</v>
      </c>
      <c r="E2011" s="1055" t="s">
        <v>1894</v>
      </c>
      <c r="F2011" s="1056">
        <v>0</v>
      </c>
      <c r="G2011" s="1056">
        <v>1751</v>
      </c>
      <c r="H2011" s="1056">
        <v>0</v>
      </c>
      <c r="I2011" s="1056">
        <v>1751</v>
      </c>
      <c r="J2011" s="996">
        <f t="shared" si="38"/>
        <v>-1751</v>
      </c>
      <c r="K2011" s="1037">
        <f t="shared" si="37"/>
        <v>8</v>
      </c>
    </row>
    <row r="2012" spans="1:11" ht="13.9" customHeight="1">
      <c r="A2012" s="1054">
        <v>52050601</v>
      </c>
      <c r="B2012" s="1055" t="s">
        <v>893</v>
      </c>
      <c r="C2012" s="1055" t="s">
        <v>381</v>
      </c>
      <c r="D2012" s="1055" t="s">
        <v>1298</v>
      </c>
      <c r="E2012" s="1055" t="s">
        <v>987</v>
      </c>
      <c r="F2012" s="1056">
        <v>5661</v>
      </c>
      <c r="G2012" s="1056">
        <v>0</v>
      </c>
      <c r="H2012" s="1056">
        <v>0</v>
      </c>
      <c r="I2012" s="1056">
        <v>5661</v>
      </c>
      <c r="J2012" s="996">
        <f t="shared" si="38"/>
        <v>0</v>
      </c>
      <c r="K2012" s="1037">
        <f t="shared" si="37"/>
        <v>8</v>
      </c>
    </row>
    <row r="2013" spans="1:11" ht="13.9" customHeight="1">
      <c r="A2013" s="1054">
        <v>52050601</v>
      </c>
      <c r="B2013" s="1055" t="s">
        <v>893</v>
      </c>
      <c r="C2013" s="1055" t="s">
        <v>381</v>
      </c>
      <c r="D2013" s="1055" t="s">
        <v>1484</v>
      </c>
      <c r="E2013" s="1055" t="s">
        <v>1485</v>
      </c>
      <c r="F2013" s="1056">
        <v>7704</v>
      </c>
      <c r="G2013" s="1056">
        <v>1751</v>
      </c>
      <c r="H2013" s="1056">
        <v>0</v>
      </c>
      <c r="I2013" s="1056">
        <v>9455</v>
      </c>
      <c r="J2013" s="996">
        <f t="shared" si="38"/>
        <v>-1751</v>
      </c>
      <c r="K2013" s="1037">
        <f t="shared" si="37"/>
        <v>8</v>
      </c>
    </row>
    <row r="2014" spans="1:11" ht="13.9" customHeight="1">
      <c r="A2014" s="1054">
        <v>52050601</v>
      </c>
      <c r="B2014" s="1055" t="s">
        <v>893</v>
      </c>
      <c r="C2014" s="1055" t="s">
        <v>381</v>
      </c>
      <c r="D2014" s="1055" t="s">
        <v>1579</v>
      </c>
      <c r="E2014" s="1055" t="s">
        <v>1580</v>
      </c>
      <c r="F2014" s="1056">
        <v>7004</v>
      </c>
      <c r="G2014" s="1056">
        <v>1751</v>
      </c>
      <c r="H2014" s="1056">
        <v>0</v>
      </c>
      <c r="I2014" s="1056">
        <v>8755</v>
      </c>
      <c r="J2014" s="996">
        <f t="shared" si="38"/>
        <v>-1751</v>
      </c>
      <c r="K2014" s="1037">
        <f t="shared" si="37"/>
        <v>8</v>
      </c>
    </row>
    <row r="2015" spans="1:11" ht="13.9" customHeight="1">
      <c r="A2015" s="1054">
        <v>52050601</v>
      </c>
      <c r="B2015" s="1055" t="s">
        <v>893</v>
      </c>
      <c r="C2015" s="1055" t="s">
        <v>381</v>
      </c>
      <c r="D2015" s="1055" t="s">
        <v>1270</v>
      </c>
      <c r="E2015" s="1055" t="s">
        <v>988</v>
      </c>
      <c r="F2015" s="1056">
        <v>11477</v>
      </c>
      <c r="G2015" s="1056">
        <v>2391</v>
      </c>
      <c r="H2015" s="1056">
        <v>0</v>
      </c>
      <c r="I2015" s="1056">
        <v>13868</v>
      </c>
      <c r="J2015" s="996">
        <f t="shared" si="38"/>
        <v>-2391</v>
      </c>
      <c r="K2015" s="1037">
        <f t="shared" si="37"/>
        <v>8</v>
      </c>
    </row>
    <row r="2016" spans="1:11" ht="13.9" customHeight="1">
      <c r="A2016" s="1054">
        <v>52050601</v>
      </c>
      <c r="B2016" s="1055" t="s">
        <v>893</v>
      </c>
      <c r="C2016" s="1055" t="s">
        <v>381</v>
      </c>
      <c r="D2016" s="1055" t="s">
        <v>1271</v>
      </c>
      <c r="E2016" s="1055" t="s">
        <v>782</v>
      </c>
      <c r="F2016" s="1056">
        <v>1993</v>
      </c>
      <c r="G2016" s="1056">
        <v>0</v>
      </c>
      <c r="H2016" s="1056">
        <v>0</v>
      </c>
      <c r="I2016" s="1056">
        <v>1993</v>
      </c>
      <c r="J2016" s="996">
        <f t="shared" si="38"/>
        <v>0</v>
      </c>
      <c r="K2016" s="1037">
        <f t="shared" si="37"/>
        <v>8</v>
      </c>
    </row>
    <row r="2017" spans="1:11" ht="13.9" customHeight="1">
      <c r="A2017" s="1054">
        <v>52050601</v>
      </c>
      <c r="B2017" s="1055" t="s">
        <v>893</v>
      </c>
      <c r="C2017" s="1055" t="s">
        <v>381</v>
      </c>
      <c r="D2017" s="1055" t="s">
        <v>1272</v>
      </c>
      <c r="E2017" s="1055" t="s">
        <v>1273</v>
      </c>
      <c r="F2017" s="1056">
        <v>0</v>
      </c>
      <c r="G2017" s="1056">
        <v>2491</v>
      </c>
      <c r="H2017" s="1056">
        <v>0</v>
      </c>
      <c r="I2017" s="1056">
        <v>2491</v>
      </c>
      <c r="J2017" s="996">
        <f t="shared" si="38"/>
        <v>-2491</v>
      </c>
      <c r="K2017" s="1037">
        <f t="shared" si="37"/>
        <v>8</v>
      </c>
    </row>
    <row r="2018" spans="1:11" ht="13.9" customHeight="1">
      <c r="A2018" s="1054">
        <v>52050601</v>
      </c>
      <c r="B2018" s="1055" t="s">
        <v>893</v>
      </c>
      <c r="C2018" s="1055" t="s">
        <v>381</v>
      </c>
      <c r="D2018" s="1055" t="s">
        <v>1420</v>
      </c>
      <c r="E2018" s="1055" t="s">
        <v>1421</v>
      </c>
      <c r="F2018" s="1056">
        <v>7996</v>
      </c>
      <c r="G2018" s="1056">
        <v>875</v>
      </c>
      <c r="H2018" s="1056">
        <v>0</v>
      </c>
      <c r="I2018" s="1056">
        <v>8871</v>
      </c>
      <c r="J2018" s="996">
        <f t="shared" si="38"/>
        <v>-875</v>
      </c>
      <c r="K2018" s="1037">
        <f t="shared" si="37"/>
        <v>8</v>
      </c>
    </row>
    <row r="2019" spans="1:11" ht="13.9" customHeight="1">
      <c r="A2019" s="1054">
        <v>52050601</v>
      </c>
      <c r="B2019" s="1055" t="s">
        <v>893</v>
      </c>
      <c r="C2019" s="1055" t="s">
        <v>381</v>
      </c>
      <c r="D2019" s="1055" t="s">
        <v>1493</v>
      </c>
      <c r="E2019" s="1055" t="s">
        <v>1494</v>
      </c>
      <c r="F2019" s="1056">
        <v>7004</v>
      </c>
      <c r="G2019" s="1056">
        <v>0</v>
      </c>
      <c r="H2019" s="1056">
        <v>0</v>
      </c>
      <c r="I2019" s="1056">
        <v>7004</v>
      </c>
      <c r="J2019" s="996">
        <f t="shared" si="38"/>
        <v>0</v>
      </c>
      <c r="K2019" s="1037">
        <f t="shared" si="37"/>
        <v>8</v>
      </c>
    </row>
    <row r="2020" spans="1:11" ht="13.9" customHeight="1">
      <c r="A2020" s="1054">
        <v>52050601</v>
      </c>
      <c r="B2020" s="1055" t="s">
        <v>893</v>
      </c>
      <c r="C2020" s="1055" t="s">
        <v>381</v>
      </c>
      <c r="D2020" s="1055" t="s">
        <v>1841</v>
      </c>
      <c r="E2020" s="1055" t="s">
        <v>1842</v>
      </c>
      <c r="F2020" s="1056">
        <v>1751</v>
      </c>
      <c r="G2020" s="1056">
        <v>1751</v>
      </c>
      <c r="H2020" s="1056">
        <v>0</v>
      </c>
      <c r="I2020" s="1056">
        <v>3502</v>
      </c>
      <c r="J2020" s="996">
        <f t="shared" si="38"/>
        <v>-1751</v>
      </c>
      <c r="K2020" s="1037">
        <f t="shared" si="37"/>
        <v>8</v>
      </c>
    </row>
    <row r="2021" spans="1:11" ht="13.9" customHeight="1">
      <c r="A2021" s="1054">
        <v>52050601</v>
      </c>
      <c r="B2021" s="1055" t="s">
        <v>893</v>
      </c>
      <c r="C2021" s="1055" t="s">
        <v>381</v>
      </c>
      <c r="D2021" s="1055" t="s">
        <v>1519</v>
      </c>
      <c r="E2021" s="1055" t="s">
        <v>1520</v>
      </c>
      <c r="F2021" s="1056">
        <v>934</v>
      </c>
      <c r="G2021" s="1056">
        <v>0</v>
      </c>
      <c r="H2021" s="1056">
        <v>0</v>
      </c>
      <c r="I2021" s="1056">
        <v>934</v>
      </c>
      <c r="J2021" s="996">
        <f t="shared" si="38"/>
        <v>0</v>
      </c>
      <c r="K2021" s="1037">
        <f t="shared" si="37"/>
        <v>8</v>
      </c>
    </row>
    <row r="2022" spans="1:11" ht="13.9" customHeight="1">
      <c r="A2022" s="1054">
        <v>52050601</v>
      </c>
      <c r="B2022" s="1055" t="s">
        <v>893</v>
      </c>
      <c r="C2022" s="1055" t="s">
        <v>381</v>
      </c>
      <c r="D2022" s="1055" t="s">
        <v>1368</v>
      </c>
      <c r="E2022" s="1055" t="s">
        <v>1369</v>
      </c>
      <c r="F2022" s="1056">
        <v>467</v>
      </c>
      <c r="G2022" s="1056">
        <v>0</v>
      </c>
      <c r="H2022" s="1056">
        <v>0</v>
      </c>
      <c r="I2022" s="1056">
        <v>467</v>
      </c>
      <c r="J2022" s="996">
        <f t="shared" si="38"/>
        <v>0</v>
      </c>
      <c r="K2022" s="1037">
        <f t="shared" si="37"/>
        <v>8</v>
      </c>
    </row>
    <row r="2023" spans="1:11" ht="13.9" customHeight="1">
      <c r="A2023" s="1054">
        <v>52050601</v>
      </c>
      <c r="B2023" s="1055" t="s">
        <v>893</v>
      </c>
      <c r="C2023" s="1055" t="s">
        <v>381</v>
      </c>
      <c r="D2023" s="1055" t="s">
        <v>1895</v>
      </c>
      <c r="E2023" s="1055" t="s">
        <v>1896</v>
      </c>
      <c r="F2023" s="1056">
        <v>0</v>
      </c>
      <c r="G2023" s="1056">
        <v>350</v>
      </c>
      <c r="H2023" s="1056">
        <v>0</v>
      </c>
      <c r="I2023" s="1056">
        <v>350</v>
      </c>
      <c r="J2023" s="996">
        <f t="shared" si="38"/>
        <v>-350</v>
      </c>
      <c r="K2023" s="1037">
        <f t="shared" si="37"/>
        <v>8</v>
      </c>
    </row>
    <row r="2024" spans="1:11" ht="13.9" customHeight="1">
      <c r="A2024" s="1054">
        <v>52050601</v>
      </c>
      <c r="B2024" s="1055" t="s">
        <v>893</v>
      </c>
      <c r="C2024" s="1055" t="s">
        <v>381</v>
      </c>
      <c r="D2024" s="1055" t="s">
        <v>1495</v>
      </c>
      <c r="E2024" s="1055" t="s">
        <v>1496</v>
      </c>
      <c r="F2024" s="1056">
        <v>350</v>
      </c>
      <c r="G2024" s="1056">
        <v>0</v>
      </c>
      <c r="H2024" s="1056">
        <v>0</v>
      </c>
      <c r="I2024" s="1056">
        <v>350</v>
      </c>
      <c r="J2024" s="996">
        <f t="shared" si="38"/>
        <v>0</v>
      </c>
      <c r="K2024" s="1037">
        <f t="shared" si="37"/>
        <v>8</v>
      </c>
    </row>
    <row r="2025" spans="1:11" ht="13.9" customHeight="1">
      <c r="A2025" s="1054">
        <v>52050601</v>
      </c>
      <c r="B2025" s="1055" t="s">
        <v>893</v>
      </c>
      <c r="C2025" s="1055" t="s">
        <v>381</v>
      </c>
      <c r="D2025" s="1055" t="s">
        <v>1320</v>
      </c>
      <c r="E2025" s="1055" t="s">
        <v>1321</v>
      </c>
      <c r="F2025" s="1056">
        <v>7937</v>
      </c>
      <c r="G2025" s="1056">
        <v>1751</v>
      </c>
      <c r="H2025" s="1056">
        <v>0</v>
      </c>
      <c r="I2025" s="1056">
        <v>9688</v>
      </c>
      <c r="J2025" s="996">
        <f t="shared" si="38"/>
        <v>-1751</v>
      </c>
      <c r="K2025" s="1037">
        <f t="shared" si="37"/>
        <v>8</v>
      </c>
    </row>
    <row r="2026" spans="1:11" ht="13.9" customHeight="1">
      <c r="A2026" s="1054">
        <v>52050601</v>
      </c>
      <c r="B2026" s="1055" t="s">
        <v>893</v>
      </c>
      <c r="C2026" s="1055" t="s">
        <v>381</v>
      </c>
      <c r="D2026" s="1055" t="s">
        <v>1274</v>
      </c>
      <c r="E2026" s="1055" t="s">
        <v>989</v>
      </c>
      <c r="F2026" s="1056">
        <v>10939</v>
      </c>
      <c r="G2026" s="1056">
        <v>2188</v>
      </c>
      <c r="H2026" s="1056">
        <v>0</v>
      </c>
      <c r="I2026" s="1056">
        <v>13127</v>
      </c>
      <c r="J2026" s="996">
        <f t="shared" si="38"/>
        <v>-2188</v>
      </c>
      <c r="K2026" s="1037">
        <f t="shared" si="37"/>
        <v>8</v>
      </c>
    </row>
    <row r="2027" spans="1:11" ht="13.9" customHeight="1">
      <c r="A2027" s="1054">
        <v>52050601</v>
      </c>
      <c r="B2027" s="1055" t="s">
        <v>893</v>
      </c>
      <c r="C2027" s="1055" t="s">
        <v>381</v>
      </c>
      <c r="D2027" s="1055" t="s">
        <v>1497</v>
      </c>
      <c r="E2027" s="1055" t="s">
        <v>1498</v>
      </c>
      <c r="F2027" s="1056">
        <v>6303</v>
      </c>
      <c r="G2027" s="1056">
        <v>0</v>
      </c>
      <c r="H2027" s="1056">
        <v>0</v>
      </c>
      <c r="I2027" s="1056">
        <v>6303</v>
      </c>
      <c r="J2027" s="996">
        <f t="shared" si="38"/>
        <v>0</v>
      </c>
      <c r="K2027" s="1037">
        <f t="shared" si="37"/>
        <v>8</v>
      </c>
    </row>
    <row r="2028" spans="1:11" ht="13.9" customHeight="1">
      <c r="A2028" s="1054">
        <v>52050601</v>
      </c>
      <c r="B2028" s="1055" t="s">
        <v>893</v>
      </c>
      <c r="C2028" s="1055" t="s">
        <v>381</v>
      </c>
      <c r="D2028" s="1055" t="s">
        <v>1043</v>
      </c>
      <c r="E2028" s="1055" t="s">
        <v>318</v>
      </c>
      <c r="F2028" s="1056">
        <v>17258</v>
      </c>
      <c r="G2028" s="1056">
        <v>4314</v>
      </c>
      <c r="H2028" s="1056">
        <v>0</v>
      </c>
      <c r="I2028" s="1056">
        <v>21572</v>
      </c>
      <c r="J2028" s="996">
        <f t="shared" si="38"/>
        <v>-4314</v>
      </c>
      <c r="K2028" s="1037">
        <f t="shared" si="37"/>
        <v>8</v>
      </c>
    </row>
    <row r="2029" spans="1:11" ht="13.9" customHeight="1">
      <c r="A2029" s="1054">
        <v>52050601</v>
      </c>
      <c r="B2029" s="1055" t="s">
        <v>893</v>
      </c>
      <c r="C2029" s="1055" t="s">
        <v>381</v>
      </c>
      <c r="D2029" s="1055" t="s">
        <v>1370</v>
      </c>
      <c r="E2029" s="1055" t="s">
        <v>1371</v>
      </c>
      <c r="F2029" s="1056">
        <v>7062</v>
      </c>
      <c r="G2029" s="1056">
        <v>1751</v>
      </c>
      <c r="H2029" s="1056">
        <v>0</v>
      </c>
      <c r="I2029" s="1056">
        <v>8813</v>
      </c>
      <c r="J2029" s="996">
        <f t="shared" si="38"/>
        <v>-1751</v>
      </c>
      <c r="K2029" s="1037">
        <f t="shared" si="37"/>
        <v>8</v>
      </c>
    </row>
    <row r="2030" spans="1:11" ht="13.9" customHeight="1">
      <c r="A2030" s="1054">
        <v>52050601</v>
      </c>
      <c r="B2030" s="1055" t="s">
        <v>893</v>
      </c>
      <c r="C2030" s="1055" t="s">
        <v>381</v>
      </c>
      <c r="D2030" s="1055" t="s">
        <v>1843</v>
      </c>
      <c r="E2030" s="1055" t="s">
        <v>1844</v>
      </c>
      <c r="F2030" s="1056">
        <v>1533</v>
      </c>
      <c r="G2030" s="1056">
        <v>0</v>
      </c>
      <c r="H2030" s="1056">
        <v>153</v>
      </c>
      <c r="I2030" s="1056">
        <v>1380</v>
      </c>
      <c r="J2030" s="996">
        <f t="shared" si="38"/>
        <v>153</v>
      </c>
      <c r="K2030" s="1037">
        <f t="shared" ref="K2030:K2093" si="39">+LEN(A2030)</f>
        <v>8</v>
      </c>
    </row>
    <row r="2031" spans="1:11" ht="13.9" customHeight="1">
      <c r="A2031" s="1054">
        <v>52050601</v>
      </c>
      <c r="B2031" s="1055" t="s">
        <v>893</v>
      </c>
      <c r="C2031" s="1055" t="s">
        <v>381</v>
      </c>
      <c r="D2031" s="1055" t="s">
        <v>1759</v>
      </c>
      <c r="E2031" s="1055" t="s">
        <v>1760</v>
      </c>
      <c r="F2031" s="1056">
        <v>1342</v>
      </c>
      <c r="G2031" s="1056">
        <v>0</v>
      </c>
      <c r="H2031" s="1056">
        <v>0</v>
      </c>
      <c r="I2031" s="1056">
        <v>1342</v>
      </c>
      <c r="J2031" s="996">
        <f t="shared" si="38"/>
        <v>0</v>
      </c>
      <c r="K2031" s="1037">
        <f t="shared" si="39"/>
        <v>8</v>
      </c>
    </row>
    <row r="2032" spans="1:11" ht="13.9" customHeight="1">
      <c r="A2032" s="1054">
        <v>52050601</v>
      </c>
      <c r="B2032" s="1055" t="s">
        <v>893</v>
      </c>
      <c r="C2032" s="1055" t="s">
        <v>381</v>
      </c>
      <c r="D2032" s="1055" t="s">
        <v>1581</v>
      </c>
      <c r="E2032" s="1055" t="s">
        <v>1582</v>
      </c>
      <c r="F2032" s="1056">
        <v>4085</v>
      </c>
      <c r="G2032" s="1056">
        <v>0</v>
      </c>
      <c r="H2032" s="1056">
        <v>0</v>
      </c>
      <c r="I2032" s="1056">
        <v>4085</v>
      </c>
      <c r="J2032" s="996">
        <f t="shared" si="38"/>
        <v>0</v>
      </c>
      <c r="K2032" s="1037">
        <f t="shared" si="39"/>
        <v>8</v>
      </c>
    </row>
    <row r="2033" spans="1:11" ht="13.9" customHeight="1">
      <c r="A2033" s="1054">
        <v>52050601</v>
      </c>
      <c r="B2033" s="1055" t="s">
        <v>893</v>
      </c>
      <c r="C2033" s="1055" t="s">
        <v>381</v>
      </c>
      <c r="D2033" s="1055" t="s">
        <v>1521</v>
      </c>
      <c r="E2033" s="1055" t="s">
        <v>1522</v>
      </c>
      <c r="F2033" s="1056">
        <v>7762</v>
      </c>
      <c r="G2033" s="1056">
        <v>1751</v>
      </c>
      <c r="H2033" s="1056">
        <v>0</v>
      </c>
      <c r="I2033" s="1056">
        <v>9513</v>
      </c>
      <c r="J2033" s="996">
        <f t="shared" si="38"/>
        <v>-1751</v>
      </c>
      <c r="K2033" s="1037">
        <f t="shared" si="39"/>
        <v>8</v>
      </c>
    </row>
    <row r="2034" spans="1:11" ht="13.9" customHeight="1">
      <c r="A2034" s="1054">
        <v>52050601</v>
      </c>
      <c r="B2034" s="1055" t="s">
        <v>893</v>
      </c>
      <c r="C2034" s="1055" t="s">
        <v>381</v>
      </c>
      <c r="D2034" s="1055" t="s">
        <v>1426</v>
      </c>
      <c r="E2034" s="1055" t="s">
        <v>1427</v>
      </c>
      <c r="F2034" s="1056">
        <v>8755</v>
      </c>
      <c r="G2034" s="1056">
        <v>1634</v>
      </c>
      <c r="H2034" s="1056">
        <v>0</v>
      </c>
      <c r="I2034" s="1056">
        <v>10389</v>
      </c>
      <c r="J2034" s="996">
        <f t="shared" si="38"/>
        <v>-1634</v>
      </c>
      <c r="K2034" s="1037">
        <f t="shared" si="39"/>
        <v>8</v>
      </c>
    </row>
    <row r="2035" spans="1:11" ht="13.9" customHeight="1">
      <c r="A2035" s="1054">
        <v>52050601</v>
      </c>
      <c r="B2035" s="1055" t="s">
        <v>893</v>
      </c>
      <c r="C2035" s="1055" t="s">
        <v>381</v>
      </c>
      <c r="D2035" s="1055" t="s">
        <v>1583</v>
      </c>
      <c r="E2035" s="1055" t="s">
        <v>1584</v>
      </c>
      <c r="F2035" s="1056">
        <v>1342</v>
      </c>
      <c r="G2035" s="1056">
        <v>0</v>
      </c>
      <c r="H2035" s="1056">
        <v>0</v>
      </c>
      <c r="I2035" s="1056">
        <v>1342</v>
      </c>
      <c r="J2035" s="996">
        <f t="shared" si="38"/>
        <v>0</v>
      </c>
      <c r="K2035" s="1037">
        <f t="shared" si="39"/>
        <v>8</v>
      </c>
    </row>
    <row r="2036" spans="1:11" ht="13.9" customHeight="1">
      <c r="A2036" s="1054">
        <v>52050601</v>
      </c>
      <c r="B2036" s="1055" t="s">
        <v>893</v>
      </c>
      <c r="C2036" s="1055" t="s">
        <v>381</v>
      </c>
      <c r="D2036" s="1055" t="s">
        <v>1374</v>
      </c>
      <c r="E2036" s="1055" t="s">
        <v>1375</v>
      </c>
      <c r="F2036" s="1056">
        <v>8638</v>
      </c>
      <c r="G2036" s="1056">
        <v>1751</v>
      </c>
      <c r="H2036" s="1056">
        <v>0</v>
      </c>
      <c r="I2036" s="1056">
        <v>10389</v>
      </c>
      <c r="J2036" s="996">
        <f t="shared" si="38"/>
        <v>-1751</v>
      </c>
      <c r="K2036" s="1037">
        <f t="shared" si="39"/>
        <v>8</v>
      </c>
    </row>
    <row r="2037" spans="1:11" ht="13.9" customHeight="1">
      <c r="A2037" s="1054">
        <v>52050601</v>
      </c>
      <c r="B2037" s="1055" t="s">
        <v>893</v>
      </c>
      <c r="C2037" s="1055" t="s">
        <v>381</v>
      </c>
      <c r="D2037" s="1055" t="s">
        <v>1249</v>
      </c>
      <c r="E2037" s="1055" t="s">
        <v>583</v>
      </c>
      <c r="F2037" s="1056">
        <v>11955</v>
      </c>
      <c r="G2037" s="1056">
        <v>2391</v>
      </c>
      <c r="H2037" s="1056">
        <v>0</v>
      </c>
      <c r="I2037" s="1056">
        <v>14346</v>
      </c>
      <c r="J2037" s="996">
        <f t="shared" si="38"/>
        <v>-2391</v>
      </c>
      <c r="K2037" s="1037">
        <f t="shared" si="39"/>
        <v>8</v>
      </c>
    </row>
    <row r="2038" spans="1:11" ht="13.9" customHeight="1">
      <c r="A2038" s="1054">
        <v>52050601</v>
      </c>
      <c r="B2038" s="1055" t="s">
        <v>893</v>
      </c>
      <c r="C2038" s="1055" t="s">
        <v>381</v>
      </c>
      <c r="D2038" s="1055" t="s">
        <v>1376</v>
      </c>
      <c r="E2038" s="1055" t="s">
        <v>1377</v>
      </c>
      <c r="F2038" s="1056">
        <v>7179</v>
      </c>
      <c r="G2038" s="1056">
        <v>0</v>
      </c>
      <c r="H2038" s="1056">
        <v>0</v>
      </c>
      <c r="I2038" s="1056">
        <v>7179</v>
      </c>
      <c r="J2038" s="996">
        <f t="shared" si="38"/>
        <v>0</v>
      </c>
      <c r="K2038" s="1037">
        <f t="shared" si="39"/>
        <v>8</v>
      </c>
    </row>
    <row r="2039" spans="1:11" ht="13.9" customHeight="1">
      <c r="A2039" s="1054">
        <v>52050601</v>
      </c>
      <c r="B2039" s="1055" t="s">
        <v>893</v>
      </c>
      <c r="C2039" s="1055" t="s">
        <v>381</v>
      </c>
      <c r="D2039" s="1055" t="s">
        <v>1845</v>
      </c>
      <c r="E2039" s="1055" t="s">
        <v>1846</v>
      </c>
      <c r="F2039" s="1056">
        <v>1167</v>
      </c>
      <c r="G2039" s="1056">
        <v>1751</v>
      </c>
      <c r="H2039" s="1056">
        <v>0</v>
      </c>
      <c r="I2039" s="1056">
        <v>2918</v>
      </c>
      <c r="J2039" s="996">
        <f t="shared" si="38"/>
        <v>-1751</v>
      </c>
      <c r="K2039" s="1037">
        <f t="shared" si="39"/>
        <v>8</v>
      </c>
    </row>
    <row r="2040" spans="1:11" ht="13.9" customHeight="1">
      <c r="A2040" s="1054">
        <v>52050601</v>
      </c>
      <c r="B2040" s="1055" t="s">
        <v>893</v>
      </c>
      <c r="C2040" s="1055" t="s">
        <v>381</v>
      </c>
      <c r="D2040" s="1055" t="s">
        <v>1306</v>
      </c>
      <c r="E2040" s="1055" t="s">
        <v>997</v>
      </c>
      <c r="F2040" s="1056">
        <v>4611</v>
      </c>
      <c r="G2040" s="1056">
        <v>0</v>
      </c>
      <c r="H2040" s="1056">
        <v>0</v>
      </c>
      <c r="I2040" s="1056">
        <v>4611</v>
      </c>
      <c r="J2040" s="996">
        <f t="shared" si="38"/>
        <v>0</v>
      </c>
      <c r="K2040" s="1037">
        <f t="shared" si="39"/>
        <v>8</v>
      </c>
    </row>
    <row r="2041" spans="1:11" ht="13.9" customHeight="1">
      <c r="A2041" s="1054">
        <v>52050601</v>
      </c>
      <c r="B2041" s="1055" t="s">
        <v>893</v>
      </c>
      <c r="C2041" s="1055" t="s">
        <v>381</v>
      </c>
      <c r="D2041" s="1055" t="s">
        <v>1897</v>
      </c>
      <c r="E2041" s="1055" t="s">
        <v>1898</v>
      </c>
      <c r="F2041" s="1056">
        <v>0</v>
      </c>
      <c r="G2041" s="1056">
        <v>467</v>
      </c>
      <c r="H2041" s="1056">
        <v>0</v>
      </c>
      <c r="I2041" s="1056">
        <v>467</v>
      </c>
      <c r="J2041" s="996">
        <f t="shared" si="38"/>
        <v>-467</v>
      </c>
      <c r="K2041" s="1037">
        <f t="shared" si="39"/>
        <v>8</v>
      </c>
    </row>
    <row r="2042" spans="1:11" ht="13.9" customHeight="1">
      <c r="A2042" s="1054">
        <v>52050601</v>
      </c>
      <c r="B2042" s="1055" t="s">
        <v>893</v>
      </c>
      <c r="C2042" s="1055" t="s">
        <v>381</v>
      </c>
      <c r="D2042" s="1055" t="s">
        <v>1250</v>
      </c>
      <c r="E2042" s="1055" t="s">
        <v>1251</v>
      </c>
      <c r="F2042" s="1056">
        <v>8638</v>
      </c>
      <c r="G2042" s="1056">
        <v>1634</v>
      </c>
      <c r="H2042" s="1056">
        <v>0</v>
      </c>
      <c r="I2042" s="1056">
        <v>10272</v>
      </c>
      <c r="J2042" s="996">
        <f t="shared" si="38"/>
        <v>-1634</v>
      </c>
      <c r="K2042" s="1037">
        <f t="shared" si="39"/>
        <v>8</v>
      </c>
    </row>
    <row r="2043" spans="1:11" ht="13.9" customHeight="1">
      <c r="A2043" s="1054">
        <v>52050601</v>
      </c>
      <c r="B2043" s="1055" t="s">
        <v>893</v>
      </c>
      <c r="C2043" s="1055" t="s">
        <v>381</v>
      </c>
      <c r="D2043" s="1055" t="s">
        <v>1899</v>
      </c>
      <c r="E2043" s="1055" t="s">
        <v>1900</v>
      </c>
      <c r="F2043" s="1056">
        <v>0</v>
      </c>
      <c r="G2043" s="1056">
        <v>1751</v>
      </c>
      <c r="H2043" s="1056">
        <v>0</v>
      </c>
      <c r="I2043" s="1056">
        <v>1751</v>
      </c>
      <c r="J2043" s="996">
        <f t="shared" si="38"/>
        <v>-1751</v>
      </c>
      <c r="K2043" s="1037">
        <f t="shared" si="39"/>
        <v>8</v>
      </c>
    </row>
    <row r="2044" spans="1:11" ht="13.9" customHeight="1">
      <c r="A2044" s="1054">
        <v>52050601</v>
      </c>
      <c r="B2044" s="1055" t="s">
        <v>893</v>
      </c>
      <c r="C2044" s="1055" t="s">
        <v>381</v>
      </c>
      <c r="D2044" s="1055" t="s">
        <v>1901</v>
      </c>
      <c r="E2044" s="1055" t="s">
        <v>1902</v>
      </c>
      <c r="F2044" s="1056">
        <v>0</v>
      </c>
      <c r="G2044" s="1056">
        <v>875</v>
      </c>
      <c r="H2044" s="1056">
        <v>0</v>
      </c>
      <c r="I2044" s="1056">
        <v>875</v>
      </c>
      <c r="J2044" s="996">
        <f t="shared" si="38"/>
        <v>-875</v>
      </c>
      <c r="K2044" s="1037">
        <f t="shared" si="39"/>
        <v>8</v>
      </c>
    </row>
    <row r="2045" spans="1:11" ht="13.9" customHeight="1">
      <c r="A2045" s="1054">
        <v>52050601</v>
      </c>
      <c r="B2045" s="1055" t="s">
        <v>893</v>
      </c>
      <c r="C2045" s="1055" t="s">
        <v>381</v>
      </c>
      <c r="D2045" s="1055" t="s">
        <v>1686</v>
      </c>
      <c r="E2045" s="1055" t="s">
        <v>1687</v>
      </c>
      <c r="F2045" s="1056">
        <v>4727</v>
      </c>
      <c r="G2045" s="1056">
        <v>0</v>
      </c>
      <c r="H2045" s="1056">
        <v>0</v>
      </c>
      <c r="I2045" s="1056">
        <v>4727</v>
      </c>
      <c r="J2045" s="996">
        <f t="shared" si="38"/>
        <v>0</v>
      </c>
      <c r="K2045" s="1037">
        <f t="shared" si="39"/>
        <v>8</v>
      </c>
    </row>
    <row r="2046" spans="1:11" ht="13.9" customHeight="1">
      <c r="A2046" s="1054">
        <v>52050601</v>
      </c>
      <c r="B2046" s="1055" t="s">
        <v>893</v>
      </c>
      <c r="C2046" s="1055" t="s">
        <v>381</v>
      </c>
      <c r="D2046" s="1055" t="s">
        <v>1303</v>
      </c>
      <c r="E2046" s="1055" t="s">
        <v>806</v>
      </c>
      <c r="F2046" s="1056">
        <v>2568</v>
      </c>
      <c r="G2046" s="1056">
        <v>0</v>
      </c>
      <c r="H2046" s="1056">
        <v>0</v>
      </c>
      <c r="I2046" s="1056">
        <v>2568</v>
      </c>
      <c r="J2046" s="996">
        <f t="shared" si="38"/>
        <v>0</v>
      </c>
      <c r="K2046" s="1037">
        <f t="shared" si="39"/>
        <v>8</v>
      </c>
    </row>
    <row r="2047" spans="1:11" ht="13.9" customHeight="1">
      <c r="A2047" s="1054">
        <v>52050601</v>
      </c>
      <c r="B2047" s="1055" t="s">
        <v>893</v>
      </c>
      <c r="C2047" s="1055" t="s">
        <v>381</v>
      </c>
      <c r="D2047" s="1055" t="s">
        <v>1523</v>
      </c>
      <c r="E2047" s="1055" t="s">
        <v>1524</v>
      </c>
      <c r="F2047" s="1056">
        <v>2568</v>
      </c>
      <c r="G2047" s="1056">
        <v>0</v>
      </c>
      <c r="H2047" s="1056">
        <v>0</v>
      </c>
      <c r="I2047" s="1056">
        <v>2568</v>
      </c>
      <c r="J2047" s="996">
        <f t="shared" si="38"/>
        <v>0</v>
      </c>
      <c r="K2047" s="1037">
        <f t="shared" si="39"/>
        <v>8</v>
      </c>
    </row>
    <row r="2048" spans="1:11" ht="13.9" customHeight="1">
      <c r="A2048" s="1054">
        <v>52050601</v>
      </c>
      <c r="B2048" s="1055" t="s">
        <v>893</v>
      </c>
      <c r="C2048" s="1055" t="s">
        <v>381</v>
      </c>
      <c r="D2048" s="1055" t="s">
        <v>1480</v>
      </c>
      <c r="E2048" s="1055" t="s">
        <v>1481</v>
      </c>
      <c r="F2048" s="1056">
        <v>2345</v>
      </c>
      <c r="G2048" s="1056">
        <v>0</v>
      </c>
      <c r="H2048" s="1056">
        <v>0</v>
      </c>
      <c r="I2048" s="1056">
        <v>2345</v>
      </c>
      <c r="J2048" s="996">
        <f t="shared" si="38"/>
        <v>0</v>
      </c>
      <c r="K2048" s="1037">
        <f t="shared" si="39"/>
        <v>8</v>
      </c>
    </row>
    <row r="2049" spans="1:11" ht="13.9" customHeight="1">
      <c r="A2049" s="1054">
        <v>52050601</v>
      </c>
      <c r="B2049" s="1055" t="s">
        <v>893</v>
      </c>
      <c r="C2049" s="1055" t="s">
        <v>381</v>
      </c>
      <c r="D2049" s="1055" t="s">
        <v>1847</v>
      </c>
      <c r="E2049" s="1055" t="s">
        <v>1848</v>
      </c>
      <c r="F2049" s="1056">
        <v>934</v>
      </c>
      <c r="G2049" s="1056">
        <v>0</v>
      </c>
      <c r="H2049" s="1056">
        <v>0</v>
      </c>
      <c r="I2049" s="1056">
        <v>934</v>
      </c>
      <c r="J2049" s="996">
        <f t="shared" si="38"/>
        <v>0</v>
      </c>
      <c r="K2049" s="1037">
        <f t="shared" si="39"/>
        <v>8</v>
      </c>
    </row>
    <row r="2050" spans="1:11" ht="13.9" customHeight="1">
      <c r="A2050" s="1054">
        <v>52050601</v>
      </c>
      <c r="B2050" s="1055" t="s">
        <v>893</v>
      </c>
      <c r="C2050" s="1055" t="s">
        <v>381</v>
      </c>
      <c r="D2050" s="1055" t="s">
        <v>1761</v>
      </c>
      <c r="E2050" s="1055" t="s">
        <v>1762</v>
      </c>
      <c r="F2050" s="1056">
        <v>1984</v>
      </c>
      <c r="G2050" s="1056">
        <v>0</v>
      </c>
      <c r="H2050" s="1056">
        <v>0</v>
      </c>
      <c r="I2050" s="1056">
        <v>1984</v>
      </c>
      <c r="J2050" s="996">
        <f t="shared" si="38"/>
        <v>0</v>
      </c>
      <c r="K2050" s="1037">
        <f t="shared" si="39"/>
        <v>8</v>
      </c>
    </row>
    <row r="2051" spans="1:11" ht="13.9" customHeight="1">
      <c r="A2051" s="1054">
        <v>52050601</v>
      </c>
      <c r="B2051" s="1055" t="s">
        <v>893</v>
      </c>
      <c r="C2051" s="1055" t="s">
        <v>381</v>
      </c>
      <c r="D2051" s="1055" t="s">
        <v>1428</v>
      </c>
      <c r="E2051" s="1055" t="s">
        <v>1429</v>
      </c>
      <c r="F2051" s="1056">
        <v>2159</v>
      </c>
      <c r="G2051" s="1056">
        <v>0</v>
      </c>
      <c r="H2051" s="1056">
        <v>0</v>
      </c>
      <c r="I2051" s="1056">
        <v>2159</v>
      </c>
      <c r="J2051" s="996">
        <f t="shared" si="38"/>
        <v>0</v>
      </c>
      <c r="K2051" s="1037">
        <f t="shared" si="39"/>
        <v>8</v>
      </c>
    </row>
    <row r="2052" spans="1:11" ht="13.9" customHeight="1">
      <c r="A2052" s="1054">
        <v>52050601</v>
      </c>
      <c r="B2052" s="1055" t="s">
        <v>893</v>
      </c>
      <c r="C2052" s="1055" t="s">
        <v>381</v>
      </c>
      <c r="D2052" s="1055" t="s">
        <v>1849</v>
      </c>
      <c r="E2052" s="1055" t="s">
        <v>1850</v>
      </c>
      <c r="F2052" s="1056">
        <v>1051</v>
      </c>
      <c r="G2052" s="1056">
        <v>1751</v>
      </c>
      <c r="H2052" s="1056">
        <v>0</v>
      </c>
      <c r="I2052" s="1056">
        <v>2801</v>
      </c>
      <c r="J2052" s="996">
        <f t="shared" si="38"/>
        <v>-1751</v>
      </c>
      <c r="K2052" s="1037">
        <f t="shared" si="39"/>
        <v>8</v>
      </c>
    </row>
    <row r="2053" spans="1:11" ht="13.9" customHeight="1">
      <c r="A2053" s="1054">
        <v>52050601</v>
      </c>
      <c r="B2053" s="1055" t="s">
        <v>893</v>
      </c>
      <c r="C2053" s="1055" t="s">
        <v>381</v>
      </c>
      <c r="D2053" s="1055" t="s">
        <v>1275</v>
      </c>
      <c r="E2053" s="1055" t="s">
        <v>991</v>
      </c>
      <c r="F2053" s="1056">
        <v>7179</v>
      </c>
      <c r="G2053" s="1056">
        <v>175</v>
      </c>
      <c r="H2053" s="1056">
        <v>0</v>
      </c>
      <c r="I2053" s="1056">
        <v>7354</v>
      </c>
      <c r="J2053" s="996">
        <f t="shared" si="38"/>
        <v>-175</v>
      </c>
      <c r="K2053" s="1037">
        <f t="shared" si="39"/>
        <v>8</v>
      </c>
    </row>
    <row r="2054" spans="1:11" ht="13.9" customHeight="1">
      <c r="A2054" s="1054">
        <v>52050601</v>
      </c>
      <c r="B2054" s="1055" t="s">
        <v>893</v>
      </c>
      <c r="C2054" s="1055" t="s">
        <v>381</v>
      </c>
      <c r="D2054" s="1055" t="s">
        <v>1380</v>
      </c>
      <c r="E2054" s="1055" t="s">
        <v>1381</v>
      </c>
      <c r="F2054" s="1056">
        <v>3327</v>
      </c>
      <c r="G2054" s="1056">
        <v>0</v>
      </c>
      <c r="H2054" s="1056">
        <v>0</v>
      </c>
      <c r="I2054" s="1056">
        <v>3327</v>
      </c>
      <c r="J2054" s="996">
        <f t="shared" si="38"/>
        <v>0</v>
      </c>
      <c r="K2054" s="1037">
        <f t="shared" si="39"/>
        <v>8</v>
      </c>
    </row>
    <row r="2055" spans="1:11" ht="13.9" customHeight="1">
      <c r="A2055" s="1054">
        <v>52050601</v>
      </c>
      <c r="B2055" s="1055" t="s">
        <v>893</v>
      </c>
      <c r="C2055" s="1055" t="s">
        <v>381</v>
      </c>
      <c r="D2055" s="1055" t="s">
        <v>1585</v>
      </c>
      <c r="E2055" s="1055" t="s">
        <v>1586</v>
      </c>
      <c r="F2055" s="1056">
        <v>292</v>
      </c>
      <c r="G2055" s="1056">
        <v>0</v>
      </c>
      <c r="H2055" s="1056">
        <v>0</v>
      </c>
      <c r="I2055" s="1056">
        <v>292</v>
      </c>
      <c r="J2055" s="996">
        <f t="shared" si="38"/>
        <v>0</v>
      </c>
      <c r="K2055" s="1037">
        <f t="shared" si="39"/>
        <v>8</v>
      </c>
    </row>
    <row r="2056" spans="1:11" ht="13.9" customHeight="1">
      <c r="A2056" s="1054">
        <v>52050601</v>
      </c>
      <c r="B2056" s="1055" t="s">
        <v>893</v>
      </c>
      <c r="C2056" s="1055" t="s">
        <v>381</v>
      </c>
      <c r="D2056" s="1055" t="s">
        <v>1382</v>
      </c>
      <c r="E2056" s="1055" t="s">
        <v>1763</v>
      </c>
      <c r="F2056" s="1056">
        <v>10760</v>
      </c>
      <c r="G2056" s="1056">
        <v>2391</v>
      </c>
      <c r="H2056" s="1056">
        <v>0</v>
      </c>
      <c r="I2056" s="1056">
        <v>13151</v>
      </c>
      <c r="J2056" s="996">
        <f t="shared" si="38"/>
        <v>-2391</v>
      </c>
      <c r="K2056" s="1037">
        <f t="shared" si="39"/>
        <v>8</v>
      </c>
    </row>
    <row r="2057" spans="1:11" ht="13.9" customHeight="1">
      <c r="A2057" s="1054">
        <v>52050601</v>
      </c>
      <c r="B2057" s="1055" t="s">
        <v>893</v>
      </c>
      <c r="C2057" s="1055" t="s">
        <v>381</v>
      </c>
      <c r="D2057" s="1055" t="s">
        <v>1440</v>
      </c>
      <c r="E2057" s="1055" t="s">
        <v>1441</v>
      </c>
      <c r="F2057" s="1056">
        <v>6653</v>
      </c>
      <c r="G2057" s="1056">
        <v>0</v>
      </c>
      <c r="H2057" s="1056">
        <v>0</v>
      </c>
      <c r="I2057" s="1056">
        <v>6653</v>
      </c>
      <c r="J2057" s="996">
        <f t="shared" ref="J2057:J2120" si="40">+H2057-G2057</f>
        <v>0</v>
      </c>
      <c r="K2057" s="1037">
        <f t="shared" si="39"/>
        <v>8</v>
      </c>
    </row>
    <row r="2058" spans="1:11" ht="13.9" customHeight="1">
      <c r="A2058" s="1054">
        <v>52050601</v>
      </c>
      <c r="B2058" s="1055" t="s">
        <v>893</v>
      </c>
      <c r="C2058" s="1055" t="s">
        <v>381</v>
      </c>
      <c r="D2058" s="1055" t="s">
        <v>1383</v>
      </c>
      <c r="E2058" s="1055" t="s">
        <v>1384</v>
      </c>
      <c r="F2058" s="1056">
        <v>8755</v>
      </c>
      <c r="G2058" s="1056">
        <v>1751</v>
      </c>
      <c r="H2058" s="1056">
        <v>0</v>
      </c>
      <c r="I2058" s="1056">
        <v>10505</v>
      </c>
      <c r="J2058" s="996">
        <f t="shared" si="40"/>
        <v>-1751</v>
      </c>
      <c r="K2058" s="1037">
        <f t="shared" si="39"/>
        <v>8</v>
      </c>
    </row>
    <row r="2059" spans="1:11" ht="13.9" customHeight="1">
      <c r="A2059" s="1054">
        <v>52050601</v>
      </c>
      <c r="B2059" s="1055" t="s">
        <v>893</v>
      </c>
      <c r="C2059" s="1055" t="s">
        <v>381</v>
      </c>
      <c r="D2059" s="1055" t="s">
        <v>1430</v>
      </c>
      <c r="E2059" s="1055" t="s">
        <v>1431</v>
      </c>
      <c r="F2059" s="1056">
        <v>1751</v>
      </c>
      <c r="G2059" s="1056">
        <v>0</v>
      </c>
      <c r="H2059" s="1056">
        <v>0</v>
      </c>
      <c r="I2059" s="1056">
        <v>1751</v>
      </c>
      <c r="J2059" s="996">
        <f t="shared" si="40"/>
        <v>0</v>
      </c>
      <c r="K2059" s="1037">
        <f t="shared" si="39"/>
        <v>8</v>
      </c>
    </row>
    <row r="2060" spans="1:11" ht="13.9" customHeight="1">
      <c r="A2060" s="1054">
        <v>52050601</v>
      </c>
      <c r="B2060" s="1055" t="s">
        <v>893</v>
      </c>
      <c r="C2060" s="1055" t="s">
        <v>381</v>
      </c>
      <c r="D2060" s="1055" t="s">
        <v>1587</v>
      </c>
      <c r="E2060" s="1055" t="s">
        <v>1588</v>
      </c>
      <c r="F2060" s="1056">
        <v>6478</v>
      </c>
      <c r="G2060" s="1056">
        <v>1751</v>
      </c>
      <c r="H2060" s="1056">
        <v>0</v>
      </c>
      <c r="I2060" s="1056">
        <v>8229</v>
      </c>
      <c r="J2060" s="996">
        <f t="shared" si="40"/>
        <v>-1751</v>
      </c>
      <c r="K2060" s="1037">
        <f t="shared" si="39"/>
        <v>8</v>
      </c>
    </row>
    <row r="2061" spans="1:11" ht="13.9" customHeight="1">
      <c r="A2061" s="1054">
        <v>520515</v>
      </c>
      <c r="B2061" s="1055" t="s">
        <v>893</v>
      </c>
      <c r="C2061" s="1055" t="s">
        <v>544</v>
      </c>
      <c r="D2061" s="1055" t="s">
        <v>893</v>
      </c>
      <c r="E2061" s="1055" t="s">
        <v>893</v>
      </c>
      <c r="F2061" s="1056">
        <v>52296</v>
      </c>
      <c r="G2061" s="1056">
        <v>10750</v>
      </c>
      <c r="H2061" s="1056">
        <v>0</v>
      </c>
      <c r="I2061" s="1056">
        <v>63045</v>
      </c>
      <c r="J2061" s="996">
        <f t="shared" si="40"/>
        <v>-10750</v>
      </c>
      <c r="K2061" s="1037">
        <f t="shared" si="39"/>
        <v>6</v>
      </c>
    </row>
    <row r="2062" spans="1:11" ht="13.9" customHeight="1">
      <c r="A2062" s="1054">
        <v>52051501</v>
      </c>
      <c r="B2062" s="1055" t="s">
        <v>893</v>
      </c>
      <c r="C2062" s="1055" t="s">
        <v>544</v>
      </c>
      <c r="D2062" s="1055" t="s">
        <v>893</v>
      </c>
      <c r="E2062" s="1055" t="s">
        <v>893</v>
      </c>
      <c r="F2062" s="1056">
        <v>52296</v>
      </c>
      <c r="G2062" s="1056">
        <v>10750</v>
      </c>
      <c r="H2062" s="1056">
        <v>0</v>
      </c>
      <c r="I2062" s="1056">
        <v>63045</v>
      </c>
      <c r="J2062" s="996">
        <f t="shared" si="40"/>
        <v>-10750</v>
      </c>
      <c r="K2062" s="1037">
        <f t="shared" si="39"/>
        <v>8</v>
      </c>
    </row>
    <row r="2063" spans="1:11" ht="13.9" customHeight="1">
      <c r="A2063" s="1054">
        <v>52051501</v>
      </c>
      <c r="B2063" s="1055" t="s">
        <v>893</v>
      </c>
      <c r="C2063" s="1055" t="s">
        <v>544</v>
      </c>
      <c r="D2063" s="1055" t="s">
        <v>1575</v>
      </c>
      <c r="E2063" s="1055" t="s">
        <v>1576</v>
      </c>
      <c r="F2063" s="1056">
        <v>186</v>
      </c>
      <c r="G2063" s="1056">
        <v>0</v>
      </c>
      <c r="H2063" s="1056">
        <v>0</v>
      </c>
      <c r="I2063" s="1056">
        <v>186</v>
      </c>
      <c r="J2063" s="996">
        <f t="shared" si="40"/>
        <v>0</v>
      </c>
      <c r="K2063" s="1037">
        <f t="shared" si="39"/>
        <v>8</v>
      </c>
    </row>
    <row r="2064" spans="1:11" ht="13.9" customHeight="1">
      <c r="A2064" s="1054">
        <v>52051501</v>
      </c>
      <c r="B2064" s="1055" t="s">
        <v>893</v>
      </c>
      <c r="C2064" s="1055" t="s">
        <v>544</v>
      </c>
      <c r="D2064" s="1055" t="s">
        <v>1891</v>
      </c>
      <c r="E2064" s="1055" t="s">
        <v>1892</v>
      </c>
      <c r="F2064" s="1056">
        <v>0</v>
      </c>
      <c r="G2064" s="1056">
        <v>386</v>
      </c>
      <c r="H2064" s="1056">
        <v>0</v>
      </c>
      <c r="I2064" s="1056">
        <v>386</v>
      </c>
      <c r="J2064" s="996">
        <f t="shared" si="40"/>
        <v>-386</v>
      </c>
      <c r="K2064" s="1037">
        <f t="shared" si="39"/>
        <v>8</v>
      </c>
    </row>
    <row r="2065" spans="1:11" ht="13.9" customHeight="1">
      <c r="A2065" s="1054">
        <v>52051501</v>
      </c>
      <c r="B2065" s="1055" t="s">
        <v>893</v>
      </c>
      <c r="C2065" s="1055" t="s">
        <v>544</v>
      </c>
      <c r="D2065" s="1055" t="s">
        <v>1577</v>
      </c>
      <c r="E2065" s="1055" t="s">
        <v>1578</v>
      </c>
      <c r="F2065" s="1056">
        <v>1007</v>
      </c>
      <c r="G2065" s="1056">
        <v>530</v>
      </c>
      <c r="H2065" s="1056">
        <v>0</v>
      </c>
      <c r="I2065" s="1056">
        <v>1537</v>
      </c>
      <c r="J2065" s="996">
        <f t="shared" si="40"/>
        <v>-530</v>
      </c>
      <c r="K2065" s="1037">
        <f t="shared" si="39"/>
        <v>8</v>
      </c>
    </row>
    <row r="2066" spans="1:11" ht="13.9" customHeight="1">
      <c r="A2066" s="1054">
        <v>52051501</v>
      </c>
      <c r="B2066" s="1055" t="s">
        <v>893</v>
      </c>
      <c r="C2066" s="1055" t="s">
        <v>544</v>
      </c>
      <c r="D2066" s="1055" t="s">
        <v>1360</v>
      </c>
      <c r="E2066" s="1055" t="s">
        <v>1361</v>
      </c>
      <c r="F2066" s="1056">
        <v>5145</v>
      </c>
      <c r="G2066" s="1056">
        <v>1028</v>
      </c>
      <c r="H2066" s="1056">
        <v>0</v>
      </c>
      <c r="I2066" s="1056">
        <v>6173</v>
      </c>
      <c r="J2066" s="996">
        <f t="shared" si="40"/>
        <v>-1028</v>
      </c>
      <c r="K2066" s="1037">
        <f t="shared" si="39"/>
        <v>8</v>
      </c>
    </row>
    <row r="2067" spans="1:11" ht="13.9" customHeight="1">
      <c r="A2067" s="1054">
        <v>52051501</v>
      </c>
      <c r="B2067" s="1055" t="s">
        <v>893</v>
      </c>
      <c r="C2067" s="1055" t="s">
        <v>544</v>
      </c>
      <c r="D2067" s="1055" t="s">
        <v>1893</v>
      </c>
      <c r="E2067" s="1055" t="s">
        <v>1894</v>
      </c>
      <c r="F2067" s="1056">
        <v>0</v>
      </c>
      <c r="G2067" s="1056">
        <v>408</v>
      </c>
      <c r="H2067" s="1056">
        <v>0</v>
      </c>
      <c r="I2067" s="1056">
        <v>408</v>
      </c>
      <c r="J2067" s="996">
        <f t="shared" si="40"/>
        <v>-408</v>
      </c>
      <c r="K2067" s="1037">
        <f t="shared" si="39"/>
        <v>8</v>
      </c>
    </row>
    <row r="2068" spans="1:11" ht="13.9" customHeight="1">
      <c r="A2068" s="1054">
        <v>52051501</v>
      </c>
      <c r="B2068" s="1055" t="s">
        <v>893</v>
      </c>
      <c r="C2068" s="1055" t="s">
        <v>544</v>
      </c>
      <c r="D2068" s="1055" t="s">
        <v>1298</v>
      </c>
      <c r="E2068" s="1055" t="s">
        <v>987</v>
      </c>
      <c r="F2068" s="1056">
        <v>1901</v>
      </c>
      <c r="G2068" s="1056">
        <v>0</v>
      </c>
      <c r="H2068" s="1056">
        <v>0</v>
      </c>
      <c r="I2068" s="1056">
        <v>1901</v>
      </c>
      <c r="J2068" s="996">
        <f t="shared" si="40"/>
        <v>0</v>
      </c>
      <c r="K2068" s="1037">
        <f t="shared" si="39"/>
        <v>8</v>
      </c>
    </row>
    <row r="2069" spans="1:11" ht="13.9" customHeight="1">
      <c r="A2069" s="1054">
        <v>52051501</v>
      </c>
      <c r="B2069" s="1055" t="s">
        <v>893</v>
      </c>
      <c r="C2069" s="1055" t="s">
        <v>544</v>
      </c>
      <c r="D2069" s="1055" t="s">
        <v>1484</v>
      </c>
      <c r="E2069" s="1055" t="s">
        <v>1485</v>
      </c>
      <c r="F2069" s="1056">
        <v>815</v>
      </c>
      <c r="G2069" s="1056">
        <v>254</v>
      </c>
      <c r="H2069" s="1056">
        <v>0</v>
      </c>
      <c r="I2069" s="1056">
        <v>1069</v>
      </c>
      <c r="J2069" s="996">
        <f t="shared" si="40"/>
        <v>-254</v>
      </c>
      <c r="K2069" s="1037">
        <f t="shared" si="39"/>
        <v>8</v>
      </c>
    </row>
    <row r="2070" spans="1:11" ht="13.9" customHeight="1">
      <c r="A2070" s="1054">
        <v>52051501</v>
      </c>
      <c r="B2070" s="1055" t="s">
        <v>893</v>
      </c>
      <c r="C2070" s="1055" t="s">
        <v>544</v>
      </c>
      <c r="D2070" s="1055" t="s">
        <v>1579</v>
      </c>
      <c r="E2070" s="1055" t="s">
        <v>1580</v>
      </c>
      <c r="F2070" s="1056">
        <v>1976</v>
      </c>
      <c r="G2070" s="1056">
        <v>887</v>
      </c>
      <c r="H2070" s="1056">
        <v>0</v>
      </c>
      <c r="I2070" s="1056">
        <v>2863</v>
      </c>
      <c r="J2070" s="996">
        <f t="shared" si="40"/>
        <v>-887</v>
      </c>
      <c r="K2070" s="1037">
        <f t="shared" si="39"/>
        <v>8</v>
      </c>
    </row>
    <row r="2071" spans="1:11" ht="13.9" customHeight="1">
      <c r="A2071" s="1054">
        <v>52051501</v>
      </c>
      <c r="B2071" s="1055" t="s">
        <v>893</v>
      </c>
      <c r="C2071" s="1055" t="s">
        <v>544</v>
      </c>
      <c r="D2071" s="1055" t="s">
        <v>1270</v>
      </c>
      <c r="E2071" s="1055" t="s">
        <v>988</v>
      </c>
      <c r="F2071" s="1056">
        <v>41</v>
      </c>
      <c r="G2071" s="1056">
        <v>93</v>
      </c>
      <c r="H2071" s="1056">
        <v>0</v>
      </c>
      <c r="I2071" s="1056">
        <v>135</v>
      </c>
      <c r="J2071" s="996">
        <f t="shared" si="40"/>
        <v>-93</v>
      </c>
      <c r="K2071" s="1037">
        <f t="shared" si="39"/>
        <v>8</v>
      </c>
    </row>
    <row r="2072" spans="1:11" ht="13.9" customHeight="1">
      <c r="A2072" s="1054">
        <v>52051501</v>
      </c>
      <c r="B2072" s="1055" t="s">
        <v>893</v>
      </c>
      <c r="C2072" s="1055" t="s">
        <v>544</v>
      </c>
      <c r="D2072" s="1055" t="s">
        <v>1271</v>
      </c>
      <c r="E2072" s="1055" t="s">
        <v>782</v>
      </c>
      <c r="F2072" s="1056">
        <v>122</v>
      </c>
      <c r="G2072" s="1056">
        <v>0</v>
      </c>
      <c r="H2072" s="1056">
        <v>0</v>
      </c>
      <c r="I2072" s="1056">
        <v>122</v>
      </c>
      <c r="J2072" s="996">
        <f t="shared" si="40"/>
        <v>0</v>
      </c>
      <c r="K2072" s="1037">
        <f t="shared" si="39"/>
        <v>8</v>
      </c>
    </row>
    <row r="2073" spans="1:11" ht="13.9" customHeight="1">
      <c r="A2073" s="1054">
        <v>52051501</v>
      </c>
      <c r="B2073" s="1055" t="s">
        <v>893</v>
      </c>
      <c r="C2073" s="1055" t="s">
        <v>544</v>
      </c>
      <c r="D2073" s="1055" t="s">
        <v>1272</v>
      </c>
      <c r="E2073" s="1055" t="s">
        <v>1273</v>
      </c>
      <c r="F2073" s="1056">
        <v>0</v>
      </c>
      <c r="G2073" s="1056">
        <v>433</v>
      </c>
      <c r="H2073" s="1056">
        <v>0</v>
      </c>
      <c r="I2073" s="1056">
        <v>433</v>
      </c>
      <c r="J2073" s="996">
        <f t="shared" si="40"/>
        <v>-433</v>
      </c>
      <c r="K2073" s="1037">
        <f t="shared" si="39"/>
        <v>8</v>
      </c>
    </row>
    <row r="2074" spans="1:11" ht="13.9" customHeight="1">
      <c r="A2074" s="1054">
        <v>52051501</v>
      </c>
      <c r="B2074" s="1055" t="s">
        <v>893</v>
      </c>
      <c r="C2074" s="1055" t="s">
        <v>544</v>
      </c>
      <c r="D2074" s="1055" t="s">
        <v>1420</v>
      </c>
      <c r="E2074" s="1055" t="s">
        <v>1421</v>
      </c>
      <c r="F2074" s="1056">
        <v>515</v>
      </c>
      <c r="G2074" s="1056">
        <v>74</v>
      </c>
      <c r="H2074" s="1056">
        <v>0</v>
      </c>
      <c r="I2074" s="1056">
        <v>589</v>
      </c>
      <c r="J2074" s="996">
        <f t="shared" si="40"/>
        <v>-74</v>
      </c>
      <c r="K2074" s="1037">
        <f t="shared" si="39"/>
        <v>8</v>
      </c>
    </row>
    <row r="2075" spans="1:11" ht="13.9" customHeight="1">
      <c r="A2075" s="1054">
        <v>52051501</v>
      </c>
      <c r="B2075" s="1055" t="s">
        <v>893</v>
      </c>
      <c r="C2075" s="1055" t="s">
        <v>544</v>
      </c>
      <c r="D2075" s="1055" t="s">
        <v>1493</v>
      </c>
      <c r="E2075" s="1055" t="s">
        <v>1494</v>
      </c>
      <c r="F2075" s="1056">
        <v>3207</v>
      </c>
      <c r="G2075" s="1056">
        <v>0</v>
      </c>
      <c r="H2075" s="1056">
        <v>0</v>
      </c>
      <c r="I2075" s="1056">
        <v>3207</v>
      </c>
      <c r="J2075" s="996">
        <f t="shared" si="40"/>
        <v>0</v>
      </c>
      <c r="K2075" s="1037">
        <f t="shared" si="39"/>
        <v>8</v>
      </c>
    </row>
    <row r="2076" spans="1:11" ht="13.9" customHeight="1">
      <c r="A2076" s="1054">
        <v>52051501</v>
      </c>
      <c r="B2076" s="1055" t="s">
        <v>893</v>
      </c>
      <c r="C2076" s="1055" t="s">
        <v>544</v>
      </c>
      <c r="D2076" s="1055" t="s">
        <v>1841</v>
      </c>
      <c r="E2076" s="1055" t="s">
        <v>1842</v>
      </c>
      <c r="F2076" s="1056">
        <v>889</v>
      </c>
      <c r="G2076" s="1056">
        <v>858</v>
      </c>
      <c r="H2076" s="1056">
        <v>0</v>
      </c>
      <c r="I2076" s="1056">
        <v>1747</v>
      </c>
      <c r="J2076" s="996">
        <f t="shared" si="40"/>
        <v>-858</v>
      </c>
      <c r="K2076" s="1037">
        <f t="shared" si="39"/>
        <v>8</v>
      </c>
    </row>
    <row r="2077" spans="1:11" ht="13.9" customHeight="1">
      <c r="A2077" s="1054">
        <v>52051501</v>
      </c>
      <c r="B2077" s="1055" t="s">
        <v>893</v>
      </c>
      <c r="C2077" s="1055" t="s">
        <v>544</v>
      </c>
      <c r="D2077" s="1055" t="s">
        <v>1519</v>
      </c>
      <c r="E2077" s="1055" t="s">
        <v>1520</v>
      </c>
      <c r="F2077" s="1056">
        <v>1</v>
      </c>
      <c r="G2077" s="1056">
        <v>0</v>
      </c>
      <c r="H2077" s="1056">
        <v>0</v>
      </c>
      <c r="I2077" s="1056">
        <v>1</v>
      </c>
      <c r="J2077" s="996">
        <f t="shared" si="40"/>
        <v>0</v>
      </c>
      <c r="K2077" s="1037">
        <f t="shared" si="39"/>
        <v>8</v>
      </c>
    </row>
    <row r="2078" spans="1:11" ht="13.9" customHeight="1">
      <c r="A2078" s="1054">
        <v>52051501</v>
      </c>
      <c r="B2078" s="1055" t="s">
        <v>893</v>
      </c>
      <c r="C2078" s="1055" t="s">
        <v>544</v>
      </c>
      <c r="D2078" s="1055" t="s">
        <v>1495</v>
      </c>
      <c r="E2078" s="1055" t="s">
        <v>1496</v>
      </c>
      <c r="F2078" s="1056">
        <v>485</v>
      </c>
      <c r="G2078" s="1056">
        <v>0</v>
      </c>
      <c r="H2078" s="1056">
        <v>0</v>
      </c>
      <c r="I2078" s="1056">
        <v>485</v>
      </c>
      <c r="J2078" s="996">
        <f t="shared" si="40"/>
        <v>0</v>
      </c>
      <c r="K2078" s="1037">
        <f t="shared" si="39"/>
        <v>8</v>
      </c>
    </row>
    <row r="2079" spans="1:11" ht="13.9" customHeight="1">
      <c r="A2079" s="1054">
        <v>52051501</v>
      </c>
      <c r="B2079" s="1055" t="s">
        <v>893</v>
      </c>
      <c r="C2079" s="1055" t="s">
        <v>544</v>
      </c>
      <c r="D2079" s="1055" t="s">
        <v>1320</v>
      </c>
      <c r="E2079" s="1055" t="s">
        <v>1321</v>
      </c>
      <c r="F2079" s="1056">
        <v>974</v>
      </c>
      <c r="G2079" s="1056">
        <v>326</v>
      </c>
      <c r="H2079" s="1056">
        <v>0</v>
      </c>
      <c r="I2079" s="1056">
        <v>1300</v>
      </c>
      <c r="J2079" s="996">
        <f t="shared" si="40"/>
        <v>-326</v>
      </c>
      <c r="K2079" s="1037">
        <f t="shared" si="39"/>
        <v>8</v>
      </c>
    </row>
    <row r="2080" spans="1:11" ht="13.9" customHeight="1">
      <c r="A2080" s="1054">
        <v>52051501</v>
      </c>
      <c r="B2080" s="1055" t="s">
        <v>893</v>
      </c>
      <c r="C2080" s="1055" t="s">
        <v>544</v>
      </c>
      <c r="D2080" s="1055" t="s">
        <v>1274</v>
      </c>
      <c r="E2080" s="1055" t="s">
        <v>989</v>
      </c>
      <c r="F2080" s="1056">
        <v>1282</v>
      </c>
      <c r="G2080" s="1056">
        <v>175</v>
      </c>
      <c r="H2080" s="1056">
        <v>0</v>
      </c>
      <c r="I2080" s="1056">
        <v>1457</v>
      </c>
      <c r="J2080" s="996">
        <f t="shared" si="40"/>
        <v>-175</v>
      </c>
      <c r="K2080" s="1037">
        <f t="shared" si="39"/>
        <v>8</v>
      </c>
    </row>
    <row r="2081" spans="1:11" ht="13.9" customHeight="1">
      <c r="A2081" s="1054">
        <v>52051501</v>
      </c>
      <c r="B2081" s="1055" t="s">
        <v>893</v>
      </c>
      <c r="C2081" s="1055" t="s">
        <v>544</v>
      </c>
      <c r="D2081" s="1055" t="s">
        <v>1497</v>
      </c>
      <c r="E2081" s="1055" t="s">
        <v>1498</v>
      </c>
      <c r="F2081" s="1056">
        <v>707</v>
      </c>
      <c r="G2081" s="1056">
        <v>0</v>
      </c>
      <c r="H2081" s="1056">
        <v>0</v>
      </c>
      <c r="I2081" s="1056">
        <v>707</v>
      </c>
      <c r="J2081" s="996">
        <f t="shared" si="40"/>
        <v>0</v>
      </c>
      <c r="K2081" s="1037">
        <f t="shared" si="39"/>
        <v>8</v>
      </c>
    </row>
    <row r="2082" spans="1:11" ht="13.9" customHeight="1">
      <c r="A2082" s="1054">
        <v>52051501</v>
      </c>
      <c r="B2082" s="1055" t="s">
        <v>893</v>
      </c>
      <c r="C2082" s="1055" t="s">
        <v>544</v>
      </c>
      <c r="D2082" s="1055" t="s">
        <v>1370</v>
      </c>
      <c r="E2082" s="1055" t="s">
        <v>1371</v>
      </c>
      <c r="F2082" s="1056">
        <v>896</v>
      </c>
      <c r="G2082" s="1056">
        <v>256</v>
      </c>
      <c r="H2082" s="1056">
        <v>0</v>
      </c>
      <c r="I2082" s="1056">
        <v>1152</v>
      </c>
      <c r="J2082" s="996">
        <f t="shared" si="40"/>
        <v>-256</v>
      </c>
      <c r="K2082" s="1037">
        <f t="shared" si="39"/>
        <v>8</v>
      </c>
    </row>
    <row r="2083" spans="1:11" ht="13.9" customHeight="1">
      <c r="A2083" s="1054">
        <v>52051501</v>
      </c>
      <c r="B2083" s="1055" t="s">
        <v>893</v>
      </c>
      <c r="C2083" s="1055" t="s">
        <v>544</v>
      </c>
      <c r="D2083" s="1055" t="s">
        <v>1843</v>
      </c>
      <c r="E2083" s="1055" t="s">
        <v>1844</v>
      </c>
      <c r="F2083" s="1056">
        <v>14</v>
      </c>
      <c r="G2083" s="1056">
        <v>0</v>
      </c>
      <c r="H2083" s="1056">
        <v>0</v>
      </c>
      <c r="I2083" s="1056">
        <v>14</v>
      </c>
      <c r="J2083" s="996">
        <f t="shared" si="40"/>
        <v>0</v>
      </c>
      <c r="K2083" s="1037">
        <f t="shared" si="39"/>
        <v>8</v>
      </c>
    </row>
    <row r="2084" spans="1:11" ht="13.9" customHeight="1">
      <c r="A2084" s="1054">
        <v>52051501</v>
      </c>
      <c r="B2084" s="1055" t="s">
        <v>893</v>
      </c>
      <c r="C2084" s="1055" t="s">
        <v>544</v>
      </c>
      <c r="D2084" s="1055" t="s">
        <v>1759</v>
      </c>
      <c r="E2084" s="1055" t="s">
        <v>1760</v>
      </c>
      <c r="F2084" s="1056">
        <v>254</v>
      </c>
      <c r="G2084" s="1056">
        <v>0</v>
      </c>
      <c r="H2084" s="1056">
        <v>0</v>
      </c>
      <c r="I2084" s="1056">
        <v>254</v>
      </c>
      <c r="J2084" s="996">
        <f t="shared" si="40"/>
        <v>0</v>
      </c>
      <c r="K2084" s="1037">
        <f t="shared" si="39"/>
        <v>8</v>
      </c>
    </row>
    <row r="2085" spans="1:11" ht="13.9" customHeight="1">
      <c r="A2085" s="1054">
        <v>52051501</v>
      </c>
      <c r="B2085" s="1055" t="s">
        <v>893</v>
      </c>
      <c r="C2085" s="1055" t="s">
        <v>544</v>
      </c>
      <c r="D2085" s="1055" t="s">
        <v>1581</v>
      </c>
      <c r="E2085" s="1055" t="s">
        <v>1582</v>
      </c>
      <c r="F2085" s="1056">
        <v>1264</v>
      </c>
      <c r="G2085" s="1056">
        <v>0</v>
      </c>
      <c r="H2085" s="1056">
        <v>0</v>
      </c>
      <c r="I2085" s="1056">
        <v>1264</v>
      </c>
      <c r="J2085" s="996">
        <f t="shared" si="40"/>
        <v>0</v>
      </c>
      <c r="K2085" s="1037">
        <f t="shared" si="39"/>
        <v>8</v>
      </c>
    </row>
    <row r="2086" spans="1:11" ht="13.9" customHeight="1">
      <c r="A2086" s="1054">
        <v>52051501</v>
      </c>
      <c r="B2086" s="1055" t="s">
        <v>893</v>
      </c>
      <c r="C2086" s="1055" t="s">
        <v>544</v>
      </c>
      <c r="D2086" s="1055" t="s">
        <v>1521</v>
      </c>
      <c r="E2086" s="1055" t="s">
        <v>1522</v>
      </c>
      <c r="F2086" s="1056">
        <v>2544</v>
      </c>
      <c r="G2086" s="1056">
        <v>559</v>
      </c>
      <c r="H2086" s="1056">
        <v>0</v>
      </c>
      <c r="I2086" s="1056">
        <v>3104</v>
      </c>
      <c r="J2086" s="996">
        <f t="shared" si="40"/>
        <v>-559</v>
      </c>
      <c r="K2086" s="1037">
        <f t="shared" si="39"/>
        <v>8</v>
      </c>
    </row>
    <row r="2087" spans="1:11" ht="13.9" customHeight="1">
      <c r="A2087" s="1054">
        <v>52051501</v>
      </c>
      <c r="B2087" s="1055" t="s">
        <v>893</v>
      </c>
      <c r="C2087" s="1055" t="s">
        <v>544</v>
      </c>
      <c r="D2087" s="1055" t="s">
        <v>1426</v>
      </c>
      <c r="E2087" s="1055" t="s">
        <v>1427</v>
      </c>
      <c r="F2087" s="1056">
        <v>1391</v>
      </c>
      <c r="G2087" s="1056">
        <v>412</v>
      </c>
      <c r="H2087" s="1056">
        <v>0</v>
      </c>
      <c r="I2087" s="1056">
        <v>1804</v>
      </c>
      <c r="J2087" s="996">
        <f t="shared" si="40"/>
        <v>-412</v>
      </c>
      <c r="K2087" s="1037">
        <f t="shared" si="39"/>
        <v>8</v>
      </c>
    </row>
    <row r="2088" spans="1:11" ht="13.9" customHeight="1">
      <c r="A2088" s="1054">
        <v>52051501</v>
      </c>
      <c r="B2088" s="1055" t="s">
        <v>893</v>
      </c>
      <c r="C2088" s="1055" t="s">
        <v>544</v>
      </c>
      <c r="D2088" s="1055" t="s">
        <v>1372</v>
      </c>
      <c r="E2088" s="1055" t="s">
        <v>1373</v>
      </c>
      <c r="F2088" s="1056">
        <v>38</v>
      </c>
      <c r="G2088" s="1056">
        <v>0</v>
      </c>
      <c r="H2088" s="1056">
        <v>0</v>
      </c>
      <c r="I2088" s="1056">
        <v>38</v>
      </c>
      <c r="J2088" s="996">
        <f t="shared" si="40"/>
        <v>0</v>
      </c>
      <c r="K2088" s="1037">
        <f t="shared" si="39"/>
        <v>8</v>
      </c>
    </row>
    <row r="2089" spans="1:11" ht="13.9" customHeight="1">
      <c r="A2089" s="1054">
        <v>52051501</v>
      </c>
      <c r="B2089" s="1055" t="s">
        <v>893</v>
      </c>
      <c r="C2089" s="1055" t="s">
        <v>544</v>
      </c>
      <c r="D2089" s="1055" t="s">
        <v>1374</v>
      </c>
      <c r="E2089" s="1055" t="s">
        <v>1375</v>
      </c>
      <c r="F2089" s="1056">
        <v>909</v>
      </c>
      <c r="G2089" s="1056">
        <v>378</v>
      </c>
      <c r="H2089" s="1056">
        <v>0</v>
      </c>
      <c r="I2089" s="1056">
        <v>1287</v>
      </c>
      <c r="J2089" s="996">
        <f t="shared" si="40"/>
        <v>-378</v>
      </c>
      <c r="K2089" s="1037">
        <f t="shared" si="39"/>
        <v>8</v>
      </c>
    </row>
    <row r="2090" spans="1:11" ht="13.9" customHeight="1">
      <c r="A2090" s="1054">
        <v>52051501</v>
      </c>
      <c r="B2090" s="1055" t="s">
        <v>893</v>
      </c>
      <c r="C2090" s="1055" t="s">
        <v>544</v>
      </c>
      <c r="D2090" s="1055" t="s">
        <v>1249</v>
      </c>
      <c r="E2090" s="1055" t="s">
        <v>583</v>
      </c>
      <c r="F2090" s="1056">
        <v>5759</v>
      </c>
      <c r="G2090" s="1056">
        <v>1179</v>
      </c>
      <c r="H2090" s="1056">
        <v>0</v>
      </c>
      <c r="I2090" s="1056">
        <v>6938</v>
      </c>
      <c r="J2090" s="996">
        <f t="shared" si="40"/>
        <v>-1179</v>
      </c>
      <c r="K2090" s="1037">
        <f t="shared" si="39"/>
        <v>8</v>
      </c>
    </row>
    <row r="2091" spans="1:11" ht="13.9" customHeight="1">
      <c r="A2091" s="1054">
        <v>52051501</v>
      </c>
      <c r="B2091" s="1055" t="s">
        <v>893</v>
      </c>
      <c r="C2091" s="1055" t="s">
        <v>544</v>
      </c>
      <c r="D2091" s="1055" t="s">
        <v>1376</v>
      </c>
      <c r="E2091" s="1055" t="s">
        <v>1377</v>
      </c>
      <c r="F2091" s="1056">
        <v>3566</v>
      </c>
      <c r="G2091" s="1056">
        <v>0</v>
      </c>
      <c r="H2091" s="1056">
        <v>0</v>
      </c>
      <c r="I2091" s="1056">
        <v>3566</v>
      </c>
      <c r="J2091" s="996">
        <f t="shared" si="40"/>
        <v>0</v>
      </c>
      <c r="K2091" s="1037">
        <f t="shared" si="39"/>
        <v>8</v>
      </c>
    </row>
    <row r="2092" spans="1:11" ht="13.9" customHeight="1">
      <c r="A2092" s="1054">
        <v>52051501</v>
      </c>
      <c r="B2092" s="1055" t="s">
        <v>893</v>
      </c>
      <c r="C2092" s="1055" t="s">
        <v>544</v>
      </c>
      <c r="D2092" s="1055" t="s">
        <v>1305</v>
      </c>
      <c r="E2092" s="1055" t="s">
        <v>990</v>
      </c>
      <c r="F2092" s="1056">
        <v>32</v>
      </c>
      <c r="G2092" s="1056">
        <v>0</v>
      </c>
      <c r="H2092" s="1056">
        <v>0</v>
      </c>
      <c r="I2092" s="1056">
        <v>32</v>
      </c>
      <c r="J2092" s="996">
        <f t="shared" si="40"/>
        <v>0</v>
      </c>
      <c r="K2092" s="1037">
        <f t="shared" si="39"/>
        <v>8</v>
      </c>
    </row>
    <row r="2093" spans="1:11" ht="13.9" customHeight="1">
      <c r="A2093" s="1054">
        <v>52051501</v>
      </c>
      <c r="B2093" s="1055" t="s">
        <v>893</v>
      </c>
      <c r="C2093" s="1055" t="s">
        <v>544</v>
      </c>
      <c r="D2093" s="1055" t="s">
        <v>1845</v>
      </c>
      <c r="E2093" s="1055" t="s">
        <v>1846</v>
      </c>
      <c r="F2093" s="1056">
        <v>143</v>
      </c>
      <c r="G2093" s="1056">
        <v>391</v>
      </c>
      <c r="H2093" s="1056">
        <v>0</v>
      </c>
      <c r="I2093" s="1056">
        <v>534</v>
      </c>
      <c r="J2093" s="996">
        <f t="shared" si="40"/>
        <v>-391</v>
      </c>
      <c r="K2093" s="1037">
        <f t="shared" si="39"/>
        <v>8</v>
      </c>
    </row>
    <row r="2094" spans="1:11" ht="13.9" customHeight="1">
      <c r="A2094" s="1054">
        <v>52051501</v>
      </c>
      <c r="B2094" s="1055" t="s">
        <v>893</v>
      </c>
      <c r="C2094" s="1055" t="s">
        <v>544</v>
      </c>
      <c r="D2094" s="1055" t="s">
        <v>1306</v>
      </c>
      <c r="E2094" s="1055" t="s">
        <v>997</v>
      </c>
      <c r="F2094" s="1056">
        <v>2688</v>
      </c>
      <c r="G2094" s="1056">
        <v>0</v>
      </c>
      <c r="H2094" s="1056">
        <v>0</v>
      </c>
      <c r="I2094" s="1056">
        <v>2688</v>
      </c>
      <c r="J2094" s="996">
        <f t="shared" si="40"/>
        <v>0</v>
      </c>
      <c r="K2094" s="1037">
        <f t="shared" ref="K2094:K2157" si="41">+LEN(A2094)</f>
        <v>8</v>
      </c>
    </row>
    <row r="2095" spans="1:11" ht="13.9" customHeight="1">
      <c r="A2095" s="1054">
        <v>52051501</v>
      </c>
      <c r="B2095" s="1055" t="s">
        <v>893</v>
      </c>
      <c r="C2095" s="1055" t="s">
        <v>544</v>
      </c>
      <c r="D2095" s="1055" t="s">
        <v>1250</v>
      </c>
      <c r="E2095" s="1055" t="s">
        <v>1251</v>
      </c>
      <c r="F2095" s="1056">
        <v>1300</v>
      </c>
      <c r="G2095" s="1056">
        <v>276</v>
      </c>
      <c r="H2095" s="1056">
        <v>0</v>
      </c>
      <c r="I2095" s="1056">
        <v>1576</v>
      </c>
      <c r="J2095" s="996">
        <f t="shared" si="40"/>
        <v>-276</v>
      </c>
      <c r="K2095" s="1037">
        <f t="shared" si="41"/>
        <v>8</v>
      </c>
    </row>
    <row r="2096" spans="1:11" ht="13.9" customHeight="1">
      <c r="A2096" s="1054">
        <v>52051501</v>
      </c>
      <c r="B2096" s="1055" t="s">
        <v>893</v>
      </c>
      <c r="C2096" s="1055" t="s">
        <v>544</v>
      </c>
      <c r="D2096" s="1055" t="s">
        <v>1899</v>
      </c>
      <c r="E2096" s="1055" t="s">
        <v>1900</v>
      </c>
      <c r="F2096" s="1056">
        <v>0</v>
      </c>
      <c r="G2096" s="1056">
        <v>595</v>
      </c>
      <c r="H2096" s="1056">
        <v>0</v>
      </c>
      <c r="I2096" s="1056">
        <v>595</v>
      </c>
      <c r="J2096" s="996">
        <f t="shared" si="40"/>
        <v>-595</v>
      </c>
      <c r="K2096" s="1037">
        <f t="shared" si="41"/>
        <v>8</v>
      </c>
    </row>
    <row r="2097" spans="1:11" ht="13.9" customHeight="1">
      <c r="A2097" s="1054">
        <v>52051501</v>
      </c>
      <c r="B2097" s="1055" t="s">
        <v>893</v>
      </c>
      <c r="C2097" s="1055" t="s">
        <v>544</v>
      </c>
      <c r="D2097" s="1055" t="s">
        <v>1686</v>
      </c>
      <c r="E2097" s="1055" t="s">
        <v>1687</v>
      </c>
      <c r="F2097" s="1056">
        <v>1066</v>
      </c>
      <c r="G2097" s="1056">
        <v>0</v>
      </c>
      <c r="H2097" s="1056">
        <v>0</v>
      </c>
      <c r="I2097" s="1056">
        <v>1066</v>
      </c>
      <c r="J2097" s="996">
        <f t="shared" si="40"/>
        <v>0</v>
      </c>
      <c r="K2097" s="1037">
        <f t="shared" si="41"/>
        <v>8</v>
      </c>
    </row>
    <row r="2098" spans="1:11" ht="13.9" customHeight="1">
      <c r="A2098" s="1054">
        <v>52051501</v>
      </c>
      <c r="B2098" s="1055" t="s">
        <v>893</v>
      </c>
      <c r="C2098" s="1055" t="s">
        <v>544</v>
      </c>
      <c r="D2098" s="1055" t="s">
        <v>1303</v>
      </c>
      <c r="E2098" s="1055" t="s">
        <v>806</v>
      </c>
      <c r="F2098" s="1056">
        <v>364</v>
      </c>
      <c r="G2098" s="1056">
        <v>0</v>
      </c>
      <c r="H2098" s="1056">
        <v>0</v>
      </c>
      <c r="I2098" s="1056">
        <v>364</v>
      </c>
      <c r="J2098" s="996">
        <f t="shared" si="40"/>
        <v>0</v>
      </c>
      <c r="K2098" s="1037">
        <f t="shared" si="41"/>
        <v>8</v>
      </c>
    </row>
    <row r="2099" spans="1:11" ht="13.9" customHeight="1">
      <c r="A2099" s="1054">
        <v>52051501</v>
      </c>
      <c r="B2099" s="1055" t="s">
        <v>893</v>
      </c>
      <c r="C2099" s="1055" t="s">
        <v>544</v>
      </c>
      <c r="D2099" s="1055" t="s">
        <v>1499</v>
      </c>
      <c r="E2099" s="1055" t="s">
        <v>1500</v>
      </c>
      <c r="F2099" s="1056">
        <v>301</v>
      </c>
      <c r="G2099" s="1056">
        <v>0</v>
      </c>
      <c r="H2099" s="1056">
        <v>0</v>
      </c>
      <c r="I2099" s="1056">
        <v>301</v>
      </c>
      <c r="J2099" s="996">
        <f t="shared" si="40"/>
        <v>0</v>
      </c>
      <c r="K2099" s="1037">
        <f t="shared" si="41"/>
        <v>8</v>
      </c>
    </row>
    <row r="2100" spans="1:11" ht="13.9" customHeight="1">
      <c r="A2100" s="1054">
        <v>52051501</v>
      </c>
      <c r="B2100" s="1055" t="s">
        <v>893</v>
      </c>
      <c r="C2100" s="1055" t="s">
        <v>544</v>
      </c>
      <c r="D2100" s="1055" t="s">
        <v>1523</v>
      </c>
      <c r="E2100" s="1055" t="s">
        <v>1524</v>
      </c>
      <c r="F2100" s="1056">
        <v>663</v>
      </c>
      <c r="G2100" s="1056">
        <v>0</v>
      </c>
      <c r="H2100" s="1056">
        <v>0</v>
      </c>
      <c r="I2100" s="1056">
        <v>663</v>
      </c>
      <c r="J2100" s="996">
        <f t="shared" si="40"/>
        <v>0</v>
      </c>
      <c r="K2100" s="1037">
        <f t="shared" si="41"/>
        <v>8</v>
      </c>
    </row>
    <row r="2101" spans="1:11" ht="13.9" customHeight="1">
      <c r="A2101" s="1054">
        <v>52051501</v>
      </c>
      <c r="B2101" s="1055" t="s">
        <v>893</v>
      </c>
      <c r="C2101" s="1055" t="s">
        <v>544</v>
      </c>
      <c r="D2101" s="1055" t="s">
        <v>1422</v>
      </c>
      <c r="E2101" s="1055" t="s">
        <v>1423</v>
      </c>
      <c r="F2101" s="1056">
        <v>134</v>
      </c>
      <c r="G2101" s="1056">
        <v>0</v>
      </c>
      <c r="H2101" s="1056">
        <v>0</v>
      </c>
      <c r="I2101" s="1056">
        <v>134</v>
      </c>
      <c r="J2101" s="996">
        <f t="shared" si="40"/>
        <v>0</v>
      </c>
      <c r="K2101" s="1037">
        <f t="shared" si="41"/>
        <v>8</v>
      </c>
    </row>
    <row r="2102" spans="1:11" ht="13.9" customHeight="1">
      <c r="A2102" s="1054">
        <v>52051501</v>
      </c>
      <c r="B2102" s="1055" t="s">
        <v>893</v>
      </c>
      <c r="C2102" s="1055" t="s">
        <v>544</v>
      </c>
      <c r="D2102" s="1055" t="s">
        <v>1761</v>
      </c>
      <c r="E2102" s="1055" t="s">
        <v>1762</v>
      </c>
      <c r="F2102" s="1056">
        <v>368</v>
      </c>
      <c r="G2102" s="1056">
        <v>0</v>
      </c>
      <c r="H2102" s="1056">
        <v>0</v>
      </c>
      <c r="I2102" s="1056">
        <v>368</v>
      </c>
      <c r="J2102" s="996">
        <f t="shared" si="40"/>
        <v>0</v>
      </c>
      <c r="K2102" s="1037">
        <f t="shared" si="41"/>
        <v>8</v>
      </c>
    </row>
    <row r="2103" spans="1:11" ht="13.9" customHeight="1">
      <c r="A2103" s="1054">
        <v>52051501</v>
      </c>
      <c r="B2103" s="1055" t="s">
        <v>893</v>
      </c>
      <c r="C2103" s="1055" t="s">
        <v>544</v>
      </c>
      <c r="D2103" s="1055" t="s">
        <v>1428</v>
      </c>
      <c r="E2103" s="1055" t="s">
        <v>1429</v>
      </c>
      <c r="F2103" s="1056">
        <v>1822</v>
      </c>
      <c r="G2103" s="1056">
        <v>0</v>
      </c>
      <c r="H2103" s="1056">
        <v>0</v>
      </c>
      <c r="I2103" s="1056">
        <v>1822</v>
      </c>
      <c r="J2103" s="996">
        <f t="shared" si="40"/>
        <v>0</v>
      </c>
      <c r="K2103" s="1037">
        <f t="shared" si="41"/>
        <v>8</v>
      </c>
    </row>
    <row r="2104" spans="1:11" ht="13.9" customHeight="1">
      <c r="A2104" s="1054">
        <v>52051501</v>
      </c>
      <c r="B2104" s="1055" t="s">
        <v>893</v>
      </c>
      <c r="C2104" s="1055" t="s">
        <v>544</v>
      </c>
      <c r="D2104" s="1055" t="s">
        <v>1849</v>
      </c>
      <c r="E2104" s="1055" t="s">
        <v>1850</v>
      </c>
      <c r="F2104" s="1056">
        <v>60</v>
      </c>
      <c r="G2104" s="1056">
        <v>355</v>
      </c>
      <c r="H2104" s="1056">
        <v>0</v>
      </c>
      <c r="I2104" s="1056">
        <v>415</v>
      </c>
      <c r="J2104" s="996">
        <f t="shared" si="40"/>
        <v>-355</v>
      </c>
      <c r="K2104" s="1037">
        <f t="shared" si="41"/>
        <v>8</v>
      </c>
    </row>
    <row r="2105" spans="1:11" ht="13.9" customHeight="1">
      <c r="A2105" s="1054">
        <v>52051501</v>
      </c>
      <c r="B2105" s="1055" t="s">
        <v>893</v>
      </c>
      <c r="C2105" s="1055" t="s">
        <v>544</v>
      </c>
      <c r="D2105" s="1055" t="s">
        <v>1275</v>
      </c>
      <c r="E2105" s="1055" t="s">
        <v>991</v>
      </c>
      <c r="F2105" s="1056">
        <v>1771</v>
      </c>
      <c r="G2105" s="1056">
        <v>219</v>
      </c>
      <c r="H2105" s="1056">
        <v>0</v>
      </c>
      <c r="I2105" s="1056">
        <v>1991</v>
      </c>
      <c r="J2105" s="996">
        <f t="shared" si="40"/>
        <v>-219</v>
      </c>
      <c r="K2105" s="1037">
        <f t="shared" si="41"/>
        <v>8</v>
      </c>
    </row>
    <row r="2106" spans="1:11" ht="13.9" customHeight="1">
      <c r="A2106" s="1054">
        <v>52051501</v>
      </c>
      <c r="B2106" s="1055" t="s">
        <v>893</v>
      </c>
      <c r="C2106" s="1055" t="s">
        <v>544</v>
      </c>
      <c r="D2106" s="1055" t="s">
        <v>1380</v>
      </c>
      <c r="E2106" s="1055" t="s">
        <v>1381</v>
      </c>
      <c r="F2106" s="1056">
        <v>359</v>
      </c>
      <c r="G2106" s="1056">
        <v>0</v>
      </c>
      <c r="H2106" s="1056">
        <v>0</v>
      </c>
      <c r="I2106" s="1056">
        <v>359</v>
      </c>
      <c r="J2106" s="996">
        <f t="shared" si="40"/>
        <v>0</v>
      </c>
      <c r="K2106" s="1037">
        <f t="shared" si="41"/>
        <v>8</v>
      </c>
    </row>
    <row r="2107" spans="1:11" ht="13.9" customHeight="1">
      <c r="A2107" s="1054">
        <v>52051501</v>
      </c>
      <c r="B2107" s="1055" t="s">
        <v>893</v>
      </c>
      <c r="C2107" s="1055" t="s">
        <v>544</v>
      </c>
      <c r="D2107" s="1055" t="s">
        <v>1585</v>
      </c>
      <c r="E2107" s="1055" t="s">
        <v>1586</v>
      </c>
      <c r="F2107" s="1056">
        <v>55</v>
      </c>
      <c r="G2107" s="1056">
        <v>0</v>
      </c>
      <c r="H2107" s="1056">
        <v>0</v>
      </c>
      <c r="I2107" s="1056">
        <v>55</v>
      </c>
      <c r="J2107" s="996">
        <f t="shared" si="40"/>
        <v>0</v>
      </c>
      <c r="K2107" s="1037">
        <f t="shared" si="41"/>
        <v>8</v>
      </c>
    </row>
    <row r="2108" spans="1:11" ht="13.9" customHeight="1">
      <c r="A2108" s="1054">
        <v>52051501</v>
      </c>
      <c r="B2108" s="1055" t="s">
        <v>893</v>
      </c>
      <c r="C2108" s="1055" t="s">
        <v>544</v>
      </c>
      <c r="D2108" s="1055" t="s">
        <v>1382</v>
      </c>
      <c r="E2108" s="1055" t="s">
        <v>1763</v>
      </c>
      <c r="F2108" s="1056">
        <v>238</v>
      </c>
      <c r="G2108" s="1056">
        <v>86</v>
      </c>
      <c r="H2108" s="1056">
        <v>0</v>
      </c>
      <c r="I2108" s="1056">
        <v>323</v>
      </c>
      <c r="J2108" s="996">
        <f t="shared" si="40"/>
        <v>-86</v>
      </c>
      <c r="K2108" s="1037">
        <f t="shared" si="41"/>
        <v>8</v>
      </c>
    </row>
    <row r="2109" spans="1:11" ht="13.9" customHeight="1">
      <c r="A2109" s="1054">
        <v>52051501</v>
      </c>
      <c r="B2109" s="1055" t="s">
        <v>893</v>
      </c>
      <c r="C2109" s="1055" t="s">
        <v>544</v>
      </c>
      <c r="D2109" s="1055" t="s">
        <v>1440</v>
      </c>
      <c r="E2109" s="1055" t="s">
        <v>1441</v>
      </c>
      <c r="F2109" s="1056">
        <v>377</v>
      </c>
      <c r="G2109" s="1056">
        <v>0</v>
      </c>
      <c r="H2109" s="1056">
        <v>0</v>
      </c>
      <c r="I2109" s="1056">
        <v>377</v>
      </c>
      <c r="J2109" s="996">
        <f t="shared" si="40"/>
        <v>0</v>
      </c>
      <c r="K2109" s="1037">
        <f t="shared" si="41"/>
        <v>8</v>
      </c>
    </row>
    <row r="2110" spans="1:11" ht="13.9" customHeight="1">
      <c r="A2110" s="1054">
        <v>52051501</v>
      </c>
      <c r="B2110" s="1055" t="s">
        <v>893</v>
      </c>
      <c r="C2110" s="1055" t="s">
        <v>544</v>
      </c>
      <c r="D2110" s="1055" t="s">
        <v>1383</v>
      </c>
      <c r="E2110" s="1055" t="s">
        <v>1384</v>
      </c>
      <c r="F2110" s="1056">
        <v>2847</v>
      </c>
      <c r="G2110" s="1056">
        <v>290</v>
      </c>
      <c r="H2110" s="1056">
        <v>0</v>
      </c>
      <c r="I2110" s="1056">
        <v>3137</v>
      </c>
      <c r="J2110" s="996">
        <f t="shared" si="40"/>
        <v>-290</v>
      </c>
      <c r="K2110" s="1037">
        <f t="shared" si="41"/>
        <v>8</v>
      </c>
    </row>
    <row r="2111" spans="1:11" ht="13.9" customHeight="1">
      <c r="A2111" s="1054">
        <v>52051501</v>
      </c>
      <c r="B2111" s="1055" t="s">
        <v>893</v>
      </c>
      <c r="C2111" s="1055" t="s">
        <v>544</v>
      </c>
      <c r="D2111" s="1055" t="s">
        <v>1430</v>
      </c>
      <c r="E2111" s="1055" t="s">
        <v>1431</v>
      </c>
      <c r="F2111" s="1056">
        <v>357</v>
      </c>
      <c r="G2111" s="1056">
        <v>0</v>
      </c>
      <c r="H2111" s="1056">
        <v>0</v>
      </c>
      <c r="I2111" s="1056">
        <v>357</v>
      </c>
      <c r="J2111" s="996">
        <f t="shared" si="40"/>
        <v>0</v>
      </c>
      <c r="K2111" s="1037">
        <f t="shared" si="41"/>
        <v>8</v>
      </c>
    </row>
    <row r="2112" spans="1:11" ht="13.9" customHeight="1">
      <c r="A2112" s="1054">
        <v>52051501</v>
      </c>
      <c r="B2112" s="1055" t="s">
        <v>893</v>
      </c>
      <c r="C2112" s="1055" t="s">
        <v>544</v>
      </c>
      <c r="D2112" s="1055" t="s">
        <v>1587</v>
      </c>
      <c r="E2112" s="1055" t="s">
        <v>1588</v>
      </c>
      <c r="F2112" s="1056">
        <v>1461</v>
      </c>
      <c r="G2112" s="1056">
        <v>301</v>
      </c>
      <c r="H2112" s="1056">
        <v>0</v>
      </c>
      <c r="I2112" s="1056">
        <v>1762</v>
      </c>
      <c r="J2112" s="996">
        <f t="shared" si="40"/>
        <v>-301</v>
      </c>
      <c r="K2112" s="1037">
        <f t="shared" si="41"/>
        <v>8</v>
      </c>
    </row>
    <row r="2113" spans="1:11" ht="13.9" customHeight="1">
      <c r="A2113" s="1054">
        <v>520524</v>
      </c>
      <c r="B2113" s="1055" t="s">
        <v>893</v>
      </c>
      <c r="C2113" s="1055" t="s">
        <v>372</v>
      </c>
      <c r="D2113" s="1055" t="s">
        <v>893</v>
      </c>
      <c r="E2113" s="1055" t="s">
        <v>893</v>
      </c>
      <c r="F2113" s="1056">
        <v>2739</v>
      </c>
      <c r="G2113" s="1056">
        <v>1279</v>
      </c>
      <c r="H2113" s="1056">
        <v>0</v>
      </c>
      <c r="I2113" s="1056">
        <v>4018</v>
      </c>
      <c r="J2113" s="996">
        <f t="shared" si="40"/>
        <v>-1279</v>
      </c>
      <c r="K2113" s="1037">
        <f t="shared" si="41"/>
        <v>6</v>
      </c>
    </row>
    <row r="2114" spans="1:11" ht="13.9" customHeight="1">
      <c r="A2114" s="1054">
        <v>52052401</v>
      </c>
      <c r="B2114" s="1055" t="s">
        <v>893</v>
      </c>
      <c r="C2114" s="1055" t="s">
        <v>372</v>
      </c>
      <c r="D2114" s="1055" t="s">
        <v>893</v>
      </c>
      <c r="E2114" s="1055" t="s">
        <v>893</v>
      </c>
      <c r="F2114" s="1056">
        <v>2739</v>
      </c>
      <c r="G2114" s="1056">
        <v>1279</v>
      </c>
      <c r="H2114" s="1056">
        <v>0</v>
      </c>
      <c r="I2114" s="1056">
        <v>4018</v>
      </c>
      <c r="J2114" s="996">
        <f t="shared" si="40"/>
        <v>-1279</v>
      </c>
      <c r="K2114" s="1037">
        <f t="shared" si="41"/>
        <v>8</v>
      </c>
    </row>
    <row r="2115" spans="1:11" ht="13.9" customHeight="1">
      <c r="A2115" s="1054">
        <v>52052401</v>
      </c>
      <c r="B2115" s="1055" t="s">
        <v>893</v>
      </c>
      <c r="C2115" s="1055" t="s">
        <v>372</v>
      </c>
      <c r="D2115" s="1055" t="s">
        <v>1577</v>
      </c>
      <c r="E2115" s="1055" t="s">
        <v>1578</v>
      </c>
      <c r="F2115" s="1056">
        <v>58</v>
      </c>
      <c r="G2115" s="1056">
        <v>0</v>
      </c>
      <c r="H2115" s="1056">
        <v>0</v>
      </c>
      <c r="I2115" s="1056">
        <v>58</v>
      </c>
      <c r="J2115" s="996">
        <f t="shared" si="40"/>
        <v>0</v>
      </c>
      <c r="K2115" s="1037">
        <f t="shared" si="41"/>
        <v>8</v>
      </c>
    </row>
    <row r="2116" spans="1:11" ht="13.9" customHeight="1">
      <c r="A2116" s="1054">
        <v>52052401</v>
      </c>
      <c r="B2116" s="1055" t="s">
        <v>893</v>
      </c>
      <c r="C2116" s="1055" t="s">
        <v>372</v>
      </c>
      <c r="D2116" s="1055" t="s">
        <v>1360</v>
      </c>
      <c r="E2116" s="1055" t="s">
        <v>1361</v>
      </c>
      <c r="F2116" s="1056">
        <v>117</v>
      </c>
      <c r="G2116" s="1056">
        <v>0</v>
      </c>
      <c r="H2116" s="1056">
        <v>0</v>
      </c>
      <c r="I2116" s="1056">
        <v>117</v>
      </c>
      <c r="J2116" s="996">
        <f t="shared" si="40"/>
        <v>0</v>
      </c>
      <c r="K2116" s="1037">
        <f t="shared" si="41"/>
        <v>8</v>
      </c>
    </row>
    <row r="2117" spans="1:11" ht="13.9" customHeight="1">
      <c r="A2117" s="1054">
        <v>52052401</v>
      </c>
      <c r="B2117" s="1055" t="s">
        <v>893</v>
      </c>
      <c r="C2117" s="1055" t="s">
        <v>372</v>
      </c>
      <c r="D2117" s="1055" t="s">
        <v>1271</v>
      </c>
      <c r="E2117" s="1055" t="s">
        <v>782</v>
      </c>
      <c r="F2117" s="1056">
        <v>117</v>
      </c>
      <c r="G2117" s="1056">
        <v>0</v>
      </c>
      <c r="H2117" s="1056">
        <v>0</v>
      </c>
      <c r="I2117" s="1056">
        <v>117</v>
      </c>
      <c r="J2117" s="996">
        <f t="shared" si="40"/>
        <v>0</v>
      </c>
      <c r="K2117" s="1037">
        <f t="shared" si="41"/>
        <v>8</v>
      </c>
    </row>
    <row r="2118" spans="1:11" ht="13.9" customHeight="1">
      <c r="A2118" s="1054">
        <v>52052401</v>
      </c>
      <c r="B2118" s="1055" t="s">
        <v>893</v>
      </c>
      <c r="C2118" s="1055" t="s">
        <v>372</v>
      </c>
      <c r="D2118" s="1055" t="s">
        <v>1420</v>
      </c>
      <c r="E2118" s="1055" t="s">
        <v>1421</v>
      </c>
      <c r="F2118" s="1056">
        <v>762</v>
      </c>
      <c r="G2118" s="1056">
        <v>0</v>
      </c>
      <c r="H2118" s="1056">
        <v>0</v>
      </c>
      <c r="I2118" s="1056">
        <v>762</v>
      </c>
      <c r="J2118" s="996">
        <f t="shared" si="40"/>
        <v>0</v>
      </c>
      <c r="K2118" s="1037">
        <f t="shared" si="41"/>
        <v>8</v>
      </c>
    </row>
    <row r="2119" spans="1:11" ht="13.9" customHeight="1">
      <c r="A2119" s="1054">
        <v>52052401</v>
      </c>
      <c r="B2119" s="1055" t="s">
        <v>893</v>
      </c>
      <c r="C2119" s="1055" t="s">
        <v>372</v>
      </c>
      <c r="D2119" s="1055" t="s">
        <v>1521</v>
      </c>
      <c r="E2119" s="1055" t="s">
        <v>1522</v>
      </c>
      <c r="F2119" s="1056">
        <v>117</v>
      </c>
      <c r="G2119" s="1056">
        <v>0</v>
      </c>
      <c r="H2119" s="1056">
        <v>0</v>
      </c>
      <c r="I2119" s="1056">
        <v>117</v>
      </c>
      <c r="J2119" s="996">
        <f t="shared" si="40"/>
        <v>0</v>
      </c>
      <c r="K2119" s="1037">
        <f t="shared" si="41"/>
        <v>8</v>
      </c>
    </row>
    <row r="2120" spans="1:11" ht="13.9" customHeight="1">
      <c r="A2120" s="1054">
        <v>52052401</v>
      </c>
      <c r="B2120" s="1055" t="s">
        <v>893</v>
      </c>
      <c r="C2120" s="1055" t="s">
        <v>372</v>
      </c>
      <c r="D2120" s="1055" t="s">
        <v>1426</v>
      </c>
      <c r="E2120" s="1055" t="s">
        <v>1427</v>
      </c>
      <c r="F2120" s="1056">
        <v>0</v>
      </c>
      <c r="G2120" s="1056">
        <v>117</v>
      </c>
      <c r="H2120" s="1056">
        <v>0</v>
      </c>
      <c r="I2120" s="1056">
        <v>117</v>
      </c>
      <c r="J2120" s="996">
        <f t="shared" si="40"/>
        <v>-117</v>
      </c>
      <c r="K2120" s="1037">
        <f t="shared" si="41"/>
        <v>8</v>
      </c>
    </row>
    <row r="2121" spans="1:11" ht="13.9" customHeight="1">
      <c r="A2121" s="1054">
        <v>52052401</v>
      </c>
      <c r="B2121" s="1055" t="s">
        <v>893</v>
      </c>
      <c r="C2121" s="1055" t="s">
        <v>372</v>
      </c>
      <c r="D2121" s="1055" t="s">
        <v>1374</v>
      </c>
      <c r="E2121" s="1055" t="s">
        <v>1375</v>
      </c>
      <c r="F2121" s="1056">
        <v>117</v>
      </c>
      <c r="G2121" s="1056">
        <v>0</v>
      </c>
      <c r="H2121" s="1056">
        <v>0</v>
      </c>
      <c r="I2121" s="1056">
        <v>117</v>
      </c>
      <c r="J2121" s="996">
        <f t="shared" ref="J2121:J2184" si="42">+H2121-G2121</f>
        <v>0</v>
      </c>
      <c r="K2121" s="1037">
        <f t="shared" si="41"/>
        <v>8</v>
      </c>
    </row>
    <row r="2122" spans="1:11" ht="13.9" customHeight="1">
      <c r="A2122" s="1054">
        <v>52052401</v>
      </c>
      <c r="B2122" s="1055" t="s">
        <v>893</v>
      </c>
      <c r="C2122" s="1055" t="s">
        <v>372</v>
      </c>
      <c r="D2122" s="1055" t="s">
        <v>1306</v>
      </c>
      <c r="E2122" s="1055" t="s">
        <v>997</v>
      </c>
      <c r="F2122" s="1056">
        <v>117</v>
      </c>
      <c r="G2122" s="1056">
        <v>0</v>
      </c>
      <c r="H2122" s="1056">
        <v>0</v>
      </c>
      <c r="I2122" s="1056">
        <v>117</v>
      </c>
      <c r="J2122" s="996">
        <f t="shared" si="42"/>
        <v>0</v>
      </c>
      <c r="K2122" s="1037">
        <f t="shared" si="41"/>
        <v>8</v>
      </c>
    </row>
    <row r="2123" spans="1:11" ht="13.9" customHeight="1">
      <c r="A2123" s="1054">
        <v>52052401</v>
      </c>
      <c r="B2123" s="1055" t="s">
        <v>893</v>
      </c>
      <c r="C2123" s="1055" t="s">
        <v>372</v>
      </c>
      <c r="D2123" s="1055" t="s">
        <v>1250</v>
      </c>
      <c r="E2123" s="1055" t="s">
        <v>1251</v>
      </c>
      <c r="F2123" s="1056">
        <v>117</v>
      </c>
      <c r="G2123" s="1056">
        <v>117</v>
      </c>
      <c r="H2123" s="1056">
        <v>0</v>
      </c>
      <c r="I2123" s="1056">
        <v>233</v>
      </c>
      <c r="J2123" s="996">
        <f t="shared" si="42"/>
        <v>-117</v>
      </c>
      <c r="K2123" s="1037">
        <f t="shared" si="41"/>
        <v>8</v>
      </c>
    </row>
    <row r="2124" spans="1:11" ht="13.9" customHeight="1">
      <c r="A2124" s="1054">
        <v>52052401</v>
      </c>
      <c r="B2124" s="1055" t="s">
        <v>893</v>
      </c>
      <c r="C2124" s="1055" t="s">
        <v>372</v>
      </c>
      <c r="D2124" s="1055" t="s">
        <v>1686</v>
      </c>
      <c r="E2124" s="1055" t="s">
        <v>1687</v>
      </c>
      <c r="F2124" s="1056">
        <v>117</v>
      </c>
      <c r="G2124" s="1056">
        <v>0</v>
      </c>
      <c r="H2124" s="1056">
        <v>0</v>
      </c>
      <c r="I2124" s="1056">
        <v>117</v>
      </c>
      <c r="J2124" s="996">
        <f t="shared" si="42"/>
        <v>0</v>
      </c>
      <c r="K2124" s="1037">
        <f t="shared" si="41"/>
        <v>8</v>
      </c>
    </row>
    <row r="2125" spans="1:11" ht="13.9" customHeight="1">
      <c r="A2125" s="1054">
        <v>52052401</v>
      </c>
      <c r="B2125" s="1055" t="s">
        <v>893</v>
      </c>
      <c r="C2125" s="1055" t="s">
        <v>372</v>
      </c>
      <c r="D2125" s="1055" t="s">
        <v>1523</v>
      </c>
      <c r="E2125" s="1055" t="s">
        <v>1524</v>
      </c>
      <c r="F2125" s="1056">
        <v>58</v>
      </c>
      <c r="G2125" s="1056">
        <v>0</v>
      </c>
      <c r="H2125" s="1056">
        <v>0</v>
      </c>
      <c r="I2125" s="1056">
        <v>58</v>
      </c>
      <c r="J2125" s="996">
        <f t="shared" si="42"/>
        <v>0</v>
      </c>
      <c r="K2125" s="1037">
        <f t="shared" si="41"/>
        <v>8</v>
      </c>
    </row>
    <row r="2126" spans="1:11" ht="13.9" customHeight="1">
      <c r="A2126" s="1054">
        <v>52052401</v>
      </c>
      <c r="B2126" s="1055" t="s">
        <v>893</v>
      </c>
      <c r="C2126" s="1055" t="s">
        <v>372</v>
      </c>
      <c r="D2126" s="1055" t="s">
        <v>1480</v>
      </c>
      <c r="E2126" s="1055" t="s">
        <v>1481</v>
      </c>
      <c r="F2126" s="1056">
        <v>168</v>
      </c>
      <c r="G2126" s="1056">
        <v>0</v>
      </c>
      <c r="H2126" s="1056">
        <v>0</v>
      </c>
      <c r="I2126" s="1056">
        <v>168</v>
      </c>
      <c r="J2126" s="996">
        <f t="shared" si="42"/>
        <v>0</v>
      </c>
      <c r="K2126" s="1037">
        <f t="shared" si="41"/>
        <v>8</v>
      </c>
    </row>
    <row r="2127" spans="1:11" ht="13.9" customHeight="1">
      <c r="A2127" s="1054">
        <v>52052401</v>
      </c>
      <c r="B2127" s="1055" t="s">
        <v>893</v>
      </c>
      <c r="C2127" s="1055" t="s">
        <v>372</v>
      </c>
      <c r="D2127" s="1055" t="s">
        <v>1275</v>
      </c>
      <c r="E2127" s="1055" t="s">
        <v>991</v>
      </c>
      <c r="F2127" s="1056">
        <v>409</v>
      </c>
      <c r="G2127" s="1056">
        <v>1046</v>
      </c>
      <c r="H2127" s="1056">
        <v>0</v>
      </c>
      <c r="I2127" s="1056">
        <v>1454</v>
      </c>
      <c r="J2127" s="996">
        <f t="shared" si="42"/>
        <v>-1046</v>
      </c>
      <c r="K2127" s="1037">
        <f t="shared" si="41"/>
        <v>8</v>
      </c>
    </row>
    <row r="2128" spans="1:11" ht="13.9" customHeight="1">
      <c r="A2128" s="1054">
        <v>52052401</v>
      </c>
      <c r="B2128" s="1055" t="s">
        <v>893</v>
      </c>
      <c r="C2128" s="1055" t="s">
        <v>372</v>
      </c>
      <c r="D2128" s="1055" t="s">
        <v>1440</v>
      </c>
      <c r="E2128" s="1055" t="s">
        <v>1441</v>
      </c>
      <c r="F2128" s="1056">
        <v>467</v>
      </c>
      <c r="G2128" s="1056">
        <v>0</v>
      </c>
      <c r="H2128" s="1056">
        <v>0</v>
      </c>
      <c r="I2128" s="1056">
        <v>467</v>
      </c>
      <c r="J2128" s="996">
        <f t="shared" si="42"/>
        <v>0</v>
      </c>
      <c r="K2128" s="1037">
        <f t="shared" si="41"/>
        <v>8</v>
      </c>
    </row>
    <row r="2129" spans="1:11" ht="13.9" customHeight="1">
      <c r="A2129" s="1054">
        <v>520527</v>
      </c>
      <c r="B2129" s="1055" t="s">
        <v>893</v>
      </c>
      <c r="C2129" s="1055" t="s">
        <v>382</v>
      </c>
      <c r="D2129" s="1055" t="s">
        <v>893</v>
      </c>
      <c r="E2129" s="1055" t="s">
        <v>893</v>
      </c>
      <c r="F2129" s="1056">
        <v>32457</v>
      </c>
      <c r="G2129" s="1056">
        <v>6286</v>
      </c>
      <c r="H2129" s="1056">
        <v>17</v>
      </c>
      <c r="I2129" s="1056">
        <v>38726</v>
      </c>
      <c r="J2129" s="996">
        <f t="shared" si="42"/>
        <v>-6269</v>
      </c>
      <c r="K2129" s="1037">
        <f t="shared" si="41"/>
        <v>6</v>
      </c>
    </row>
    <row r="2130" spans="1:11" ht="13.9" customHeight="1">
      <c r="A2130" s="1054">
        <v>52052701</v>
      </c>
      <c r="B2130" s="1055" t="s">
        <v>893</v>
      </c>
      <c r="C2130" s="1055" t="s">
        <v>382</v>
      </c>
      <c r="D2130" s="1055" t="s">
        <v>893</v>
      </c>
      <c r="E2130" s="1055" t="s">
        <v>893</v>
      </c>
      <c r="F2130" s="1056">
        <v>32457</v>
      </c>
      <c r="G2130" s="1056">
        <v>6286</v>
      </c>
      <c r="H2130" s="1056">
        <v>17</v>
      </c>
      <c r="I2130" s="1056">
        <v>38726</v>
      </c>
      <c r="J2130" s="996">
        <f t="shared" si="42"/>
        <v>-6269</v>
      </c>
      <c r="K2130" s="1037">
        <f t="shared" si="41"/>
        <v>8</v>
      </c>
    </row>
    <row r="2131" spans="1:11" ht="13.9" customHeight="1">
      <c r="A2131" s="1054">
        <v>52052701</v>
      </c>
      <c r="B2131" s="1055" t="s">
        <v>893</v>
      </c>
      <c r="C2131" s="1055" t="s">
        <v>382</v>
      </c>
      <c r="D2131" s="1055" t="s">
        <v>1575</v>
      </c>
      <c r="E2131" s="1055" t="s">
        <v>1576</v>
      </c>
      <c r="F2131" s="1056">
        <v>739</v>
      </c>
      <c r="G2131" s="1056">
        <v>0</v>
      </c>
      <c r="H2131" s="1056">
        <v>0</v>
      </c>
      <c r="I2131" s="1056">
        <v>739</v>
      </c>
      <c r="J2131" s="996">
        <f t="shared" si="42"/>
        <v>0</v>
      </c>
      <c r="K2131" s="1037">
        <f t="shared" si="41"/>
        <v>8</v>
      </c>
    </row>
    <row r="2132" spans="1:11" ht="13.9" customHeight="1">
      <c r="A2132" s="1054">
        <v>52052701</v>
      </c>
      <c r="B2132" s="1055" t="s">
        <v>893</v>
      </c>
      <c r="C2132" s="1055" t="s">
        <v>382</v>
      </c>
      <c r="D2132" s="1055" t="s">
        <v>1891</v>
      </c>
      <c r="E2132" s="1055" t="s">
        <v>1892</v>
      </c>
      <c r="F2132" s="1056">
        <v>0</v>
      </c>
      <c r="G2132" s="1056">
        <v>249</v>
      </c>
      <c r="H2132" s="1056">
        <v>0</v>
      </c>
      <c r="I2132" s="1056">
        <v>249</v>
      </c>
      <c r="J2132" s="996">
        <f t="shared" si="42"/>
        <v>-249</v>
      </c>
      <c r="K2132" s="1037">
        <f t="shared" si="41"/>
        <v>8</v>
      </c>
    </row>
    <row r="2133" spans="1:11" ht="13.9" customHeight="1">
      <c r="A2133" s="1054">
        <v>52052701</v>
      </c>
      <c r="B2133" s="1055" t="s">
        <v>893</v>
      </c>
      <c r="C2133" s="1055" t="s">
        <v>382</v>
      </c>
      <c r="D2133" s="1055" t="s">
        <v>1577</v>
      </c>
      <c r="E2133" s="1055" t="s">
        <v>1578</v>
      </c>
      <c r="F2133" s="1056">
        <v>988</v>
      </c>
      <c r="G2133" s="1056">
        <v>249</v>
      </c>
      <c r="H2133" s="1056">
        <v>0</v>
      </c>
      <c r="I2133" s="1056">
        <v>1237</v>
      </c>
      <c r="J2133" s="996">
        <f t="shared" si="42"/>
        <v>-249</v>
      </c>
      <c r="K2133" s="1037">
        <f t="shared" si="41"/>
        <v>8</v>
      </c>
    </row>
    <row r="2134" spans="1:11" ht="13.9" customHeight="1">
      <c r="A2134" s="1054">
        <v>52052701</v>
      </c>
      <c r="B2134" s="1055" t="s">
        <v>893</v>
      </c>
      <c r="C2134" s="1055" t="s">
        <v>382</v>
      </c>
      <c r="D2134" s="1055" t="s">
        <v>1360</v>
      </c>
      <c r="E2134" s="1055" t="s">
        <v>1361</v>
      </c>
      <c r="F2134" s="1056">
        <v>1229</v>
      </c>
      <c r="G2134" s="1056">
        <v>249</v>
      </c>
      <c r="H2134" s="1056">
        <v>0</v>
      </c>
      <c r="I2134" s="1056">
        <v>1478</v>
      </c>
      <c r="J2134" s="996">
        <f t="shared" si="42"/>
        <v>-249</v>
      </c>
      <c r="K2134" s="1037">
        <f t="shared" si="41"/>
        <v>8</v>
      </c>
    </row>
    <row r="2135" spans="1:11" ht="13.9" customHeight="1">
      <c r="A2135" s="1054">
        <v>52052701</v>
      </c>
      <c r="B2135" s="1055" t="s">
        <v>893</v>
      </c>
      <c r="C2135" s="1055" t="s">
        <v>382</v>
      </c>
      <c r="D2135" s="1055" t="s">
        <v>1893</v>
      </c>
      <c r="E2135" s="1055" t="s">
        <v>1894</v>
      </c>
      <c r="F2135" s="1056">
        <v>0</v>
      </c>
      <c r="G2135" s="1056">
        <v>249</v>
      </c>
      <c r="H2135" s="1056">
        <v>0</v>
      </c>
      <c r="I2135" s="1056">
        <v>249</v>
      </c>
      <c r="J2135" s="996">
        <f t="shared" si="42"/>
        <v>-249</v>
      </c>
      <c r="K2135" s="1037">
        <f t="shared" si="41"/>
        <v>8</v>
      </c>
    </row>
    <row r="2136" spans="1:11" ht="13.9" customHeight="1">
      <c r="A2136" s="1054">
        <v>52052701</v>
      </c>
      <c r="B2136" s="1055" t="s">
        <v>893</v>
      </c>
      <c r="C2136" s="1055" t="s">
        <v>382</v>
      </c>
      <c r="D2136" s="1055" t="s">
        <v>1298</v>
      </c>
      <c r="E2136" s="1055" t="s">
        <v>987</v>
      </c>
      <c r="F2136" s="1056">
        <v>805</v>
      </c>
      <c r="G2136" s="1056">
        <v>0</v>
      </c>
      <c r="H2136" s="1056">
        <v>0</v>
      </c>
      <c r="I2136" s="1056">
        <v>805</v>
      </c>
      <c r="J2136" s="996">
        <f t="shared" si="42"/>
        <v>0</v>
      </c>
      <c r="K2136" s="1037">
        <f t="shared" si="41"/>
        <v>8</v>
      </c>
    </row>
    <row r="2137" spans="1:11" ht="13.9" customHeight="1">
      <c r="A2137" s="1054">
        <v>52052701</v>
      </c>
      <c r="B2137" s="1055" t="s">
        <v>893</v>
      </c>
      <c r="C2137" s="1055" t="s">
        <v>382</v>
      </c>
      <c r="D2137" s="1055" t="s">
        <v>1484</v>
      </c>
      <c r="E2137" s="1055" t="s">
        <v>1485</v>
      </c>
      <c r="F2137" s="1056">
        <v>1096</v>
      </c>
      <c r="G2137" s="1056">
        <v>249</v>
      </c>
      <c r="H2137" s="1056">
        <v>0</v>
      </c>
      <c r="I2137" s="1056">
        <v>1345</v>
      </c>
      <c r="J2137" s="996">
        <f t="shared" si="42"/>
        <v>-249</v>
      </c>
      <c r="K2137" s="1037">
        <f t="shared" si="41"/>
        <v>8</v>
      </c>
    </row>
    <row r="2138" spans="1:11" ht="13.9" customHeight="1">
      <c r="A2138" s="1054">
        <v>52052701</v>
      </c>
      <c r="B2138" s="1055" t="s">
        <v>893</v>
      </c>
      <c r="C2138" s="1055" t="s">
        <v>382</v>
      </c>
      <c r="D2138" s="1055" t="s">
        <v>1579</v>
      </c>
      <c r="E2138" s="1055" t="s">
        <v>1580</v>
      </c>
      <c r="F2138" s="1056">
        <v>996</v>
      </c>
      <c r="G2138" s="1056">
        <v>249</v>
      </c>
      <c r="H2138" s="1056">
        <v>0</v>
      </c>
      <c r="I2138" s="1056">
        <v>1245</v>
      </c>
      <c r="J2138" s="996">
        <f t="shared" si="42"/>
        <v>-249</v>
      </c>
      <c r="K2138" s="1037">
        <f t="shared" si="41"/>
        <v>8</v>
      </c>
    </row>
    <row r="2139" spans="1:11" ht="13.9" customHeight="1">
      <c r="A2139" s="1054">
        <v>52052701</v>
      </c>
      <c r="B2139" s="1055" t="s">
        <v>893</v>
      </c>
      <c r="C2139" s="1055" t="s">
        <v>382</v>
      </c>
      <c r="D2139" s="1055" t="s">
        <v>1270</v>
      </c>
      <c r="E2139" s="1055" t="s">
        <v>988</v>
      </c>
      <c r="F2139" s="1056">
        <v>1196</v>
      </c>
      <c r="G2139" s="1056">
        <v>249</v>
      </c>
      <c r="H2139" s="1056">
        <v>0</v>
      </c>
      <c r="I2139" s="1056">
        <v>1445</v>
      </c>
      <c r="J2139" s="996">
        <f t="shared" si="42"/>
        <v>-249</v>
      </c>
      <c r="K2139" s="1037">
        <f t="shared" si="41"/>
        <v>8</v>
      </c>
    </row>
    <row r="2140" spans="1:11" ht="13.9" customHeight="1">
      <c r="A2140" s="1054">
        <v>52052701</v>
      </c>
      <c r="B2140" s="1055" t="s">
        <v>893</v>
      </c>
      <c r="C2140" s="1055" t="s">
        <v>382</v>
      </c>
      <c r="D2140" s="1055" t="s">
        <v>1271</v>
      </c>
      <c r="E2140" s="1055" t="s">
        <v>782</v>
      </c>
      <c r="F2140" s="1056">
        <v>199</v>
      </c>
      <c r="G2140" s="1056">
        <v>0</v>
      </c>
      <c r="H2140" s="1056">
        <v>0</v>
      </c>
      <c r="I2140" s="1056">
        <v>199</v>
      </c>
      <c r="J2140" s="996">
        <f t="shared" si="42"/>
        <v>0</v>
      </c>
      <c r="K2140" s="1037">
        <f t="shared" si="41"/>
        <v>8</v>
      </c>
    </row>
    <row r="2141" spans="1:11" ht="13.9" customHeight="1">
      <c r="A2141" s="1054">
        <v>52052701</v>
      </c>
      <c r="B2141" s="1055" t="s">
        <v>893</v>
      </c>
      <c r="C2141" s="1055" t="s">
        <v>382</v>
      </c>
      <c r="D2141" s="1055" t="s">
        <v>1272</v>
      </c>
      <c r="E2141" s="1055" t="s">
        <v>1273</v>
      </c>
      <c r="F2141" s="1056">
        <v>0</v>
      </c>
      <c r="G2141" s="1056">
        <v>249</v>
      </c>
      <c r="H2141" s="1056">
        <v>0</v>
      </c>
      <c r="I2141" s="1056">
        <v>249</v>
      </c>
      <c r="J2141" s="996">
        <f t="shared" si="42"/>
        <v>-249</v>
      </c>
      <c r="K2141" s="1037">
        <f t="shared" si="41"/>
        <v>8</v>
      </c>
    </row>
    <row r="2142" spans="1:11" ht="13.9" customHeight="1">
      <c r="A2142" s="1054">
        <v>52052701</v>
      </c>
      <c r="B2142" s="1055" t="s">
        <v>893</v>
      </c>
      <c r="C2142" s="1055" t="s">
        <v>382</v>
      </c>
      <c r="D2142" s="1055" t="s">
        <v>1420</v>
      </c>
      <c r="E2142" s="1055" t="s">
        <v>1421</v>
      </c>
      <c r="F2142" s="1056">
        <v>1138</v>
      </c>
      <c r="G2142" s="1056">
        <v>125</v>
      </c>
      <c r="H2142" s="1056">
        <v>0</v>
      </c>
      <c r="I2142" s="1056">
        <v>1262</v>
      </c>
      <c r="J2142" s="996">
        <f t="shared" si="42"/>
        <v>-125</v>
      </c>
      <c r="K2142" s="1037">
        <f t="shared" si="41"/>
        <v>8</v>
      </c>
    </row>
    <row r="2143" spans="1:11" ht="13.9" customHeight="1">
      <c r="A2143" s="1054">
        <v>52052701</v>
      </c>
      <c r="B2143" s="1055" t="s">
        <v>893</v>
      </c>
      <c r="C2143" s="1055" t="s">
        <v>382</v>
      </c>
      <c r="D2143" s="1055" t="s">
        <v>1493</v>
      </c>
      <c r="E2143" s="1055" t="s">
        <v>1494</v>
      </c>
      <c r="F2143" s="1056">
        <v>996</v>
      </c>
      <c r="G2143" s="1056">
        <v>0</v>
      </c>
      <c r="H2143" s="1056">
        <v>0</v>
      </c>
      <c r="I2143" s="1056">
        <v>996</v>
      </c>
      <c r="J2143" s="996">
        <f t="shared" si="42"/>
        <v>0</v>
      </c>
      <c r="K2143" s="1037">
        <f t="shared" si="41"/>
        <v>8</v>
      </c>
    </row>
    <row r="2144" spans="1:11" ht="13.9" customHeight="1">
      <c r="A2144" s="1054">
        <v>52052701</v>
      </c>
      <c r="B2144" s="1055" t="s">
        <v>893</v>
      </c>
      <c r="C2144" s="1055" t="s">
        <v>382</v>
      </c>
      <c r="D2144" s="1055" t="s">
        <v>1841</v>
      </c>
      <c r="E2144" s="1055" t="s">
        <v>1842</v>
      </c>
      <c r="F2144" s="1056">
        <v>249</v>
      </c>
      <c r="G2144" s="1056">
        <v>241</v>
      </c>
      <c r="H2144" s="1056">
        <v>0</v>
      </c>
      <c r="I2144" s="1056">
        <v>490</v>
      </c>
      <c r="J2144" s="996">
        <f t="shared" si="42"/>
        <v>-241</v>
      </c>
      <c r="K2144" s="1037">
        <f t="shared" si="41"/>
        <v>8</v>
      </c>
    </row>
    <row r="2145" spans="1:11" ht="13.9" customHeight="1">
      <c r="A2145" s="1054">
        <v>52052701</v>
      </c>
      <c r="B2145" s="1055" t="s">
        <v>893</v>
      </c>
      <c r="C2145" s="1055" t="s">
        <v>382</v>
      </c>
      <c r="D2145" s="1055" t="s">
        <v>1519</v>
      </c>
      <c r="E2145" s="1055" t="s">
        <v>1520</v>
      </c>
      <c r="F2145" s="1056">
        <v>133</v>
      </c>
      <c r="G2145" s="1056">
        <v>0</v>
      </c>
      <c r="H2145" s="1056">
        <v>0</v>
      </c>
      <c r="I2145" s="1056">
        <v>133</v>
      </c>
      <c r="J2145" s="996">
        <f t="shared" si="42"/>
        <v>0</v>
      </c>
      <c r="K2145" s="1037">
        <f t="shared" si="41"/>
        <v>8</v>
      </c>
    </row>
    <row r="2146" spans="1:11" ht="13.9" customHeight="1">
      <c r="A2146" s="1054">
        <v>52052701</v>
      </c>
      <c r="B2146" s="1055" t="s">
        <v>893</v>
      </c>
      <c r="C2146" s="1055" t="s">
        <v>382</v>
      </c>
      <c r="D2146" s="1055" t="s">
        <v>1368</v>
      </c>
      <c r="E2146" s="1055" t="s">
        <v>1369</v>
      </c>
      <c r="F2146" s="1056">
        <v>66</v>
      </c>
      <c r="G2146" s="1056">
        <v>0</v>
      </c>
      <c r="H2146" s="1056">
        <v>0</v>
      </c>
      <c r="I2146" s="1056">
        <v>66</v>
      </c>
      <c r="J2146" s="996">
        <f t="shared" si="42"/>
        <v>0</v>
      </c>
      <c r="K2146" s="1037">
        <f t="shared" si="41"/>
        <v>8</v>
      </c>
    </row>
    <row r="2147" spans="1:11" ht="13.9" customHeight="1">
      <c r="A2147" s="1054">
        <v>52052701</v>
      </c>
      <c r="B2147" s="1055" t="s">
        <v>893</v>
      </c>
      <c r="C2147" s="1055" t="s">
        <v>382</v>
      </c>
      <c r="D2147" s="1055" t="s">
        <v>1895</v>
      </c>
      <c r="E2147" s="1055" t="s">
        <v>1896</v>
      </c>
      <c r="F2147" s="1056">
        <v>0</v>
      </c>
      <c r="G2147" s="1056">
        <v>50</v>
      </c>
      <c r="H2147" s="1056">
        <v>0</v>
      </c>
      <c r="I2147" s="1056">
        <v>50</v>
      </c>
      <c r="J2147" s="996">
        <f t="shared" si="42"/>
        <v>-50</v>
      </c>
      <c r="K2147" s="1037">
        <f t="shared" si="41"/>
        <v>8</v>
      </c>
    </row>
    <row r="2148" spans="1:11" ht="13.9" customHeight="1">
      <c r="A2148" s="1054">
        <v>52052701</v>
      </c>
      <c r="B2148" s="1055" t="s">
        <v>893</v>
      </c>
      <c r="C2148" s="1055" t="s">
        <v>382</v>
      </c>
      <c r="D2148" s="1055" t="s">
        <v>1495</v>
      </c>
      <c r="E2148" s="1055" t="s">
        <v>1496</v>
      </c>
      <c r="F2148" s="1056">
        <v>50</v>
      </c>
      <c r="G2148" s="1056">
        <v>0</v>
      </c>
      <c r="H2148" s="1056">
        <v>0</v>
      </c>
      <c r="I2148" s="1056">
        <v>50</v>
      </c>
      <c r="J2148" s="996">
        <f t="shared" si="42"/>
        <v>0</v>
      </c>
      <c r="K2148" s="1037">
        <f t="shared" si="41"/>
        <v>8</v>
      </c>
    </row>
    <row r="2149" spans="1:11" ht="13.9" customHeight="1">
      <c r="A2149" s="1054">
        <v>52052701</v>
      </c>
      <c r="B2149" s="1055" t="s">
        <v>893</v>
      </c>
      <c r="C2149" s="1055" t="s">
        <v>382</v>
      </c>
      <c r="D2149" s="1055" t="s">
        <v>1320</v>
      </c>
      <c r="E2149" s="1055" t="s">
        <v>1321</v>
      </c>
      <c r="F2149" s="1056">
        <v>1129</v>
      </c>
      <c r="G2149" s="1056">
        <v>249</v>
      </c>
      <c r="H2149" s="1056">
        <v>0</v>
      </c>
      <c r="I2149" s="1056">
        <v>1378</v>
      </c>
      <c r="J2149" s="996">
        <f t="shared" si="42"/>
        <v>-249</v>
      </c>
      <c r="K2149" s="1037">
        <f t="shared" si="41"/>
        <v>8</v>
      </c>
    </row>
    <row r="2150" spans="1:11" ht="13.9" customHeight="1">
      <c r="A2150" s="1054">
        <v>52052701</v>
      </c>
      <c r="B2150" s="1055" t="s">
        <v>893</v>
      </c>
      <c r="C2150" s="1055" t="s">
        <v>382</v>
      </c>
      <c r="D2150" s="1055" t="s">
        <v>1274</v>
      </c>
      <c r="E2150" s="1055" t="s">
        <v>989</v>
      </c>
      <c r="F2150" s="1056">
        <v>1237</v>
      </c>
      <c r="G2150" s="1056">
        <v>249</v>
      </c>
      <c r="H2150" s="1056">
        <v>0</v>
      </c>
      <c r="I2150" s="1056">
        <v>1486</v>
      </c>
      <c r="J2150" s="996">
        <f t="shared" si="42"/>
        <v>-249</v>
      </c>
      <c r="K2150" s="1037">
        <f t="shared" si="41"/>
        <v>8</v>
      </c>
    </row>
    <row r="2151" spans="1:11" ht="13.9" customHeight="1">
      <c r="A2151" s="1054">
        <v>52052701</v>
      </c>
      <c r="B2151" s="1055" t="s">
        <v>893</v>
      </c>
      <c r="C2151" s="1055" t="s">
        <v>382</v>
      </c>
      <c r="D2151" s="1055" t="s">
        <v>1497</v>
      </c>
      <c r="E2151" s="1055" t="s">
        <v>1498</v>
      </c>
      <c r="F2151" s="1056">
        <v>897</v>
      </c>
      <c r="G2151" s="1056">
        <v>0</v>
      </c>
      <c r="H2151" s="1056">
        <v>0</v>
      </c>
      <c r="I2151" s="1056">
        <v>897</v>
      </c>
      <c r="J2151" s="996">
        <f t="shared" si="42"/>
        <v>0</v>
      </c>
      <c r="K2151" s="1037">
        <f t="shared" si="41"/>
        <v>8</v>
      </c>
    </row>
    <row r="2152" spans="1:11" ht="13.9" customHeight="1">
      <c r="A2152" s="1054">
        <v>52052701</v>
      </c>
      <c r="B2152" s="1055" t="s">
        <v>893</v>
      </c>
      <c r="C2152" s="1055" t="s">
        <v>382</v>
      </c>
      <c r="D2152" s="1055" t="s">
        <v>1370</v>
      </c>
      <c r="E2152" s="1055" t="s">
        <v>1371</v>
      </c>
      <c r="F2152" s="1056">
        <v>996</v>
      </c>
      <c r="G2152" s="1056">
        <v>249</v>
      </c>
      <c r="H2152" s="1056">
        <v>0</v>
      </c>
      <c r="I2152" s="1056">
        <v>1245</v>
      </c>
      <c r="J2152" s="996">
        <f t="shared" si="42"/>
        <v>-249</v>
      </c>
      <c r="K2152" s="1037">
        <f t="shared" si="41"/>
        <v>8</v>
      </c>
    </row>
    <row r="2153" spans="1:11" ht="13.9" customHeight="1">
      <c r="A2153" s="1054">
        <v>52052701</v>
      </c>
      <c r="B2153" s="1055" t="s">
        <v>893</v>
      </c>
      <c r="C2153" s="1055" t="s">
        <v>382</v>
      </c>
      <c r="D2153" s="1055" t="s">
        <v>1843</v>
      </c>
      <c r="E2153" s="1055" t="s">
        <v>1844</v>
      </c>
      <c r="F2153" s="1056">
        <v>166</v>
      </c>
      <c r="G2153" s="1056">
        <v>0</v>
      </c>
      <c r="H2153" s="1056">
        <v>17</v>
      </c>
      <c r="I2153" s="1056">
        <v>149</v>
      </c>
      <c r="J2153" s="996">
        <f t="shared" si="42"/>
        <v>17</v>
      </c>
      <c r="K2153" s="1037">
        <f t="shared" si="41"/>
        <v>8</v>
      </c>
    </row>
    <row r="2154" spans="1:11" ht="13.9" customHeight="1">
      <c r="A2154" s="1054">
        <v>52052701</v>
      </c>
      <c r="B2154" s="1055" t="s">
        <v>893</v>
      </c>
      <c r="C2154" s="1055" t="s">
        <v>382</v>
      </c>
      <c r="D2154" s="1055" t="s">
        <v>1759</v>
      </c>
      <c r="E2154" s="1055" t="s">
        <v>1760</v>
      </c>
      <c r="F2154" s="1056">
        <v>191</v>
      </c>
      <c r="G2154" s="1056">
        <v>0</v>
      </c>
      <c r="H2154" s="1056">
        <v>0</v>
      </c>
      <c r="I2154" s="1056">
        <v>191</v>
      </c>
      <c r="J2154" s="996">
        <f t="shared" si="42"/>
        <v>0</v>
      </c>
      <c r="K2154" s="1037">
        <f t="shared" si="41"/>
        <v>8</v>
      </c>
    </row>
    <row r="2155" spans="1:11" ht="13.9" customHeight="1">
      <c r="A2155" s="1054">
        <v>52052701</v>
      </c>
      <c r="B2155" s="1055" t="s">
        <v>893</v>
      </c>
      <c r="C2155" s="1055" t="s">
        <v>382</v>
      </c>
      <c r="D2155" s="1055" t="s">
        <v>1581</v>
      </c>
      <c r="E2155" s="1055" t="s">
        <v>1582</v>
      </c>
      <c r="F2155" s="1056">
        <v>581</v>
      </c>
      <c r="G2155" s="1056">
        <v>0</v>
      </c>
      <c r="H2155" s="1056">
        <v>0</v>
      </c>
      <c r="I2155" s="1056">
        <v>581</v>
      </c>
      <c r="J2155" s="996">
        <f t="shared" si="42"/>
        <v>0</v>
      </c>
      <c r="K2155" s="1037">
        <f t="shared" si="41"/>
        <v>8</v>
      </c>
    </row>
    <row r="2156" spans="1:11" ht="13.9" customHeight="1">
      <c r="A2156" s="1054">
        <v>52052701</v>
      </c>
      <c r="B2156" s="1055" t="s">
        <v>893</v>
      </c>
      <c r="C2156" s="1055" t="s">
        <v>382</v>
      </c>
      <c r="D2156" s="1055" t="s">
        <v>1521</v>
      </c>
      <c r="E2156" s="1055" t="s">
        <v>1522</v>
      </c>
      <c r="F2156" s="1056">
        <v>1104</v>
      </c>
      <c r="G2156" s="1056">
        <v>249</v>
      </c>
      <c r="H2156" s="1056">
        <v>0</v>
      </c>
      <c r="I2156" s="1056">
        <v>1353</v>
      </c>
      <c r="J2156" s="996">
        <f t="shared" si="42"/>
        <v>-249</v>
      </c>
      <c r="K2156" s="1037">
        <f t="shared" si="41"/>
        <v>8</v>
      </c>
    </row>
    <row r="2157" spans="1:11" ht="13.9" customHeight="1">
      <c r="A2157" s="1054">
        <v>52052701</v>
      </c>
      <c r="B2157" s="1055" t="s">
        <v>893</v>
      </c>
      <c r="C2157" s="1055" t="s">
        <v>382</v>
      </c>
      <c r="D2157" s="1055" t="s">
        <v>1426</v>
      </c>
      <c r="E2157" s="1055" t="s">
        <v>1427</v>
      </c>
      <c r="F2157" s="1056">
        <v>1245</v>
      </c>
      <c r="G2157" s="1056">
        <v>232</v>
      </c>
      <c r="H2157" s="1056">
        <v>0</v>
      </c>
      <c r="I2157" s="1056">
        <v>1478</v>
      </c>
      <c r="J2157" s="996">
        <f t="shared" si="42"/>
        <v>-232</v>
      </c>
      <c r="K2157" s="1037">
        <f t="shared" si="41"/>
        <v>8</v>
      </c>
    </row>
    <row r="2158" spans="1:11" ht="13.9" customHeight="1">
      <c r="A2158" s="1054">
        <v>52052701</v>
      </c>
      <c r="B2158" s="1055" t="s">
        <v>893</v>
      </c>
      <c r="C2158" s="1055" t="s">
        <v>382</v>
      </c>
      <c r="D2158" s="1055" t="s">
        <v>1583</v>
      </c>
      <c r="E2158" s="1055" t="s">
        <v>1584</v>
      </c>
      <c r="F2158" s="1056">
        <v>191</v>
      </c>
      <c r="G2158" s="1056">
        <v>0</v>
      </c>
      <c r="H2158" s="1056">
        <v>0</v>
      </c>
      <c r="I2158" s="1056">
        <v>191</v>
      </c>
      <c r="J2158" s="996">
        <f t="shared" si="42"/>
        <v>0</v>
      </c>
      <c r="K2158" s="1037">
        <f t="shared" ref="K2158:K2221" si="43">+LEN(A2158)</f>
        <v>8</v>
      </c>
    </row>
    <row r="2159" spans="1:11" ht="13.9" customHeight="1">
      <c r="A2159" s="1054">
        <v>52052701</v>
      </c>
      <c r="B2159" s="1055" t="s">
        <v>893</v>
      </c>
      <c r="C2159" s="1055" t="s">
        <v>382</v>
      </c>
      <c r="D2159" s="1055" t="s">
        <v>1374</v>
      </c>
      <c r="E2159" s="1055" t="s">
        <v>1375</v>
      </c>
      <c r="F2159" s="1056">
        <v>1221</v>
      </c>
      <c r="G2159" s="1056">
        <v>249</v>
      </c>
      <c r="H2159" s="1056">
        <v>0</v>
      </c>
      <c r="I2159" s="1056">
        <v>1470</v>
      </c>
      <c r="J2159" s="996">
        <f t="shared" si="42"/>
        <v>-249</v>
      </c>
      <c r="K2159" s="1037">
        <f t="shared" si="43"/>
        <v>8</v>
      </c>
    </row>
    <row r="2160" spans="1:11" ht="13.9" customHeight="1">
      <c r="A2160" s="1054">
        <v>52052701</v>
      </c>
      <c r="B2160" s="1055" t="s">
        <v>893</v>
      </c>
      <c r="C2160" s="1055" t="s">
        <v>382</v>
      </c>
      <c r="D2160" s="1055" t="s">
        <v>1249</v>
      </c>
      <c r="E2160" s="1055" t="s">
        <v>583</v>
      </c>
      <c r="F2160" s="1056">
        <v>1245</v>
      </c>
      <c r="G2160" s="1056">
        <v>249</v>
      </c>
      <c r="H2160" s="1056">
        <v>0</v>
      </c>
      <c r="I2160" s="1056">
        <v>1495</v>
      </c>
      <c r="J2160" s="996">
        <f t="shared" si="42"/>
        <v>-249</v>
      </c>
      <c r="K2160" s="1037">
        <f t="shared" si="43"/>
        <v>8</v>
      </c>
    </row>
    <row r="2161" spans="1:11" ht="13.9" customHeight="1">
      <c r="A2161" s="1054">
        <v>52052701</v>
      </c>
      <c r="B2161" s="1055" t="s">
        <v>893</v>
      </c>
      <c r="C2161" s="1055" t="s">
        <v>382</v>
      </c>
      <c r="D2161" s="1055" t="s">
        <v>1376</v>
      </c>
      <c r="E2161" s="1055" t="s">
        <v>1377</v>
      </c>
      <c r="F2161" s="1056">
        <v>1021</v>
      </c>
      <c r="G2161" s="1056">
        <v>0</v>
      </c>
      <c r="H2161" s="1056">
        <v>0</v>
      </c>
      <c r="I2161" s="1056">
        <v>1021</v>
      </c>
      <c r="J2161" s="996">
        <f t="shared" si="42"/>
        <v>0</v>
      </c>
      <c r="K2161" s="1037">
        <f t="shared" si="43"/>
        <v>8</v>
      </c>
    </row>
    <row r="2162" spans="1:11" ht="13.9" customHeight="1">
      <c r="A2162" s="1054">
        <v>52052701</v>
      </c>
      <c r="B2162" s="1055" t="s">
        <v>893</v>
      </c>
      <c r="C2162" s="1055" t="s">
        <v>382</v>
      </c>
      <c r="D2162" s="1055" t="s">
        <v>1845</v>
      </c>
      <c r="E2162" s="1055" t="s">
        <v>1846</v>
      </c>
      <c r="F2162" s="1056">
        <v>166</v>
      </c>
      <c r="G2162" s="1056">
        <v>249</v>
      </c>
      <c r="H2162" s="1056">
        <v>0</v>
      </c>
      <c r="I2162" s="1056">
        <v>415</v>
      </c>
      <c r="J2162" s="996">
        <f t="shared" si="42"/>
        <v>-249</v>
      </c>
      <c r="K2162" s="1037">
        <f t="shared" si="43"/>
        <v>8</v>
      </c>
    </row>
    <row r="2163" spans="1:11" ht="13.9" customHeight="1">
      <c r="A2163" s="1054">
        <v>52052701</v>
      </c>
      <c r="B2163" s="1055" t="s">
        <v>893</v>
      </c>
      <c r="C2163" s="1055" t="s">
        <v>382</v>
      </c>
      <c r="D2163" s="1055" t="s">
        <v>1306</v>
      </c>
      <c r="E2163" s="1055" t="s">
        <v>997</v>
      </c>
      <c r="F2163" s="1056">
        <v>656</v>
      </c>
      <c r="G2163" s="1056">
        <v>0</v>
      </c>
      <c r="H2163" s="1056">
        <v>0</v>
      </c>
      <c r="I2163" s="1056">
        <v>656</v>
      </c>
      <c r="J2163" s="996">
        <f t="shared" si="42"/>
        <v>0</v>
      </c>
      <c r="K2163" s="1037">
        <f t="shared" si="43"/>
        <v>8</v>
      </c>
    </row>
    <row r="2164" spans="1:11" ht="13.9" customHeight="1">
      <c r="A2164" s="1054">
        <v>52052701</v>
      </c>
      <c r="B2164" s="1055" t="s">
        <v>893</v>
      </c>
      <c r="C2164" s="1055" t="s">
        <v>382</v>
      </c>
      <c r="D2164" s="1055" t="s">
        <v>1897</v>
      </c>
      <c r="E2164" s="1055" t="s">
        <v>1898</v>
      </c>
      <c r="F2164" s="1056">
        <v>0</v>
      </c>
      <c r="G2164" s="1056">
        <v>66</v>
      </c>
      <c r="H2164" s="1056">
        <v>0</v>
      </c>
      <c r="I2164" s="1056">
        <v>66</v>
      </c>
      <c r="J2164" s="996">
        <f t="shared" si="42"/>
        <v>-66</v>
      </c>
      <c r="K2164" s="1037">
        <f t="shared" si="43"/>
        <v>8</v>
      </c>
    </row>
    <row r="2165" spans="1:11" ht="13.9" customHeight="1">
      <c r="A2165" s="1054">
        <v>52052701</v>
      </c>
      <c r="B2165" s="1055" t="s">
        <v>893</v>
      </c>
      <c r="C2165" s="1055" t="s">
        <v>382</v>
      </c>
      <c r="D2165" s="1055" t="s">
        <v>1250</v>
      </c>
      <c r="E2165" s="1055" t="s">
        <v>1251</v>
      </c>
      <c r="F2165" s="1056">
        <v>1229</v>
      </c>
      <c r="G2165" s="1056">
        <v>232</v>
      </c>
      <c r="H2165" s="1056">
        <v>0</v>
      </c>
      <c r="I2165" s="1056">
        <v>1461</v>
      </c>
      <c r="J2165" s="996">
        <f t="shared" si="42"/>
        <v>-232</v>
      </c>
      <c r="K2165" s="1037">
        <f t="shared" si="43"/>
        <v>8</v>
      </c>
    </row>
    <row r="2166" spans="1:11" ht="13.9" customHeight="1">
      <c r="A2166" s="1054">
        <v>52052701</v>
      </c>
      <c r="B2166" s="1055" t="s">
        <v>893</v>
      </c>
      <c r="C2166" s="1055" t="s">
        <v>382</v>
      </c>
      <c r="D2166" s="1055" t="s">
        <v>1899</v>
      </c>
      <c r="E2166" s="1055" t="s">
        <v>1900</v>
      </c>
      <c r="F2166" s="1056">
        <v>0</v>
      </c>
      <c r="G2166" s="1056">
        <v>249</v>
      </c>
      <c r="H2166" s="1056">
        <v>0</v>
      </c>
      <c r="I2166" s="1056">
        <v>249</v>
      </c>
      <c r="J2166" s="996">
        <f t="shared" si="42"/>
        <v>-249</v>
      </c>
      <c r="K2166" s="1037">
        <f t="shared" si="43"/>
        <v>8</v>
      </c>
    </row>
    <row r="2167" spans="1:11" ht="13.9" customHeight="1">
      <c r="A2167" s="1054">
        <v>52052701</v>
      </c>
      <c r="B2167" s="1055" t="s">
        <v>893</v>
      </c>
      <c r="C2167" s="1055" t="s">
        <v>382</v>
      </c>
      <c r="D2167" s="1055" t="s">
        <v>1901</v>
      </c>
      <c r="E2167" s="1055" t="s">
        <v>1902</v>
      </c>
      <c r="F2167" s="1056">
        <v>0</v>
      </c>
      <c r="G2167" s="1056">
        <v>125</v>
      </c>
      <c r="H2167" s="1056">
        <v>0</v>
      </c>
      <c r="I2167" s="1056">
        <v>125</v>
      </c>
      <c r="J2167" s="996">
        <f t="shared" si="42"/>
        <v>-125</v>
      </c>
      <c r="K2167" s="1037">
        <f t="shared" si="43"/>
        <v>8</v>
      </c>
    </row>
    <row r="2168" spans="1:11" ht="13.9" customHeight="1">
      <c r="A2168" s="1054">
        <v>52052701</v>
      </c>
      <c r="B2168" s="1055" t="s">
        <v>893</v>
      </c>
      <c r="C2168" s="1055" t="s">
        <v>382</v>
      </c>
      <c r="D2168" s="1055" t="s">
        <v>1686</v>
      </c>
      <c r="E2168" s="1055" t="s">
        <v>1687</v>
      </c>
      <c r="F2168" s="1056">
        <v>673</v>
      </c>
      <c r="G2168" s="1056">
        <v>0</v>
      </c>
      <c r="H2168" s="1056">
        <v>0</v>
      </c>
      <c r="I2168" s="1056">
        <v>673</v>
      </c>
      <c r="J2168" s="996">
        <f t="shared" si="42"/>
        <v>0</v>
      </c>
      <c r="K2168" s="1037">
        <f t="shared" si="43"/>
        <v>8</v>
      </c>
    </row>
    <row r="2169" spans="1:11" ht="13.9" customHeight="1">
      <c r="A2169" s="1054">
        <v>52052701</v>
      </c>
      <c r="B2169" s="1055" t="s">
        <v>893</v>
      </c>
      <c r="C2169" s="1055" t="s">
        <v>382</v>
      </c>
      <c r="D2169" s="1055" t="s">
        <v>1303</v>
      </c>
      <c r="E2169" s="1055" t="s">
        <v>806</v>
      </c>
      <c r="F2169" s="1056">
        <v>365</v>
      </c>
      <c r="G2169" s="1056">
        <v>0</v>
      </c>
      <c r="H2169" s="1056">
        <v>0</v>
      </c>
      <c r="I2169" s="1056">
        <v>365</v>
      </c>
      <c r="J2169" s="996">
        <f t="shared" si="42"/>
        <v>0</v>
      </c>
      <c r="K2169" s="1037">
        <f t="shared" si="43"/>
        <v>8</v>
      </c>
    </row>
    <row r="2170" spans="1:11" ht="13.9" customHeight="1">
      <c r="A2170" s="1054">
        <v>52052701</v>
      </c>
      <c r="B2170" s="1055" t="s">
        <v>893</v>
      </c>
      <c r="C2170" s="1055" t="s">
        <v>382</v>
      </c>
      <c r="D2170" s="1055" t="s">
        <v>1523</v>
      </c>
      <c r="E2170" s="1055" t="s">
        <v>1524</v>
      </c>
      <c r="F2170" s="1056">
        <v>365</v>
      </c>
      <c r="G2170" s="1056">
        <v>0</v>
      </c>
      <c r="H2170" s="1056">
        <v>0</v>
      </c>
      <c r="I2170" s="1056">
        <v>365</v>
      </c>
      <c r="J2170" s="996">
        <f t="shared" si="42"/>
        <v>0</v>
      </c>
      <c r="K2170" s="1037">
        <f t="shared" si="43"/>
        <v>8</v>
      </c>
    </row>
    <row r="2171" spans="1:11" ht="13.9" customHeight="1">
      <c r="A2171" s="1054">
        <v>52052701</v>
      </c>
      <c r="B2171" s="1055" t="s">
        <v>893</v>
      </c>
      <c r="C2171" s="1055" t="s">
        <v>382</v>
      </c>
      <c r="D2171" s="1055" t="s">
        <v>1480</v>
      </c>
      <c r="E2171" s="1055" t="s">
        <v>1481</v>
      </c>
      <c r="F2171" s="1056">
        <v>232</v>
      </c>
      <c r="G2171" s="1056">
        <v>0</v>
      </c>
      <c r="H2171" s="1056">
        <v>0</v>
      </c>
      <c r="I2171" s="1056">
        <v>232</v>
      </c>
      <c r="J2171" s="996">
        <f t="shared" si="42"/>
        <v>0</v>
      </c>
      <c r="K2171" s="1037">
        <f t="shared" si="43"/>
        <v>8</v>
      </c>
    </row>
    <row r="2172" spans="1:11" ht="13.9" customHeight="1">
      <c r="A2172" s="1054">
        <v>52052701</v>
      </c>
      <c r="B2172" s="1055" t="s">
        <v>893</v>
      </c>
      <c r="C2172" s="1055" t="s">
        <v>382</v>
      </c>
      <c r="D2172" s="1055" t="s">
        <v>1847</v>
      </c>
      <c r="E2172" s="1055" t="s">
        <v>1848</v>
      </c>
      <c r="F2172" s="1056">
        <v>133</v>
      </c>
      <c r="G2172" s="1056">
        <v>0</v>
      </c>
      <c r="H2172" s="1056">
        <v>0</v>
      </c>
      <c r="I2172" s="1056">
        <v>133</v>
      </c>
      <c r="J2172" s="996">
        <f t="shared" si="42"/>
        <v>0</v>
      </c>
      <c r="K2172" s="1037">
        <f t="shared" si="43"/>
        <v>8</v>
      </c>
    </row>
    <row r="2173" spans="1:11" ht="13.9" customHeight="1">
      <c r="A2173" s="1054">
        <v>52052701</v>
      </c>
      <c r="B2173" s="1055" t="s">
        <v>893</v>
      </c>
      <c r="C2173" s="1055" t="s">
        <v>382</v>
      </c>
      <c r="D2173" s="1055" t="s">
        <v>1761</v>
      </c>
      <c r="E2173" s="1055" t="s">
        <v>1762</v>
      </c>
      <c r="F2173" s="1056">
        <v>274</v>
      </c>
      <c r="G2173" s="1056">
        <v>0</v>
      </c>
      <c r="H2173" s="1056">
        <v>0</v>
      </c>
      <c r="I2173" s="1056">
        <v>274</v>
      </c>
      <c r="J2173" s="996">
        <f t="shared" si="42"/>
        <v>0</v>
      </c>
      <c r="K2173" s="1037">
        <f t="shared" si="43"/>
        <v>8</v>
      </c>
    </row>
    <row r="2174" spans="1:11" ht="13.9" customHeight="1">
      <c r="A2174" s="1054">
        <v>52052701</v>
      </c>
      <c r="B2174" s="1055" t="s">
        <v>893</v>
      </c>
      <c r="C2174" s="1055" t="s">
        <v>382</v>
      </c>
      <c r="D2174" s="1055" t="s">
        <v>1428</v>
      </c>
      <c r="E2174" s="1055" t="s">
        <v>1429</v>
      </c>
      <c r="F2174" s="1056">
        <v>307</v>
      </c>
      <c r="G2174" s="1056">
        <v>0</v>
      </c>
      <c r="H2174" s="1056">
        <v>0</v>
      </c>
      <c r="I2174" s="1056">
        <v>307</v>
      </c>
      <c r="J2174" s="996">
        <f t="shared" si="42"/>
        <v>0</v>
      </c>
      <c r="K2174" s="1037">
        <f t="shared" si="43"/>
        <v>8</v>
      </c>
    </row>
    <row r="2175" spans="1:11" ht="13.9" customHeight="1">
      <c r="A2175" s="1054">
        <v>52052701</v>
      </c>
      <c r="B2175" s="1055" t="s">
        <v>893</v>
      </c>
      <c r="C2175" s="1055" t="s">
        <v>382</v>
      </c>
      <c r="D2175" s="1055" t="s">
        <v>1849</v>
      </c>
      <c r="E2175" s="1055" t="s">
        <v>1850</v>
      </c>
      <c r="F2175" s="1056">
        <v>149</v>
      </c>
      <c r="G2175" s="1056">
        <v>249</v>
      </c>
      <c r="H2175" s="1056">
        <v>0</v>
      </c>
      <c r="I2175" s="1056">
        <v>399</v>
      </c>
      <c r="J2175" s="996">
        <f t="shared" si="42"/>
        <v>-249</v>
      </c>
      <c r="K2175" s="1037">
        <f t="shared" si="43"/>
        <v>8</v>
      </c>
    </row>
    <row r="2176" spans="1:11" ht="13.9" customHeight="1">
      <c r="A2176" s="1054">
        <v>52052701</v>
      </c>
      <c r="B2176" s="1055" t="s">
        <v>893</v>
      </c>
      <c r="C2176" s="1055" t="s">
        <v>382</v>
      </c>
      <c r="D2176" s="1055" t="s">
        <v>1275</v>
      </c>
      <c r="E2176" s="1055" t="s">
        <v>991</v>
      </c>
      <c r="F2176" s="1056">
        <v>1021</v>
      </c>
      <c r="G2176" s="1056">
        <v>8</v>
      </c>
      <c r="H2176" s="1056">
        <v>0</v>
      </c>
      <c r="I2176" s="1056">
        <v>1030</v>
      </c>
      <c r="J2176" s="996">
        <f t="shared" si="42"/>
        <v>-8</v>
      </c>
      <c r="K2176" s="1037">
        <f t="shared" si="43"/>
        <v>8</v>
      </c>
    </row>
    <row r="2177" spans="1:11" ht="13.9" customHeight="1">
      <c r="A2177" s="1054">
        <v>52052701</v>
      </c>
      <c r="B2177" s="1055" t="s">
        <v>893</v>
      </c>
      <c r="C2177" s="1055" t="s">
        <v>382</v>
      </c>
      <c r="D2177" s="1055" t="s">
        <v>1380</v>
      </c>
      <c r="E2177" s="1055" t="s">
        <v>1381</v>
      </c>
      <c r="F2177" s="1056">
        <v>473</v>
      </c>
      <c r="G2177" s="1056">
        <v>0</v>
      </c>
      <c r="H2177" s="1056">
        <v>0</v>
      </c>
      <c r="I2177" s="1056">
        <v>473</v>
      </c>
      <c r="J2177" s="996">
        <f t="shared" si="42"/>
        <v>0</v>
      </c>
      <c r="K2177" s="1037">
        <f t="shared" si="43"/>
        <v>8</v>
      </c>
    </row>
    <row r="2178" spans="1:11" ht="13.9" customHeight="1">
      <c r="A2178" s="1054">
        <v>52052701</v>
      </c>
      <c r="B2178" s="1055" t="s">
        <v>893</v>
      </c>
      <c r="C2178" s="1055" t="s">
        <v>382</v>
      </c>
      <c r="D2178" s="1055" t="s">
        <v>1585</v>
      </c>
      <c r="E2178" s="1055" t="s">
        <v>1586</v>
      </c>
      <c r="F2178" s="1056">
        <v>830</v>
      </c>
      <c r="G2178" s="1056">
        <v>232</v>
      </c>
      <c r="H2178" s="1056">
        <v>0</v>
      </c>
      <c r="I2178" s="1056">
        <v>1063</v>
      </c>
      <c r="J2178" s="996">
        <f t="shared" si="42"/>
        <v>-232</v>
      </c>
      <c r="K2178" s="1037">
        <f t="shared" si="43"/>
        <v>8</v>
      </c>
    </row>
    <row r="2179" spans="1:11" ht="13.9" customHeight="1">
      <c r="A2179" s="1054">
        <v>52052701</v>
      </c>
      <c r="B2179" s="1055" t="s">
        <v>893</v>
      </c>
      <c r="C2179" s="1055" t="s">
        <v>382</v>
      </c>
      <c r="D2179" s="1055" t="s">
        <v>1382</v>
      </c>
      <c r="E2179" s="1055" t="s">
        <v>1763</v>
      </c>
      <c r="F2179" s="1056">
        <v>1121</v>
      </c>
      <c r="G2179" s="1056">
        <v>249</v>
      </c>
      <c r="H2179" s="1056">
        <v>0</v>
      </c>
      <c r="I2179" s="1056">
        <v>1370</v>
      </c>
      <c r="J2179" s="996">
        <f t="shared" si="42"/>
        <v>-249</v>
      </c>
      <c r="K2179" s="1037">
        <f t="shared" si="43"/>
        <v>8</v>
      </c>
    </row>
    <row r="2180" spans="1:11" ht="13.9" customHeight="1">
      <c r="A2180" s="1054">
        <v>52052701</v>
      </c>
      <c r="B2180" s="1055" t="s">
        <v>893</v>
      </c>
      <c r="C2180" s="1055" t="s">
        <v>382</v>
      </c>
      <c r="D2180" s="1055" t="s">
        <v>1440</v>
      </c>
      <c r="E2180" s="1055" t="s">
        <v>1441</v>
      </c>
      <c r="F2180" s="1056">
        <v>947</v>
      </c>
      <c r="G2180" s="1056">
        <v>0</v>
      </c>
      <c r="H2180" s="1056">
        <v>0</v>
      </c>
      <c r="I2180" s="1056">
        <v>947</v>
      </c>
      <c r="J2180" s="996">
        <f t="shared" si="42"/>
        <v>0</v>
      </c>
      <c r="K2180" s="1037">
        <f t="shared" si="43"/>
        <v>8</v>
      </c>
    </row>
    <row r="2181" spans="1:11" ht="13.9" customHeight="1">
      <c r="A2181" s="1054">
        <v>52052701</v>
      </c>
      <c r="B2181" s="1055" t="s">
        <v>893</v>
      </c>
      <c r="C2181" s="1055" t="s">
        <v>382</v>
      </c>
      <c r="D2181" s="1055" t="s">
        <v>1383</v>
      </c>
      <c r="E2181" s="1055" t="s">
        <v>1384</v>
      </c>
      <c r="F2181" s="1056">
        <v>1237</v>
      </c>
      <c r="G2181" s="1056">
        <v>241</v>
      </c>
      <c r="H2181" s="1056">
        <v>0</v>
      </c>
      <c r="I2181" s="1056">
        <v>1478</v>
      </c>
      <c r="J2181" s="996">
        <f t="shared" si="42"/>
        <v>-241</v>
      </c>
      <c r="K2181" s="1037">
        <f t="shared" si="43"/>
        <v>8</v>
      </c>
    </row>
    <row r="2182" spans="1:11" ht="13.9" customHeight="1">
      <c r="A2182" s="1054">
        <v>52052701</v>
      </c>
      <c r="B2182" s="1055" t="s">
        <v>893</v>
      </c>
      <c r="C2182" s="1055" t="s">
        <v>382</v>
      </c>
      <c r="D2182" s="1055" t="s">
        <v>1430</v>
      </c>
      <c r="E2182" s="1055" t="s">
        <v>1431</v>
      </c>
      <c r="F2182" s="1056">
        <v>249</v>
      </c>
      <c r="G2182" s="1056">
        <v>0</v>
      </c>
      <c r="H2182" s="1056">
        <v>0</v>
      </c>
      <c r="I2182" s="1056">
        <v>249</v>
      </c>
      <c r="J2182" s="996">
        <f t="shared" si="42"/>
        <v>0</v>
      </c>
      <c r="K2182" s="1037">
        <f t="shared" si="43"/>
        <v>8</v>
      </c>
    </row>
    <row r="2183" spans="1:11" ht="13.9" customHeight="1">
      <c r="A2183" s="1054">
        <v>52052701</v>
      </c>
      <c r="B2183" s="1055" t="s">
        <v>893</v>
      </c>
      <c r="C2183" s="1055" t="s">
        <v>382</v>
      </c>
      <c r="D2183" s="1055" t="s">
        <v>1587</v>
      </c>
      <c r="E2183" s="1055" t="s">
        <v>1588</v>
      </c>
      <c r="F2183" s="1056">
        <v>922</v>
      </c>
      <c r="G2183" s="1056">
        <v>249</v>
      </c>
      <c r="H2183" s="1056">
        <v>0</v>
      </c>
      <c r="I2183" s="1056">
        <v>1171</v>
      </c>
      <c r="J2183" s="996">
        <f t="shared" si="42"/>
        <v>-249</v>
      </c>
      <c r="K2183" s="1037">
        <f t="shared" si="43"/>
        <v>8</v>
      </c>
    </row>
    <row r="2184" spans="1:11" ht="13.9" customHeight="1">
      <c r="A2184" s="1054">
        <v>520530</v>
      </c>
      <c r="B2184" s="1055" t="s">
        <v>893</v>
      </c>
      <c r="C2184" s="1055" t="s">
        <v>352</v>
      </c>
      <c r="D2184" s="1055" t="s">
        <v>893</v>
      </c>
      <c r="E2184" s="1055" t="s">
        <v>893</v>
      </c>
      <c r="F2184" s="1056">
        <v>29160</v>
      </c>
      <c r="G2184" s="1056">
        <v>5608</v>
      </c>
      <c r="H2184" s="1056">
        <v>14</v>
      </c>
      <c r="I2184" s="1056">
        <v>34754</v>
      </c>
      <c r="J2184" s="996">
        <f t="shared" si="42"/>
        <v>-5594</v>
      </c>
      <c r="K2184" s="1037">
        <f t="shared" si="43"/>
        <v>6</v>
      </c>
    </row>
    <row r="2185" spans="1:11" ht="13.9" customHeight="1">
      <c r="A2185" s="1054">
        <v>52053001</v>
      </c>
      <c r="B2185" s="1055" t="s">
        <v>893</v>
      </c>
      <c r="C2185" s="1055" t="s">
        <v>352</v>
      </c>
      <c r="D2185" s="1055" t="s">
        <v>893</v>
      </c>
      <c r="E2185" s="1055" t="s">
        <v>893</v>
      </c>
      <c r="F2185" s="1056">
        <v>29160</v>
      </c>
      <c r="G2185" s="1056">
        <v>5608</v>
      </c>
      <c r="H2185" s="1056">
        <v>14</v>
      </c>
      <c r="I2185" s="1056">
        <v>34754</v>
      </c>
      <c r="J2185" s="996">
        <f t="shared" ref="J2185:J2248" si="44">+H2185-G2185</f>
        <v>-5594</v>
      </c>
      <c r="K2185" s="1037">
        <f t="shared" si="43"/>
        <v>8</v>
      </c>
    </row>
    <row r="2186" spans="1:11" ht="13.9" customHeight="1">
      <c r="A2186" s="1054">
        <v>52053001</v>
      </c>
      <c r="B2186" s="1055" t="s">
        <v>893</v>
      </c>
      <c r="C2186" s="1055" t="s">
        <v>352</v>
      </c>
      <c r="D2186" s="1055" t="s">
        <v>1575</v>
      </c>
      <c r="E2186" s="1055" t="s">
        <v>1576</v>
      </c>
      <c r="F2186" s="1056">
        <v>510</v>
      </c>
      <c r="G2186" s="1056">
        <v>0</v>
      </c>
      <c r="H2186" s="1056">
        <v>0</v>
      </c>
      <c r="I2186" s="1056">
        <v>510</v>
      </c>
      <c r="J2186" s="996">
        <f t="shared" si="44"/>
        <v>0</v>
      </c>
      <c r="K2186" s="1037">
        <f t="shared" si="43"/>
        <v>8</v>
      </c>
    </row>
    <row r="2187" spans="1:11" ht="13.9" customHeight="1">
      <c r="A2187" s="1054">
        <v>52053001</v>
      </c>
      <c r="B2187" s="1055" t="s">
        <v>893</v>
      </c>
      <c r="C2187" s="1055" t="s">
        <v>352</v>
      </c>
      <c r="D2187" s="1055" t="s">
        <v>1891</v>
      </c>
      <c r="E2187" s="1055" t="s">
        <v>1892</v>
      </c>
      <c r="F2187" s="1056">
        <v>0</v>
      </c>
      <c r="G2187" s="1056">
        <v>199</v>
      </c>
      <c r="H2187" s="1056">
        <v>0</v>
      </c>
      <c r="I2187" s="1056">
        <v>199</v>
      </c>
      <c r="J2187" s="996">
        <f t="shared" si="44"/>
        <v>-199</v>
      </c>
      <c r="K2187" s="1037">
        <f t="shared" si="43"/>
        <v>8</v>
      </c>
    </row>
    <row r="2188" spans="1:11" ht="13.9" customHeight="1">
      <c r="A2188" s="1054">
        <v>52053001</v>
      </c>
      <c r="B2188" s="1055" t="s">
        <v>893</v>
      </c>
      <c r="C2188" s="1055" t="s">
        <v>352</v>
      </c>
      <c r="D2188" s="1055" t="s">
        <v>1577</v>
      </c>
      <c r="E2188" s="1055" t="s">
        <v>1578</v>
      </c>
      <c r="F2188" s="1056">
        <v>543</v>
      </c>
      <c r="G2188" s="1056">
        <v>211</v>
      </c>
      <c r="H2188" s="1056">
        <v>0</v>
      </c>
      <c r="I2188" s="1056">
        <v>754</v>
      </c>
      <c r="J2188" s="996">
        <f t="shared" si="44"/>
        <v>-211</v>
      </c>
      <c r="K2188" s="1037">
        <f t="shared" si="43"/>
        <v>8</v>
      </c>
    </row>
    <row r="2189" spans="1:11" ht="13.9" customHeight="1">
      <c r="A2189" s="1054">
        <v>52053001</v>
      </c>
      <c r="B2189" s="1055" t="s">
        <v>893</v>
      </c>
      <c r="C2189" s="1055" t="s">
        <v>352</v>
      </c>
      <c r="D2189" s="1055" t="s">
        <v>1360</v>
      </c>
      <c r="E2189" s="1055" t="s">
        <v>1361</v>
      </c>
      <c r="F2189" s="1056">
        <v>1261</v>
      </c>
      <c r="G2189" s="1056">
        <v>252</v>
      </c>
      <c r="H2189" s="1056">
        <v>0</v>
      </c>
      <c r="I2189" s="1056">
        <v>1513</v>
      </c>
      <c r="J2189" s="996">
        <f t="shared" si="44"/>
        <v>-252</v>
      </c>
      <c r="K2189" s="1037">
        <f t="shared" si="43"/>
        <v>8</v>
      </c>
    </row>
    <row r="2190" spans="1:11" ht="13.9" customHeight="1">
      <c r="A2190" s="1054">
        <v>52053001</v>
      </c>
      <c r="B2190" s="1055" t="s">
        <v>893</v>
      </c>
      <c r="C2190" s="1055" t="s">
        <v>352</v>
      </c>
      <c r="D2190" s="1055" t="s">
        <v>1893</v>
      </c>
      <c r="E2190" s="1055" t="s">
        <v>1894</v>
      </c>
      <c r="F2190" s="1056">
        <v>0</v>
      </c>
      <c r="G2190" s="1056">
        <v>201</v>
      </c>
      <c r="H2190" s="1056">
        <v>0</v>
      </c>
      <c r="I2190" s="1056">
        <v>201</v>
      </c>
      <c r="J2190" s="996">
        <f t="shared" si="44"/>
        <v>-201</v>
      </c>
      <c r="K2190" s="1037">
        <f t="shared" si="43"/>
        <v>8</v>
      </c>
    </row>
    <row r="2191" spans="1:11" ht="13.9" customHeight="1">
      <c r="A2191" s="1054">
        <v>52053001</v>
      </c>
      <c r="B2191" s="1055" t="s">
        <v>893</v>
      </c>
      <c r="C2191" s="1055" t="s">
        <v>352</v>
      </c>
      <c r="D2191" s="1055" t="s">
        <v>1298</v>
      </c>
      <c r="E2191" s="1055" t="s">
        <v>987</v>
      </c>
      <c r="F2191" s="1056">
        <v>785</v>
      </c>
      <c r="G2191" s="1056">
        <v>0</v>
      </c>
      <c r="H2191" s="1056">
        <v>0</v>
      </c>
      <c r="I2191" s="1056">
        <v>785</v>
      </c>
      <c r="J2191" s="996">
        <f t="shared" si="44"/>
        <v>0</v>
      </c>
      <c r="K2191" s="1037">
        <f t="shared" si="43"/>
        <v>8</v>
      </c>
    </row>
    <row r="2192" spans="1:11" ht="13.9" customHeight="1">
      <c r="A2192" s="1054">
        <v>52053001</v>
      </c>
      <c r="B2192" s="1055" t="s">
        <v>893</v>
      </c>
      <c r="C2192" s="1055" t="s">
        <v>352</v>
      </c>
      <c r="D2192" s="1055" t="s">
        <v>1484</v>
      </c>
      <c r="E2192" s="1055" t="s">
        <v>1485</v>
      </c>
      <c r="F2192" s="1056">
        <v>891</v>
      </c>
      <c r="G2192" s="1056">
        <v>188</v>
      </c>
      <c r="H2192" s="1056">
        <v>0</v>
      </c>
      <c r="I2192" s="1056">
        <v>1078</v>
      </c>
      <c r="J2192" s="996">
        <f t="shared" si="44"/>
        <v>-188</v>
      </c>
      <c r="K2192" s="1037">
        <f t="shared" si="43"/>
        <v>8</v>
      </c>
    </row>
    <row r="2193" spans="1:11" ht="13.9" customHeight="1">
      <c r="A2193" s="1054">
        <v>52053001</v>
      </c>
      <c r="B2193" s="1055" t="s">
        <v>893</v>
      </c>
      <c r="C2193" s="1055" t="s">
        <v>352</v>
      </c>
      <c r="D2193" s="1055" t="s">
        <v>1579</v>
      </c>
      <c r="E2193" s="1055" t="s">
        <v>1580</v>
      </c>
      <c r="F2193" s="1056">
        <v>625</v>
      </c>
      <c r="G2193" s="1056">
        <v>241</v>
      </c>
      <c r="H2193" s="1056">
        <v>0</v>
      </c>
      <c r="I2193" s="1056">
        <v>865</v>
      </c>
      <c r="J2193" s="996">
        <f t="shared" si="44"/>
        <v>-241</v>
      </c>
      <c r="K2193" s="1037">
        <f t="shared" si="43"/>
        <v>8</v>
      </c>
    </row>
    <row r="2194" spans="1:11" ht="13.9" customHeight="1">
      <c r="A2194" s="1054">
        <v>52053001</v>
      </c>
      <c r="B2194" s="1055" t="s">
        <v>893</v>
      </c>
      <c r="C2194" s="1055" t="s">
        <v>352</v>
      </c>
      <c r="D2194" s="1055" t="s">
        <v>1270</v>
      </c>
      <c r="E2194" s="1055" t="s">
        <v>988</v>
      </c>
      <c r="F2194" s="1056">
        <v>1099</v>
      </c>
      <c r="G2194" s="1056">
        <v>228</v>
      </c>
      <c r="H2194" s="1056">
        <v>0</v>
      </c>
      <c r="I2194" s="1056">
        <v>1327</v>
      </c>
      <c r="J2194" s="996">
        <f t="shared" si="44"/>
        <v>-228</v>
      </c>
      <c r="K2194" s="1037">
        <f t="shared" si="43"/>
        <v>8</v>
      </c>
    </row>
    <row r="2195" spans="1:11" ht="13.9" customHeight="1">
      <c r="A2195" s="1054">
        <v>52053001</v>
      </c>
      <c r="B2195" s="1055" t="s">
        <v>893</v>
      </c>
      <c r="C2195" s="1055" t="s">
        <v>352</v>
      </c>
      <c r="D2195" s="1055" t="s">
        <v>1271</v>
      </c>
      <c r="E2195" s="1055" t="s">
        <v>782</v>
      </c>
      <c r="F2195" s="1056">
        <v>222</v>
      </c>
      <c r="G2195" s="1056">
        <v>0</v>
      </c>
      <c r="H2195" s="1056">
        <v>0</v>
      </c>
      <c r="I2195" s="1056">
        <v>222</v>
      </c>
      <c r="J2195" s="996">
        <f t="shared" si="44"/>
        <v>0</v>
      </c>
      <c r="K2195" s="1037">
        <f t="shared" si="43"/>
        <v>8</v>
      </c>
    </row>
    <row r="2196" spans="1:11" ht="13.9" customHeight="1">
      <c r="A2196" s="1054">
        <v>52053001</v>
      </c>
      <c r="B2196" s="1055" t="s">
        <v>893</v>
      </c>
      <c r="C2196" s="1055" t="s">
        <v>352</v>
      </c>
      <c r="D2196" s="1055" t="s">
        <v>1272</v>
      </c>
      <c r="E2196" s="1055" t="s">
        <v>1273</v>
      </c>
      <c r="F2196" s="1056">
        <v>0</v>
      </c>
      <c r="G2196" s="1056">
        <v>230</v>
      </c>
      <c r="H2196" s="1056">
        <v>0</v>
      </c>
      <c r="I2196" s="1056">
        <v>230</v>
      </c>
      <c r="J2196" s="996">
        <f t="shared" si="44"/>
        <v>-230</v>
      </c>
      <c r="K2196" s="1037">
        <f t="shared" si="43"/>
        <v>8</v>
      </c>
    </row>
    <row r="2197" spans="1:11" ht="13.9" customHeight="1">
      <c r="A2197" s="1054">
        <v>52053001</v>
      </c>
      <c r="B2197" s="1055" t="s">
        <v>893</v>
      </c>
      <c r="C2197" s="1055" t="s">
        <v>352</v>
      </c>
      <c r="D2197" s="1055" t="s">
        <v>1420</v>
      </c>
      <c r="E2197" s="1055" t="s">
        <v>1421</v>
      </c>
      <c r="F2197" s="1056">
        <v>868</v>
      </c>
      <c r="G2197" s="1056">
        <v>89</v>
      </c>
      <c r="H2197" s="1056">
        <v>0</v>
      </c>
      <c r="I2197" s="1056">
        <v>957</v>
      </c>
      <c r="J2197" s="996">
        <f t="shared" si="44"/>
        <v>-89</v>
      </c>
      <c r="K2197" s="1037">
        <f t="shared" si="43"/>
        <v>8</v>
      </c>
    </row>
    <row r="2198" spans="1:11" ht="13.9" customHeight="1">
      <c r="A2198" s="1054">
        <v>52053001</v>
      </c>
      <c r="B2198" s="1055" t="s">
        <v>893</v>
      </c>
      <c r="C2198" s="1055" t="s">
        <v>352</v>
      </c>
      <c r="D2198" s="1055" t="s">
        <v>1493</v>
      </c>
      <c r="E2198" s="1055" t="s">
        <v>1494</v>
      </c>
      <c r="F2198" s="1056">
        <v>934</v>
      </c>
      <c r="G2198" s="1056">
        <v>0</v>
      </c>
      <c r="H2198" s="1056">
        <v>0</v>
      </c>
      <c r="I2198" s="1056">
        <v>934</v>
      </c>
      <c r="J2198" s="996">
        <f t="shared" si="44"/>
        <v>0</v>
      </c>
      <c r="K2198" s="1037">
        <f t="shared" si="43"/>
        <v>8</v>
      </c>
    </row>
    <row r="2199" spans="1:11" ht="13.9" customHeight="1">
      <c r="A2199" s="1054">
        <v>52053001</v>
      </c>
      <c r="B2199" s="1055" t="s">
        <v>893</v>
      </c>
      <c r="C2199" s="1055" t="s">
        <v>352</v>
      </c>
      <c r="D2199" s="1055" t="s">
        <v>1841</v>
      </c>
      <c r="E2199" s="1055" t="s">
        <v>1842</v>
      </c>
      <c r="F2199" s="1056">
        <v>51</v>
      </c>
      <c r="G2199" s="1056">
        <v>167</v>
      </c>
      <c r="H2199" s="1056">
        <v>0</v>
      </c>
      <c r="I2199" s="1056">
        <v>218</v>
      </c>
      <c r="J2199" s="996">
        <f t="shared" si="44"/>
        <v>-167</v>
      </c>
      <c r="K2199" s="1037">
        <f t="shared" si="43"/>
        <v>8</v>
      </c>
    </row>
    <row r="2200" spans="1:11" ht="13.9" customHeight="1">
      <c r="A2200" s="1054">
        <v>52053001</v>
      </c>
      <c r="B2200" s="1055" t="s">
        <v>893</v>
      </c>
      <c r="C2200" s="1055" t="s">
        <v>352</v>
      </c>
      <c r="D2200" s="1055" t="s">
        <v>1519</v>
      </c>
      <c r="E2200" s="1055" t="s">
        <v>1520</v>
      </c>
      <c r="F2200" s="1056">
        <v>89</v>
      </c>
      <c r="G2200" s="1056">
        <v>0</v>
      </c>
      <c r="H2200" s="1056">
        <v>0</v>
      </c>
      <c r="I2200" s="1056">
        <v>89</v>
      </c>
      <c r="J2200" s="996">
        <f t="shared" si="44"/>
        <v>0</v>
      </c>
      <c r="K2200" s="1037">
        <f t="shared" si="43"/>
        <v>8</v>
      </c>
    </row>
    <row r="2201" spans="1:11" ht="13.9" customHeight="1">
      <c r="A2201" s="1054">
        <v>52053001</v>
      </c>
      <c r="B2201" s="1055" t="s">
        <v>893</v>
      </c>
      <c r="C2201" s="1055" t="s">
        <v>352</v>
      </c>
      <c r="D2201" s="1055" t="s">
        <v>1368</v>
      </c>
      <c r="E2201" s="1055" t="s">
        <v>1369</v>
      </c>
      <c r="F2201" s="1056">
        <v>44</v>
      </c>
      <c r="G2201" s="1056">
        <v>0</v>
      </c>
      <c r="H2201" s="1056">
        <v>0</v>
      </c>
      <c r="I2201" s="1056">
        <v>44</v>
      </c>
      <c r="J2201" s="996">
        <f t="shared" si="44"/>
        <v>0</v>
      </c>
      <c r="K2201" s="1037">
        <f t="shared" si="43"/>
        <v>8</v>
      </c>
    </row>
    <row r="2202" spans="1:11" ht="13.9" customHeight="1">
      <c r="A2202" s="1054">
        <v>52053001</v>
      </c>
      <c r="B2202" s="1055" t="s">
        <v>893</v>
      </c>
      <c r="C2202" s="1055" t="s">
        <v>352</v>
      </c>
      <c r="D2202" s="1055" t="s">
        <v>1895</v>
      </c>
      <c r="E2202" s="1055" t="s">
        <v>1896</v>
      </c>
      <c r="F2202" s="1056">
        <v>0</v>
      </c>
      <c r="G2202" s="1056">
        <v>33</v>
      </c>
      <c r="H2202" s="1056">
        <v>0</v>
      </c>
      <c r="I2202" s="1056">
        <v>33</v>
      </c>
      <c r="J2202" s="996">
        <f t="shared" si="44"/>
        <v>-33</v>
      </c>
      <c r="K2202" s="1037">
        <f t="shared" si="43"/>
        <v>8</v>
      </c>
    </row>
    <row r="2203" spans="1:11" ht="13.9" customHeight="1">
      <c r="A2203" s="1054">
        <v>52053001</v>
      </c>
      <c r="B2203" s="1055" t="s">
        <v>893</v>
      </c>
      <c r="C2203" s="1055" t="s">
        <v>352</v>
      </c>
      <c r="D2203" s="1055" t="s">
        <v>1495</v>
      </c>
      <c r="E2203" s="1055" t="s">
        <v>1496</v>
      </c>
      <c r="F2203" s="1056">
        <v>74</v>
      </c>
      <c r="G2203" s="1056">
        <v>0</v>
      </c>
      <c r="H2203" s="1056">
        <v>0</v>
      </c>
      <c r="I2203" s="1056">
        <v>74</v>
      </c>
      <c r="J2203" s="996">
        <f t="shared" si="44"/>
        <v>0</v>
      </c>
      <c r="K2203" s="1037">
        <f t="shared" si="43"/>
        <v>8</v>
      </c>
    </row>
    <row r="2204" spans="1:11" ht="13.9" customHeight="1">
      <c r="A2204" s="1054">
        <v>52053001</v>
      </c>
      <c r="B2204" s="1055" t="s">
        <v>893</v>
      </c>
      <c r="C2204" s="1055" t="s">
        <v>352</v>
      </c>
      <c r="D2204" s="1055" t="s">
        <v>1320</v>
      </c>
      <c r="E2204" s="1055" t="s">
        <v>1321</v>
      </c>
      <c r="F2204" s="1056">
        <v>910</v>
      </c>
      <c r="G2204" s="1056">
        <v>194</v>
      </c>
      <c r="H2204" s="1056">
        <v>0</v>
      </c>
      <c r="I2204" s="1056">
        <v>1104</v>
      </c>
      <c r="J2204" s="996">
        <f t="shared" si="44"/>
        <v>-194</v>
      </c>
      <c r="K2204" s="1037">
        <f t="shared" si="43"/>
        <v>8</v>
      </c>
    </row>
    <row r="2205" spans="1:11" ht="13.9" customHeight="1">
      <c r="A2205" s="1054">
        <v>52053001</v>
      </c>
      <c r="B2205" s="1055" t="s">
        <v>893</v>
      </c>
      <c r="C2205" s="1055" t="s">
        <v>352</v>
      </c>
      <c r="D2205" s="1055" t="s">
        <v>1274</v>
      </c>
      <c r="E2205" s="1055" t="s">
        <v>989</v>
      </c>
      <c r="F2205" s="1056">
        <v>1122</v>
      </c>
      <c r="G2205" s="1056">
        <v>218</v>
      </c>
      <c r="H2205" s="1056">
        <v>0</v>
      </c>
      <c r="I2205" s="1056">
        <v>1339</v>
      </c>
      <c r="J2205" s="996">
        <f t="shared" si="44"/>
        <v>-218</v>
      </c>
      <c r="K2205" s="1037">
        <f t="shared" si="43"/>
        <v>8</v>
      </c>
    </row>
    <row r="2206" spans="1:11" ht="13.9" customHeight="1">
      <c r="A2206" s="1054">
        <v>52053001</v>
      </c>
      <c r="B2206" s="1055" t="s">
        <v>893</v>
      </c>
      <c r="C2206" s="1055" t="s">
        <v>352</v>
      </c>
      <c r="D2206" s="1055" t="s">
        <v>1497</v>
      </c>
      <c r="E2206" s="1055" t="s">
        <v>1498</v>
      </c>
      <c r="F2206" s="1056">
        <v>659</v>
      </c>
      <c r="G2206" s="1056">
        <v>0</v>
      </c>
      <c r="H2206" s="1056">
        <v>0</v>
      </c>
      <c r="I2206" s="1056">
        <v>659</v>
      </c>
      <c r="J2206" s="996">
        <f t="shared" si="44"/>
        <v>0</v>
      </c>
      <c r="K2206" s="1037">
        <f t="shared" si="43"/>
        <v>8</v>
      </c>
    </row>
    <row r="2207" spans="1:11" ht="13.9" customHeight="1">
      <c r="A2207" s="1054">
        <v>52053001</v>
      </c>
      <c r="B2207" s="1055" t="s">
        <v>893</v>
      </c>
      <c r="C2207" s="1055" t="s">
        <v>352</v>
      </c>
      <c r="D2207" s="1055" t="s">
        <v>1043</v>
      </c>
      <c r="E2207" s="1055" t="s">
        <v>318</v>
      </c>
      <c r="F2207" s="1056">
        <v>1421</v>
      </c>
      <c r="G2207" s="1056">
        <v>360</v>
      </c>
      <c r="H2207" s="1056">
        <v>0</v>
      </c>
      <c r="I2207" s="1056">
        <v>1781</v>
      </c>
      <c r="J2207" s="996">
        <f t="shared" si="44"/>
        <v>-360</v>
      </c>
      <c r="K2207" s="1037">
        <f t="shared" si="43"/>
        <v>8</v>
      </c>
    </row>
    <row r="2208" spans="1:11" ht="13.9" customHeight="1">
      <c r="A2208" s="1054">
        <v>52053001</v>
      </c>
      <c r="B2208" s="1055" t="s">
        <v>893</v>
      </c>
      <c r="C2208" s="1055" t="s">
        <v>352</v>
      </c>
      <c r="D2208" s="1055" t="s">
        <v>1370</v>
      </c>
      <c r="E2208" s="1055" t="s">
        <v>1371</v>
      </c>
      <c r="F2208" s="1056">
        <v>746</v>
      </c>
      <c r="G2208" s="1056">
        <v>188</v>
      </c>
      <c r="H2208" s="1056">
        <v>0</v>
      </c>
      <c r="I2208" s="1056">
        <v>934</v>
      </c>
      <c r="J2208" s="996">
        <f t="shared" si="44"/>
        <v>-188</v>
      </c>
      <c r="K2208" s="1037">
        <f t="shared" si="43"/>
        <v>8</v>
      </c>
    </row>
    <row r="2209" spans="1:11" ht="13.9" customHeight="1">
      <c r="A2209" s="1054">
        <v>52053001</v>
      </c>
      <c r="B2209" s="1055" t="s">
        <v>893</v>
      </c>
      <c r="C2209" s="1055" t="s">
        <v>352</v>
      </c>
      <c r="D2209" s="1055" t="s">
        <v>1843</v>
      </c>
      <c r="E2209" s="1055" t="s">
        <v>1844</v>
      </c>
      <c r="F2209" s="1056">
        <v>143</v>
      </c>
      <c r="G2209" s="1056">
        <v>0</v>
      </c>
      <c r="H2209" s="1056">
        <v>14</v>
      </c>
      <c r="I2209" s="1056">
        <v>129</v>
      </c>
      <c r="J2209" s="996">
        <f t="shared" si="44"/>
        <v>14</v>
      </c>
      <c r="K2209" s="1037">
        <f t="shared" si="43"/>
        <v>8</v>
      </c>
    </row>
    <row r="2210" spans="1:11" ht="13.9" customHeight="1">
      <c r="A2210" s="1054">
        <v>52053001</v>
      </c>
      <c r="B2210" s="1055" t="s">
        <v>893</v>
      </c>
      <c r="C2210" s="1055" t="s">
        <v>352</v>
      </c>
      <c r="D2210" s="1055" t="s">
        <v>1759</v>
      </c>
      <c r="E2210" s="1055" t="s">
        <v>1760</v>
      </c>
      <c r="F2210" s="1056">
        <v>149</v>
      </c>
      <c r="G2210" s="1056">
        <v>0</v>
      </c>
      <c r="H2210" s="1056">
        <v>0</v>
      </c>
      <c r="I2210" s="1056">
        <v>149</v>
      </c>
      <c r="J2210" s="996">
        <f t="shared" si="44"/>
        <v>0</v>
      </c>
      <c r="K2210" s="1037">
        <f t="shared" si="43"/>
        <v>8</v>
      </c>
    </row>
    <row r="2211" spans="1:11" ht="13.9" customHeight="1">
      <c r="A2211" s="1054">
        <v>52053001</v>
      </c>
      <c r="B2211" s="1055" t="s">
        <v>893</v>
      </c>
      <c r="C2211" s="1055" t="s">
        <v>352</v>
      </c>
      <c r="D2211" s="1055" t="s">
        <v>1581</v>
      </c>
      <c r="E2211" s="1055" t="s">
        <v>1582</v>
      </c>
      <c r="F2211" s="1056">
        <v>494</v>
      </c>
      <c r="G2211" s="1056">
        <v>0</v>
      </c>
      <c r="H2211" s="1056">
        <v>0</v>
      </c>
      <c r="I2211" s="1056">
        <v>494</v>
      </c>
      <c r="J2211" s="996">
        <f t="shared" si="44"/>
        <v>0</v>
      </c>
      <c r="K2211" s="1037">
        <f t="shared" si="43"/>
        <v>8</v>
      </c>
    </row>
    <row r="2212" spans="1:11" ht="13.9" customHeight="1">
      <c r="A2212" s="1054">
        <v>52053001</v>
      </c>
      <c r="B2212" s="1055" t="s">
        <v>893</v>
      </c>
      <c r="C2212" s="1055" t="s">
        <v>352</v>
      </c>
      <c r="D2212" s="1055" t="s">
        <v>1521</v>
      </c>
      <c r="E2212" s="1055" t="s">
        <v>1522</v>
      </c>
      <c r="F2212" s="1056">
        <v>961</v>
      </c>
      <c r="G2212" s="1056">
        <v>213</v>
      </c>
      <c r="H2212" s="1056">
        <v>0</v>
      </c>
      <c r="I2212" s="1056">
        <v>1174</v>
      </c>
      <c r="J2212" s="996">
        <f t="shared" si="44"/>
        <v>-213</v>
      </c>
      <c r="K2212" s="1037">
        <f t="shared" si="43"/>
        <v>8</v>
      </c>
    </row>
    <row r="2213" spans="1:11" ht="13.9" customHeight="1">
      <c r="A2213" s="1054">
        <v>52053001</v>
      </c>
      <c r="B2213" s="1055" t="s">
        <v>893</v>
      </c>
      <c r="C2213" s="1055" t="s">
        <v>352</v>
      </c>
      <c r="D2213" s="1055" t="s">
        <v>1426</v>
      </c>
      <c r="E2213" s="1055" t="s">
        <v>1427</v>
      </c>
      <c r="F2213" s="1056">
        <v>949</v>
      </c>
      <c r="G2213" s="1056">
        <v>200</v>
      </c>
      <c r="H2213" s="1056">
        <v>0</v>
      </c>
      <c r="I2213" s="1056">
        <v>1149</v>
      </c>
      <c r="J2213" s="996">
        <f t="shared" si="44"/>
        <v>-200</v>
      </c>
      <c r="K2213" s="1037">
        <f t="shared" si="43"/>
        <v>8</v>
      </c>
    </row>
    <row r="2214" spans="1:11" ht="13.9" customHeight="1">
      <c r="A2214" s="1054">
        <v>52053001</v>
      </c>
      <c r="B2214" s="1055" t="s">
        <v>893</v>
      </c>
      <c r="C2214" s="1055" t="s">
        <v>352</v>
      </c>
      <c r="D2214" s="1055" t="s">
        <v>1583</v>
      </c>
      <c r="E2214" s="1055" t="s">
        <v>1584</v>
      </c>
      <c r="F2214" s="1056">
        <v>128</v>
      </c>
      <c r="G2214" s="1056">
        <v>0</v>
      </c>
      <c r="H2214" s="1056">
        <v>0</v>
      </c>
      <c r="I2214" s="1056">
        <v>128</v>
      </c>
      <c r="J2214" s="996">
        <f t="shared" si="44"/>
        <v>0</v>
      </c>
      <c r="K2214" s="1037">
        <f t="shared" si="43"/>
        <v>8</v>
      </c>
    </row>
    <row r="2215" spans="1:11" ht="13.9" customHeight="1">
      <c r="A2215" s="1054">
        <v>52053001</v>
      </c>
      <c r="B2215" s="1055" t="s">
        <v>893</v>
      </c>
      <c r="C2215" s="1055" t="s">
        <v>352</v>
      </c>
      <c r="D2215" s="1055" t="s">
        <v>1374</v>
      </c>
      <c r="E2215" s="1055" t="s">
        <v>1375</v>
      </c>
      <c r="F2215" s="1056">
        <v>907</v>
      </c>
      <c r="G2215" s="1056">
        <v>198</v>
      </c>
      <c r="H2215" s="1056">
        <v>0</v>
      </c>
      <c r="I2215" s="1056">
        <v>1105</v>
      </c>
      <c r="J2215" s="996">
        <f t="shared" si="44"/>
        <v>-198</v>
      </c>
      <c r="K2215" s="1037">
        <f t="shared" si="43"/>
        <v>8</v>
      </c>
    </row>
    <row r="2216" spans="1:11" ht="13.9" customHeight="1">
      <c r="A2216" s="1054">
        <v>52053001</v>
      </c>
      <c r="B2216" s="1055" t="s">
        <v>893</v>
      </c>
      <c r="C2216" s="1055" t="s">
        <v>352</v>
      </c>
      <c r="D2216" s="1055" t="s">
        <v>1249</v>
      </c>
      <c r="E2216" s="1055" t="s">
        <v>583</v>
      </c>
      <c r="F2216" s="1056">
        <v>1580</v>
      </c>
      <c r="G2216" s="1056">
        <v>318</v>
      </c>
      <c r="H2216" s="1056">
        <v>0</v>
      </c>
      <c r="I2216" s="1056">
        <v>1898</v>
      </c>
      <c r="J2216" s="996">
        <f t="shared" si="44"/>
        <v>-318</v>
      </c>
      <c r="K2216" s="1037">
        <f t="shared" si="43"/>
        <v>8</v>
      </c>
    </row>
    <row r="2217" spans="1:11" ht="13.9" customHeight="1">
      <c r="A2217" s="1054">
        <v>52053001</v>
      </c>
      <c r="B2217" s="1055" t="s">
        <v>893</v>
      </c>
      <c r="C2217" s="1055" t="s">
        <v>352</v>
      </c>
      <c r="D2217" s="1055" t="s">
        <v>1376</v>
      </c>
      <c r="E2217" s="1055" t="s">
        <v>1377</v>
      </c>
      <c r="F2217" s="1056">
        <v>1063</v>
      </c>
      <c r="G2217" s="1056">
        <v>0</v>
      </c>
      <c r="H2217" s="1056">
        <v>0</v>
      </c>
      <c r="I2217" s="1056">
        <v>1063</v>
      </c>
      <c r="J2217" s="996">
        <f t="shared" si="44"/>
        <v>0</v>
      </c>
      <c r="K2217" s="1037">
        <f t="shared" si="43"/>
        <v>8</v>
      </c>
    </row>
    <row r="2218" spans="1:11" ht="13.9" customHeight="1">
      <c r="A2218" s="1054">
        <v>52053001</v>
      </c>
      <c r="B2218" s="1055" t="s">
        <v>893</v>
      </c>
      <c r="C2218" s="1055" t="s">
        <v>352</v>
      </c>
      <c r="D2218" s="1055" t="s">
        <v>1845</v>
      </c>
      <c r="E2218" s="1055" t="s">
        <v>1846</v>
      </c>
      <c r="F2218" s="1056">
        <v>123</v>
      </c>
      <c r="G2218" s="1056">
        <v>199</v>
      </c>
      <c r="H2218" s="1056">
        <v>0</v>
      </c>
      <c r="I2218" s="1056">
        <v>323</v>
      </c>
      <c r="J2218" s="996">
        <f t="shared" si="44"/>
        <v>-199</v>
      </c>
      <c r="K2218" s="1037">
        <f t="shared" si="43"/>
        <v>8</v>
      </c>
    </row>
    <row r="2219" spans="1:11" ht="13.9" customHeight="1">
      <c r="A2219" s="1054">
        <v>52053001</v>
      </c>
      <c r="B2219" s="1055" t="s">
        <v>893</v>
      </c>
      <c r="C2219" s="1055" t="s">
        <v>352</v>
      </c>
      <c r="D2219" s="1055" t="s">
        <v>1306</v>
      </c>
      <c r="E2219" s="1055" t="s">
        <v>997</v>
      </c>
      <c r="F2219" s="1056">
        <v>765</v>
      </c>
      <c r="G2219" s="1056">
        <v>0</v>
      </c>
      <c r="H2219" s="1056">
        <v>0</v>
      </c>
      <c r="I2219" s="1056">
        <v>765</v>
      </c>
      <c r="J2219" s="996">
        <f t="shared" si="44"/>
        <v>0</v>
      </c>
      <c r="K2219" s="1037">
        <f t="shared" si="43"/>
        <v>8</v>
      </c>
    </row>
    <row r="2220" spans="1:11" ht="13.9" customHeight="1">
      <c r="A2220" s="1054">
        <v>52053001</v>
      </c>
      <c r="B2220" s="1055" t="s">
        <v>893</v>
      </c>
      <c r="C2220" s="1055" t="s">
        <v>352</v>
      </c>
      <c r="D2220" s="1055" t="s">
        <v>1897</v>
      </c>
      <c r="E2220" s="1055" t="s">
        <v>1898</v>
      </c>
      <c r="F2220" s="1056">
        <v>0</v>
      </c>
      <c r="G2220" s="1056">
        <v>45</v>
      </c>
      <c r="H2220" s="1056">
        <v>0</v>
      </c>
      <c r="I2220" s="1056">
        <v>45</v>
      </c>
      <c r="J2220" s="996">
        <f t="shared" si="44"/>
        <v>-45</v>
      </c>
      <c r="K2220" s="1037">
        <f t="shared" si="43"/>
        <v>8</v>
      </c>
    </row>
    <row r="2221" spans="1:11" ht="13.9" customHeight="1">
      <c r="A2221" s="1054">
        <v>52053001</v>
      </c>
      <c r="B2221" s="1055" t="s">
        <v>893</v>
      </c>
      <c r="C2221" s="1055" t="s">
        <v>352</v>
      </c>
      <c r="D2221" s="1055" t="s">
        <v>1250</v>
      </c>
      <c r="E2221" s="1055" t="s">
        <v>1251</v>
      </c>
      <c r="F2221" s="1056">
        <v>940</v>
      </c>
      <c r="G2221" s="1056">
        <v>188</v>
      </c>
      <c r="H2221" s="1056">
        <v>0</v>
      </c>
      <c r="I2221" s="1056">
        <v>1129</v>
      </c>
      <c r="J2221" s="996">
        <f t="shared" si="44"/>
        <v>-188</v>
      </c>
      <c r="K2221" s="1037">
        <f t="shared" si="43"/>
        <v>8</v>
      </c>
    </row>
    <row r="2222" spans="1:11" ht="13.9" customHeight="1">
      <c r="A2222" s="1054">
        <v>52053001</v>
      </c>
      <c r="B2222" s="1055" t="s">
        <v>893</v>
      </c>
      <c r="C2222" s="1055" t="s">
        <v>352</v>
      </c>
      <c r="D2222" s="1055" t="s">
        <v>1899</v>
      </c>
      <c r="E2222" s="1055" t="s">
        <v>1900</v>
      </c>
      <c r="F2222" s="1056">
        <v>0</v>
      </c>
      <c r="G2222" s="1056">
        <v>17</v>
      </c>
      <c r="H2222" s="1056">
        <v>0</v>
      </c>
      <c r="I2222" s="1056">
        <v>17</v>
      </c>
      <c r="J2222" s="996">
        <f t="shared" si="44"/>
        <v>-17</v>
      </c>
      <c r="K2222" s="1037">
        <f t="shared" ref="K2222:K2285" si="45">+LEN(A2222)</f>
        <v>8</v>
      </c>
    </row>
    <row r="2223" spans="1:11" ht="13.9" customHeight="1">
      <c r="A2223" s="1054">
        <v>52053001</v>
      </c>
      <c r="B2223" s="1055" t="s">
        <v>893</v>
      </c>
      <c r="C2223" s="1055" t="s">
        <v>352</v>
      </c>
      <c r="D2223" s="1055" t="s">
        <v>1901</v>
      </c>
      <c r="E2223" s="1055" t="s">
        <v>1902</v>
      </c>
      <c r="F2223" s="1056">
        <v>0</v>
      </c>
      <c r="G2223" s="1056">
        <v>83</v>
      </c>
      <c r="H2223" s="1056">
        <v>0</v>
      </c>
      <c r="I2223" s="1056">
        <v>83</v>
      </c>
      <c r="J2223" s="996">
        <f t="shared" si="44"/>
        <v>-83</v>
      </c>
      <c r="K2223" s="1037">
        <f t="shared" si="45"/>
        <v>8</v>
      </c>
    </row>
    <row r="2224" spans="1:11" ht="13.9" customHeight="1">
      <c r="A2224" s="1054">
        <v>52053001</v>
      </c>
      <c r="B2224" s="1055" t="s">
        <v>893</v>
      </c>
      <c r="C2224" s="1055" t="s">
        <v>352</v>
      </c>
      <c r="D2224" s="1055" t="s">
        <v>1686</v>
      </c>
      <c r="E2224" s="1055" t="s">
        <v>1687</v>
      </c>
      <c r="F2224" s="1056">
        <v>549</v>
      </c>
      <c r="G2224" s="1056">
        <v>0</v>
      </c>
      <c r="H2224" s="1056">
        <v>0</v>
      </c>
      <c r="I2224" s="1056">
        <v>549</v>
      </c>
      <c r="J2224" s="996">
        <f t="shared" si="44"/>
        <v>0</v>
      </c>
      <c r="K2224" s="1037">
        <f t="shared" si="45"/>
        <v>8</v>
      </c>
    </row>
    <row r="2225" spans="1:11" ht="13.9" customHeight="1">
      <c r="A2225" s="1054">
        <v>52053001</v>
      </c>
      <c r="B2225" s="1055" t="s">
        <v>893</v>
      </c>
      <c r="C2225" s="1055" t="s">
        <v>352</v>
      </c>
      <c r="D2225" s="1055" t="s">
        <v>1303</v>
      </c>
      <c r="E2225" s="1055" t="s">
        <v>806</v>
      </c>
      <c r="F2225" s="1056">
        <v>353</v>
      </c>
      <c r="G2225" s="1056">
        <v>0</v>
      </c>
      <c r="H2225" s="1056">
        <v>0</v>
      </c>
      <c r="I2225" s="1056">
        <v>353</v>
      </c>
      <c r="J2225" s="996">
        <f t="shared" si="44"/>
        <v>0</v>
      </c>
      <c r="K2225" s="1037">
        <f t="shared" si="45"/>
        <v>8</v>
      </c>
    </row>
    <row r="2226" spans="1:11" ht="13.9" customHeight="1">
      <c r="A2226" s="1054">
        <v>52053001</v>
      </c>
      <c r="B2226" s="1055" t="s">
        <v>893</v>
      </c>
      <c r="C2226" s="1055" t="s">
        <v>352</v>
      </c>
      <c r="D2226" s="1055" t="s">
        <v>1499</v>
      </c>
      <c r="E2226" s="1055" t="s">
        <v>1500</v>
      </c>
      <c r="F2226" s="1056">
        <v>119</v>
      </c>
      <c r="G2226" s="1056">
        <v>0</v>
      </c>
      <c r="H2226" s="1056">
        <v>0</v>
      </c>
      <c r="I2226" s="1056">
        <v>119</v>
      </c>
      <c r="J2226" s="996">
        <f t="shared" si="44"/>
        <v>0</v>
      </c>
      <c r="K2226" s="1037">
        <f t="shared" si="45"/>
        <v>8</v>
      </c>
    </row>
    <row r="2227" spans="1:11" ht="13.9" customHeight="1">
      <c r="A2227" s="1054">
        <v>52053001</v>
      </c>
      <c r="B2227" s="1055" t="s">
        <v>893</v>
      </c>
      <c r="C2227" s="1055" t="s">
        <v>352</v>
      </c>
      <c r="D2227" s="1055" t="s">
        <v>1523</v>
      </c>
      <c r="E2227" s="1055" t="s">
        <v>1524</v>
      </c>
      <c r="F2227" s="1056">
        <v>305</v>
      </c>
      <c r="G2227" s="1056">
        <v>0</v>
      </c>
      <c r="H2227" s="1056">
        <v>0</v>
      </c>
      <c r="I2227" s="1056">
        <v>305</v>
      </c>
      <c r="J2227" s="996">
        <f t="shared" si="44"/>
        <v>0</v>
      </c>
      <c r="K2227" s="1037">
        <f t="shared" si="45"/>
        <v>8</v>
      </c>
    </row>
    <row r="2228" spans="1:11" ht="13.9" customHeight="1">
      <c r="A2228" s="1054">
        <v>52053001</v>
      </c>
      <c r="B2228" s="1055" t="s">
        <v>893</v>
      </c>
      <c r="C2228" s="1055" t="s">
        <v>352</v>
      </c>
      <c r="D2228" s="1055" t="s">
        <v>1480</v>
      </c>
      <c r="E2228" s="1055" t="s">
        <v>1481</v>
      </c>
      <c r="F2228" s="1056">
        <v>229</v>
      </c>
      <c r="G2228" s="1056">
        <v>0</v>
      </c>
      <c r="H2228" s="1056">
        <v>0</v>
      </c>
      <c r="I2228" s="1056">
        <v>229</v>
      </c>
      <c r="J2228" s="996">
        <f t="shared" si="44"/>
        <v>0</v>
      </c>
      <c r="K2228" s="1037">
        <f t="shared" si="45"/>
        <v>8</v>
      </c>
    </row>
    <row r="2229" spans="1:11" ht="13.9" customHeight="1">
      <c r="A2229" s="1054">
        <v>52053001</v>
      </c>
      <c r="B2229" s="1055" t="s">
        <v>893</v>
      </c>
      <c r="C2229" s="1055" t="s">
        <v>352</v>
      </c>
      <c r="D2229" s="1055" t="s">
        <v>1847</v>
      </c>
      <c r="E2229" s="1055" t="s">
        <v>1848</v>
      </c>
      <c r="F2229" s="1056">
        <v>89</v>
      </c>
      <c r="G2229" s="1056">
        <v>0</v>
      </c>
      <c r="H2229" s="1056">
        <v>0</v>
      </c>
      <c r="I2229" s="1056">
        <v>89</v>
      </c>
      <c r="J2229" s="996">
        <f t="shared" si="44"/>
        <v>0</v>
      </c>
      <c r="K2229" s="1037">
        <f t="shared" si="45"/>
        <v>8</v>
      </c>
    </row>
    <row r="2230" spans="1:11" ht="13.9" customHeight="1">
      <c r="A2230" s="1054">
        <v>52053001</v>
      </c>
      <c r="B2230" s="1055" t="s">
        <v>893</v>
      </c>
      <c r="C2230" s="1055" t="s">
        <v>352</v>
      </c>
      <c r="D2230" s="1055" t="s">
        <v>1761</v>
      </c>
      <c r="E2230" s="1055" t="s">
        <v>1762</v>
      </c>
      <c r="F2230" s="1056">
        <v>287</v>
      </c>
      <c r="G2230" s="1056">
        <v>0</v>
      </c>
      <c r="H2230" s="1056">
        <v>0</v>
      </c>
      <c r="I2230" s="1056">
        <v>287</v>
      </c>
      <c r="J2230" s="996">
        <f t="shared" si="44"/>
        <v>0</v>
      </c>
      <c r="K2230" s="1037">
        <f t="shared" si="45"/>
        <v>8</v>
      </c>
    </row>
    <row r="2231" spans="1:11" ht="13.9" customHeight="1">
      <c r="A2231" s="1054">
        <v>52053001</v>
      </c>
      <c r="B2231" s="1055" t="s">
        <v>893</v>
      </c>
      <c r="C2231" s="1055" t="s">
        <v>352</v>
      </c>
      <c r="D2231" s="1055" t="s">
        <v>1428</v>
      </c>
      <c r="E2231" s="1055" t="s">
        <v>1429</v>
      </c>
      <c r="F2231" s="1056">
        <v>357</v>
      </c>
      <c r="G2231" s="1056">
        <v>0</v>
      </c>
      <c r="H2231" s="1056">
        <v>0</v>
      </c>
      <c r="I2231" s="1056">
        <v>357</v>
      </c>
      <c r="J2231" s="996">
        <f t="shared" si="44"/>
        <v>0</v>
      </c>
      <c r="K2231" s="1037">
        <f t="shared" si="45"/>
        <v>8</v>
      </c>
    </row>
    <row r="2232" spans="1:11" ht="13.9" customHeight="1">
      <c r="A2232" s="1054">
        <v>52053001</v>
      </c>
      <c r="B2232" s="1055" t="s">
        <v>893</v>
      </c>
      <c r="C2232" s="1055" t="s">
        <v>352</v>
      </c>
      <c r="D2232" s="1055" t="s">
        <v>1849</v>
      </c>
      <c r="E2232" s="1055" t="s">
        <v>1850</v>
      </c>
      <c r="F2232" s="1056">
        <v>105</v>
      </c>
      <c r="G2232" s="1056">
        <v>196</v>
      </c>
      <c r="H2232" s="1056">
        <v>0</v>
      </c>
      <c r="I2232" s="1056">
        <v>301</v>
      </c>
      <c r="J2232" s="996">
        <f t="shared" si="44"/>
        <v>-196</v>
      </c>
      <c r="K2232" s="1037">
        <f t="shared" si="45"/>
        <v>8</v>
      </c>
    </row>
    <row r="2233" spans="1:11" ht="13.9" customHeight="1">
      <c r="A2233" s="1054">
        <v>52053001</v>
      </c>
      <c r="B2233" s="1055" t="s">
        <v>893</v>
      </c>
      <c r="C2233" s="1055" t="s">
        <v>352</v>
      </c>
      <c r="D2233" s="1055" t="s">
        <v>1275</v>
      </c>
      <c r="E2233" s="1055" t="s">
        <v>991</v>
      </c>
      <c r="F2233" s="1056">
        <v>964</v>
      </c>
      <c r="G2233" s="1056">
        <v>187</v>
      </c>
      <c r="H2233" s="1056">
        <v>0</v>
      </c>
      <c r="I2233" s="1056">
        <v>1152</v>
      </c>
      <c r="J2233" s="996">
        <f t="shared" si="44"/>
        <v>-187</v>
      </c>
      <c r="K2233" s="1037">
        <f t="shared" si="45"/>
        <v>8</v>
      </c>
    </row>
    <row r="2234" spans="1:11" ht="13.9" customHeight="1">
      <c r="A2234" s="1054">
        <v>52053001</v>
      </c>
      <c r="B2234" s="1055" t="s">
        <v>893</v>
      </c>
      <c r="C2234" s="1055" t="s">
        <v>352</v>
      </c>
      <c r="D2234" s="1055" t="s">
        <v>1380</v>
      </c>
      <c r="E2234" s="1055" t="s">
        <v>1381</v>
      </c>
      <c r="F2234" s="1056">
        <v>347</v>
      </c>
      <c r="G2234" s="1056">
        <v>0</v>
      </c>
      <c r="H2234" s="1056">
        <v>0</v>
      </c>
      <c r="I2234" s="1056">
        <v>347</v>
      </c>
      <c r="J2234" s="996">
        <f t="shared" si="44"/>
        <v>0</v>
      </c>
      <c r="K2234" s="1037">
        <f t="shared" si="45"/>
        <v>8</v>
      </c>
    </row>
    <row r="2235" spans="1:11" ht="13.9" customHeight="1">
      <c r="A2235" s="1054">
        <v>52053001</v>
      </c>
      <c r="B2235" s="1055" t="s">
        <v>893</v>
      </c>
      <c r="C2235" s="1055" t="s">
        <v>352</v>
      </c>
      <c r="D2235" s="1055" t="s">
        <v>1585</v>
      </c>
      <c r="E2235" s="1055" t="s">
        <v>1586</v>
      </c>
      <c r="F2235" s="1056">
        <v>584</v>
      </c>
      <c r="G2235" s="1056">
        <v>156</v>
      </c>
      <c r="H2235" s="1056">
        <v>0</v>
      </c>
      <c r="I2235" s="1056">
        <v>740</v>
      </c>
      <c r="J2235" s="996">
        <f t="shared" si="44"/>
        <v>-156</v>
      </c>
      <c r="K2235" s="1037">
        <f t="shared" si="45"/>
        <v>8</v>
      </c>
    </row>
    <row r="2236" spans="1:11" ht="13.9" customHeight="1">
      <c r="A2236" s="1054">
        <v>52053001</v>
      </c>
      <c r="B2236" s="1055" t="s">
        <v>893</v>
      </c>
      <c r="C2236" s="1055" t="s">
        <v>352</v>
      </c>
      <c r="D2236" s="1055" t="s">
        <v>1382</v>
      </c>
      <c r="E2236" s="1055" t="s">
        <v>1763</v>
      </c>
      <c r="F2236" s="1056">
        <v>1109</v>
      </c>
      <c r="G2236" s="1056">
        <v>227</v>
      </c>
      <c r="H2236" s="1056">
        <v>0</v>
      </c>
      <c r="I2236" s="1056">
        <v>1337</v>
      </c>
      <c r="J2236" s="996">
        <f t="shared" si="44"/>
        <v>-227</v>
      </c>
      <c r="K2236" s="1037">
        <f t="shared" si="45"/>
        <v>8</v>
      </c>
    </row>
    <row r="2237" spans="1:11" ht="13.9" customHeight="1">
      <c r="A2237" s="1054">
        <v>52053001</v>
      </c>
      <c r="B2237" s="1055" t="s">
        <v>893</v>
      </c>
      <c r="C2237" s="1055" t="s">
        <v>352</v>
      </c>
      <c r="D2237" s="1055" t="s">
        <v>1440</v>
      </c>
      <c r="E2237" s="1055" t="s">
        <v>1441</v>
      </c>
      <c r="F2237" s="1056">
        <v>704</v>
      </c>
      <c r="G2237" s="1056">
        <v>0</v>
      </c>
      <c r="H2237" s="1056">
        <v>0</v>
      </c>
      <c r="I2237" s="1056">
        <v>704</v>
      </c>
      <c r="J2237" s="996">
        <f t="shared" si="44"/>
        <v>0</v>
      </c>
      <c r="K2237" s="1037">
        <f t="shared" si="45"/>
        <v>8</v>
      </c>
    </row>
    <row r="2238" spans="1:11" ht="13.9" customHeight="1">
      <c r="A2238" s="1054">
        <v>52053001</v>
      </c>
      <c r="B2238" s="1055" t="s">
        <v>893</v>
      </c>
      <c r="C2238" s="1055" t="s">
        <v>352</v>
      </c>
      <c r="D2238" s="1055" t="s">
        <v>1383</v>
      </c>
      <c r="E2238" s="1055" t="s">
        <v>1384</v>
      </c>
      <c r="F2238" s="1056">
        <v>1070</v>
      </c>
      <c r="G2238" s="1056">
        <v>190</v>
      </c>
      <c r="H2238" s="1056">
        <v>0</v>
      </c>
      <c r="I2238" s="1056">
        <v>1260</v>
      </c>
      <c r="J2238" s="996">
        <f t="shared" si="44"/>
        <v>-190</v>
      </c>
      <c r="K2238" s="1037">
        <f t="shared" si="45"/>
        <v>8</v>
      </c>
    </row>
    <row r="2239" spans="1:11" ht="13.9" customHeight="1">
      <c r="A2239" s="1054">
        <v>52053001</v>
      </c>
      <c r="B2239" s="1055" t="s">
        <v>893</v>
      </c>
      <c r="C2239" s="1055" t="s">
        <v>352</v>
      </c>
      <c r="D2239" s="1055" t="s">
        <v>1430</v>
      </c>
      <c r="E2239" s="1055" t="s">
        <v>1431</v>
      </c>
      <c r="F2239" s="1056">
        <v>196</v>
      </c>
      <c r="G2239" s="1056">
        <v>0</v>
      </c>
      <c r="H2239" s="1056">
        <v>0</v>
      </c>
      <c r="I2239" s="1056">
        <v>196</v>
      </c>
      <c r="J2239" s="996">
        <f t="shared" si="44"/>
        <v>0</v>
      </c>
      <c r="K2239" s="1037">
        <f t="shared" si="45"/>
        <v>8</v>
      </c>
    </row>
    <row r="2240" spans="1:11" ht="13.9" customHeight="1">
      <c r="A2240" s="1054">
        <v>52053001</v>
      </c>
      <c r="B2240" s="1055" t="s">
        <v>893</v>
      </c>
      <c r="C2240" s="1055" t="s">
        <v>352</v>
      </c>
      <c r="D2240" s="1055" t="s">
        <v>1587</v>
      </c>
      <c r="E2240" s="1055" t="s">
        <v>1588</v>
      </c>
      <c r="F2240" s="1056">
        <v>738</v>
      </c>
      <c r="G2240" s="1056">
        <v>192</v>
      </c>
      <c r="H2240" s="1056">
        <v>0</v>
      </c>
      <c r="I2240" s="1056">
        <v>930</v>
      </c>
      <c r="J2240" s="996">
        <f t="shared" si="44"/>
        <v>-192</v>
      </c>
      <c r="K2240" s="1037">
        <f t="shared" si="45"/>
        <v>8</v>
      </c>
    </row>
    <row r="2241" spans="1:11" ht="13.9" customHeight="1">
      <c r="A2241" s="1054">
        <v>520533</v>
      </c>
      <c r="B2241" s="1055" t="s">
        <v>893</v>
      </c>
      <c r="C2241" s="1055" t="s">
        <v>349</v>
      </c>
      <c r="D2241" s="1055" t="s">
        <v>893</v>
      </c>
      <c r="E2241" s="1055" t="s">
        <v>893</v>
      </c>
      <c r="F2241" s="1056">
        <v>1294</v>
      </c>
      <c r="G2241" s="1056">
        <v>515</v>
      </c>
      <c r="H2241" s="1056">
        <v>0</v>
      </c>
      <c r="I2241" s="1056">
        <v>1809</v>
      </c>
      <c r="J2241" s="996">
        <f t="shared" si="44"/>
        <v>-515</v>
      </c>
      <c r="K2241" s="1037">
        <f t="shared" si="45"/>
        <v>6</v>
      </c>
    </row>
    <row r="2242" spans="1:11" ht="13.9" customHeight="1">
      <c r="A2242" s="1054">
        <v>52053301</v>
      </c>
      <c r="B2242" s="1055" t="s">
        <v>893</v>
      </c>
      <c r="C2242" s="1055" t="s">
        <v>349</v>
      </c>
      <c r="D2242" s="1055" t="s">
        <v>893</v>
      </c>
      <c r="E2242" s="1055" t="s">
        <v>893</v>
      </c>
      <c r="F2242" s="1056">
        <v>1294</v>
      </c>
      <c r="G2242" s="1056">
        <v>515</v>
      </c>
      <c r="H2242" s="1056">
        <v>0</v>
      </c>
      <c r="I2242" s="1056">
        <v>1809</v>
      </c>
      <c r="J2242" s="996">
        <f t="shared" si="44"/>
        <v>-515</v>
      </c>
      <c r="K2242" s="1037">
        <f t="shared" si="45"/>
        <v>8</v>
      </c>
    </row>
    <row r="2243" spans="1:11" ht="13.9" customHeight="1">
      <c r="A2243" s="1054">
        <v>52053301</v>
      </c>
      <c r="B2243" s="1055" t="s">
        <v>893</v>
      </c>
      <c r="C2243" s="1055" t="s">
        <v>349</v>
      </c>
      <c r="D2243" s="1055" t="s">
        <v>1575</v>
      </c>
      <c r="E2243" s="1055" t="s">
        <v>1576</v>
      </c>
      <c r="F2243" s="1056">
        <v>15</v>
      </c>
      <c r="G2243" s="1056">
        <v>0</v>
      </c>
      <c r="H2243" s="1056">
        <v>0</v>
      </c>
      <c r="I2243" s="1056">
        <v>15</v>
      </c>
      <c r="J2243" s="996">
        <f t="shared" si="44"/>
        <v>0</v>
      </c>
      <c r="K2243" s="1037">
        <f t="shared" si="45"/>
        <v>8</v>
      </c>
    </row>
    <row r="2244" spans="1:11" ht="13.9" customHeight="1">
      <c r="A2244" s="1054">
        <v>52053301</v>
      </c>
      <c r="B2244" s="1055" t="s">
        <v>893</v>
      </c>
      <c r="C2244" s="1055" t="s">
        <v>349</v>
      </c>
      <c r="D2244" s="1055" t="s">
        <v>1891</v>
      </c>
      <c r="E2244" s="1055" t="s">
        <v>1892</v>
      </c>
      <c r="F2244" s="1056">
        <v>0</v>
      </c>
      <c r="G2244" s="1056">
        <v>2</v>
      </c>
      <c r="H2244" s="1056">
        <v>0</v>
      </c>
      <c r="I2244" s="1056">
        <v>2</v>
      </c>
      <c r="J2244" s="996">
        <f t="shared" si="44"/>
        <v>-2</v>
      </c>
      <c r="K2244" s="1037">
        <f t="shared" si="45"/>
        <v>8</v>
      </c>
    </row>
    <row r="2245" spans="1:11" ht="13.9" customHeight="1">
      <c r="A2245" s="1054">
        <v>52053301</v>
      </c>
      <c r="B2245" s="1055" t="s">
        <v>893</v>
      </c>
      <c r="C2245" s="1055" t="s">
        <v>349</v>
      </c>
      <c r="D2245" s="1055" t="s">
        <v>1577</v>
      </c>
      <c r="E2245" s="1055" t="s">
        <v>1578</v>
      </c>
      <c r="F2245" s="1056">
        <v>35</v>
      </c>
      <c r="G2245" s="1056">
        <v>20</v>
      </c>
      <c r="H2245" s="1056">
        <v>0</v>
      </c>
      <c r="I2245" s="1056">
        <v>56</v>
      </c>
      <c r="J2245" s="996">
        <f t="shared" si="44"/>
        <v>-20</v>
      </c>
      <c r="K2245" s="1037">
        <f t="shared" si="45"/>
        <v>8</v>
      </c>
    </row>
    <row r="2246" spans="1:11" ht="13.9" customHeight="1">
      <c r="A2246" s="1054">
        <v>52053301</v>
      </c>
      <c r="B2246" s="1055" t="s">
        <v>893</v>
      </c>
      <c r="C2246" s="1055" t="s">
        <v>349</v>
      </c>
      <c r="D2246" s="1055" t="s">
        <v>1360</v>
      </c>
      <c r="E2246" s="1055" t="s">
        <v>1361</v>
      </c>
      <c r="F2246" s="1056">
        <v>63</v>
      </c>
      <c r="G2246" s="1056">
        <v>28</v>
      </c>
      <c r="H2246" s="1056">
        <v>0</v>
      </c>
      <c r="I2246" s="1056">
        <v>91</v>
      </c>
      <c r="J2246" s="996">
        <f t="shared" si="44"/>
        <v>-28</v>
      </c>
      <c r="K2246" s="1037">
        <f t="shared" si="45"/>
        <v>8</v>
      </c>
    </row>
    <row r="2247" spans="1:11" ht="13.9" customHeight="1">
      <c r="A2247" s="1054">
        <v>52053301</v>
      </c>
      <c r="B2247" s="1055" t="s">
        <v>893</v>
      </c>
      <c r="C2247" s="1055" t="s">
        <v>349</v>
      </c>
      <c r="D2247" s="1055" t="s">
        <v>1893</v>
      </c>
      <c r="E2247" s="1055" t="s">
        <v>1894</v>
      </c>
      <c r="F2247" s="1056">
        <v>0</v>
      </c>
      <c r="G2247" s="1056">
        <v>2</v>
      </c>
      <c r="H2247" s="1056">
        <v>0</v>
      </c>
      <c r="I2247" s="1056">
        <v>2</v>
      </c>
      <c r="J2247" s="996">
        <f t="shared" si="44"/>
        <v>-2</v>
      </c>
      <c r="K2247" s="1037">
        <f t="shared" si="45"/>
        <v>8</v>
      </c>
    </row>
    <row r="2248" spans="1:11" ht="13.9" customHeight="1">
      <c r="A2248" s="1054">
        <v>52053301</v>
      </c>
      <c r="B2248" s="1055" t="s">
        <v>893</v>
      </c>
      <c r="C2248" s="1055" t="s">
        <v>349</v>
      </c>
      <c r="D2248" s="1055" t="s">
        <v>1298</v>
      </c>
      <c r="E2248" s="1055" t="s">
        <v>987</v>
      </c>
      <c r="F2248" s="1056">
        <v>30</v>
      </c>
      <c r="G2248" s="1056">
        <v>0</v>
      </c>
      <c r="H2248" s="1056">
        <v>0</v>
      </c>
      <c r="I2248" s="1056">
        <v>30</v>
      </c>
      <c r="J2248" s="996">
        <f t="shared" si="44"/>
        <v>0</v>
      </c>
      <c r="K2248" s="1037">
        <f t="shared" si="45"/>
        <v>8</v>
      </c>
    </row>
    <row r="2249" spans="1:11" ht="13.9" customHeight="1">
      <c r="A2249" s="1054">
        <v>52053301</v>
      </c>
      <c r="B2249" s="1055" t="s">
        <v>893</v>
      </c>
      <c r="C2249" s="1055" t="s">
        <v>349</v>
      </c>
      <c r="D2249" s="1055" t="s">
        <v>1484</v>
      </c>
      <c r="E2249" s="1055" t="s">
        <v>1485</v>
      </c>
      <c r="F2249" s="1056">
        <v>45</v>
      </c>
      <c r="G2249" s="1056">
        <v>20</v>
      </c>
      <c r="H2249" s="1056">
        <v>0</v>
      </c>
      <c r="I2249" s="1056">
        <v>65</v>
      </c>
      <c r="J2249" s="996">
        <f t="shared" ref="J2249:J2312" si="46">+H2249-G2249</f>
        <v>-20</v>
      </c>
      <c r="K2249" s="1037">
        <f t="shared" si="45"/>
        <v>8</v>
      </c>
    </row>
    <row r="2250" spans="1:11" ht="13.9" customHeight="1">
      <c r="A2250" s="1054">
        <v>52053301</v>
      </c>
      <c r="B2250" s="1055" t="s">
        <v>893</v>
      </c>
      <c r="C2250" s="1055" t="s">
        <v>349</v>
      </c>
      <c r="D2250" s="1055" t="s">
        <v>1579</v>
      </c>
      <c r="E2250" s="1055" t="s">
        <v>1580</v>
      </c>
      <c r="F2250" s="1056">
        <v>40</v>
      </c>
      <c r="G2250" s="1056">
        <v>23</v>
      </c>
      <c r="H2250" s="1056">
        <v>0</v>
      </c>
      <c r="I2250" s="1056">
        <v>62</v>
      </c>
      <c r="J2250" s="996">
        <f t="shared" si="46"/>
        <v>-23</v>
      </c>
      <c r="K2250" s="1037">
        <f t="shared" si="45"/>
        <v>8</v>
      </c>
    </row>
    <row r="2251" spans="1:11" ht="13.9" customHeight="1">
      <c r="A2251" s="1054">
        <v>52053301</v>
      </c>
      <c r="B2251" s="1055" t="s">
        <v>893</v>
      </c>
      <c r="C2251" s="1055" t="s">
        <v>349</v>
      </c>
      <c r="D2251" s="1055" t="s">
        <v>1270</v>
      </c>
      <c r="E2251" s="1055" t="s">
        <v>988</v>
      </c>
      <c r="F2251" s="1056">
        <v>55</v>
      </c>
      <c r="G2251" s="1056">
        <v>25</v>
      </c>
      <c r="H2251" s="1056">
        <v>0</v>
      </c>
      <c r="I2251" s="1056">
        <v>80</v>
      </c>
      <c r="J2251" s="996">
        <f t="shared" si="46"/>
        <v>-25</v>
      </c>
      <c r="K2251" s="1037">
        <f t="shared" si="45"/>
        <v>8</v>
      </c>
    </row>
    <row r="2252" spans="1:11" ht="13.9" customHeight="1">
      <c r="A2252" s="1054">
        <v>52053301</v>
      </c>
      <c r="B2252" s="1055" t="s">
        <v>893</v>
      </c>
      <c r="C2252" s="1055" t="s">
        <v>349</v>
      </c>
      <c r="D2252" s="1055" t="s">
        <v>1271</v>
      </c>
      <c r="E2252" s="1055" t="s">
        <v>782</v>
      </c>
      <c r="F2252" s="1056">
        <v>2</v>
      </c>
      <c r="G2252" s="1056">
        <v>0</v>
      </c>
      <c r="H2252" s="1056">
        <v>0</v>
      </c>
      <c r="I2252" s="1056">
        <v>2</v>
      </c>
      <c r="J2252" s="996">
        <f t="shared" si="46"/>
        <v>0</v>
      </c>
      <c r="K2252" s="1037">
        <f t="shared" si="45"/>
        <v>8</v>
      </c>
    </row>
    <row r="2253" spans="1:11" ht="13.9" customHeight="1">
      <c r="A2253" s="1054">
        <v>52053301</v>
      </c>
      <c r="B2253" s="1055" t="s">
        <v>893</v>
      </c>
      <c r="C2253" s="1055" t="s">
        <v>349</v>
      </c>
      <c r="D2253" s="1055" t="s">
        <v>1272</v>
      </c>
      <c r="E2253" s="1055" t="s">
        <v>1273</v>
      </c>
      <c r="F2253" s="1056">
        <v>0</v>
      </c>
      <c r="G2253" s="1056">
        <v>25</v>
      </c>
      <c r="H2253" s="1056">
        <v>0</v>
      </c>
      <c r="I2253" s="1056">
        <v>25</v>
      </c>
      <c r="J2253" s="996">
        <f t="shared" si="46"/>
        <v>-25</v>
      </c>
      <c r="K2253" s="1037">
        <f t="shared" si="45"/>
        <v>8</v>
      </c>
    </row>
    <row r="2254" spans="1:11" ht="13.9" customHeight="1">
      <c r="A2254" s="1054">
        <v>52053301</v>
      </c>
      <c r="B2254" s="1055" t="s">
        <v>893</v>
      </c>
      <c r="C2254" s="1055" t="s">
        <v>349</v>
      </c>
      <c r="D2254" s="1055" t="s">
        <v>1420</v>
      </c>
      <c r="E2254" s="1055" t="s">
        <v>1421</v>
      </c>
      <c r="F2254" s="1056">
        <v>43</v>
      </c>
      <c r="G2254" s="1056">
        <v>14</v>
      </c>
      <c r="H2254" s="1056">
        <v>0</v>
      </c>
      <c r="I2254" s="1056">
        <v>57</v>
      </c>
      <c r="J2254" s="996">
        <f t="shared" si="46"/>
        <v>-14</v>
      </c>
      <c r="K2254" s="1037">
        <f t="shared" si="45"/>
        <v>8</v>
      </c>
    </row>
    <row r="2255" spans="1:11" ht="13.9" customHeight="1">
      <c r="A2255" s="1054">
        <v>52053301</v>
      </c>
      <c r="B2255" s="1055" t="s">
        <v>893</v>
      </c>
      <c r="C2255" s="1055" t="s">
        <v>349</v>
      </c>
      <c r="D2255" s="1055" t="s">
        <v>1493</v>
      </c>
      <c r="E2255" s="1055" t="s">
        <v>1494</v>
      </c>
      <c r="F2255" s="1056">
        <v>38</v>
      </c>
      <c r="G2255" s="1056">
        <v>0</v>
      </c>
      <c r="H2255" s="1056">
        <v>0</v>
      </c>
      <c r="I2255" s="1056">
        <v>38</v>
      </c>
      <c r="J2255" s="996">
        <f t="shared" si="46"/>
        <v>0</v>
      </c>
      <c r="K2255" s="1037">
        <f t="shared" si="45"/>
        <v>8</v>
      </c>
    </row>
    <row r="2256" spans="1:11" ht="13.9" customHeight="1">
      <c r="A2256" s="1054">
        <v>52053301</v>
      </c>
      <c r="B2256" s="1055" t="s">
        <v>893</v>
      </c>
      <c r="C2256" s="1055" t="s">
        <v>349</v>
      </c>
      <c r="D2256" s="1055" t="s">
        <v>1841</v>
      </c>
      <c r="E2256" s="1055" t="s">
        <v>1842</v>
      </c>
      <c r="F2256" s="1056">
        <v>9</v>
      </c>
      <c r="G2256" s="1056">
        <v>17</v>
      </c>
      <c r="H2256" s="1056">
        <v>0</v>
      </c>
      <c r="I2256" s="1056">
        <v>26</v>
      </c>
      <c r="J2256" s="996">
        <f t="shared" si="46"/>
        <v>-17</v>
      </c>
      <c r="K2256" s="1037">
        <f t="shared" si="45"/>
        <v>8</v>
      </c>
    </row>
    <row r="2257" spans="1:11" ht="13.9" customHeight="1">
      <c r="A2257" s="1054">
        <v>52053301</v>
      </c>
      <c r="B2257" s="1055" t="s">
        <v>893</v>
      </c>
      <c r="C2257" s="1055" t="s">
        <v>349</v>
      </c>
      <c r="D2257" s="1055" t="s">
        <v>1519</v>
      </c>
      <c r="E2257" s="1055" t="s">
        <v>1520</v>
      </c>
      <c r="F2257" s="1056">
        <v>0</v>
      </c>
      <c r="G2257" s="1056">
        <v>0</v>
      </c>
      <c r="H2257" s="1056">
        <v>0</v>
      </c>
      <c r="I2257" s="1056">
        <v>0</v>
      </c>
      <c r="J2257" s="996">
        <f t="shared" si="46"/>
        <v>0</v>
      </c>
      <c r="K2257" s="1037">
        <f t="shared" si="45"/>
        <v>8</v>
      </c>
    </row>
    <row r="2258" spans="1:11" ht="13.9" customHeight="1">
      <c r="A2258" s="1054">
        <v>52053301</v>
      </c>
      <c r="B2258" s="1055" t="s">
        <v>893</v>
      </c>
      <c r="C2258" s="1055" t="s">
        <v>349</v>
      </c>
      <c r="D2258" s="1055" t="s">
        <v>1368</v>
      </c>
      <c r="E2258" s="1055" t="s">
        <v>1369</v>
      </c>
      <c r="F2258" s="1056">
        <v>0</v>
      </c>
      <c r="G2258" s="1056">
        <v>0</v>
      </c>
      <c r="H2258" s="1056">
        <v>0</v>
      </c>
      <c r="I2258" s="1056">
        <v>0</v>
      </c>
      <c r="J2258" s="996">
        <f t="shared" si="46"/>
        <v>0</v>
      </c>
      <c r="K2258" s="1037">
        <f t="shared" si="45"/>
        <v>8</v>
      </c>
    </row>
    <row r="2259" spans="1:11" ht="13.9" customHeight="1">
      <c r="A2259" s="1054">
        <v>52053301</v>
      </c>
      <c r="B2259" s="1055" t="s">
        <v>893</v>
      </c>
      <c r="C2259" s="1055" t="s">
        <v>349</v>
      </c>
      <c r="D2259" s="1055" t="s">
        <v>1895</v>
      </c>
      <c r="E2259" s="1055" t="s">
        <v>1896</v>
      </c>
      <c r="F2259" s="1056">
        <v>0</v>
      </c>
      <c r="G2259" s="1056">
        <v>0</v>
      </c>
      <c r="H2259" s="1056">
        <v>0</v>
      </c>
      <c r="I2259" s="1056">
        <v>0</v>
      </c>
      <c r="J2259" s="996">
        <f t="shared" si="46"/>
        <v>0</v>
      </c>
      <c r="K2259" s="1037">
        <f t="shared" si="45"/>
        <v>8</v>
      </c>
    </row>
    <row r="2260" spans="1:11" ht="13.9" customHeight="1">
      <c r="A2260" s="1054">
        <v>52053301</v>
      </c>
      <c r="B2260" s="1055" t="s">
        <v>893</v>
      </c>
      <c r="C2260" s="1055" t="s">
        <v>349</v>
      </c>
      <c r="D2260" s="1055" t="s">
        <v>1495</v>
      </c>
      <c r="E2260" s="1055" t="s">
        <v>1496</v>
      </c>
      <c r="F2260" s="1056">
        <v>0</v>
      </c>
      <c r="G2260" s="1056">
        <v>0</v>
      </c>
      <c r="H2260" s="1056">
        <v>0</v>
      </c>
      <c r="I2260" s="1056">
        <v>0</v>
      </c>
      <c r="J2260" s="996">
        <f t="shared" si="46"/>
        <v>0</v>
      </c>
      <c r="K2260" s="1037">
        <f t="shared" si="45"/>
        <v>8</v>
      </c>
    </row>
    <row r="2261" spans="1:11" ht="13.9" customHeight="1">
      <c r="A2261" s="1054">
        <v>52053301</v>
      </c>
      <c r="B2261" s="1055" t="s">
        <v>893</v>
      </c>
      <c r="C2261" s="1055" t="s">
        <v>349</v>
      </c>
      <c r="D2261" s="1055" t="s">
        <v>1320</v>
      </c>
      <c r="E2261" s="1055" t="s">
        <v>1321</v>
      </c>
      <c r="F2261" s="1056">
        <v>45</v>
      </c>
      <c r="G2261" s="1056">
        <v>21</v>
      </c>
      <c r="H2261" s="1056">
        <v>0</v>
      </c>
      <c r="I2261" s="1056">
        <v>66</v>
      </c>
      <c r="J2261" s="996">
        <f t="shared" si="46"/>
        <v>-21</v>
      </c>
      <c r="K2261" s="1037">
        <f t="shared" si="45"/>
        <v>8</v>
      </c>
    </row>
    <row r="2262" spans="1:11" ht="13.9" customHeight="1">
      <c r="A2262" s="1054">
        <v>52053301</v>
      </c>
      <c r="B2262" s="1055" t="s">
        <v>893</v>
      </c>
      <c r="C2262" s="1055" t="s">
        <v>349</v>
      </c>
      <c r="D2262" s="1055" t="s">
        <v>1274</v>
      </c>
      <c r="E2262" s="1055" t="s">
        <v>989</v>
      </c>
      <c r="F2262" s="1056">
        <v>56</v>
      </c>
      <c r="G2262" s="1056">
        <v>24</v>
      </c>
      <c r="H2262" s="1056">
        <v>0</v>
      </c>
      <c r="I2262" s="1056">
        <v>80</v>
      </c>
      <c r="J2262" s="996">
        <f t="shared" si="46"/>
        <v>-24</v>
      </c>
      <c r="K2262" s="1037">
        <f t="shared" si="45"/>
        <v>8</v>
      </c>
    </row>
    <row r="2263" spans="1:11" ht="13.9" customHeight="1">
      <c r="A2263" s="1054">
        <v>52053301</v>
      </c>
      <c r="B2263" s="1055" t="s">
        <v>893</v>
      </c>
      <c r="C2263" s="1055" t="s">
        <v>349</v>
      </c>
      <c r="D2263" s="1055" t="s">
        <v>1497</v>
      </c>
      <c r="E2263" s="1055" t="s">
        <v>1498</v>
      </c>
      <c r="F2263" s="1056">
        <v>24</v>
      </c>
      <c r="G2263" s="1056">
        <v>0</v>
      </c>
      <c r="H2263" s="1056">
        <v>0</v>
      </c>
      <c r="I2263" s="1056">
        <v>24</v>
      </c>
      <c r="J2263" s="996">
        <f t="shared" si="46"/>
        <v>0</v>
      </c>
      <c r="K2263" s="1037">
        <f t="shared" si="45"/>
        <v>8</v>
      </c>
    </row>
    <row r="2264" spans="1:11" ht="13.9" customHeight="1">
      <c r="A2264" s="1054">
        <v>52053301</v>
      </c>
      <c r="B2264" s="1055" t="s">
        <v>893</v>
      </c>
      <c r="C2264" s="1055" t="s">
        <v>349</v>
      </c>
      <c r="D2264" s="1055" t="s">
        <v>1043</v>
      </c>
      <c r="E2264" s="1055" t="s">
        <v>318</v>
      </c>
      <c r="F2264" s="1056">
        <v>86</v>
      </c>
      <c r="G2264" s="1056">
        <v>40</v>
      </c>
      <c r="H2264" s="1056">
        <v>0</v>
      </c>
      <c r="I2264" s="1056">
        <v>126</v>
      </c>
      <c r="J2264" s="996">
        <f t="shared" si="46"/>
        <v>-40</v>
      </c>
      <c r="K2264" s="1037">
        <f t="shared" si="45"/>
        <v>8</v>
      </c>
    </row>
    <row r="2265" spans="1:11" ht="13.9" customHeight="1">
      <c r="A2265" s="1054">
        <v>52053301</v>
      </c>
      <c r="B2265" s="1055" t="s">
        <v>893</v>
      </c>
      <c r="C2265" s="1055" t="s">
        <v>349</v>
      </c>
      <c r="D2265" s="1055" t="s">
        <v>1370</v>
      </c>
      <c r="E2265" s="1055" t="s">
        <v>1371</v>
      </c>
      <c r="F2265" s="1056">
        <v>37</v>
      </c>
      <c r="G2265" s="1056">
        <v>19</v>
      </c>
      <c r="H2265" s="1056">
        <v>0</v>
      </c>
      <c r="I2265" s="1056">
        <v>56</v>
      </c>
      <c r="J2265" s="996">
        <f t="shared" si="46"/>
        <v>-19</v>
      </c>
      <c r="K2265" s="1037">
        <f t="shared" si="45"/>
        <v>8</v>
      </c>
    </row>
    <row r="2266" spans="1:11" ht="13.9" customHeight="1">
      <c r="A2266" s="1054">
        <v>52053301</v>
      </c>
      <c r="B2266" s="1055" t="s">
        <v>893</v>
      </c>
      <c r="C2266" s="1055" t="s">
        <v>349</v>
      </c>
      <c r="D2266" s="1055" t="s">
        <v>1843</v>
      </c>
      <c r="E2266" s="1055" t="s">
        <v>1844</v>
      </c>
      <c r="F2266" s="1056">
        <v>1</v>
      </c>
      <c r="G2266" s="1056">
        <v>0</v>
      </c>
      <c r="H2266" s="1056">
        <v>0</v>
      </c>
      <c r="I2266" s="1056">
        <v>1</v>
      </c>
      <c r="J2266" s="996">
        <f t="shared" si="46"/>
        <v>0</v>
      </c>
      <c r="K2266" s="1037">
        <f t="shared" si="45"/>
        <v>8</v>
      </c>
    </row>
    <row r="2267" spans="1:11" ht="13.9" customHeight="1">
      <c r="A2267" s="1054">
        <v>52053301</v>
      </c>
      <c r="B2267" s="1055" t="s">
        <v>893</v>
      </c>
      <c r="C2267" s="1055" t="s">
        <v>349</v>
      </c>
      <c r="D2267" s="1055" t="s">
        <v>1759</v>
      </c>
      <c r="E2267" s="1055" t="s">
        <v>1760</v>
      </c>
      <c r="F2267" s="1056">
        <v>1</v>
      </c>
      <c r="G2267" s="1056">
        <v>0</v>
      </c>
      <c r="H2267" s="1056">
        <v>0</v>
      </c>
      <c r="I2267" s="1056">
        <v>1</v>
      </c>
      <c r="J2267" s="996">
        <f t="shared" si="46"/>
        <v>0</v>
      </c>
      <c r="K2267" s="1037">
        <f t="shared" si="45"/>
        <v>8</v>
      </c>
    </row>
    <row r="2268" spans="1:11" ht="13.9" customHeight="1">
      <c r="A2268" s="1054">
        <v>52053301</v>
      </c>
      <c r="B2268" s="1055" t="s">
        <v>893</v>
      </c>
      <c r="C2268" s="1055" t="s">
        <v>349</v>
      </c>
      <c r="D2268" s="1055" t="s">
        <v>1581</v>
      </c>
      <c r="E2268" s="1055" t="s">
        <v>1582</v>
      </c>
      <c r="F2268" s="1056">
        <v>12</v>
      </c>
      <c r="G2268" s="1056">
        <v>0</v>
      </c>
      <c r="H2268" s="1056">
        <v>0</v>
      </c>
      <c r="I2268" s="1056">
        <v>12</v>
      </c>
      <c r="J2268" s="996">
        <f t="shared" si="46"/>
        <v>0</v>
      </c>
      <c r="K2268" s="1037">
        <f t="shared" si="45"/>
        <v>8</v>
      </c>
    </row>
    <row r="2269" spans="1:11" ht="13.9" customHeight="1">
      <c r="A2269" s="1054">
        <v>52053301</v>
      </c>
      <c r="B2269" s="1055" t="s">
        <v>893</v>
      </c>
      <c r="C2269" s="1055" t="s">
        <v>349</v>
      </c>
      <c r="D2269" s="1055" t="s">
        <v>1521</v>
      </c>
      <c r="E2269" s="1055" t="s">
        <v>1522</v>
      </c>
      <c r="F2269" s="1056">
        <v>43</v>
      </c>
      <c r="G2269" s="1056">
        <v>21</v>
      </c>
      <c r="H2269" s="1056">
        <v>0</v>
      </c>
      <c r="I2269" s="1056">
        <v>65</v>
      </c>
      <c r="J2269" s="996">
        <f t="shared" si="46"/>
        <v>-21</v>
      </c>
      <c r="K2269" s="1037">
        <f t="shared" si="45"/>
        <v>8</v>
      </c>
    </row>
    <row r="2270" spans="1:11" ht="13.9" customHeight="1">
      <c r="A2270" s="1054">
        <v>52053301</v>
      </c>
      <c r="B2270" s="1055" t="s">
        <v>893</v>
      </c>
      <c r="C2270" s="1055" t="s">
        <v>349</v>
      </c>
      <c r="D2270" s="1055" t="s">
        <v>1426</v>
      </c>
      <c r="E2270" s="1055" t="s">
        <v>1427</v>
      </c>
      <c r="F2270" s="1056">
        <v>47</v>
      </c>
      <c r="G2270" s="1056">
        <v>21</v>
      </c>
      <c r="H2270" s="1056">
        <v>0</v>
      </c>
      <c r="I2270" s="1056">
        <v>69</v>
      </c>
      <c r="J2270" s="996">
        <f t="shared" si="46"/>
        <v>-21</v>
      </c>
      <c r="K2270" s="1037">
        <f t="shared" si="45"/>
        <v>8</v>
      </c>
    </row>
    <row r="2271" spans="1:11" ht="13.9" customHeight="1">
      <c r="A2271" s="1054">
        <v>52053301</v>
      </c>
      <c r="B2271" s="1055" t="s">
        <v>893</v>
      </c>
      <c r="C2271" s="1055" t="s">
        <v>349</v>
      </c>
      <c r="D2271" s="1055" t="s">
        <v>1583</v>
      </c>
      <c r="E2271" s="1055" t="s">
        <v>1584</v>
      </c>
      <c r="F2271" s="1056">
        <v>1</v>
      </c>
      <c r="G2271" s="1056">
        <v>0</v>
      </c>
      <c r="H2271" s="1056">
        <v>0</v>
      </c>
      <c r="I2271" s="1056">
        <v>1</v>
      </c>
      <c r="J2271" s="996">
        <f t="shared" si="46"/>
        <v>0</v>
      </c>
      <c r="K2271" s="1037">
        <f t="shared" si="45"/>
        <v>8</v>
      </c>
    </row>
    <row r="2272" spans="1:11" ht="13.9" customHeight="1">
      <c r="A2272" s="1054">
        <v>52053301</v>
      </c>
      <c r="B2272" s="1055" t="s">
        <v>893</v>
      </c>
      <c r="C2272" s="1055" t="s">
        <v>349</v>
      </c>
      <c r="D2272" s="1055" t="s">
        <v>1374</v>
      </c>
      <c r="E2272" s="1055" t="s">
        <v>1375</v>
      </c>
      <c r="F2272" s="1056">
        <v>45</v>
      </c>
      <c r="G2272" s="1056">
        <v>21</v>
      </c>
      <c r="H2272" s="1056">
        <v>0</v>
      </c>
      <c r="I2272" s="1056">
        <v>66</v>
      </c>
      <c r="J2272" s="996">
        <f t="shared" si="46"/>
        <v>-21</v>
      </c>
      <c r="K2272" s="1037">
        <f t="shared" si="45"/>
        <v>8</v>
      </c>
    </row>
    <row r="2273" spans="1:11" ht="13.9" customHeight="1">
      <c r="A2273" s="1054">
        <v>52053301</v>
      </c>
      <c r="B2273" s="1055" t="s">
        <v>893</v>
      </c>
      <c r="C2273" s="1055" t="s">
        <v>349</v>
      </c>
      <c r="D2273" s="1055" t="s">
        <v>1249</v>
      </c>
      <c r="E2273" s="1055" t="s">
        <v>583</v>
      </c>
      <c r="F2273" s="1056">
        <v>79</v>
      </c>
      <c r="G2273" s="1056">
        <v>35</v>
      </c>
      <c r="H2273" s="1056">
        <v>0</v>
      </c>
      <c r="I2273" s="1056">
        <v>114</v>
      </c>
      <c r="J2273" s="996">
        <f t="shared" si="46"/>
        <v>-35</v>
      </c>
      <c r="K2273" s="1037">
        <f t="shared" si="45"/>
        <v>8</v>
      </c>
    </row>
    <row r="2274" spans="1:11" ht="13.9" customHeight="1">
      <c r="A2274" s="1054">
        <v>52053301</v>
      </c>
      <c r="B2274" s="1055" t="s">
        <v>893</v>
      </c>
      <c r="C2274" s="1055" t="s">
        <v>349</v>
      </c>
      <c r="D2274" s="1055" t="s">
        <v>1376</v>
      </c>
      <c r="E2274" s="1055" t="s">
        <v>1377</v>
      </c>
      <c r="F2274" s="1056">
        <v>50</v>
      </c>
      <c r="G2274" s="1056">
        <v>0</v>
      </c>
      <c r="H2274" s="1056">
        <v>0</v>
      </c>
      <c r="I2274" s="1056">
        <v>50</v>
      </c>
      <c r="J2274" s="996">
        <f t="shared" si="46"/>
        <v>0</v>
      </c>
      <c r="K2274" s="1037">
        <f t="shared" si="45"/>
        <v>8</v>
      </c>
    </row>
    <row r="2275" spans="1:11" ht="13.9" customHeight="1">
      <c r="A2275" s="1054">
        <v>52053301</v>
      </c>
      <c r="B2275" s="1055" t="s">
        <v>893</v>
      </c>
      <c r="C2275" s="1055" t="s">
        <v>349</v>
      </c>
      <c r="D2275" s="1055" t="s">
        <v>1845</v>
      </c>
      <c r="E2275" s="1055" t="s">
        <v>1846</v>
      </c>
      <c r="F2275" s="1056">
        <v>1</v>
      </c>
      <c r="G2275" s="1056">
        <v>5</v>
      </c>
      <c r="H2275" s="1056">
        <v>0</v>
      </c>
      <c r="I2275" s="1056">
        <v>5</v>
      </c>
      <c r="J2275" s="996">
        <f t="shared" si="46"/>
        <v>-5</v>
      </c>
      <c r="K2275" s="1037">
        <f t="shared" si="45"/>
        <v>8</v>
      </c>
    </row>
    <row r="2276" spans="1:11" ht="13.9" customHeight="1">
      <c r="A2276" s="1054">
        <v>52053301</v>
      </c>
      <c r="B2276" s="1055" t="s">
        <v>893</v>
      </c>
      <c r="C2276" s="1055" t="s">
        <v>349</v>
      </c>
      <c r="D2276" s="1055" t="s">
        <v>1306</v>
      </c>
      <c r="E2276" s="1055" t="s">
        <v>997</v>
      </c>
      <c r="F2276" s="1056">
        <v>25</v>
      </c>
      <c r="G2276" s="1056">
        <v>0</v>
      </c>
      <c r="H2276" s="1056">
        <v>0</v>
      </c>
      <c r="I2276" s="1056">
        <v>25</v>
      </c>
      <c r="J2276" s="996">
        <f t="shared" si="46"/>
        <v>0</v>
      </c>
      <c r="K2276" s="1037">
        <f t="shared" si="45"/>
        <v>8</v>
      </c>
    </row>
    <row r="2277" spans="1:11" ht="13.9" customHeight="1">
      <c r="A2277" s="1054">
        <v>52053301</v>
      </c>
      <c r="B2277" s="1055" t="s">
        <v>893</v>
      </c>
      <c r="C2277" s="1055" t="s">
        <v>349</v>
      </c>
      <c r="D2277" s="1055" t="s">
        <v>1897</v>
      </c>
      <c r="E2277" s="1055" t="s">
        <v>1898</v>
      </c>
      <c r="F2277" s="1056">
        <v>0</v>
      </c>
      <c r="G2277" s="1056">
        <v>0</v>
      </c>
      <c r="H2277" s="1056">
        <v>0</v>
      </c>
      <c r="I2277" s="1056">
        <v>0</v>
      </c>
      <c r="J2277" s="996">
        <f t="shared" si="46"/>
        <v>0</v>
      </c>
      <c r="K2277" s="1037">
        <f t="shared" si="45"/>
        <v>8</v>
      </c>
    </row>
    <row r="2278" spans="1:11" ht="13.9" customHeight="1">
      <c r="A2278" s="1054">
        <v>52053301</v>
      </c>
      <c r="B2278" s="1055" t="s">
        <v>893</v>
      </c>
      <c r="C2278" s="1055" t="s">
        <v>349</v>
      </c>
      <c r="D2278" s="1055" t="s">
        <v>1250</v>
      </c>
      <c r="E2278" s="1055" t="s">
        <v>1251</v>
      </c>
      <c r="F2278" s="1056">
        <v>47</v>
      </c>
      <c r="G2278" s="1056">
        <v>21</v>
      </c>
      <c r="H2278" s="1056">
        <v>0</v>
      </c>
      <c r="I2278" s="1056">
        <v>68</v>
      </c>
      <c r="J2278" s="996">
        <f t="shared" si="46"/>
        <v>-21</v>
      </c>
      <c r="K2278" s="1037">
        <f t="shared" si="45"/>
        <v>8</v>
      </c>
    </row>
    <row r="2279" spans="1:11" ht="13.9" customHeight="1">
      <c r="A2279" s="1054">
        <v>52053301</v>
      </c>
      <c r="B2279" s="1055" t="s">
        <v>893</v>
      </c>
      <c r="C2279" s="1055" t="s">
        <v>349</v>
      </c>
      <c r="D2279" s="1055" t="s">
        <v>1899</v>
      </c>
      <c r="E2279" s="1055" t="s">
        <v>1900</v>
      </c>
      <c r="F2279" s="1056">
        <v>0</v>
      </c>
      <c r="G2279" s="1056">
        <v>11</v>
      </c>
      <c r="H2279" s="1056">
        <v>0</v>
      </c>
      <c r="I2279" s="1056">
        <v>11</v>
      </c>
      <c r="J2279" s="996">
        <f t="shared" si="46"/>
        <v>-11</v>
      </c>
      <c r="K2279" s="1037">
        <f t="shared" si="45"/>
        <v>8</v>
      </c>
    </row>
    <row r="2280" spans="1:11" ht="13.9" customHeight="1">
      <c r="A2280" s="1054">
        <v>52053301</v>
      </c>
      <c r="B2280" s="1055" t="s">
        <v>893</v>
      </c>
      <c r="C2280" s="1055" t="s">
        <v>349</v>
      </c>
      <c r="D2280" s="1055" t="s">
        <v>1901</v>
      </c>
      <c r="E2280" s="1055" t="s">
        <v>1902</v>
      </c>
      <c r="F2280" s="1056">
        <v>0</v>
      </c>
      <c r="G2280" s="1056">
        <v>0</v>
      </c>
      <c r="H2280" s="1056">
        <v>0</v>
      </c>
      <c r="I2280" s="1056">
        <v>0</v>
      </c>
      <c r="J2280" s="996">
        <f t="shared" si="46"/>
        <v>0</v>
      </c>
      <c r="K2280" s="1037">
        <f t="shared" si="45"/>
        <v>8</v>
      </c>
    </row>
    <row r="2281" spans="1:11" ht="13.9" customHeight="1">
      <c r="A2281" s="1054">
        <v>52053301</v>
      </c>
      <c r="B2281" s="1055" t="s">
        <v>893</v>
      </c>
      <c r="C2281" s="1055" t="s">
        <v>349</v>
      </c>
      <c r="D2281" s="1055" t="s">
        <v>1686</v>
      </c>
      <c r="E2281" s="1055" t="s">
        <v>1687</v>
      </c>
      <c r="F2281" s="1056">
        <v>37</v>
      </c>
      <c r="G2281" s="1056">
        <v>0</v>
      </c>
      <c r="H2281" s="1056">
        <v>0</v>
      </c>
      <c r="I2281" s="1056">
        <v>37</v>
      </c>
      <c r="J2281" s="996">
        <f t="shared" si="46"/>
        <v>0</v>
      </c>
      <c r="K2281" s="1037">
        <f t="shared" si="45"/>
        <v>8</v>
      </c>
    </row>
    <row r="2282" spans="1:11" ht="13.9" customHeight="1">
      <c r="A2282" s="1054">
        <v>52053301</v>
      </c>
      <c r="B2282" s="1055" t="s">
        <v>893</v>
      </c>
      <c r="C2282" s="1055" t="s">
        <v>349</v>
      </c>
      <c r="D2282" s="1055" t="s">
        <v>1303</v>
      </c>
      <c r="E2282" s="1055" t="s">
        <v>806</v>
      </c>
      <c r="F2282" s="1056">
        <v>7</v>
      </c>
      <c r="G2282" s="1056">
        <v>0</v>
      </c>
      <c r="H2282" s="1056">
        <v>0</v>
      </c>
      <c r="I2282" s="1056">
        <v>7</v>
      </c>
      <c r="J2282" s="996">
        <f t="shared" si="46"/>
        <v>0</v>
      </c>
      <c r="K2282" s="1037">
        <f t="shared" si="45"/>
        <v>8</v>
      </c>
    </row>
    <row r="2283" spans="1:11" ht="13.9" customHeight="1">
      <c r="A2283" s="1054">
        <v>52053301</v>
      </c>
      <c r="B2283" s="1055" t="s">
        <v>893</v>
      </c>
      <c r="C2283" s="1055" t="s">
        <v>349</v>
      </c>
      <c r="D2283" s="1055" t="s">
        <v>1499</v>
      </c>
      <c r="E2283" s="1055" t="s">
        <v>1500</v>
      </c>
      <c r="F2283" s="1056">
        <v>1</v>
      </c>
      <c r="G2283" s="1056">
        <v>0</v>
      </c>
      <c r="H2283" s="1056">
        <v>0</v>
      </c>
      <c r="I2283" s="1056">
        <v>1</v>
      </c>
      <c r="J2283" s="996">
        <f t="shared" si="46"/>
        <v>0</v>
      </c>
      <c r="K2283" s="1037">
        <f t="shared" si="45"/>
        <v>8</v>
      </c>
    </row>
    <row r="2284" spans="1:11" ht="13.9" customHeight="1">
      <c r="A2284" s="1054">
        <v>52053301</v>
      </c>
      <c r="B2284" s="1055" t="s">
        <v>893</v>
      </c>
      <c r="C2284" s="1055" t="s">
        <v>349</v>
      </c>
      <c r="D2284" s="1055" t="s">
        <v>1523</v>
      </c>
      <c r="E2284" s="1055" t="s">
        <v>1524</v>
      </c>
      <c r="F2284" s="1056">
        <v>5</v>
      </c>
      <c r="G2284" s="1056">
        <v>0</v>
      </c>
      <c r="H2284" s="1056">
        <v>0</v>
      </c>
      <c r="I2284" s="1056">
        <v>5</v>
      </c>
      <c r="J2284" s="996">
        <f t="shared" si="46"/>
        <v>0</v>
      </c>
      <c r="K2284" s="1037">
        <f t="shared" si="45"/>
        <v>8</v>
      </c>
    </row>
    <row r="2285" spans="1:11" ht="13.9" customHeight="1">
      <c r="A2285" s="1054">
        <v>52053301</v>
      </c>
      <c r="B2285" s="1055" t="s">
        <v>893</v>
      </c>
      <c r="C2285" s="1055" t="s">
        <v>349</v>
      </c>
      <c r="D2285" s="1055" t="s">
        <v>1480</v>
      </c>
      <c r="E2285" s="1055" t="s">
        <v>1481</v>
      </c>
      <c r="F2285" s="1056">
        <v>2</v>
      </c>
      <c r="G2285" s="1056">
        <v>0</v>
      </c>
      <c r="H2285" s="1056">
        <v>0</v>
      </c>
      <c r="I2285" s="1056">
        <v>2</v>
      </c>
      <c r="J2285" s="996">
        <f t="shared" si="46"/>
        <v>0</v>
      </c>
      <c r="K2285" s="1037">
        <f t="shared" si="45"/>
        <v>8</v>
      </c>
    </row>
    <row r="2286" spans="1:11" ht="13.9" customHeight="1">
      <c r="A2286" s="1054">
        <v>52053301</v>
      </c>
      <c r="B2286" s="1055" t="s">
        <v>893</v>
      </c>
      <c r="C2286" s="1055" t="s">
        <v>349</v>
      </c>
      <c r="D2286" s="1055" t="s">
        <v>1847</v>
      </c>
      <c r="E2286" s="1055" t="s">
        <v>1848</v>
      </c>
      <c r="F2286" s="1056">
        <v>0</v>
      </c>
      <c r="G2286" s="1056">
        <v>0</v>
      </c>
      <c r="H2286" s="1056">
        <v>0</v>
      </c>
      <c r="I2286" s="1056">
        <v>0</v>
      </c>
      <c r="J2286" s="996">
        <f t="shared" si="46"/>
        <v>0</v>
      </c>
      <c r="K2286" s="1037">
        <f t="shared" ref="K2286:K2349" si="47">+LEN(A2286)</f>
        <v>8</v>
      </c>
    </row>
    <row r="2287" spans="1:11" ht="13.9" customHeight="1">
      <c r="A2287" s="1054">
        <v>52053301</v>
      </c>
      <c r="B2287" s="1055" t="s">
        <v>893</v>
      </c>
      <c r="C2287" s="1055" t="s">
        <v>349</v>
      </c>
      <c r="D2287" s="1055" t="s">
        <v>1761</v>
      </c>
      <c r="E2287" s="1055" t="s">
        <v>1762</v>
      </c>
      <c r="F2287" s="1056">
        <v>16</v>
      </c>
      <c r="G2287" s="1056">
        <v>0</v>
      </c>
      <c r="H2287" s="1056">
        <v>0</v>
      </c>
      <c r="I2287" s="1056">
        <v>16</v>
      </c>
      <c r="J2287" s="996">
        <f t="shared" si="46"/>
        <v>0</v>
      </c>
      <c r="K2287" s="1037">
        <f t="shared" si="47"/>
        <v>8</v>
      </c>
    </row>
    <row r="2288" spans="1:11" ht="13.9" customHeight="1">
      <c r="A2288" s="1054">
        <v>52053301</v>
      </c>
      <c r="B2288" s="1055" t="s">
        <v>893</v>
      </c>
      <c r="C2288" s="1055" t="s">
        <v>349</v>
      </c>
      <c r="D2288" s="1055" t="s">
        <v>1428</v>
      </c>
      <c r="E2288" s="1055" t="s">
        <v>1429</v>
      </c>
      <c r="F2288" s="1056">
        <v>4</v>
      </c>
      <c r="G2288" s="1056">
        <v>0</v>
      </c>
      <c r="H2288" s="1056">
        <v>0</v>
      </c>
      <c r="I2288" s="1056">
        <v>4</v>
      </c>
      <c r="J2288" s="996">
        <f t="shared" si="46"/>
        <v>0</v>
      </c>
      <c r="K2288" s="1037">
        <f t="shared" si="47"/>
        <v>8</v>
      </c>
    </row>
    <row r="2289" spans="1:11" ht="13.9" customHeight="1">
      <c r="A2289" s="1054">
        <v>52053301</v>
      </c>
      <c r="B2289" s="1055" t="s">
        <v>893</v>
      </c>
      <c r="C2289" s="1055" t="s">
        <v>349</v>
      </c>
      <c r="D2289" s="1055" t="s">
        <v>1849</v>
      </c>
      <c r="E2289" s="1055" t="s">
        <v>1850</v>
      </c>
      <c r="F2289" s="1056">
        <v>1</v>
      </c>
      <c r="G2289" s="1056">
        <v>4</v>
      </c>
      <c r="H2289" s="1056">
        <v>0</v>
      </c>
      <c r="I2289" s="1056">
        <v>5</v>
      </c>
      <c r="J2289" s="996">
        <f t="shared" si="46"/>
        <v>-4</v>
      </c>
      <c r="K2289" s="1037">
        <f t="shared" si="47"/>
        <v>8</v>
      </c>
    </row>
    <row r="2290" spans="1:11" ht="13.9" customHeight="1">
      <c r="A2290" s="1054">
        <v>52053301</v>
      </c>
      <c r="B2290" s="1055" t="s">
        <v>893</v>
      </c>
      <c r="C2290" s="1055" t="s">
        <v>349</v>
      </c>
      <c r="D2290" s="1055" t="s">
        <v>1275</v>
      </c>
      <c r="E2290" s="1055" t="s">
        <v>991</v>
      </c>
      <c r="F2290" s="1056">
        <v>48</v>
      </c>
      <c r="G2290" s="1056">
        <v>21</v>
      </c>
      <c r="H2290" s="1056">
        <v>0</v>
      </c>
      <c r="I2290" s="1056">
        <v>69</v>
      </c>
      <c r="J2290" s="996">
        <f t="shared" si="46"/>
        <v>-21</v>
      </c>
      <c r="K2290" s="1037">
        <f t="shared" si="47"/>
        <v>8</v>
      </c>
    </row>
    <row r="2291" spans="1:11" ht="13.9" customHeight="1">
      <c r="A2291" s="1054">
        <v>52053301</v>
      </c>
      <c r="B2291" s="1055" t="s">
        <v>893</v>
      </c>
      <c r="C2291" s="1055" t="s">
        <v>349</v>
      </c>
      <c r="D2291" s="1055" t="s">
        <v>1380</v>
      </c>
      <c r="E2291" s="1055" t="s">
        <v>1381</v>
      </c>
      <c r="F2291" s="1056">
        <v>7</v>
      </c>
      <c r="G2291" s="1056">
        <v>0</v>
      </c>
      <c r="H2291" s="1056">
        <v>0</v>
      </c>
      <c r="I2291" s="1056">
        <v>7</v>
      </c>
      <c r="J2291" s="996">
        <f t="shared" si="46"/>
        <v>0</v>
      </c>
      <c r="K2291" s="1037">
        <f t="shared" si="47"/>
        <v>8</v>
      </c>
    </row>
    <row r="2292" spans="1:11" ht="13.9" customHeight="1">
      <c r="A2292" s="1054">
        <v>52053301</v>
      </c>
      <c r="B2292" s="1055" t="s">
        <v>893</v>
      </c>
      <c r="C2292" s="1055" t="s">
        <v>349</v>
      </c>
      <c r="D2292" s="1055" t="s">
        <v>1585</v>
      </c>
      <c r="E2292" s="1055" t="s">
        <v>1586</v>
      </c>
      <c r="F2292" s="1056">
        <v>20</v>
      </c>
      <c r="G2292" s="1056">
        <v>13</v>
      </c>
      <c r="H2292" s="1056">
        <v>0</v>
      </c>
      <c r="I2292" s="1056">
        <v>33</v>
      </c>
      <c r="J2292" s="996">
        <f t="shared" si="46"/>
        <v>-13</v>
      </c>
      <c r="K2292" s="1037">
        <f t="shared" si="47"/>
        <v>8</v>
      </c>
    </row>
    <row r="2293" spans="1:11" ht="13.9" customHeight="1">
      <c r="A2293" s="1054">
        <v>52053301</v>
      </c>
      <c r="B2293" s="1055" t="s">
        <v>893</v>
      </c>
      <c r="C2293" s="1055" t="s">
        <v>349</v>
      </c>
      <c r="D2293" s="1055" t="s">
        <v>1382</v>
      </c>
      <c r="E2293" s="1055" t="s">
        <v>1763</v>
      </c>
      <c r="F2293" s="1056">
        <v>55</v>
      </c>
      <c r="G2293" s="1056">
        <v>25</v>
      </c>
      <c r="H2293" s="1056">
        <v>0</v>
      </c>
      <c r="I2293" s="1056">
        <v>80</v>
      </c>
      <c r="J2293" s="996">
        <f t="shared" si="46"/>
        <v>-25</v>
      </c>
      <c r="K2293" s="1037">
        <f t="shared" si="47"/>
        <v>8</v>
      </c>
    </row>
    <row r="2294" spans="1:11" ht="13.9" customHeight="1">
      <c r="A2294" s="1054">
        <v>52053301</v>
      </c>
      <c r="B2294" s="1055" t="s">
        <v>893</v>
      </c>
      <c r="C2294" s="1055" t="s">
        <v>349</v>
      </c>
      <c r="D2294" s="1055" t="s">
        <v>1440</v>
      </c>
      <c r="E2294" s="1055" t="s">
        <v>1441</v>
      </c>
      <c r="F2294" s="1056">
        <v>29</v>
      </c>
      <c r="G2294" s="1056">
        <v>0</v>
      </c>
      <c r="H2294" s="1056">
        <v>0</v>
      </c>
      <c r="I2294" s="1056">
        <v>29</v>
      </c>
      <c r="J2294" s="996">
        <f t="shared" si="46"/>
        <v>0</v>
      </c>
      <c r="K2294" s="1037">
        <f t="shared" si="47"/>
        <v>8</v>
      </c>
    </row>
    <row r="2295" spans="1:11" ht="13.9" customHeight="1">
      <c r="A2295" s="1054">
        <v>52053301</v>
      </c>
      <c r="B2295" s="1055" t="s">
        <v>893</v>
      </c>
      <c r="C2295" s="1055" t="s">
        <v>349</v>
      </c>
      <c r="D2295" s="1055" t="s">
        <v>1383</v>
      </c>
      <c r="E2295" s="1055" t="s">
        <v>1384</v>
      </c>
      <c r="F2295" s="1056">
        <v>53</v>
      </c>
      <c r="G2295" s="1056">
        <v>22</v>
      </c>
      <c r="H2295" s="1056">
        <v>0</v>
      </c>
      <c r="I2295" s="1056">
        <v>76</v>
      </c>
      <c r="J2295" s="996">
        <f t="shared" si="46"/>
        <v>-22</v>
      </c>
      <c r="K2295" s="1037">
        <f t="shared" si="47"/>
        <v>8</v>
      </c>
    </row>
    <row r="2296" spans="1:11" ht="13.9" customHeight="1">
      <c r="A2296" s="1054">
        <v>52053301</v>
      </c>
      <c r="B2296" s="1055" t="s">
        <v>893</v>
      </c>
      <c r="C2296" s="1055" t="s">
        <v>349</v>
      </c>
      <c r="D2296" s="1055" t="s">
        <v>1430</v>
      </c>
      <c r="E2296" s="1055" t="s">
        <v>1431</v>
      </c>
      <c r="F2296" s="1056">
        <v>2</v>
      </c>
      <c r="G2296" s="1056">
        <v>0</v>
      </c>
      <c r="H2296" s="1056">
        <v>0</v>
      </c>
      <c r="I2296" s="1056">
        <v>2</v>
      </c>
      <c r="J2296" s="996">
        <f t="shared" si="46"/>
        <v>0</v>
      </c>
      <c r="K2296" s="1037">
        <f t="shared" si="47"/>
        <v>8</v>
      </c>
    </row>
    <row r="2297" spans="1:11" ht="13.9" customHeight="1">
      <c r="A2297" s="1054">
        <v>52053301</v>
      </c>
      <c r="B2297" s="1055" t="s">
        <v>893</v>
      </c>
      <c r="C2297" s="1055" t="s">
        <v>349</v>
      </c>
      <c r="D2297" s="1055" t="s">
        <v>1587</v>
      </c>
      <c r="E2297" s="1055" t="s">
        <v>1588</v>
      </c>
      <c r="F2297" s="1056">
        <v>27</v>
      </c>
      <c r="G2297" s="1056">
        <v>16</v>
      </c>
      <c r="H2297" s="1056">
        <v>0</v>
      </c>
      <c r="I2297" s="1056">
        <v>44</v>
      </c>
      <c r="J2297" s="996">
        <f t="shared" si="46"/>
        <v>-16</v>
      </c>
      <c r="K2297" s="1037">
        <f t="shared" si="47"/>
        <v>8</v>
      </c>
    </row>
    <row r="2298" spans="1:11" ht="13.9" customHeight="1">
      <c r="A2298" s="1054">
        <v>520536</v>
      </c>
      <c r="B2298" s="1055" t="s">
        <v>893</v>
      </c>
      <c r="C2298" s="1055" t="s">
        <v>350</v>
      </c>
      <c r="D2298" s="1055" t="s">
        <v>893</v>
      </c>
      <c r="E2298" s="1055" t="s">
        <v>893</v>
      </c>
      <c r="F2298" s="1056">
        <v>29005</v>
      </c>
      <c r="G2298" s="1056">
        <v>10146</v>
      </c>
      <c r="H2298" s="1056">
        <v>988</v>
      </c>
      <c r="I2298" s="1056">
        <v>38162</v>
      </c>
      <c r="J2298" s="996">
        <f t="shared" si="46"/>
        <v>-9158</v>
      </c>
      <c r="K2298" s="1037">
        <f t="shared" si="47"/>
        <v>6</v>
      </c>
    </row>
    <row r="2299" spans="1:11" ht="13.9" customHeight="1">
      <c r="A2299" s="1054">
        <v>52053601</v>
      </c>
      <c r="B2299" s="1055" t="s">
        <v>893</v>
      </c>
      <c r="C2299" s="1055" t="s">
        <v>350</v>
      </c>
      <c r="D2299" s="1055" t="s">
        <v>893</v>
      </c>
      <c r="E2299" s="1055" t="s">
        <v>893</v>
      </c>
      <c r="F2299" s="1056">
        <v>29005</v>
      </c>
      <c r="G2299" s="1056">
        <v>10146</v>
      </c>
      <c r="H2299" s="1056">
        <v>988</v>
      </c>
      <c r="I2299" s="1056">
        <v>38162</v>
      </c>
      <c r="J2299" s="996">
        <f t="shared" si="46"/>
        <v>-9158</v>
      </c>
      <c r="K2299" s="1037">
        <f t="shared" si="47"/>
        <v>8</v>
      </c>
    </row>
    <row r="2300" spans="1:11" ht="13.9" customHeight="1">
      <c r="A2300" s="1054">
        <v>52053601</v>
      </c>
      <c r="B2300" s="1055" t="s">
        <v>893</v>
      </c>
      <c r="C2300" s="1055" t="s">
        <v>350</v>
      </c>
      <c r="D2300" s="1055" t="s">
        <v>1575</v>
      </c>
      <c r="E2300" s="1055" t="s">
        <v>1576</v>
      </c>
      <c r="F2300" s="1056">
        <v>510</v>
      </c>
      <c r="G2300" s="1056">
        <v>0</v>
      </c>
      <c r="H2300" s="1056">
        <v>0</v>
      </c>
      <c r="I2300" s="1056">
        <v>510</v>
      </c>
      <c r="J2300" s="996">
        <f t="shared" si="46"/>
        <v>0</v>
      </c>
      <c r="K2300" s="1037">
        <f t="shared" si="47"/>
        <v>8</v>
      </c>
    </row>
    <row r="2301" spans="1:11" ht="13.9" customHeight="1">
      <c r="A2301" s="1054">
        <v>52053601</v>
      </c>
      <c r="B2301" s="1055" t="s">
        <v>893</v>
      </c>
      <c r="C2301" s="1055" t="s">
        <v>350</v>
      </c>
      <c r="D2301" s="1055" t="s">
        <v>1891</v>
      </c>
      <c r="E2301" s="1055" t="s">
        <v>1892</v>
      </c>
      <c r="F2301" s="1056">
        <v>0</v>
      </c>
      <c r="G2301" s="1056">
        <v>167</v>
      </c>
      <c r="H2301" s="1056">
        <v>0</v>
      </c>
      <c r="I2301" s="1056">
        <v>167</v>
      </c>
      <c r="J2301" s="996">
        <f t="shared" si="46"/>
        <v>-167</v>
      </c>
      <c r="K2301" s="1037">
        <f t="shared" si="47"/>
        <v>8</v>
      </c>
    </row>
    <row r="2302" spans="1:11" ht="13.9" customHeight="1">
      <c r="A2302" s="1054">
        <v>52053601</v>
      </c>
      <c r="B2302" s="1055" t="s">
        <v>893</v>
      </c>
      <c r="C2302" s="1055" t="s">
        <v>350</v>
      </c>
      <c r="D2302" s="1055" t="s">
        <v>1577</v>
      </c>
      <c r="E2302" s="1055" t="s">
        <v>1578</v>
      </c>
      <c r="F2302" s="1056">
        <v>724</v>
      </c>
      <c r="G2302" s="1056">
        <v>393</v>
      </c>
      <c r="H2302" s="1056">
        <v>0</v>
      </c>
      <c r="I2302" s="1056">
        <v>1118</v>
      </c>
      <c r="J2302" s="996">
        <f t="shared" si="46"/>
        <v>-393</v>
      </c>
      <c r="K2302" s="1037">
        <f t="shared" si="47"/>
        <v>8</v>
      </c>
    </row>
    <row r="2303" spans="1:11" ht="13.9" customHeight="1">
      <c r="A2303" s="1054">
        <v>52053601</v>
      </c>
      <c r="B2303" s="1055" t="s">
        <v>893</v>
      </c>
      <c r="C2303" s="1055" t="s">
        <v>350</v>
      </c>
      <c r="D2303" s="1055" t="s">
        <v>1360</v>
      </c>
      <c r="E2303" s="1055" t="s">
        <v>1361</v>
      </c>
      <c r="F2303" s="1056">
        <v>1200</v>
      </c>
      <c r="G2303" s="1056">
        <v>240</v>
      </c>
      <c r="H2303" s="1056">
        <v>0</v>
      </c>
      <c r="I2303" s="1056">
        <v>1440</v>
      </c>
      <c r="J2303" s="996">
        <f t="shared" si="46"/>
        <v>-240</v>
      </c>
      <c r="K2303" s="1037">
        <f t="shared" si="47"/>
        <v>8</v>
      </c>
    </row>
    <row r="2304" spans="1:11" ht="13.9" customHeight="1">
      <c r="A2304" s="1054">
        <v>52053601</v>
      </c>
      <c r="B2304" s="1055" t="s">
        <v>893</v>
      </c>
      <c r="C2304" s="1055" t="s">
        <v>350</v>
      </c>
      <c r="D2304" s="1055" t="s">
        <v>1893</v>
      </c>
      <c r="E2304" s="1055" t="s">
        <v>1894</v>
      </c>
      <c r="F2304" s="1056">
        <v>0</v>
      </c>
      <c r="G2304" s="1056">
        <v>167</v>
      </c>
      <c r="H2304" s="1056">
        <v>0</v>
      </c>
      <c r="I2304" s="1056">
        <v>167</v>
      </c>
      <c r="J2304" s="996">
        <f t="shared" si="46"/>
        <v>-167</v>
      </c>
      <c r="K2304" s="1037">
        <f t="shared" si="47"/>
        <v>8</v>
      </c>
    </row>
    <row r="2305" spans="1:11" ht="13.9" customHeight="1">
      <c r="A2305" s="1054">
        <v>52053601</v>
      </c>
      <c r="B2305" s="1055" t="s">
        <v>893</v>
      </c>
      <c r="C2305" s="1055" t="s">
        <v>350</v>
      </c>
      <c r="D2305" s="1055" t="s">
        <v>1298</v>
      </c>
      <c r="E2305" s="1055" t="s">
        <v>987</v>
      </c>
      <c r="F2305" s="1056">
        <v>787</v>
      </c>
      <c r="G2305" s="1056">
        <v>0</v>
      </c>
      <c r="H2305" s="1056">
        <v>0</v>
      </c>
      <c r="I2305" s="1056">
        <v>787</v>
      </c>
      <c r="J2305" s="996">
        <f t="shared" si="46"/>
        <v>0</v>
      </c>
      <c r="K2305" s="1037">
        <f t="shared" si="47"/>
        <v>8</v>
      </c>
    </row>
    <row r="2306" spans="1:11" ht="13.9" customHeight="1">
      <c r="A2306" s="1054">
        <v>52053601</v>
      </c>
      <c r="B2306" s="1055" t="s">
        <v>893</v>
      </c>
      <c r="C2306" s="1055" t="s">
        <v>350</v>
      </c>
      <c r="D2306" s="1055" t="s">
        <v>1484</v>
      </c>
      <c r="E2306" s="1055" t="s">
        <v>1485</v>
      </c>
      <c r="F2306" s="1056">
        <v>901</v>
      </c>
      <c r="G2306" s="1056">
        <v>180</v>
      </c>
      <c r="H2306" s="1056">
        <v>0</v>
      </c>
      <c r="I2306" s="1056">
        <v>1081</v>
      </c>
      <c r="J2306" s="996">
        <f t="shared" si="46"/>
        <v>-180</v>
      </c>
      <c r="K2306" s="1037">
        <f t="shared" si="47"/>
        <v>8</v>
      </c>
    </row>
    <row r="2307" spans="1:11" ht="13.9" customHeight="1">
      <c r="A2307" s="1054">
        <v>52053601</v>
      </c>
      <c r="B2307" s="1055" t="s">
        <v>893</v>
      </c>
      <c r="C2307" s="1055" t="s">
        <v>350</v>
      </c>
      <c r="D2307" s="1055" t="s">
        <v>1579</v>
      </c>
      <c r="E2307" s="1055" t="s">
        <v>1580</v>
      </c>
      <c r="F2307" s="1056">
        <v>776</v>
      </c>
      <c r="G2307" s="1056">
        <v>403</v>
      </c>
      <c r="H2307" s="1056">
        <v>0</v>
      </c>
      <c r="I2307" s="1056">
        <v>1179</v>
      </c>
      <c r="J2307" s="996">
        <f t="shared" si="46"/>
        <v>-403</v>
      </c>
      <c r="K2307" s="1037">
        <f t="shared" si="47"/>
        <v>8</v>
      </c>
    </row>
    <row r="2308" spans="1:11" ht="13.9" customHeight="1">
      <c r="A2308" s="1054">
        <v>52053601</v>
      </c>
      <c r="B2308" s="1055" t="s">
        <v>893</v>
      </c>
      <c r="C2308" s="1055" t="s">
        <v>350</v>
      </c>
      <c r="D2308" s="1055" t="s">
        <v>1270</v>
      </c>
      <c r="E2308" s="1055" t="s">
        <v>988</v>
      </c>
      <c r="F2308" s="1056">
        <v>1085</v>
      </c>
      <c r="G2308" s="1056">
        <v>235</v>
      </c>
      <c r="H2308" s="1056">
        <v>0</v>
      </c>
      <c r="I2308" s="1056">
        <v>1320</v>
      </c>
      <c r="J2308" s="996">
        <f t="shared" si="46"/>
        <v>-235</v>
      </c>
      <c r="K2308" s="1037">
        <f t="shared" si="47"/>
        <v>8</v>
      </c>
    </row>
    <row r="2309" spans="1:11" ht="13.9" customHeight="1">
      <c r="A2309" s="1054">
        <v>52053601</v>
      </c>
      <c r="B2309" s="1055" t="s">
        <v>893</v>
      </c>
      <c r="C2309" s="1055" t="s">
        <v>350</v>
      </c>
      <c r="D2309" s="1055" t="s">
        <v>1271</v>
      </c>
      <c r="E2309" s="1055" t="s">
        <v>782</v>
      </c>
      <c r="F2309" s="1056">
        <v>233</v>
      </c>
      <c r="G2309" s="1056">
        <v>0</v>
      </c>
      <c r="H2309" s="1056">
        <v>233</v>
      </c>
      <c r="I2309" s="1056">
        <v>0</v>
      </c>
      <c r="J2309" s="996">
        <f t="shared" si="46"/>
        <v>233</v>
      </c>
      <c r="K2309" s="1037">
        <f t="shared" si="47"/>
        <v>8</v>
      </c>
    </row>
    <row r="2310" spans="1:11" ht="13.9" customHeight="1">
      <c r="A2310" s="1054">
        <v>52053601</v>
      </c>
      <c r="B2310" s="1055" t="s">
        <v>893</v>
      </c>
      <c r="C2310" s="1055" t="s">
        <v>350</v>
      </c>
      <c r="D2310" s="1055" t="s">
        <v>1272</v>
      </c>
      <c r="E2310" s="1055" t="s">
        <v>1273</v>
      </c>
      <c r="F2310" s="1056">
        <v>0</v>
      </c>
      <c r="G2310" s="1056">
        <v>1370</v>
      </c>
      <c r="H2310" s="1056">
        <v>0</v>
      </c>
      <c r="I2310" s="1056">
        <v>1370</v>
      </c>
      <c r="J2310" s="996">
        <f t="shared" si="46"/>
        <v>-1370</v>
      </c>
      <c r="K2310" s="1037">
        <f t="shared" si="47"/>
        <v>8</v>
      </c>
    </row>
    <row r="2311" spans="1:11" ht="13.9" customHeight="1">
      <c r="A2311" s="1054">
        <v>52053601</v>
      </c>
      <c r="B2311" s="1055" t="s">
        <v>893</v>
      </c>
      <c r="C2311" s="1055" t="s">
        <v>350</v>
      </c>
      <c r="D2311" s="1055" t="s">
        <v>1420</v>
      </c>
      <c r="E2311" s="1055" t="s">
        <v>1421</v>
      </c>
      <c r="F2311" s="1056">
        <v>849</v>
      </c>
      <c r="G2311" s="1056">
        <v>170</v>
      </c>
      <c r="H2311" s="1056">
        <v>0</v>
      </c>
      <c r="I2311" s="1056">
        <v>1019</v>
      </c>
      <c r="J2311" s="996">
        <f t="shared" si="46"/>
        <v>-170</v>
      </c>
      <c r="K2311" s="1037">
        <f t="shared" si="47"/>
        <v>8</v>
      </c>
    </row>
    <row r="2312" spans="1:11" ht="13.9" customHeight="1">
      <c r="A2312" s="1054">
        <v>52053601</v>
      </c>
      <c r="B2312" s="1055" t="s">
        <v>893</v>
      </c>
      <c r="C2312" s="1055" t="s">
        <v>350</v>
      </c>
      <c r="D2312" s="1055" t="s">
        <v>1493</v>
      </c>
      <c r="E2312" s="1055" t="s">
        <v>1494</v>
      </c>
      <c r="F2312" s="1056">
        <v>908</v>
      </c>
      <c r="G2312" s="1056">
        <v>0</v>
      </c>
      <c r="H2312" s="1056">
        <v>0</v>
      </c>
      <c r="I2312" s="1056">
        <v>908</v>
      </c>
      <c r="J2312" s="996">
        <f t="shared" si="46"/>
        <v>0</v>
      </c>
      <c r="K2312" s="1037">
        <f t="shared" si="47"/>
        <v>8</v>
      </c>
    </row>
    <row r="2313" spans="1:11" ht="13.9" customHeight="1">
      <c r="A2313" s="1054">
        <v>52053601</v>
      </c>
      <c r="B2313" s="1055" t="s">
        <v>893</v>
      </c>
      <c r="C2313" s="1055" t="s">
        <v>350</v>
      </c>
      <c r="D2313" s="1055" t="s">
        <v>1841</v>
      </c>
      <c r="E2313" s="1055" t="s">
        <v>1842</v>
      </c>
      <c r="F2313" s="1056">
        <v>241</v>
      </c>
      <c r="G2313" s="1056">
        <v>908</v>
      </c>
      <c r="H2313" s="1056">
        <v>0</v>
      </c>
      <c r="I2313" s="1056">
        <v>1149</v>
      </c>
      <c r="J2313" s="996">
        <f t="shared" ref="J2313:J2376" si="48">+H2313-G2313</f>
        <v>-908</v>
      </c>
      <c r="K2313" s="1037">
        <f t="shared" si="47"/>
        <v>8</v>
      </c>
    </row>
    <row r="2314" spans="1:11" ht="13.9" customHeight="1">
      <c r="A2314" s="1054">
        <v>52053601</v>
      </c>
      <c r="B2314" s="1055" t="s">
        <v>893</v>
      </c>
      <c r="C2314" s="1055" t="s">
        <v>350</v>
      </c>
      <c r="D2314" s="1055" t="s">
        <v>1519</v>
      </c>
      <c r="E2314" s="1055" t="s">
        <v>1520</v>
      </c>
      <c r="F2314" s="1056">
        <v>89</v>
      </c>
      <c r="G2314" s="1056">
        <v>0</v>
      </c>
      <c r="H2314" s="1056">
        <v>0</v>
      </c>
      <c r="I2314" s="1056">
        <v>89</v>
      </c>
      <c r="J2314" s="996">
        <f t="shared" si="48"/>
        <v>0</v>
      </c>
      <c r="K2314" s="1037">
        <f t="shared" si="47"/>
        <v>8</v>
      </c>
    </row>
    <row r="2315" spans="1:11" ht="13.9" customHeight="1">
      <c r="A2315" s="1054">
        <v>52053601</v>
      </c>
      <c r="B2315" s="1055" t="s">
        <v>893</v>
      </c>
      <c r="C2315" s="1055" t="s">
        <v>350</v>
      </c>
      <c r="D2315" s="1055" t="s">
        <v>1368</v>
      </c>
      <c r="E2315" s="1055" t="s">
        <v>1369</v>
      </c>
      <c r="F2315" s="1056">
        <v>44</v>
      </c>
      <c r="G2315" s="1056">
        <v>0</v>
      </c>
      <c r="H2315" s="1056">
        <v>0</v>
      </c>
      <c r="I2315" s="1056">
        <v>44</v>
      </c>
      <c r="J2315" s="996">
        <f t="shared" si="48"/>
        <v>0</v>
      </c>
      <c r="K2315" s="1037">
        <f t="shared" si="47"/>
        <v>8</v>
      </c>
    </row>
    <row r="2316" spans="1:11" ht="13.9" customHeight="1">
      <c r="A2316" s="1054">
        <v>52053601</v>
      </c>
      <c r="B2316" s="1055" t="s">
        <v>893</v>
      </c>
      <c r="C2316" s="1055" t="s">
        <v>350</v>
      </c>
      <c r="D2316" s="1055" t="s">
        <v>1895</v>
      </c>
      <c r="E2316" s="1055" t="s">
        <v>1896</v>
      </c>
      <c r="F2316" s="1056">
        <v>0</v>
      </c>
      <c r="G2316" s="1056">
        <v>33</v>
      </c>
      <c r="H2316" s="1056">
        <v>0</v>
      </c>
      <c r="I2316" s="1056">
        <v>33</v>
      </c>
      <c r="J2316" s="996">
        <f t="shared" si="48"/>
        <v>-33</v>
      </c>
      <c r="K2316" s="1037">
        <f t="shared" si="47"/>
        <v>8</v>
      </c>
    </row>
    <row r="2317" spans="1:11" ht="13.9" customHeight="1">
      <c r="A2317" s="1054">
        <v>52053601</v>
      </c>
      <c r="B2317" s="1055" t="s">
        <v>893</v>
      </c>
      <c r="C2317" s="1055" t="s">
        <v>350</v>
      </c>
      <c r="D2317" s="1055" t="s">
        <v>1495</v>
      </c>
      <c r="E2317" s="1055" t="s">
        <v>1496</v>
      </c>
      <c r="F2317" s="1056">
        <v>46</v>
      </c>
      <c r="G2317" s="1056">
        <v>0</v>
      </c>
      <c r="H2317" s="1056">
        <v>0</v>
      </c>
      <c r="I2317" s="1056">
        <v>46</v>
      </c>
      <c r="J2317" s="996">
        <f t="shared" si="48"/>
        <v>0</v>
      </c>
      <c r="K2317" s="1037">
        <f t="shared" si="47"/>
        <v>8</v>
      </c>
    </row>
    <row r="2318" spans="1:11" ht="13.9" customHeight="1">
      <c r="A2318" s="1054">
        <v>52053601</v>
      </c>
      <c r="B2318" s="1055" t="s">
        <v>893</v>
      </c>
      <c r="C2318" s="1055" t="s">
        <v>350</v>
      </c>
      <c r="D2318" s="1055" t="s">
        <v>1320</v>
      </c>
      <c r="E2318" s="1055" t="s">
        <v>1321</v>
      </c>
      <c r="F2318" s="1056">
        <v>887</v>
      </c>
      <c r="G2318" s="1056">
        <v>177</v>
      </c>
      <c r="H2318" s="1056">
        <v>0</v>
      </c>
      <c r="I2318" s="1056">
        <v>1065</v>
      </c>
      <c r="J2318" s="996">
        <f t="shared" si="48"/>
        <v>-177</v>
      </c>
      <c r="K2318" s="1037">
        <f t="shared" si="47"/>
        <v>8</v>
      </c>
    </row>
    <row r="2319" spans="1:11" ht="13.9" customHeight="1">
      <c r="A2319" s="1054">
        <v>52053601</v>
      </c>
      <c r="B2319" s="1055" t="s">
        <v>893</v>
      </c>
      <c r="C2319" s="1055" t="s">
        <v>350</v>
      </c>
      <c r="D2319" s="1055" t="s">
        <v>1274</v>
      </c>
      <c r="E2319" s="1055" t="s">
        <v>989</v>
      </c>
      <c r="F2319" s="1056">
        <v>1116</v>
      </c>
      <c r="G2319" s="1056">
        <v>223</v>
      </c>
      <c r="H2319" s="1056">
        <v>0</v>
      </c>
      <c r="I2319" s="1056">
        <v>1339</v>
      </c>
      <c r="J2319" s="996">
        <f t="shared" si="48"/>
        <v>-223</v>
      </c>
      <c r="K2319" s="1037">
        <f t="shared" si="47"/>
        <v>8</v>
      </c>
    </row>
    <row r="2320" spans="1:11" ht="13.9" customHeight="1">
      <c r="A2320" s="1054">
        <v>52053601</v>
      </c>
      <c r="B2320" s="1055" t="s">
        <v>893</v>
      </c>
      <c r="C2320" s="1055" t="s">
        <v>350</v>
      </c>
      <c r="D2320" s="1055" t="s">
        <v>1497</v>
      </c>
      <c r="E2320" s="1055" t="s">
        <v>1498</v>
      </c>
      <c r="F2320" s="1056">
        <v>622</v>
      </c>
      <c r="G2320" s="1056">
        <v>0</v>
      </c>
      <c r="H2320" s="1056">
        <v>0</v>
      </c>
      <c r="I2320" s="1056">
        <v>622</v>
      </c>
      <c r="J2320" s="996">
        <f t="shared" si="48"/>
        <v>0</v>
      </c>
      <c r="K2320" s="1037">
        <f t="shared" si="47"/>
        <v>8</v>
      </c>
    </row>
    <row r="2321" spans="1:11" ht="13.9" customHeight="1">
      <c r="A2321" s="1054">
        <v>52053601</v>
      </c>
      <c r="B2321" s="1055" t="s">
        <v>893</v>
      </c>
      <c r="C2321" s="1055" t="s">
        <v>350</v>
      </c>
      <c r="D2321" s="1055" t="s">
        <v>1043</v>
      </c>
      <c r="E2321" s="1055" t="s">
        <v>318</v>
      </c>
      <c r="F2321" s="1056">
        <v>1438</v>
      </c>
      <c r="G2321" s="1056">
        <v>736</v>
      </c>
      <c r="H2321" s="1056">
        <v>0</v>
      </c>
      <c r="I2321" s="1056">
        <v>2174</v>
      </c>
      <c r="J2321" s="996">
        <f t="shared" si="48"/>
        <v>-736</v>
      </c>
      <c r="K2321" s="1037">
        <f t="shared" si="47"/>
        <v>8</v>
      </c>
    </row>
    <row r="2322" spans="1:11" ht="13.9" customHeight="1">
      <c r="A2322" s="1054">
        <v>52053601</v>
      </c>
      <c r="B2322" s="1055" t="s">
        <v>893</v>
      </c>
      <c r="C2322" s="1055" t="s">
        <v>350</v>
      </c>
      <c r="D2322" s="1055" t="s">
        <v>1370</v>
      </c>
      <c r="E2322" s="1055" t="s">
        <v>1371</v>
      </c>
      <c r="F2322" s="1056">
        <v>752</v>
      </c>
      <c r="G2322" s="1056">
        <v>248</v>
      </c>
      <c r="H2322" s="1056">
        <v>0</v>
      </c>
      <c r="I2322" s="1056">
        <v>1000</v>
      </c>
      <c r="J2322" s="996">
        <f t="shared" si="48"/>
        <v>-248</v>
      </c>
      <c r="K2322" s="1037">
        <f t="shared" si="47"/>
        <v>8</v>
      </c>
    </row>
    <row r="2323" spans="1:11" ht="13.9" customHeight="1">
      <c r="A2323" s="1054">
        <v>52053601</v>
      </c>
      <c r="B2323" s="1055" t="s">
        <v>893</v>
      </c>
      <c r="C2323" s="1055" t="s">
        <v>350</v>
      </c>
      <c r="D2323" s="1055" t="s">
        <v>1843</v>
      </c>
      <c r="E2323" s="1055" t="s">
        <v>1844</v>
      </c>
      <c r="F2323" s="1056">
        <v>143</v>
      </c>
      <c r="G2323" s="1056">
        <v>0</v>
      </c>
      <c r="H2323" s="1056">
        <v>14</v>
      </c>
      <c r="I2323" s="1056">
        <v>129</v>
      </c>
      <c r="J2323" s="996">
        <f t="shared" si="48"/>
        <v>14</v>
      </c>
      <c r="K2323" s="1037">
        <f t="shared" si="47"/>
        <v>8</v>
      </c>
    </row>
    <row r="2324" spans="1:11" ht="13.9" customHeight="1">
      <c r="A2324" s="1054">
        <v>52053601</v>
      </c>
      <c r="B2324" s="1055" t="s">
        <v>893</v>
      </c>
      <c r="C2324" s="1055" t="s">
        <v>350</v>
      </c>
      <c r="D2324" s="1055" t="s">
        <v>1759</v>
      </c>
      <c r="E2324" s="1055" t="s">
        <v>1760</v>
      </c>
      <c r="F2324" s="1056">
        <v>149</v>
      </c>
      <c r="G2324" s="1056">
        <v>0</v>
      </c>
      <c r="H2324" s="1056">
        <v>0</v>
      </c>
      <c r="I2324" s="1056">
        <v>149</v>
      </c>
      <c r="J2324" s="996">
        <f t="shared" si="48"/>
        <v>0</v>
      </c>
      <c r="K2324" s="1037">
        <f t="shared" si="47"/>
        <v>8</v>
      </c>
    </row>
    <row r="2325" spans="1:11" ht="13.9" customHeight="1">
      <c r="A2325" s="1054">
        <v>52053601</v>
      </c>
      <c r="B2325" s="1055" t="s">
        <v>893</v>
      </c>
      <c r="C2325" s="1055" t="s">
        <v>350</v>
      </c>
      <c r="D2325" s="1055" t="s">
        <v>1581</v>
      </c>
      <c r="E2325" s="1055" t="s">
        <v>1582</v>
      </c>
      <c r="F2325" s="1056">
        <v>494</v>
      </c>
      <c r="G2325" s="1056">
        <v>0</v>
      </c>
      <c r="H2325" s="1056">
        <v>0</v>
      </c>
      <c r="I2325" s="1056">
        <v>494</v>
      </c>
      <c r="J2325" s="996">
        <f t="shared" si="48"/>
        <v>0</v>
      </c>
      <c r="K2325" s="1037">
        <f t="shared" si="47"/>
        <v>8</v>
      </c>
    </row>
    <row r="2326" spans="1:11" ht="13.9" customHeight="1">
      <c r="A2326" s="1054">
        <v>52053601</v>
      </c>
      <c r="B2326" s="1055" t="s">
        <v>893</v>
      </c>
      <c r="C2326" s="1055" t="s">
        <v>350</v>
      </c>
      <c r="D2326" s="1055" t="s">
        <v>1521</v>
      </c>
      <c r="E2326" s="1055" t="s">
        <v>1522</v>
      </c>
      <c r="F2326" s="1056">
        <v>961</v>
      </c>
      <c r="G2326" s="1056">
        <v>213</v>
      </c>
      <c r="H2326" s="1056">
        <v>0</v>
      </c>
      <c r="I2326" s="1056">
        <v>1174</v>
      </c>
      <c r="J2326" s="996">
        <f t="shared" si="48"/>
        <v>-213</v>
      </c>
      <c r="K2326" s="1037">
        <f t="shared" si="47"/>
        <v>8</v>
      </c>
    </row>
    <row r="2327" spans="1:11" ht="13.9" customHeight="1">
      <c r="A2327" s="1054">
        <v>52053601</v>
      </c>
      <c r="B2327" s="1055" t="s">
        <v>893</v>
      </c>
      <c r="C2327" s="1055" t="s">
        <v>350</v>
      </c>
      <c r="D2327" s="1055" t="s">
        <v>1426</v>
      </c>
      <c r="E2327" s="1055" t="s">
        <v>1427</v>
      </c>
      <c r="F2327" s="1056">
        <v>906</v>
      </c>
      <c r="G2327" s="1056">
        <v>181</v>
      </c>
      <c r="H2327" s="1056">
        <v>0</v>
      </c>
      <c r="I2327" s="1056">
        <v>1087</v>
      </c>
      <c r="J2327" s="996">
        <f t="shared" si="48"/>
        <v>-181</v>
      </c>
      <c r="K2327" s="1037">
        <f t="shared" si="47"/>
        <v>8</v>
      </c>
    </row>
    <row r="2328" spans="1:11" ht="13.9" customHeight="1">
      <c r="A2328" s="1054">
        <v>52053601</v>
      </c>
      <c r="B2328" s="1055" t="s">
        <v>893</v>
      </c>
      <c r="C2328" s="1055" t="s">
        <v>350</v>
      </c>
      <c r="D2328" s="1055" t="s">
        <v>1583</v>
      </c>
      <c r="E2328" s="1055" t="s">
        <v>1584</v>
      </c>
      <c r="F2328" s="1056">
        <v>128</v>
      </c>
      <c r="G2328" s="1056">
        <v>0</v>
      </c>
      <c r="H2328" s="1056">
        <v>0</v>
      </c>
      <c r="I2328" s="1056">
        <v>128</v>
      </c>
      <c r="J2328" s="996">
        <f t="shared" si="48"/>
        <v>0</v>
      </c>
      <c r="K2328" s="1037">
        <f t="shared" si="47"/>
        <v>8</v>
      </c>
    </row>
    <row r="2329" spans="1:11" ht="13.9" customHeight="1">
      <c r="A2329" s="1054">
        <v>52053601</v>
      </c>
      <c r="B2329" s="1055" t="s">
        <v>893</v>
      </c>
      <c r="C2329" s="1055" t="s">
        <v>350</v>
      </c>
      <c r="D2329" s="1055" t="s">
        <v>1372</v>
      </c>
      <c r="E2329" s="1055" t="s">
        <v>1373</v>
      </c>
      <c r="F2329" s="1056">
        <v>-4</v>
      </c>
      <c r="G2329" s="1056">
        <v>4</v>
      </c>
      <c r="H2329" s="1056">
        <v>0</v>
      </c>
      <c r="I2329" s="1056">
        <v>0</v>
      </c>
      <c r="J2329" s="996">
        <f t="shared" si="48"/>
        <v>-4</v>
      </c>
      <c r="K2329" s="1037">
        <f t="shared" si="47"/>
        <v>8</v>
      </c>
    </row>
    <row r="2330" spans="1:11" ht="13.9" customHeight="1">
      <c r="A2330" s="1054">
        <v>52053601</v>
      </c>
      <c r="B2330" s="1055" t="s">
        <v>893</v>
      </c>
      <c r="C2330" s="1055" t="s">
        <v>350</v>
      </c>
      <c r="D2330" s="1055" t="s">
        <v>1374</v>
      </c>
      <c r="E2330" s="1055" t="s">
        <v>1375</v>
      </c>
      <c r="F2330" s="1056">
        <v>879</v>
      </c>
      <c r="G2330" s="1056">
        <v>176</v>
      </c>
      <c r="H2330" s="1056">
        <v>0</v>
      </c>
      <c r="I2330" s="1056">
        <v>1055</v>
      </c>
      <c r="J2330" s="996">
        <f t="shared" si="48"/>
        <v>-176</v>
      </c>
      <c r="K2330" s="1037">
        <f t="shared" si="47"/>
        <v>8</v>
      </c>
    </row>
    <row r="2331" spans="1:11" ht="13.9" customHeight="1">
      <c r="A2331" s="1054">
        <v>52053601</v>
      </c>
      <c r="B2331" s="1055" t="s">
        <v>893</v>
      </c>
      <c r="C2331" s="1055" t="s">
        <v>350</v>
      </c>
      <c r="D2331" s="1055" t="s">
        <v>1249</v>
      </c>
      <c r="E2331" s="1055" t="s">
        <v>583</v>
      </c>
      <c r="F2331" s="1056">
        <v>1544</v>
      </c>
      <c r="G2331" s="1056">
        <v>309</v>
      </c>
      <c r="H2331" s="1056">
        <v>0</v>
      </c>
      <c r="I2331" s="1056">
        <v>1853</v>
      </c>
      <c r="J2331" s="996">
        <f t="shared" si="48"/>
        <v>-309</v>
      </c>
      <c r="K2331" s="1037">
        <f t="shared" si="47"/>
        <v>8</v>
      </c>
    </row>
    <row r="2332" spans="1:11" ht="13.9" customHeight="1">
      <c r="A2332" s="1054">
        <v>52053601</v>
      </c>
      <c r="B2332" s="1055" t="s">
        <v>893</v>
      </c>
      <c r="C2332" s="1055" t="s">
        <v>350</v>
      </c>
      <c r="D2332" s="1055" t="s">
        <v>1376</v>
      </c>
      <c r="E2332" s="1055" t="s">
        <v>1377</v>
      </c>
      <c r="F2332" s="1056">
        <v>1038</v>
      </c>
      <c r="G2332" s="1056">
        <v>0</v>
      </c>
      <c r="H2332" s="1056">
        <v>0</v>
      </c>
      <c r="I2332" s="1056">
        <v>1038</v>
      </c>
      <c r="J2332" s="996">
        <f t="shared" si="48"/>
        <v>0</v>
      </c>
      <c r="K2332" s="1037">
        <f t="shared" si="47"/>
        <v>8</v>
      </c>
    </row>
    <row r="2333" spans="1:11" ht="13.9" customHeight="1">
      <c r="A2333" s="1054">
        <v>52053601</v>
      </c>
      <c r="B2333" s="1055" t="s">
        <v>893</v>
      </c>
      <c r="C2333" s="1055" t="s">
        <v>350</v>
      </c>
      <c r="D2333" s="1055" t="s">
        <v>1305</v>
      </c>
      <c r="E2333" s="1055" t="s">
        <v>990</v>
      </c>
      <c r="F2333" s="1056">
        <v>-33</v>
      </c>
      <c r="G2333" s="1056">
        <v>0</v>
      </c>
      <c r="H2333" s="1056">
        <v>0</v>
      </c>
      <c r="I2333" s="1056">
        <v>-33</v>
      </c>
      <c r="J2333" s="996">
        <f t="shared" si="48"/>
        <v>0</v>
      </c>
      <c r="K2333" s="1037">
        <f t="shared" si="47"/>
        <v>8</v>
      </c>
    </row>
    <row r="2334" spans="1:11" ht="13.9" customHeight="1">
      <c r="A2334" s="1054">
        <v>52053601</v>
      </c>
      <c r="B2334" s="1055" t="s">
        <v>893</v>
      </c>
      <c r="C2334" s="1055" t="s">
        <v>350</v>
      </c>
      <c r="D2334" s="1055" t="s">
        <v>1845</v>
      </c>
      <c r="E2334" s="1055" t="s">
        <v>1846</v>
      </c>
      <c r="F2334" s="1056">
        <v>123</v>
      </c>
      <c r="G2334" s="1056">
        <v>184</v>
      </c>
      <c r="H2334" s="1056">
        <v>0</v>
      </c>
      <c r="I2334" s="1056">
        <v>308</v>
      </c>
      <c r="J2334" s="996">
        <f t="shared" si="48"/>
        <v>-184</v>
      </c>
      <c r="K2334" s="1037">
        <f t="shared" si="47"/>
        <v>8</v>
      </c>
    </row>
    <row r="2335" spans="1:11" ht="13.9" customHeight="1">
      <c r="A2335" s="1054">
        <v>52053601</v>
      </c>
      <c r="B2335" s="1055" t="s">
        <v>893</v>
      </c>
      <c r="C2335" s="1055" t="s">
        <v>350</v>
      </c>
      <c r="D2335" s="1055" t="s">
        <v>1306</v>
      </c>
      <c r="E2335" s="1055" t="s">
        <v>997</v>
      </c>
      <c r="F2335" s="1056">
        <v>748</v>
      </c>
      <c r="G2335" s="1056">
        <v>0</v>
      </c>
      <c r="H2335" s="1056">
        <v>0</v>
      </c>
      <c r="I2335" s="1056">
        <v>748</v>
      </c>
      <c r="J2335" s="996">
        <f t="shared" si="48"/>
        <v>0</v>
      </c>
      <c r="K2335" s="1037">
        <f t="shared" si="47"/>
        <v>8</v>
      </c>
    </row>
    <row r="2336" spans="1:11" ht="13.9" customHeight="1">
      <c r="A2336" s="1054">
        <v>52053601</v>
      </c>
      <c r="B2336" s="1055" t="s">
        <v>893</v>
      </c>
      <c r="C2336" s="1055" t="s">
        <v>350</v>
      </c>
      <c r="D2336" s="1055" t="s">
        <v>1897</v>
      </c>
      <c r="E2336" s="1055" t="s">
        <v>1898</v>
      </c>
      <c r="F2336" s="1056">
        <v>0</v>
      </c>
      <c r="G2336" s="1056">
        <v>44</v>
      </c>
      <c r="H2336" s="1056">
        <v>0</v>
      </c>
      <c r="I2336" s="1056">
        <v>44</v>
      </c>
      <c r="J2336" s="996">
        <f t="shared" si="48"/>
        <v>-44</v>
      </c>
      <c r="K2336" s="1037">
        <f t="shared" si="47"/>
        <v>8</v>
      </c>
    </row>
    <row r="2337" spans="1:11" ht="13.9" customHeight="1">
      <c r="A2337" s="1054">
        <v>52053601</v>
      </c>
      <c r="B2337" s="1055" t="s">
        <v>893</v>
      </c>
      <c r="C2337" s="1055" t="s">
        <v>350</v>
      </c>
      <c r="D2337" s="1055" t="s">
        <v>1250</v>
      </c>
      <c r="E2337" s="1055" t="s">
        <v>1251</v>
      </c>
      <c r="F2337" s="1056">
        <v>911</v>
      </c>
      <c r="G2337" s="1056">
        <v>182</v>
      </c>
      <c r="H2337" s="1056">
        <v>0</v>
      </c>
      <c r="I2337" s="1056">
        <v>1093</v>
      </c>
      <c r="J2337" s="996">
        <f t="shared" si="48"/>
        <v>-182</v>
      </c>
      <c r="K2337" s="1037">
        <f t="shared" si="47"/>
        <v>8</v>
      </c>
    </row>
    <row r="2338" spans="1:11" ht="13.9" customHeight="1">
      <c r="A2338" s="1054">
        <v>52053601</v>
      </c>
      <c r="B2338" s="1055" t="s">
        <v>893</v>
      </c>
      <c r="C2338" s="1055" t="s">
        <v>350</v>
      </c>
      <c r="D2338" s="1055" t="s">
        <v>1899</v>
      </c>
      <c r="E2338" s="1055" t="s">
        <v>1900</v>
      </c>
      <c r="F2338" s="1056">
        <v>0</v>
      </c>
      <c r="G2338" s="1056">
        <v>1135</v>
      </c>
      <c r="H2338" s="1056">
        <v>0</v>
      </c>
      <c r="I2338" s="1056">
        <v>1135</v>
      </c>
      <c r="J2338" s="996">
        <f t="shared" si="48"/>
        <v>-1135</v>
      </c>
      <c r="K2338" s="1037">
        <f t="shared" si="47"/>
        <v>8</v>
      </c>
    </row>
    <row r="2339" spans="1:11" ht="13.9" customHeight="1">
      <c r="A2339" s="1054">
        <v>52053601</v>
      </c>
      <c r="B2339" s="1055" t="s">
        <v>893</v>
      </c>
      <c r="C2339" s="1055" t="s">
        <v>350</v>
      </c>
      <c r="D2339" s="1055" t="s">
        <v>1901</v>
      </c>
      <c r="E2339" s="1055" t="s">
        <v>1902</v>
      </c>
      <c r="F2339" s="1056">
        <v>0</v>
      </c>
      <c r="G2339" s="1056">
        <v>83</v>
      </c>
      <c r="H2339" s="1056">
        <v>0</v>
      </c>
      <c r="I2339" s="1056">
        <v>83</v>
      </c>
      <c r="J2339" s="996">
        <f t="shared" si="48"/>
        <v>-83</v>
      </c>
      <c r="K2339" s="1037">
        <f t="shared" si="47"/>
        <v>8</v>
      </c>
    </row>
    <row r="2340" spans="1:11" ht="13.9" customHeight="1">
      <c r="A2340" s="1054">
        <v>52053601</v>
      </c>
      <c r="B2340" s="1055" t="s">
        <v>893</v>
      </c>
      <c r="C2340" s="1055" t="s">
        <v>350</v>
      </c>
      <c r="D2340" s="1055" t="s">
        <v>1686</v>
      </c>
      <c r="E2340" s="1055" t="s">
        <v>1687</v>
      </c>
      <c r="F2340" s="1056">
        <v>547</v>
      </c>
      <c r="G2340" s="1056">
        <v>387</v>
      </c>
      <c r="H2340" s="1056">
        <v>0</v>
      </c>
      <c r="I2340" s="1056">
        <v>934</v>
      </c>
      <c r="J2340" s="996">
        <f t="shared" si="48"/>
        <v>-387</v>
      </c>
      <c r="K2340" s="1037">
        <f t="shared" si="47"/>
        <v>8</v>
      </c>
    </row>
    <row r="2341" spans="1:11" ht="13.9" customHeight="1">
      <c r="A2341" s="1054">
        <v>52053601</v>
      </c>
      <c r="B2341" s="1055" t="s">
        <v>893</v>
      </c>
      <c r="C2341" s="1055" t="s">
        <v>350</v>
      </c>
      <c r="D2341" s="1055" t="s">
        <v>1303</v>
      </c>
      <c r="E2341" s="1055" t="s">
        <v>806</v>
      </c>
      <c r="F2341" s="1056">
        <v>331</v>
      </c>
      <c r="G2341" s="1056">
        <v>0</v>
      </c>
      <c r="H2341" s="1056">
        <v>331</v>
      </c>
      <c r="I2341" s="1056">
        <v>0</v>
      </c>
      <c r="J2341" s="996">
        <f t="shared" si="48"/>
        <v>331</v>
      </c>
      <c r="K2341" s="1037">
        <f t="shared" si="47"/>
        <v>8</v>
      </c>
    </row>
    <row r="2342" spans="1:11" ht="13.9" customHeight="1">
      <c r="A2342" s="1054">
        <v>52053601</v>
      </c>
      <c r="B2342" s="1055" t="s">
        <v>893</v>
      </c>
      <c r="C2342" s="1055" t="s">
        <v>350</v>
      </c>
      <c r="D2342" s="1055" t="s">
        <v>1499</v>
      </c>
      <c r="E2342" s="1055" t="s">
        <v>1500</v>
      </c>
      <c r="F2342" s="1056">
        <v>3</v>
      </c>
      <c r="G2342" s="1056">
        <v>0</v>
      </c>
      <c r="H2342" s="1056">
        <v>0</v>
      </c>
      <c r="I2342" s="1056">
        <v>3</v>
      </c>
      <c r="J2342" s="996">
        <f t="shared" si="48"/>
        <v>0</v>
      </c>
      <c r="K2342" s="1037">
        <f t="shared" si="47"/>
        <v>8</v>
      </c>
    </row>
    <row r="2343" spans="1:11" ht="13.9" customHeight="1">
      <c r="A2343" s="1054">
        <v>52053601</v>
      </c>
      <c r="B2343" s="1055" t="s">
        <v>893</v>
      </c>
      <c r="C2343" s="1055" t="s">
        <v>350</v>
      </c>
      <c r="D2343" s="1055" t="s">
        <v>1523</v>
      </c>
      <c r="E2343" s="1055" t="s">
        <v>1524</v>
      </c>
      <c r="F2343" s="1056">
        <v>305</v>
      </c>
      <c r="G2343" s="1056">
        <v>0</v>
      </c>
      <c r="H2343" s="1056">
        <v>0</v>
      </c>
      <c r="I2343" s="1056">
        <v>305</v>
      </c>
      <c r="J2343" s="996">
        <f t="shared" si="48"/>
        <v>0</v>
      </c>
      <c r="K2343" s="1037">
        <f t="shared" si="47"/>
        <v>8</v>
      </c>
    </row>
    <row r="2344" spans="1:11" ht="13.9" customHeight="1">
      <c r="A2344" s="1054">
        <v>52053601</v>
      </c>
      <c r="B2344" s="1055" t="s">
        <v>893</v>
      </c>
      <c r="C2344" s="1055" t="s">
        <v>350</v>
      </c>
      <c r="D2344" s="1055" t="s">
        <v>1422</v>
      </c>
      <c r="E2344" s="1055" t="s">
        <v>1423</v>
      </c>
      <c r="F2344" s="1056">
        <v>23</v>
      </c>
      <c r="G2344" s="1056">
        <v>0</v>
      </c>
      <c r="H2344" s="1056">
        <v>0</v>
      </c>
      <c r="I2344" s="1056">
        <v>23</v>
      </c>
      <c r="J2344" s="996">
        <f t="shared" si="48"/>
        <v>0</v>
      </c>
      <c r="K2344" s="1037">
        <f t="shared" si="47"/>
        <v>8</v>
      </c>
    </row>
    <row r="2345" spans="1:11" ht="13.9" customHeight="1">
      <c r="A2345" s="1054">
        <v>52053601</v>
      </c>
      <c r="B2345" s="1055" t="s">
        <v>893</v>
      </c>
      <c r="C2345" s="1055" t="s">
        <v>350</v>
      </c>
      <c r="D2345" s="1055" t="s">
        <v>1480</v>
      </c>
      <c r="E2345" s="1055" t="s">
        <v>1481</v>
      </c>
      <c r="F2345" s="1056">
        <v>230</v>
      </c>
      <c r="G2345" s="1056">
        <v>0</v>
      </c>
      <c r="H2345" s="1056">
        <v>230</v>
      </c>
      <c r="I2345" s="1056">
        <v>0</v>
      </c>
      <c r="J2345" s="996">
        <f t="shared" si="48"/>
        <v>230</v>
      </c>
      <c r="K2345" s="1037">
        <f t="shared" si="47"/>
        <v>8</v>
      </c>
    </row>
    <row r="2346" spans="1:11" ht="13.9" customHeight="1">
      <c r="A2346" s="1054">
        <v>52053601</v>
      </c>
      <c r="B2346" s="1055" t="s">
        <v>893</v>
      </c>
      <c r="C2346" s="1055" t="s">
        <v>350</v>
      </c>
      <c r="D2346" s="1055" t="s">
        <v>1847</v>
      </c>
      <c r="E2346" s="1055" t="s">
        <v>1848</v>
      </c>
      <c r="F2346" s="1056">
        <v>89</v>
      </c>
      <c r="G2346" s="1056">
        <v>0</v>
      </c>
      <c r="H2346" s="1056">
        <v>0</v>
      </c>
      <c r="I2346" s="1056">
        <v>89</v>
      </c>
      <c r="J2346" s="996">
        <f t="shared" si="48"/>
        <v>0</v>
      </c>
      <c r="K2346" s="1037">
        <f t="shared" si="47"/>
        <v>8</v>
      </c>
    </row>
    <row r="2347" spans="1:11" ht="13.9" customHeight="1">
      <c r="A2347" s="1054">
        <v>52053601</v>
      </c>
      <c r="B2347" s="1055" t="s">
        <v>893</v>
      </c>
      <c r="C2347" s="1055" t="s">
        <v>350</v>
      </c>
      <c r="D2347" s="1055" t="s">
        <v>1761</v>
      </c>
      <c r="E2347" s="1055" t="s">
        <v>1762</v>
      </c>
      <c r="F2347" s="1056">
        <v>258</v>
      </c>
      <c r="G2347" s="1056">
        <v>431</v>
      </c>
      <c r="H2347" s="1056">
        <v>0</v>
      </c>
      <c r="I2347" s="1056">
        <v>689</v>
      </c>
      <c r="J2347" s="996">
        <f t="shared" si="48"/>
        <v>-431</v>
      </c>
      <c r="K2347" s="1037">
        <f t="shared" si="47"/>
        <v>8</v>
      </c>
    </row>
    <row r="2348" spans="1:11" ht="13.9" customHeight="1">
      <c r="A2348" s="1054">
        <v>52053601</v>
      </c>
      <c r="B2348" s="1055" t="s">
        <v>893</v>
      </c>
      <c r="C2348" s="1055" t="s">
        <v>350</v>
      </c>
      <c r="D2348" s="1055" t="s">
        <v>1428</v>
      </c>
      <c r="E2348" s="1055" t="s">
        <v>1429</v>
      </c>
      <c r="F2348" s="1056">
        <v>298</v>
      </c>
      <c r="G2348" s="1056">
        <v>0</v>
      </c>
      <c r="H2348" s="1056">
        <v>0</v>
      </c>
      <c r="I2348" s="1056">
        <v>298</v>
      </c>
      <c r="J2348" s="996">
        <f t="shared" si="48"/>
        <v>0</v>
      </c>
      <c r="K2348" s="1037">
        <f t="shared" si="47"/>
        <v>8</v>
      </c>
    </row>
    <row r="2349" spans="1:11" ht="13.9" customHeight="1">
      <c r="A2349" s="1054">
        <v>52053601</v>
      </c>
      <c r="B2349" s="1055" t="s">
        <v>893</v>
      </c>
      <c r="C2349" s="1055" t="s">
        <v>350</v>
      </c>
      <c r="D2349" s="1055" t="s">
        <v>1849</v>
      </c>
      <c r="E2349" s="1055" t="s">
        <v>1850</v>
      </c>
      <c r="F2349" s="1056">
        <v>105</v>
      </c>
      <c r="G2349" s="1056">
        <v>175</v>
      </c>
      <c r="H2349" s="1056">
        <v>0</v>
      </c>
      <c r="I2349" s="1056">
        <v>280</v>
      </c>
      <c r="J2349" s="996">
        <f t="shared" si="48"/>
        <v>-175</v>
      </c>
      <c r="K2349" s="1037">
        <f t="shared" si="47"/>
        <v>8</v>
      </c>
    </row>
    <row r="2350" spans="1:11" ht="13.9" customHeight="1">
      <c r="A2350" s="1054">
        <v>52053601</v>
      </c>
      <c r="B2350" s="1055" t="s">
        <v>893</v>
      </c>
      <c r="C2350" s="1055" t="s">
        <v>350</v>
      </c>
      <c r="D2350" s="1055" t="s">
        <v>1275</v>
      </c>
      <c r="E2350" s="1055" t="s">
        <v>991</v>
      </c>
      <c r="F2350" s="1056">
        <v>960</v>
      </c>
      <c r="G2350" s="1056">
        <v>192</v>
      </c>
      <c r="H2350" s="1056">
        <v>0</v>
      </c>
      <c r="I2350" s="1056">
        <v>1152</v>
      </c>
      <c r="J2350" s="996">
        <f t="shared" si="48"/>
        <v>-192</v>
      </c>
      <c r="K2350" s="1037">
        <f t="shared" ref="K2350:K2413" si="49">+LEN(A2350)</f>
        <v>8</v>
      </c>
    </row>
    <row r="2351" spans="1:11" ht="13.9" customHeight="1">
      <c r="A2351" s="1054">
        <v>52053601</v>
      </c>
      <c r="B2351" s="1055" t="s">
        <v>893</v>
      </c>
      <c r="C2351" s="1055" t="s">
        <v>350</v>
      </c>
      <c r="D2351" s="1055" t="s">
        <v>1380</v>
      </c>
      <c r="E2351" s="1055" t="s">
        <v>1381</v>
      </c>
      <c r="F2351" s="1056">
        <v>322</v>
      </c>
      <c r="G2351" s="1056">
        <v>0</v>
      </c>
      <c r="H2351" s="1056">
        <v>0</v>
      </c>
      <c r="I2351" s="1056">
        <v>322</v>
      </c>
      <c r="J2351" s="996">
        <f t="shared" si="48"/>
        <v>0</v>
      </c>
      <c r="K2351" s="1037">
        <f t="shared" si="49"/>
        <v>8</v>
      </c>
    </row>
    <row r="2352" spans="1:11" ht="13.9" customHeight="1">
      <c r="A2352" s="1054">
        <v>52053601</v>
      </c>
      <c r="B2352" s="1055" t="s">
        <v>893</v>
      </c>
      <c r="C2352" s="1055" t="s">
        <v>350</v>
      </c>
      <c r="D2352" s="1055" t="s">
        <v>1585</v>
      </c>
      <c r="E2352" s="1055" t="s">
        <v>1586</v>
      </c>
      <c r="F2352" s="1056">
        <v>584</v>
      </c>
      <c r="G2352" s="1056">
        <v>167</v>
      </c>
      <c r="H2352" s="1056">
        <v>0</v>
      </c>
      <c r="I2352" s="1056">
        <v>751</v>
      </c>
      <c r="J2352" s="996">
        <f t="shared" si="48"/>
        <v>-167</v>
      </c>
      <c r="K2352" s="1037">
        <f t="shared" si="49"/>
        <v>8</v>
      </c>
    </row>
    <row r="2353" spans="1:11" ht="13.9" customHeight="1">
      <c r="A2353" s="1054">
        <v>52053601</v>
      </c>
      <c r="B2353" s="1055" t="s">
        <v>893</v>
      </c>
      <c r="C2353" s="1055" t="s">
        <v>350</v>
      </c>
      <c r="D2353" s="1055" t="s">
        <v>1382</v>
      </c>
      <c r="E2353" s="1055" t="s">
        <v>1763</v>
      </c>
      <c r="F2353" s="1056">
        <v>1096</v>
      </c>
      <c r="G2353" s="1056">
        <v>224</v>
      </c>
      <c r="H2353" s="1056">
        <v>0</v>
      </c>
      <c r="I2353" s="1056">
        <v>1320</v>
      </c>
      <c r="J2353" s="996">
        <f t="shared" si="48"/>
        <v>-224</v>
      </c>
      <c r="K2353" s="1037">
        <f t="shared" si="49"/>
        <v>8</v>
      </c>
    </row>
    <row r="2354" spans="1:11" ht="13.9" customHeight="1">
      <c r="A2354" s="1054">
        <v>52053601</v>
      </c>
      <c r="B2354" s="1055" t="s">
        <v>893</v>
      </c>
      <c r="C2354" s="1055" t="s">
        <v>350</v>
      </c>
      <c r="D2354" s="1055" t="s">
        <v>1440</v>
      </c>
      <c r="E2354" s="1055" t="s">
        <v>1441</v>
      </c>
      <c r="F2354" s="1056">
        <v>710</v>
      </c>
      <c r="G2354" s="1056">
        <v>0</v>
      </c>
      <c r="H2354" s="1056">
        <v>0</v>
      </c>
      <c r="I2354" s="1056">
        <v>710</v>
      </c>
      <c r="J2354" s="996">
        <f t="shared" si="48"/>
        <v>0</v>
      </c>
      <c r="K2354" s="1037">
        <f t="shared" si="49"/>
        <v>8</v>
      </c>
    </row>
    <row r="2355" spans="1:11" ht="13.9" customHeight="1">
      <c r="A2355" s="1054">
        <v>52053601</v>
      </c>
      <c r="B2355" s="1055" t="s">
        <v>893</v>
      </c>
      <c r="C2355" s="1055" t="s">
        <v>350</v>
      </c>
      <c r="D2355" s="1055" t="s">
        <v>1383</v>
      </c>
      <c r="E2355" s="1055" t="s">
        <v>1384</v>
      </c>
      <c r="F2355" s="1056">
        <v>1031</v>
      </c>
      <c r="G2355" s="1056">
        <v>206</v>
      </c>
      <c r="H2355" s="1056">
        <v>0</v>
      </c>
      <c r="I2355" s="1056">
        <v>1237</v>
      </c>
      <c r="J2355" s="996">
        <f t="shared" si="48"/>
        <v>-206</v>
      </c>
      <c r="K2355" s="1037">
        <f t="shared" si="49"/>
        <v>8</v>
      </c>
    </row>
    <row r="2356" spans="1:11" ht="13.9" customHeight="1">
      <c r="A2356" s="1054">
        <v>52053601</v>
      </c>
      <c r="B2356" s="1055" t="s">
        <v>893</v>
      </c>
      <c r="C2356" s="1055" t="s">
        <v>350</v>
      </c>
      <c r="D2356" s="1055" t="s">
        <v>1430</v>
      </c>
      <c r="E2356" s="1055" t="s">
        <v>1431</v>
      </c>
      <c r="F2356" s="1056">
        <v>180</v>
      </c>
      <c r="G2356" s="1056">
        <v>0</v>
      </c>
      <c r="H2356" s="1056">
        <v>180</v>
      </c>
      <c r="I2356" s="1056">
        <v>0</v>
      </c>
      <c r="J2356" s="996">
        <f t="shared" si="48"/>
        <v>180</v>
      </c>
      <c r="K2356" s="1037">
        <f t="shared" si="49"/>
        <v>8</v>
      </c>
    </row>
    <row r="2357" spans="1:11" ht="13.9" customHeight="1">
      <c r="A2357" s="1054">
        <v>52053601</v>
      </c>
      <c r="B2357" s="1055" t="s">
        <v>893</v>
      </c>
      <c r="C2357" s="1055" t="s">
        <v>350</v>
      </c>
      <c r="D2357" s="1055" t="s">
        <v>1587</v>
      </c>
      <c r="E2357" s="1055" t="s">
        <v>1588</v>
      </c>
      <c r="F2357" s="1056">
        <v>738</v>
      </c>
      <c r="G2357" s="1056">
        <v>200</v>
      </c>
      <c r="H2357" s="1056">
        <v>0</v>
      </c>
      <c r="I2357" s="1056">
        <v>938</v>
      </c>
      <c r="J2357" s="996">
        <f t="shared" si="48"/>
        <v>-200</v>
      </c>
      <c r="K2357" s="1037">
        <f t="shared" si="49"/>
        <v>8</v>
      </c>
    </row>
    <row r="2358" spans="1:11" ht="13.9" customHeight="1">
      <c r="A2358" s="1054">
        <v>520539</v>
      </c>
      <c r="B2358" s="1055" t="s">
        <v>893</v>
      </c>
      <c r="C2358" s="1055" t="s">
        <v>355</v>
      </c>
      <c r="D2358" s="1055" t="s">
        <v>893</v>
      </c>
      <c r="E2358" s="1055" t="s">
        <v>893</v>
      </c>
      <c r="F2358" s="1056">
        <v>15307</v>
      </c>
      <c r="G2358" s="1056">
        <v>2552</v>
      </c>
      <c r="H2358" s="1056">
        <v>6</v>
      </c>
      <c r="I2358" s="1056">
        <v>17854</v>
      </c>
      <c r="J2358" s="996">
        <f t="shared" si="48"/>
        <v>-2546</v>
      </c>
      <c r="K2358" s="1037">
        <f t="shared" si="49"/>
        <v>6</v>
      </c>
    </row>
    <row r="2359" spans="1:11" ht="13.9" customHeight="1">
      <c r="A2359" s="1054">
        <v>52053901</v>
      </c>
      <c r="B2359" s="1055" t="s">
        <v>893</v>
      </c>
      <c r="C2359" s="1055" t="s">
        <v>355</v>
      </c>
      <c r="D2359" s="1055" t="s">
        <v>893</v>
      </c>
      <c r="E2359" s="1055" t="s">
        <v>893</v>
      </c>
      <c r="F2359" s="1056">
        <v>15307</v>
      </c>
      <c r="G2359" s="1056">
        <v>2552</v>
      </c>
      <c r="H2359" s="1056">
        <v>6</v>
      </c>
      <c r="I2359" s="1056">
        <v>17854</v>
      </c>
      <c r="J2359" s="996">
        <f t="shared" si="48"/>
        <v>-2546</v>
      </c>
      <c r="K2359" s="1037">
        <f t="shared" si="49"/>
        <v>8</v>
      </c>
    </row>
    <row r="2360" spans="1:11" ht="13.9" customHeight="1">
      <c r="A2360" s="1054">
        <v>52053901</v>
      </c>
      <c r="B2360" s="1055" t="s">
        <v>893</v>
      </c>
      <c r="C2360" s="1055" t="s">
        <v>355</v>
      </c>
      <c r="D2360" s="1055" t="s">
        <v>1575</v>
      </c>
      <c r="E2360" s="1055" t="s">
        <v>1576</v>
      </c>
      <c r="F2360" s="1056">
        <v>217</v>
      </c>
      <c r="G2360" s="1056">
        <v>0</v>
      </c>
      <c r="H2360" s="1056">
        <v>0</v>
      </c>
      <c r="I2360" s="1056">
        <v>217</v>
      </c>
      <c r="J2360" s="996">
        <f t="shared" si="48"/>
        <v>0</v>
      </c>
      <c r="K2360" s="1037">
        <f t="shared" si="49"/>
        <v>8</v>
      </c>
    </row>
    <row r="2361" spans="1:11" ht="13.9" customHeight="1">
      <c r="A2361" s="1054">
        <v>52053901</v>
      </c>
      <c r="B2361" s="1055" t="s">
        <v>893</v>
      </c>
      <c r="C2361" s="1055" t="s">
        <v>355</v>
      </c>
      <c r="D2361" s="1055" t="s">
        <v>1891</v>
      </c>
      <c r="E2361" s="1055" t="s">
        <v>1892</v>
      </c>
      <c r="F2361" s="1056">
        <v>0</v>
      </c>
      <c r="G2361" s="1056">
        <v>74</v>
      </c>
      <c r="H2361" s="1056">
        <v>0</v>
      </c>
      <c r="I2361" s="1056">
        <v>74</v>
      </c>
      <c r="J2361" s="996">
        <f t="shared" si="48"/>
        <v>-74</v>
      </c>
      <c r="K2361" s="1037">
        <f t="shared" si="49"/>
        <v>8</v>
      </c>
    </row>
    <row r="2362" spans="1:11" ht="13.9" customHeight="1">
      <c r="A2362" s="1054">
        <v>52053901</v>
      </c>
      <c r="B2362" s="1055" t="s">
        <v>893</v>
      </c>
      <c r="C2362" s="1055" t="s">
        <v>355</v>
      </c>
      <c r="D2362" s="1055" t="s">
        <v>1577</v>
      </c>
      <c r="E2362" s="1055" t="s">
        <v>1578</v>
      </c>
      <c r="F2362" s="1056">
        <v>283</v>
      </c>
      <c r="G2362" s="1056">
        <v>73</v>
      </c>
      <c r="H2362" s="1056">
        <v>0</v>
      </c>
      <c r="I2362" s="1056">
        <v>356</v>
      </c>
      <c r="J2362" s="996">
        <f t="shared" si="48"/>
        <v>-73</v>
      </c>
      <c r="K2362" s="1037">
        <f t="shared" si="49"/>
        <v>8</v>
      </c>
    </row>
    <row r="2363" spans="1:11" ht="13.9" customHeight="1">
      <c r="A2363" s="1054">
        <v>52053901</v>
      </c>
      <c r="B2363" s="1055" t="s">
        <v>893</v>
      </c>
      <c r="C2363" s="1055" t="s">
        <v>355</v>
      </c>
      <c r="D2363" s="1055" t="s">
        <v>1360</v>
      </c>
      <c r="E2363" s="1055" t="s">
        <v>1361</v>
      </c>
      <c r="F2363" s="1056">
        <v>121</v>
      </c>
      <c r="G2363" s="1056">
        <v>73</v>
      </c>
      <c r="H2363" s="1056">
        <v>0</v>
      </c>
      <c r="I2363" s="1056">
        <v>194</v>
      </c>
      <c r="J2363" s="996">
        <f t="shared" si="48"/>
        <v>-73</v>
      </c>
      <c r="K2363" s="1037">
        <f t="shared" si="49"/>
        <v>8</v>
      </c>
    </row>
    <row r="2364" spans="1:11" ht="13.9" customHeight="1">
      <c r="A2364" s="1054">
        <v>52053901</v>
      </c>
      <c r="B2364" s="1055" t="s">
        <v>893</v>
      </c>
      <c r="C2364" s="1055" t="s">
        <v>355</v>
      </c>
      <c r="D2364" s="1055" t="s">
        <v>1893</v>
      </c>
      <c r="E2364" s="1055" t="s">
        <v>1894</v>
      </c>
      <c r="F2364" s="1056">
        <v>0</v>
      </c>
      <c r="G2364" s="1056">
        <v>73</v>
      </c>
      <c r="H2364" s="1056">
        <v>0</v>
      </c>
      <c r="I2364" s="1056">
        <v>73</v>
      </c>
      <c r="J2364" s="996">
        <f t="shared" si="48"/>
        <v>-73</v>
      </c>
      <c r="K2364" s="1037">
        <f t="shared" si="49"/>
        <v>8</v>
      </c>
    </row>
    <row r="2365" spans="1:11" ht="13.9" customHeight="1">
      <c r="A2365" s="1054">
        <v>52053901</v>
      </c>
      <c r="B2365" s="1055" t="s">
        <v>893</v>
      </c>
      <c r="C2365" s="1055" t="s">
        <v>355</v>
      </c>
      <c r="D2365" s="1055" t="s">
        <v>1298</v>
      </c>
      <c r="E2365" s="1055" t="s">
        <v>987</v>
      </c>
      <c r="F2365" s="1056">
        <v>559</v>
      </c>
      <c r="G2365" s="1056">
        <v>0</v>
      </c>
      <c r="H2365" s="1056">
        <v>0</v>
      </c>
      <c r="I2365" s="1056">
        <v>559</v>
      </c>
      <c r="J2365" s="996">
        <f t="shared" si="48"/>
        <v>0</v>
      </c>
      <c r="K2365" s="1037">
        <f t="shared" si="49"/>
        <v>8</v>
      </c>
    </row>
    <row r="2366" spans="1:11" ht="13.9" customHeight="1">
      <c r="A2366" s="1054">
        <v>52053901</v>
      </c>
      <c r="B2366" s="1055" t="s">
        <v>893</v>
      </c>
      <c r="C2366" s="1055" t="s">
        <v>355</v>
      </c>
      <c r="D2366" s="1055" t="s">
        <v>1484</v>
      </c>
      <c r="E2366" s="1055" t="s">
        <v>1485</v>
      </c>
      <c r="F2366" s="1056">
        <v>424</v>
      </c>
      <c r="G2366" s="1056">
        <v>73</v>
      </c>
      <c r="H2366" s="1056">
        <v>0</v>
      </c>
      <c r="I2366" s="1056">
        <v>496</v>
      </c>
      <c r="J2366" s="996">
        <f t="shared" si="48"/>
        <v>-73</v>
      </c>
      <c r="K2366" s="1037">
        <f t="shared" si="49"/>
        <v>8</v>
      </c>
    </row>
    <row r="2367" spans="1:11" ht="13.9" customHeight="1">
      <c r="A2367" s="1054">
        <v>52053901</v>
      </c>
      <c r="B2367" s="1055" t="s">
        <v>893</v>
      </c>
      <c r="C2367" s="1055" t="s">
        <v>355</v>
      </c>
      <c r="D2367" s="1055" t="s">
        <v>1579</v>
      </c>
      <c r="E2367" s="1055" t="s">
        <v>1580</v>
      </c>
      <c r="F2367" s="1056">
        <v>356</v>
      </c>
      <c r="G2367" s="1056">
        <v>73</v>
      </c>
      <c r="H2367" s="1056">
        <v>0</v>
      </c>
      <c r="I2367" s="1056">
        <v>429</v>
      </c>
      <c r="J2367" s="996">
        <f t="shared" si="48"/>
        <v>-73</v>
      </c>
      <c r="K2367" s="1037">
        <f t="shared" si="49"/>
        <v>8</v>
      </c>
    </row>
    <row r="2368" spans="1:11" ht="13.9" customHeight="1">
      <c r="A2368" s="1054">
        <v>52053901</v>
      </c>
      <c r="B2368" s="1055" t="s">
        <v>893</v>
      </c>
      <c r="C2368" s="1055" t="s">
        <v>355</v>
      </c>
      <c r="D2368" s="1055" t="s">
        <v>1270</v>
      </c>
      <c r="E2368" s="1055" t="s">
        <v>988</v>
      </c>
      <c r="F2368" s="1056">
        <v>890</v>
      </c>
      <c r="G2368" s="1056">
        <v>100</v>
      </c>
      <c r="H2368" s="1056">
        <v>0</v>
      </c>
      <c r="I2368" s="1056">
        <v>989</v>
      </c>
      <c r="J2368" s="996">
        <f t="shared" si="48"/>
        <v>-100</v>
      </c>
      <c r="K2368" s="1037">
        <f t="shared" si="49"/>
        <v>8</v>
      </c>
    </row>
    <row r="2369" spans="1:11" ht="13.9" customHeight="1">
      <c r="A2369" s="1054">
        <v>52053901</v>
      </c>
      <c r="B2369" s="1055" t="s">
        <v>893</v>
      </c>
      <c r="C2369" s="1055" t="s">
        <v>355</v>
      </c>
      <c r="D2369" s="1055" t="s">
        <v>1271</v>
      </c>
      <c r="E2369" s="1055" t="s">
        <v>782</v>
      </c>
      <c r="F2369" s="1056">
        <v>273</v>
      </c>
      <c r="G2369" s="1056">
        <v>0</v>
      </c>
      <c r="H2369" s="1056">
        <v>0</v>
      </c>
      <c r="I2369" s="1056">
        <v>273</v>
      </c>
      <c r="J2369" s="996">
        <f t="shared" si="48"/>
        <v>0</v>
      </c>
      <c r="K2369" s="1037">
        <f t="shared" si="49"/>
        <v>8</v>
      </c>
    </row>
    <row r="2370" spans="1:11" ht="13.9" customHeight="1">
      <c r="A2370" s="1054">
        <v>52053901</v>
      </c>
      <c r="B2370" s="1055" t="s">
        <v>893</v>
      </c>
      <c r="C2370" s="1055" t="s">
        <v>355</v>
      </c>
      <c r="D2370" s="1055" t="s">
        <v>1272</v>
      </c>
      <c r="E2370" s="1055" t="s">
        <v>1273</v>
      </c>
      <c r="F2370" s="1056">
        <v>0</v>
      </c>
      <c r="G2370" s="1056">
        <v>104</v>
      </c>
      <c r="H2370" s="1056">
        <v>0</v>
      </c>
      <c r="I2370" s="1056">
        <v>104</v>
      </c>
      <c r="J2370" s="996">
        <f t="shared" si="48"/>
        <v>-104</v>
      </c>
      <c r="K2370" s="1037">
        <f t="shared" si="49"/>
        <v>8</v>
      </c>
    </row>
    <row r="2371" spans="1:11" ht="13.9" customHeight="1">
      <c r="A2371" s="1054">
        <v>52053901</v>
      </c>
      <c r="B2371" s="1055" t="s">
        <v>893</v>
      </c>
      <c r="C2371" s="1055" t="s">
        <v>355</v>
      </c>
      <c r="D2371" s="1055" t="s">
        <v>1420</v>
      </c>
      <c r="E2371" s="1055" t="s">
        <v>1421</v>
      </c>
      <c r="F2371" s="1056">
        <v>440</v>
      </c>
      <c r="G2371" s="1056">
        <v>73</v>
      </c>
      <c r="H2371" s="1056">
        <v>0</v>
      </c>
      <c r="I2371" s="1056">
        <v>513</v>
      </c>
      <c r="J2371" s="996">
        <f t="shared" si="48"/>
        <v>-73</v>
      </c>
      <c r="K2371" s="1037">
        <f t="shared" si="49"/>
        <v>8</v>
      </c>
    </row>
    <row r="2372" spans="1:11" ht="13.9" customHeight="1">
      <c r="A2372" s="1054">
        <v>52053901</v>
      </c>
      <c r="B2372" s="1055" t="s">
        <v>893</v>
      </c>
      <c r="C2372" s="1055" t="s">
        <v>355</v>
      </c>
      <c r="D2372" s="1055" t="s">
        <v>1493</v>
      </c>
      <c r="E2372" s="1055" t="s">
        <v>1494</v>
      </c>
      <c r="F2372" s="1056">
        <v>322</v>
      </c>
      <c r="G2372" s="1056">
        <v>0</v>
      </c>
      <c r="H2372" s="1056">
        <v>0</v>
      </c>
      <c r="I2372" s="1056">
        <v>322</v>
      </c>
      <c r="J2372" s="996">
        <f t="shared" si="48"/>
        <v>0</v>
      </c>
      <c r="K2372" s="1037">
        <f t="shared" si="49"/>
        <v>8</v>
      </c>
    </row>
    <row r="2373" spans="1:11" ht="13.9" customHeight="1">
      <c r="A2373" s="1054">
        <v>52053901</v>
      </c>
      <c r="B2373" s="1055" t="s">
        <v>893</v>
      </c>
      <c r="C2373" s="1055" t="s">
        <v>355</v>
      </c>
      <c r="D2373" s="1055" t="s">
        <v>1841</v>
      </c>
      <c r="E2373" s="1055" t="s">
        <v>1842</v>
      </c>
      <c r="F2373" s="1056">
        <v>15</v>
      </c>
      <c r="G2373" s="1056">
        <v>73</v>
      </c>
      <c r="H2373" s="1056">
        <v>0</v>
      </c>
      <c r="I2373" s="1056">
        <v>88</v>
      </c>
      <c r="J2373" s="996">
        <f t="shared" si="48"/>
        <v>-73</v>
      </c>
      <c r="K2373" s="1037">
        <f t="shared" si="49"/>
        <v>8</v>
      </c>
    </row>
    <row r="2374" spans="1:11" ht="13.9" customHeight="1">
      <c r="A2374" s="1054">
        <v>52053901</v>
      </c>
      <c r="B2374" s="1055" t="s">
        <v>893</v>
      </c>
      <c r="C2374" s="1055" t="s">
        <v>355</v>
      </c>
      <c r="D2374" s="1055" t="s">
        <v>1519</v>
      </c>
      <c r="E2374" s="1055" t="s">
        <v>1520</v>
      </c>
      <c r="F2374" s="1056">
        <v>39</v>
      </c>
      <c r="G2374" s="1056">
        <v>0</v>
      </c>
      <c r="H2374" s="1056">
        <v>0</v>
      </c>
      <c r="I2374" s="1056">
        <v>39</v>
      </c>
      <c r="J2374" s="996">
        <f t="shared" si="48"/>
        <v>0</v>
      </c>
      <c r="K2374" s="1037">
        <f t="shared" si="49"/>
        <v>8</v>
      </c>
    </row>
    <row r="2375" spans="1:11" ht="13.9" customHeight="1">
      <c r="A2375" s="1054">
        <v>52053901</v>
      </c>
      <c r="B2375" s="1055" t="s">
        <v>893</v>
      </c>
      <c r="C2375" s="1055" t="s">
        <v>355</v>
      </c>
      <c r="D2375" s="1055" t="s">
        <v>1368</v>
      </c>
      <c r="E2375" s="1055" t="s">
        <v>1369</v>
      </c>
      <c r="F2375" s="1056">
        <v>151</v>
      </c>
      <c r="G2375" s="1056">
        <v>0</v>
      </c>
      <c r="H2375" s="1056">
        <v>0</v>
      </c>
      <c r="I2375" s="1056">
        <v>151</v>
      </c>
      <c r="J2375" s="996">
        <f t="shared" si="48"/>
        <v>0</v>
      </c>
      <c r="K2375" s="1037">
        <f t="shared" si="49"/>
        <v>8</v>
      </c>
    </row>
    <row r="2376" spans="1:11" ht="13.9" customHeight="1">
      <c r="A2376" s="1054">
        <v>52053901</v>
      </c>
      <c r="B2376" s="1055" t="s">
        <v>893</v>
      </c>
      <c r="C2376" s="1055" t="s">
        <v>355</v>
      </c>
      <c r="D2376" s="1055" t="s">
        <v>1895</v>
      </c>
      <c r="E2376" s="1055" t="s">
        <v>1896</v>
      </c>
      <c r="F2376" s="1056">
        <v>0</v>
      </c>
      <c r="G2376" s="1056">
        <v>15</v>
      </c>
      <c r="H2376" s="1056">
        <v>0</v>
      </c>
      <c r="I2376" s="1056">
        <v>15</v>
      </c>
      <c r="J2376" s="996">
        <f t="shared" si="48"/>
        <v>-15</v>
      </c>
      <c r="K2376" s="1037">
        <f t="shared" si="49"/>
        <v>8</v>
      </c>
    </row>
    <row r="2377" spans="1:11" ht="13.9" customHeight="1">
      <c r="A2377" s="1054">
        <v>52053901</v>
      </c>
      <c r="B2377" s="1055" t="s">
        <v>893</v>
      </c>
      <c r="C2377" s="1055" t="s">
        <v>355</v>
      </c>
      <c r="D2377" s="1055" t="s">
        <v>1495</v>
      </c>
      <c r="E2377" s="1055" t="s">
        <v>1496</v>
      </c>
      <c r="F2377" s="1056">
        <v>34</v>
      </c>
      <c r="G2377" s="1056">
        <v>0</v>
      </c>
      <c r="H2377" s="1056">
        <v>0</v>
      </c>
      <c r="I2377" s="1056">
        <v>34</v>
      </c>
      <c r="J2377" s="996">
        <f t="shared" ref="J2377:J2440" si="50">+H2377-G2377</f>
        <v>0</v>
      </c>
      <c r="K2377" s="1037">
        <f t="shared" si="49"/>
        <v>8</v>
      </c>
    </row>
    <row r="2378" spans="1:11" ht="13.9" customHeight="1">
      <c r="A2378" s="1054">
        <v>52053901</v>
      </c>
      <c r="B2378" s="1055" t="s">
        <v>893</v>
      </c>
      <c r="C2378" s="1055" t="s">
        <v>355</v>
      </c>
      <c r="D2378" s="1055" t="s">
        <v>1320</v>
      </c>
      <c r="E2378" s="1055" t="s">
        <v>1321</v>
      </c>
      <c r="F2378" s="1056">
        <v>605</v>
      </c>
      <c r="G2378" s="1056">
        <v>73</v>
      </c>
      <c r="H2378" s="1056">
        <v>0</v>
      </c>
      <c r="I2378" s="1056">
        <v>678</v>
      </c>
      <c r="J2378" s="996">
        <f t="shared" si="50"/>
        <v>-73</v>
      </c>
      <c r="K2378" s="1037">
        <f t="shared" si="49"/>
        <v>8</v>
      </c>
    </row>
    <row r="2379" spans="1:11" ht="13.9" customHeight="1">
      <c r="A2379" s="1054">
        <v>52053901</v>
      </c>
      <c r="B2379" s="1055" t="s">
        <v>893</v>
      </c>
      <c r="C2379" s="1055" t="s">
        <v>355</v>
      </c>
      <c r="D2379" s="1055" t="s">
        <v>1274</v>
      </c>
      <c r="E2379" s="1055" t="s">
        <v>989</v>
      </c>
      <c r="F2379" s="1056">
        <v>474</v>
      </c>
      <c r="G2379" s="1056">
        <v>92</v>
      </c>
      <c r="H2379" s="1056">
        <v>0</v>
      </c>
      <c r="I2379" s="1056">
        <v>566</v>
      </c>
      <c r="J2379" s="996">
        <f t="shared" si="50"/>
        <v>-92</v>
      </c>
      <c r="K2379" s="1037">
        <f t="shared" si="49"/>
        <v>8</v>
      </c>
    </row>
    <row r="2380" spans="1:11" ht="13.9" customHeight="1">
      <c r="A2380" s="1054">
        <v>52053901</v>
      </c>
      <c r="B2380" s="1055" t="s">
        <v>893</v>
      </c>
      <c r="C2380" s="1055" t="s">
        <v>355</v>
      </c>
      <c r="D2380" s="1055" t="s">
        <v>1497</v>
      </c>
      <c r="E2380" s="1055" t="s">
        <v>1498</v>
      </c>
      <c r="F2380" s="1056">
        <v>292</v>
      </c>
      <c r="G2380" s="1056">
        <v>0</v>
      </c>
      <c r="H2380" s="1056">
        <v>0</v>
      </c>
      <c r="I2380" s="1056">
        <v>292</v>
      </c>
      <c r="J2380" s="996">
        <f t="shared" si="50"/>
        <v>0</v>
      </c>
      <c r="K2380" s="1037">
        <f t="shared" si="49"/>
        <v>8</v>
      </c>
    </row>
    <row r="2381" spans="1:11" ht="13.9" customHeight="1">
      <c r="A2381" s="1054">
        <v>52053901</v>
      </c>
      <c r="B2381" s="1055" t="s">
        <v>893</v>
      </c>
      <c r="C2381" s="1055" t="s">
        <v>355</v>
      </c>
      <c r="D2381" s="1055" t="s">
        <v>1043</v>
      </c>
      <c r="E2381" s="1055" t="s">
        <v>318</v>
      </c>
      <c r="F2381" s="1056">
        <v>719</v>
      </c>
      <c r="G2381" s="1056">
        <v>180</v>
      </c>
      <c r="H2381" s="1056">
        <v>0</v>
      </c>
      <c r="I2381" s="1056">
        <v>899</v>
      </c>
      <c r="J2381" s="996">
        <f t="shared" si="50"/>
        <v>-180</v>
      </c>
      <c r="K2381" s="1037">
        <f t="shared" si="49"/>
        <v>8</v>
      </c>
    </row>
    <row r="2382" spans="1:11" ht="13.9" customHeight="1">
      <c r="A2382" s="1054">
        <v>52053901</v>
      </c>
      <c r="B2382" s="1055" t="s">
        <v>893</v>
      </c>
      <c r="C2382" s="1055" t="s">
        <v>355</v>
      </c>
      <c r="D2382" s="1055" t="s">
        <v>1370</v>
      </c>
      <c r="E2382" s="1055" t="s">
        <v>1371</v>
      </c>
      <c r="F2382" s="1056">
        <v>634</v>
      </c>
      <c r="G2382" s="1056">
        <v>73</v>
      </c>
      <c r="H2382" s="1056">
        <v>0</v>
      </c>
      <c r="I2382" s="1056">
        <v>707</v>
      </c>
      <c r="J2382" s="996">
        <f t="shared" si="50"/>
        <v>-73</v>
      </c>
      <c r="K2382" s="1037">
        <f t="shared" si="49"/>
        <v>8</v>
      </c>
    </row>
    <row r="2383" spans="1:11" ht="13.9" customHeight="1">
      <c r="A2383" s="1054">
        <v>52053901</v>
      </c>
      <c r="B2383" s="1055" t="s">
        <v>893</v>
      </c>
      <c r="C2383" s="1055" t="s">
        <v>355</v>
      </c>
      <c r="D2383" s="1055" t="s">
        <v>1843</v>
      </c>
      <c r="E2383" s="1055" t="s">
        <v>1844</v>
      </c>
      <c r="F2383" s="1056">
        <v>64</v>
      </c>
      <c r="G2383" s="1056">
        <v>0</v>
      </c>
      <c r="H2383" s="1056">
        <v>6</v>
      </c>
      <c r="I2383" s="1056">
        <v>58</v>
      </c>
      <c r="J2383" s="996">
        <f t="shared" si="50"/>
        <v>6</v>
      </c>
      <c r="K2383" s="1037">
        <f t="shared" si="49"/>
        <v>8</v>
      </c>
    </row>
    <row r="2384" spans="1:11" ht="13.9" customHeight="1">
      <c r="A2384" s="1054">
        <v>52053901</v>
      </c>
      <c r="B2384" s="1055" t="s">
        <v>893</v>
      </c>
      <c r="C2384" s="1055" t="s">
        <v>355</v>
      </c>
      <c r="D2384" s="1055" t="s">
        <v>1759</v>
      </c>
      <c r="E2384" s="1055" t="s">
        <v>1760</v>
      </c>
      <c r="F2384" s="1056">
        <v>58</v>
      </c>
      <c r="G2384" s="1056">
        <v>0</v>
      </c>
      <c r="H2384" s="1056">
        <v>0</v>
      </c>
      <c r="I2384" s="1056">
        <v>58</v>
      </c>
      <c r="J2384" s="996">
        <f t="shared" si="50"/>
        <v>0</v>
      </c>
      <c r="K2384" s="1037">
        <f t="shared" si="49"/>
        <v>8</v>
      </c>
    </row>
    <row r="2385" spans="1:11" ht="13.9" customHeight="1">
      <c r="A2385" s="1054">
        <v>52053901</v>
      </c>
      <c r="B2385" s="1055" t="s">
        <v>893</v>
      </c>
      <c r="C2385" s="1055" t="s">
        <v>355</v>
      </c>
      <c r="D2385" s="1055" t="s">
        <v>1581</v>
      </c>
      <c r="E2385" s="1055" t="s">
        <v>1582</v>
      </c>
      <c r="F2385" s="1056">
        <v>223</v>
      </c>
      <c r="G2385" s="1056">
        <v>0</v>
      </c>
      <c r="H2385" s="1056">
        <v>0</v>
      </c>
      <c r="I2385" s="1056">
        <v>223</v>
      </c>
      <c r="J2385" s="996">
        <f t="shared" si="50"/>
        <v>0</v>
      </c>
      <c r="K2385" s="1037">
        <f t="shared" si="49"/>
        <v>8</v>
      </c>
    </row>
    <row r="2386" spans="1:11" ht="13.9" customHeight="1">
      <c r="A2386" s="1054">
        <v>52053901</v>
      </c>
      <c r="B2386" s="1055" t="s">
        <v>893</v>
      </c>
      <c r="C2386" s="1055" t="s">
        <v>355</v>
      </c>
      <c r="D2386" s="1055" t="s">
        <v>1521</v>
      </c>
      <c r="E2386" s="1055" t="s">
        <v>1522</v>
      </c>
      <c r="F2386" s="1056">
        <v>332</v>
      </c>
      <c r="G2386" s="1056">
        <v>73</v>
      </c>
      <c r="H2386" s="1056">
        <v>0</v>
      </c>
      <c r="I2386" s="1056">
        <v>405</v>
      </c>
      <c r="J2386" s="996">
        <f t="shared" si="50"/>
        <v>-73</v>
      </c>
      <c r="K2386" s="1037">
        <f t="shared" si="49"/>
        <v>8</v>
      </c>
    </row>
    <row r="2387" spans="1:11" ht="13.9" customHeight="1">
      <c r="A2387" s="1054">
        <v>52053901</v>
      </c>
      <c r="B2387" s="1055" t="s">
        <v>893</v>
      </c>
      <c r="C2387" s="1055" t="s">
        <v>355</v>
      </c>
      <c r="D2387" s="1055" t="s">
        <v>1426</v>
      </c>
      <c r="E2387" s="1055" t="s">
        <v>1427</v>
      </c>
      <c r="F2387" s="1056">
        <v>423</v>
      </c>
      <c r="G2387" s="1056">
        <v>73</v>
      </c>
      <c r="H2387" s="1056">
        <v>0</v>
      </c>
      <c r="I2387" s="1056">
        <v>496</v>
      </c>
      <c r="J2387" s="996">
        <f t="shared" si="50"/>
        <v>-73</v>
      </c>
      <c r="K2387" s="1037">
        <f t="shared" si="49"/>
        <v>8</v>
      </c>
    </row>
    <row r="2388" spans="1:11" ht="13.9" customHeight="1">
      <c r="A2388" s="1054">
        <v>52053901</v>
      </c>
      <c r="B2388" s="1055" t="s">
        <v>893</v>
      </c>
      <c r="C2388" s="1055" t="s">
        <v>355</v>
      </c>
      <c r="D2388" s="1055" t="s">
        <v>1583</v>
      </c>
      <c r="E2388" s="1055" t="s">
        <v>1584</v>
      </c>
      <c r="F2388" s="1056">
        <v>56</v>
      </c>
      <c r="G2388" s="1056">
        <v>0</v>
      </c>
      <c r="H2388" s="1056">
        <v>0</v>
      </c>
      <c r="I2388" s="1056">
        <v>56</v>
      </c>
      <c r="J2388" s="996">
        <f t="shared" si="50"/>
        <v>0</v>
      </c>
      <c r="K2388" s="1037">
        <f t="shared" si="49"/>
        <v>8</v>
      </c>
    </row>
    <row r="2389" spans="1:11" ht="13.9" customHeight="1">
      <c r="A2389" s="1054">
        <v>52053901</v>
      </c>
      <c r="B2389" s="1055" t="s">
        <v>893</v>
      </c>
      <c r="C2389" s="1055" t="s">
        <v>355</v>
      </c>
      <c r="D2389" s="1055" t="s">
        <v>1372</v>
      </c>
      <c r="E2389" s="1055" t="s">
        <v>1373</v>
      </c>
      <c r="F2389" s="1056">
        <v>140</v>
      </c>
      <c r="G2389" s="1056">
        <v>0</v>
      </c>
      <c r="H2389" s="1056">
        <v>0</v>
      </c>
      <c r="I2389" s="1056">
        <v>140</v>
      </c>
      <c r="J2389" s="996">
        <f t="shared" si="50"/>
        <v>0</v>
      </c>
      <c r="K2389" s="1037">
        <f t="shared" si="49"/>
        <v>8</v>
      </c>
    </row>
    <row r="2390" spans="1:11" ht="13.9" customHeight="1">
      <c r="A2390" s="1054">
        <v>52053901</v>
      </c>
      <c r="B2390" s="1055" t="s">
        <v>893</v>
      </c>
      <c r="C2390" s="1055" t="s">
        <v>355</v>
      </c>
      <c r="D2390" s="1055" t="s">
        <v>1374</v>
      </c>
      <c r="E2390" s="1055" t="s">
        <v>1375</v>
      </c>
      <c r="F2390" s="1056">
        <v>463</v>
      </c>
      <c r="G2390" s="1056">
        <v>73</v>
      </c>
      <c r="H2390" s="1056">
        <v>0</v>
      </c>
      <c r="I2390" s="1056">
        <v>536</v>
      </c>
      <c r="J2390" s="996">
        <f t="shared" si="50"/>
        <v>-73</v>
      </c>
      <c r="K2390" s="1037">
        <f t="shared" si="49"/>
        <v>8</v>
      </c>
    </row>
    <row r="2391" spans="1:11" ht="13.9" customHeight="1">
      <c r="A2391" s="1054">
        <v>52053901</v>
      </c>
      <c r="B2391" s="1055" t="s">
        <v>893</v>
      </c>
      <c r="C2391" s="1055" t="s">
        <v>355</v>
      </c>
      <c r="D2391" s="1055" t="s">
        <v>1249</v>
      </c>
      <c r="E2391" s="1055" t="s">
        <v>583</v>
      </c>
      <c r="F2391" s="1056">
        <v>673</v>
      </c>
      <c r="G2391" s="1056">
        <v>100</v>
      </c>
      <c r="H2391" s="1056">
        <v>0</v>
      </c>
      <c r="I2391" s="1056">
        <v>773</v>
      </c>
      <c r="J2391" s="996">
        <f t="shared" si="50"/>
        <v>-100</v>
      </c>
      <c r="K2391" s="1037">
        <f t="shared" si="49"/>
        <v>8</v>
      </c>
    </row>
    <row r="2392" spans="1:11" ht="13.9" customHeight="1">
      <c r="A2392" s="1054">
        <v>52053901</v>
      </c>
      <c r="B2392" s="1055" t="s">
        <v>893</v>
      </c>
      <c r="C2392" s="1055" t="s">
        <v>355</v>
      </c>
      <c r="D2392" s="1055" t="s">
        <v>1376</v>
      </c>
      <c r="E2392" s="1055" t="s">
        <v>1377</v>
      </c>
      <c r="F2392" s="1056">
        <v>204</v>
      </c>
      <c r="G2392" s="1056">
        <v>0</v>
      </c>
      <c r="H2392" s="1056">
        <v>0</v>
      </c>
      <c r="I2392" s="1056">
        <v>204</v>
      </c>
      <c r="J2392" s="996">
        <f t="shared" si="50"/>
        <v>0</v>
      </c>
      <c r="K2392" s="1037">
        <f t="shared" si="49"/>
        <v>8</v>
      </c>
    </row>
    <row r="2393" spans="1:11" ht="13.9" customHeight="1">
      <c r="A2393" s="1054">
        <v>52053901</v>
      </c>
      <c r="B2393" s="1055" t="s">
        <v>893</v>
      </c>
      <c r="C2393" s="1055" t="s">
        <v>355</v>
      </c>
      <c r="D2393" s="1055" t="s">
        <v>1305</v>
      </c>
      <c r="E2393" s="1055" t="s">
        <v>990</v>
      </c>
      <c r="F2393" s="1056">
        <v>364</v>
      </c>
      <c r="G2393" s="1056">
        <v>0</v>
      </c>
      <c r="H2393" s="1056">
        <v>0</v>
      </c>
      <c r="I2393" s="1056">
        <v>364</v>
      </c>
      <c r="J2393" s="996">
        <f t="shared" si="50"/>
        <v>0</v>
      </c>
      <c r="K2393" s="1037">
        <f t="shared" si="49"/>
        <v>8</v>
      </c>
    </row>
    <row r="2394" spans="1:11" ht="13.9" customHeight="1">
      <c r="A2394" s="1054">
        <v>52053901</v>
      </c>
      <c r="B2394" s="1055" t="s">
        <v>893</v>
      </c>
      <c r="C2394" s="1055" t="s">
        <v>355</v>
      </c>
      <c r="D2394" s="1055" t="s">
        <v>1845</v>
      </c>
      <c r="E2394" s="1055" t="s">
        <v>1846</v>
      </c>
      <c r="F2394" s="1056">
        <v>48</v>
      </c>
      <c r="G2394" s="1056">
        <v>73</v>
      </c>
      <c r="H2394" s="1056">
        <v>0</v>
      </c>
      <c r="I2394" s="1056">
        <v>121</v>
      </c>
      <c r="J2394" s="996">
        <f t="shared" si="50"/>
        <v>-73</v>
      </c>
      <c r="K2394" s="1037">
        <f t="shared" si="49"/>
        <v>8</v>
      </c>
    </row>
    <row r="2395" spans="1:11" ht="13.9" customHeight="1">
      <c r="A2395" s="1054">
        <v>52053901</v>
      </c>
      <c r="B2395" s="1055" t="s">
        <v>893</v>
      </c>
      <c r="C2395" s="1055" t="s">
        <v>355</v>
      </c>
      <c r="D2395" s="1055" t="s">
        <v>1306</v>
      </c>
      <c r="E2395" s="1055" t="s">
        <v>997</v>
      </c>
      <c r="F2395" s="1056">
        <v>603</v>
      </c>
      <c r="G2395" s="1056">
        <v>0</v>
      </c>
      <c r="H2395" s="1056">
        <v>0</v>
      </c>
      <c r="I2395" s="1056">
        <v>603</v>
      </c>
      <c r="J2395" s="996">
        <f t="shared" si="50"/>
        <v>0</v>
      </c>
      <c r="K2395" s="1037">
        <f t="shared" si="49"/>
        <v>8</v>
      </c>
    </row>
    <row r="2396" spans="1:11" ht="13.9" customHeight="1">
      <c r="A2396" s="1054">
        <v>52053901</v>
      </c>
      <c r="B2396" s="1055" t="s">
        <v>893</v>
      </c>
      <c r="C2396" s="1055" t="s">
        <v>355</v>
      </c>
      <c r="D2396" s="1055" t="s">
        <v>1897</v>
      </c>
      <c r="E2396" s="1055" t="s">
        <v>1898</v>
      </c>
      <c r="F2396" s="1056">
        <v>0</v>
      </c>
      <c r="G2396" s="1056">
        <v>19</v>
      </c>
      <c r="H2396" s="1056">
        <v>0</v>
      </c>
      <c r="I2396" s="1056">
        <v>19</v>
      </c>
      <c r="J2396" s="996">
        <f t="shared" si="50"/>
        <v>-19</v>
      </c>
      <c r="K2396" s="1037">
        <f t="shared" si="49"/>
        <v>8</v>
      </c>
    </row>
    <row r="2397" spans="1:11" ht="13.9" customHeight="1">
      <c r="A2397" s="1054">
        <v>52053901</v>
      </c>
      <c r="B2397" s="1055" t="s">
        <v>893</v>
      </c>
      <c r="C2397" s="1055" t="s">
        <v>355</v>
      </c>
      <c r="D2397" s="1055" t="s">
        <v>1250</v>
      </c>
      <c r="E2397" s="1055" t="s">
        <v>1251</v>
      </c>
      <c r="F2397" s="1056">
        <v>415</v>
      </c>
      <c r="G2397" s="1056">
        <v>73</v>
      </c>
      <c r="H2397" s="1056">
        <v>0</v>
      </c>
      <c r="I2397" s="1056">
        <v>488</v>
      </c>
      <c r="J2397" s="996">
        <f t="shared" si="50"/>
        <v>-73</v>
      </c>
      <c r="K2397" s="1037">
        <f t="shared" si="49"/>
        <v>8</v>
      </c>
    </row>
    <row r="2398" spans="1:11" ht="13.9" customHeight="1">
      <c r="A2398" s="1054">
        <v>52053901</v>
      </c>
      <c r="B2398" s="1055" t="s">
        <v>893</v>
      </c>
      <c r="C2398" s="1055" t="s">
        <v>355</v>
      </c>
      <c r="D2398" s="1055" t="s">
        <v>1899</v>
      </c>
      <c r="E2398" s="1055" t="s">
        <v>1900</v>
      </c>
      <c r="F2398" s="1056">
        <v>0</v>
      </c>
      <c r="G2398" s="1056">
        <v>73</v>
      </c>
      <c r="H2398" s="1056">
        <v>0</v>
      </c>
      <c r="I2398" s="1056">
        <v>73</v>
      </c>
      <c r="J2398" s="996">
        <f t="shared" si="50"/>
        <v>-73</v>
      </c>
      <c r="K2398" s="1037">
        <f t="shared" si="49"/>
        <v>8</v>
      </c>
    </row>
    <row r="2399" spans="1:11" ht="13.9" customHeight="1">
      <c r="A2399" s="1054">
        <v>52053901</v>
      </c>
      <c r="B2399" s="1055" t="s">
        <v>893</v>
      </c>
      <c r="C2399" s="1055" t="s">
        <v>355</v>
      </c>
      <c r="D2399" s="1055" t="s">
        <v>1901</v>
      </c>
      <c r="E2399" s="1055" t="s">
        <v>1902</v>
      </c>
      <c r="F2399" s="1056">
        <v>0</v>
      </c>
      <c r="G2399" s="1056">
        <v>37</v>
      </c>
      <c r="H2399" s="1056">
        <v>0</v>
      </c>
      <c r="I2399" s="1056">
        <v>37</v>
      </c>
      <c r="J2399" s="996">
        <f t="shared" si="50"/>
        <v>-37</v>
      </c>
      <c r="K2399" s="1037">
        <f t="shared" si="49"/>
        <v>8</v>
      </c>
    </row>
    <row r="2400" spans="1:11" ht="13.9" customHeight="1">
      <c r="A2400" s="1054">
        <v>52053901</v>
      </c>
      <c r="B2400" s="1055" t="s">
        <v>893</v>
      </c>
      <c r="C2400" s="1055" t="s">
        <v>355</v>
      </c>
      <c r="D2400" s="1055" t="s">
        <v>1686</v>
      </c>
      <c r="E2400" s="1055" t="s">
        <v>1687</v>
      </c>
      <c r="F2400" s="1056">
        <v>208</v>
      </c>
      <c r="G2400" s="1056">
        <v>0</v>
      </c>
      <c r="H2400" s="1056">
        <v>0</v>
      </c>
      <c r="I2400" s="1056">
        <v>208</v>
      </c>
      <c r="J2400" s="996">
        <f t="shared" si="50"/>
        <v>0</v>
      </c>
      <c r="K2400" s="1037">
        <f t="shared" si="49"/>
        <v>8</v>
      </c>
    </row>
    <row r="2401" spans="1:11" ht="13.9" customHeight="1">
      <c r="A2401" s="1054">
        <v>52053901</v>
      </c>
      <c r="B2401" s="1055" t="s">
        <v>893</v>
      </c>
      <c r="C2401" s="1055" t="s">
        <v>355</v>
      </c>
      <c r="D2401" s="1055" t="s">
        <v>1303</v>
      </c>
      <c r="E2401" s="1055" t="s">
        <v>806</v>
      </c>
      <c r="F2401" s="1056">
        <v>5</v>
      </c>
      <c r="G2401" s="1056">
        <v>0</v>
      </c>
      <c r="H2401" s="1056">
        <v>0</v>
      </c>
      <c r="I2401" s="1056">
        <v>5</v>
      </c>
      <c r="J2401" s="996">
        <f t="shared" si="50"/>
        <v>0</v>
      </c>
      <c r="K2401" s="1037">
        <f t="shared" si="49"/>
        <v>8</v>
      </c>
    </row>
    <row r="2402" spans="1:11" ht="13.9" customHeight="1">
      <c r="A2402" s="1054">
        <v>52053901</v>
      </c>
      <c r="B2402" s="1055" t="s">
        <v>893</v>
      </c>
      <c r="C2402" s="1055" t="s">
        <v>355</v>
      </c>
      <c r="D2402" s="1055" t="s">
        <v>1499</v>
      </c>
      <c r="E2402" s="1055" t="s">
        <v>1500</v>
      </c>
      <c r="F2402" s="1056">
        <v>23</v>
      </c>
      <c r="G2402" s="1056">
        <v>0</v>
      </c>
      <c r="H2402" s="1056">
        <v>0</v>
      </c>
      <c r="I2402" s="1056">
        <v>23</v>
      </c>
      <c r="J2402" s="996">
        <f t="shared" si="50"/>
        <v>0</v>
      </c>
      <c r="K2402" s="1037">
        <f t="shared" si="49"/>
        <v>8</v>
      </c>
    </row>
    <row r="2403" spans="1:11" ht="13.9" customHeight="1">
      <c r="A2403" s="1054">
        <v>52053901</v>
      </c>
      <c r="B2403" s="1055" t="s">
        <v>893</v>
      </c>
      <c r="C2403" s="1055" t="s">
        <v>355</v>
      </c>
      <c r="D2403" s="1055" t="s">
        <v>1523</v>
      </c>
      <c r="E2403" s="1055" t="s">
        <v>1524</v>
      </c>
      <c r="F2403" s="1056">
        <v>137</v>
      </c>
      <c r="G2403" s="1056">
        <v>0</v>
      </c>
      <c r="H2403" s="1056">
        <v>0</v>
      </c>
      <c r="I2403" s="1056">
        <v>137</v>
      </c>
      <c r="J2403" s="996">
        <f t="shared" si="50"/>
        <v>0</v>
      </c>
      <c r="K2403" s="1037">
        <f t="shared" si="49"/>
        <v>8</v>
      </c>
    </row>
    <row r="2404" spans="1:11" ht="13.9" customHeight="1">
      <c r="A2404" s="1054">
        <v>52053901</v>
      </c>
      <c r="B2404" s="1055" t="s">
        <v>893</v>
      </c>
      <c r="C2404" s="1055" t="s">
        <v>355</v>
      </c>
      <c r="D2404" s="1055" t="s">
        <v>1422</v>
      </c>
      <c r="E2404" s="1055" t="s">
        <v>1423</v>
      </c>
      <c r="F2404" s="1056">
        <v>110</v>
      </c>
      <c r="G2404" s="1056">
        <v>0</v>
      </c>
      <c r="H2404" s="1056">
        <v>0</v>
      </c>
      <c r="I2404" s="1056">
        <v>110</v>
      </c>
      <c r="J2404" s="996">
        <f t="shared" si="50"/>
        <v>0</v>
      </c>
      <c r="K2404" s="1037">
        <f t="shared" si="49"/>
        <v>8</v>
      </c>
    </row>
    <row r="2405" spans="1:11" ht="13.9" customHeight="1">
      <c r="A2405" s="1054">
        <v>52053901</v>
      </c>
      <c r="B2405" s="1055" t="s">
        <v>893</v>
      </c>
      <c r="C2405" s="1055" t="s">
        <v>355</v>
      </c>
      <c r="D2405" s="1055" t="s">
        <v>1480</v>
      </c>
      <c r="E2405" s="1055" t="s">
        <v>1481</v>
      </c>
      <c r="F2405" s="1056">
        <v>237</v>
      </c>
      <c r="G2405" s="1056">
        <v>0</v>
      </c>
      <c r="H2405" s="1056">
        <v>0</v>
      </c>
      <c r="I2405" s="1056">
        <v>237</v>
      </c>
      <c r="J2405" s="996">
        <f t="shared" si="50"/>
        <v>0</v>
      </c>
      <c r="K2405" s="1037">
        <f t="shared" si="49"/>
        <v>8</v>
      </c>
    </row>
    <row r="2406" spans="1:11" ht="13.9" customHeight="1">
      <c r="A2406" s="1054">
        <v>52053901</v>
      </c>
      <c r="B2406" s="1055" t="s">
        <v>893</v>
      </c>
      <c r="C2406" s="1055" t="s">
        <v>355</v>
      </c>
      <c r="D2406" s="1055" t="s">
        <v>1847</v>
      </c>
      <c r="E2406" s="1055" t="s">
        <v>1848</v>
      </c>
      <c r="F2406" s="1056">
        <v>39</v>
      </c>
      <c r="G2406" s="1056">
        <v>0</v>
      </c>
      <c r="H2406" s="1056">
        <v>0</v>
      </c>
      <c r="I2406" s="1056">
        <v>39</v>
      </c>
      <c r="J2406" s="996">
        <f t="shared" si="50"/>
        <v>0</v>
      </c>
      <c r="K2406" s="1037">
        <f t="shared" si="49"/>
        <v>8</v>
      </c>
    </row>
    <row r="2407" spans="1:11" ht="13.9" customHeight="1">
      <c r="A2407" s="1054">
        <v>52053901</v>
      </c>
      <c r="B2407" s="1055" t="s">
        <v>893</v>
      </c>
      <c r="C2407" s="1055" t="s">
        <v>355</v>
      </c>
      <c r="D2407" s="1055" t="s">
        <v>1761</v>
      </c>
      <c r="E2407" s="1055" t="s">
        <v>1762</v>
      </c>
      <c r="F2407" s="1056">
        <v>35</v>
      </c>
      <c r="G2407" s="1056">
        <v>0</v>
      </c>
      <c r="H2407" s="1056">
        <v>0</v>
      </c>
      <c r="I2407" s="1056">
        <v>35</v>
      </c>
      <c r="J2407" s="996">
        <f t="shared" si="50"/>
        <v>0</v>
      </c>
      <c r="K2407" s="1037">
        <f t="shared" si="49"/>
        <v>8</v>
      </c>
    </row>
    <row r="2408" spans="1:11" ht="13.9" customHeight="1">
      <c r="A2408" s="1054">
        <v>52053901</v>
      </c>
      <c r="B2408" s="1055" t="s">
        <v>893</v>
      </c>
      <c r="C2408" s="1055" t="s">
        <v>355</v>
      </c>
      <c r="D2408" s="1055" t="s">
        <v>1428</v>
      </c>
      <c r="E2408" s="1055" t="s">
        <v>1429</v>
      </c>
      <c r="F2408" s="1056">
        <v>236</v>
      </c>
      <c r="G2408" s="1056">
        <v>0</v>
      </c>
      <c r="H2408" s="1056">
        <v>0</v>
      </c>
      <c r="I2408" s="1056">
        <v>236</v>
      </c>
      <c r="J2408" s="996">
        <f t="shared" si="50"/>
        <v>0</v>
      </c>
      <c r="K2408" s="1037">
        <f t="shared" si="49"/>
        <v>8</v>
      </c>
    </row>
    <row r="2409" spans="1:11" ht="13.9" customHeight="1">
      <c r="A2409" s="1054">
        <v>52053901</v>
      </c>
      <c r="B2409" s="1055" t="s">
        <v>893</v>
      </c>
      <c r="C2409" s="1055" t="s">
        <v>355</v>
      </c>
      <c r="D2409" s="1055" t="s">
        <v>1849</v>
      </c>
      <c r="E2409" s="1055" t="s">
        <v>1850</v>
      </c>
      <c r="F2409" s="1056">
        <v>44</v>
      </c>
      <c r="G2409" s="1056">
        <v>73</v>
      </c>
      <c r="H2409" s="1056">
        <v>0</v>
      </c>
      <c r="I2409" s="1056">
        <v>117</v>
      </c>
      <c r="J2409" s="996">
        <f t="shared" si="50"/>
        <v>-73</v>
      </c>
      <c r="K2409" s="1037">
        <f t="shared" si="49"/>
        <v>8</v>
      </c>
    </row>
    <row r="2410" spans="1:11" ht="13.9" customHeight="1">
      <c r="A2410" s="1054">
        <v>52053901</v>
      </c>
      <c r="B2410" s="1055" t="s">
        <v>893</v>
      </c>
      <c r="C2410" s="1055" t="s">
        <v>355</v>
      </c>
      <c r="D2410" s="1055" t="s">
        <v>1275</v>
      </c>
      <c r="E2410" s="1055" t="s">
        <v>991</v>
      </c>
      <c r="F2410" s="1056">
        <v>488</v>
      </c>
      <c r="G2410" s="1056">
        <v>347</v>
      </c>
      <c r="H2410" s="1056">
        <v>0</v>
      </c>
      <c r="I2410" s="1056">
        <v>834</v>
      </c>
      <c r="J2410" s="996">
        <f t="shared" si="50"/>
        <v>-347</v>
      </c>
      <c r="K2410" s="1037">
        <f t="shared" si="49"/>
        <v>8</v>
      </c>
    </row>
    <row r="2411" spans="1:11" ht="13.9" customHeight="1">
      <c r="A2411" s="1054">
        <v>52053901</v>
      </c>
      <c r="B2411" s="1055" t="s">
        <v>893</v>
      </c>
      <c r="C2411" s="1055" t="s">
        <v>355</v>
      </c>
      <c r="D2411" s="1055" t="s">
        <v>1380</v>
      </c>
      <c r="E2411" s="1055" t="s">
        <v>1381</v>
      </c>
      <c r="F2411" s="1056">
        <v>230</v>
      </c>
      <c r="G2411" s="1056">
        <v>0</v>
      </c>
      <c r="H2411" s="1056">
        <v>0</v>
      </c>
      <c r="I2411" s="1056">
        <v>230</v>
      </c>
      <c r="J2411" s="996">
        <f t="shared" si="50"/>
        <v>0</v>
      </c>
      <c r="K2411" s="1037">
        <f t="shared" si="49"/>
        <v>8</v>
      </c>
    </row>
    <row r="2412" spans="1:11" ht="13.9" customHeight="1">
      <c r="A2412" s="1054">
        <v>52053901</v>
      </c>
      <c r="B2412" s="1055" t="s">
        <v>893</v>
      </c>
      <c r="C2412" s="1055" t="s">
        <v>355</v>
      </c>
      <c r="D2412" s="1055" t="s">
        <v>1585</v>
      </c>
      <c r="E2412" s="1055" t="s">
        <v>1586</v>
      </c>
      <c r="F2412" s="1056">
        <v>256</v>
      </c>
      <c r="G2412" s="1056">
        <v>73</v>
      </c>
      <c r="H2412" s="1056">
        <v>0</v>
      </c>
      <c r="I2412" s="1056">
        <v>329</v>
      </c>
      <c r="J2412" s="996">
        <f t="shared" si="50"/>
        <v>-73</v>
      </c>
      <c r="K2412" s="1037">
        <f t="shared" si="49"/>
        <v>8</v>
      </c>
    </row>
    <row r="2413" spans="1:11" ht="13.9" customHeight="1">
      <c r="A2413" s="1054">
        <v>52053901</v>
      </c>
      <c r="B2413" s="1055" t="s">
        <v>893</v>
      </c>
      <c r="C2413" s="1055" t="s">
        <v>355</v>
      </c>
      <c r="D2413" s="1055" t="s">
        <v>1382</v>
      </c>
      <c r="E2413" s="1055" t="s">
        <v>1763</v>
      </c>
      <c r="F2413" s="1056">
        <v>981</v>
      </c>
      <c r="G2413" s="1056">
        <v>100</v>
      </c>
      <c r="H2413" s="1056">
        <v>0</v>
      </c>
      <c r="I2413" s="1056">
        <v>1081</v>
      </c>
      <c r="J2413" s="996">
        <f t="shared" si="50"/>
        <v>-100</v>
      </c>
      <c r="K2413" s="1037">
        <f t="shared" si="49"/>
        <v>8</v>
      </c>
    </row>
    <row r="2414" spans="1:11" ht="13.9" customHeight="1">
      <c r="A2414" s="1054">
        <v>52053901</v>
      </c>
      <c r="B2414" s="1055" t="s">
        <v>893</v>
      </c>
      <c r="C2414" s="1055" t="s">
        <v>355</v>
      </c>
      <c r="D2414" s="1055" t="s">
        <v>1440</v>
      </c>
      <c r="E2414" s="1055" t="s">
        <v>1441</v>
      </c>
      <c r="F2414" s="1056">
        <v>344</v>
      </c>
      <c r="G2414" s="1056">
        <v>0</v>
      </c>
      <c r="H2414" s="1056">
        <v>0</v>
      </c>
      <c r="I2414" s="1056">
        <v>344</v>
      </c>
      <c r="J2414" s="996">
        <f t="shared" si="50"/>
        <v>0</v>
      </c>
      <c r="K2414" s="1037">
        <f t="shared" ref="K2414:K2477" si="51">+LEN(A2414)</f>
        <v>8</v>
      </c>
    </row>
    <row r="2415" spans="1:11" ht="13.9" customHeight="1">
      <c r="A2415" s="1054">
        <v>52053901</v>
      </c>
      <c r="B2415" s="1055" t="s">
        <v>893</v>
      </c>
      <c r="C2415" s="1055" t="s">
        <v>355</v>
      </c>
      <c r="D2415" s="1055" t="s">
        <v>1383</v>
      </c>
      <c r="E2415" s="1055" t="s">
        <v>1384</v>
      </c>
      <c r="F2415" s="1056">
        <v>613</v>
      </c>
      <c r="G2415" s="1056">
        <v>73</v>
      </c>
      <c r="H2415" s="1056">
        <v>0</v>
      </c>
      <c r="I2415" s="1056">
        <v>686</v>
      </c>
      <c r="J2415" s="996">
        <f t="shared" si="50"/>
        <v>-73</v>
      </c>
      <c r="K2415" s="1037">
        <f t="shared" si="51"/>
        <v>8</v>
      </c>
    </row>
    <row r="2416" spans="1:11" ht="13.9" customHeight="1">
      <c r="A2416" s="1054">
        <v>52053901</v>
      </c>
      <c r="B2416" s="1055" t="s">
        <v>893</v>
      </c>
      <c r="C2416" s="1055" t="s">
        <v>355</v>
      </c>
      <c r="D2416" s="1055" t="s">
        <v>1430</v>
      </c>
      <c r="E2416" s="1055" t="s">
        <v>1431</v>
      </c>
      <c r="F2416" s="1056">
        <v>137</v>
      </c>
      <c r="G2416" s="1056">
        <v>0</v>
      </c>
      <c r="H2416" s="1056">
        <v>0</v>
      </c>
      <c r="I2416" s="1056">
        <v>137</v>
      </c>
      <c r="J2416" s="996">
        <f t="shared" si="50"/>
        <v>0</v>
      </c>
      <c r="K2416" s="1037">
        <f t="shared" si="51"/>
        <v>8</v>
      </c>
    </row>
    <row r="2417" spans="1:11" ht="13.9" customHeight="1">
      <c r="A2417" s="1054">
        <v>52053901</v>
      </c>
      <c r="B2417" s="1055" t="s">
        <v>893</v>
      </c>
      <c r="C2417" s="1055" t="s">
        <v>355</v>
      </c>
      <c r="D2417" s="1055" t="s">
        <v>1587</v>
      </c>
      <c r="E2417" s="1055" t="s">
        <v>1588</v>
      </c>
      <c r="F2417" s="1056">
        <v>270</v>
      </c>
      <c r="G2417" s="1056">
        <v>73</v>
      </c>
      <c r="H2417" s="1056">
        <v>0</v>
      </c>
      <c r="I2417" s="1056">
        <v>343</v>
      </c>
      <c r="J2417" s="996">
        <f t="shared" si="50"/>
        <v>-73</v>
      </c>
      <c r="K2417" s="1037">
        <f t="shared" si="51"/>
        <v>8</v>
      </c>
    </row>
    <row r="2418" spans="1:11" ht="13.9" customHeight="1">
      <c r="A2418" s="1054">
        <v>520548</v>
      </c>
      <c r="B2418" s="1055" t="s">
        <v>893</v>
      </c>
      <c r="C2418" s="1055" t="s">
        <v>383</v>
      </c>
      <c r="D2418" s="1055" t="s">
        <v>893</v>
      </c>
      <c r="E2418" s="1055" t="s">
        <v>893</v>
      </c>
      <c r="F2418" s="1056">
        <v>8607</v>
      </c>
      <c r="G2418" s="1056">
        <v>52</v>
      </c>
      <c r="H2418" s="1056">
        <v>0</v>
      </c>
      <c r="I2418" s="1056">
        <v>8660</v>
      </c>
      <c r="J2418" s="996">
        <f t="shared" si="50"/>
        <v>-52</v>
      </c>
      <c r="K2418" s="1037">
        <f t="shared" si="51"/>
        <v>6</v>
      </c>
    </row>
    <row r="2419" spans="1:11" ht="13.9" customHeight="1">
      <c r="A2419" s="1054">
        <v>52054801</v>
      </c>
      <c r="B2419" s="1055" t="s">
        <v>893</v>
      </c>
      <c r="C2419" s="1055" t="s">
        <v>383</v>
      </c>
      <c r="D2419" s="1055" t="s">
        <v>893</v>
      </c>
      <c r="E2419" s="1055" t="s">
        <v>893</v>
      </c>
      <c r="F2419" s="1056">
        <v>2950</v>
      </c>
      <c r="G2419" s="1056">
        <v>0</v>
      </c>
      <c r="H2419" s="1056">
        <v>0</v>
      </c>
      <c r="I2419" s="1056">
        <v>2950</v>
      </c>
      <c r="J2419" s="996">
        <f t="shared" si="50"/>
        <v>0</v>
      </c>
      <c r="K2419" s="1037">
        <f t="shared" si="51"/>
        <v>8</v>
      </c>
    </row>
    <row r="2420" spans="1:11" ht="13.9" customHeight="1">
      <c r="A2420" s="1054">
        <v>52054801</v>
      </c>
      <c r="B2420" s="1055" t="s">
        <v>893</v>
      </c>
      <c r="C2420" s="1055" t="s">
        <v>383</v>
      </c>
      <c r="D2420" s="1055" t="s">
        <v>1360</v>
      </c>
      <c r="E2420" s="1055" t="s">
        <v>1361</v>
      </c>
      <c r="F2420" s="1056">
        <v>120</v>
      </c>
      <c r="G2420" s="1056">
        <v>0</v>
      </c>
      <c r="H2420" s="1056">
        <v>0</v>
      </c>
      <c r="I2420" s="1056">
        <v>120</v>
      </c>
      <c r="J2420" s="996">
        <f t="shared" si="50"/>
        <v>0</v>
      </c>
      <c r="K2420" s="1037">
        <f t="shared" si="51"/>
        <v>8</v>
      </c>
    </row>
    <row r="2421" spans="1:11" ht="13.9" customHeight="1">
      <c r="A2421" s="1054">
        <v>52054801</v>
      </c>
      <c r="B2421" s="1055" t="s">
        <v>893</v>
      </c>
      <c r="C2421" s="1055" t="s">
        <v>383</v>
      </c>
      <c r="D2421" s="1055" t="s">
        <v>1579</v>
      </c>
      <c r="E2421" s="1055" t="s">
        <v>1580</v>
      </c>
      <c r="F2421" s="1056">
        <v>240</v>
      </c>
      <c r="G2421" s="1056">
        <v>0</v>
      </c>
      <c r="H2421" s="1056">
        <v>0</v>
      </c>
      <c r="I2421" s="1056">
        <v>240</v>
      </c>
      <c r="J2421" s="996">
        <f t="shared" si="50"/>
        <v>0</v>
      </c>
      <c r="K2421" s="1037">
        <f t="shared" si="51"/>
        <v>8</v>
      </c>
    </row>
    <row r="2422" spans="1:11" ht="13.9" customHeight="1">
      <c r="A2422" s="1054">
        <v>52054801</v>
      </c>
      <c r="B2422" s="1055" t="s">
        <v>893</v>
      </c>
      <c r="C2422" s="1055" t="s">
        <v>383</v>
      </c>
      <c r="D2422" s="1055" t="s">
        <v>1420</v>
      </c>
      <c r="E2422" s="1055" t="s">
        <v>1421</v>
      </c>
      <c r="F2422" s="1056">
        <v>232</v>
      </c>
      <c r="G2422" s="1056">
        <v>0</v>
      </c>
      <c r="H2422" s="1056">
        <v>0</v>
      </c>
      <c r="I2422" s="1056">
        <v>232</v>
      </c>
      <c r="J2422" s="996">
        <f t="shared" si="50"/>
        <v>0</v>
      </c>
      <c r="K2422" s="1037">
        <f t="shared" si="51"/>
        <v>8</v>
      </c>
    </row>
    <row r="2423" spans="1:11" ht="13.9" customHeight="1">
      <c r="A2423" s="1054">
        <v>52054801</v>
      </c>
      <c r="B2423" s="1055" t="s">
        <v>893</v>
      </c>
      <c r="C2423" s="1055" t="s">
        <v>383</v>
      </c>
      <c r="D2423" s="1055" t="s">
        <v>1493</v>
      </c>
      <c r="E2423" s="1055" t="s">
        <v>1494</v>
      </c>
      <c r="F2423" s="1056">
        <v>72</v>
      </c>
      <c r="G2423" s="1056">
        <v>0</v>
      </c>
      <c r="H2423" s="1056">
        <v>0</v>
      </c>
      <c r="I2423" s="1056">
        <v>72</v>
      </c>
      <c r="J2423" s="996">
        <f t="shared" si="50"/>
        <v>0</v>
      </c>
      <c r="K2423" s="1037">
        <f t="shared" si="51"/>
        <v>8</v>
      </c>
    </row>
    <row r="2424" spans="1:11" ht="13.9" customHeight="1">
      <c r="A2424" s="1054">
        <v>52054801</v>
      </c>
      <c r="B2424" s="1055" t="s">
        <v>893</v>
      </c>
      <c r="C2424" s="1055" t="s">
        <v>383</v>
      </c>
      <c r="D2424" s="1055" t="s">
        <v>1841</v>
      </c>
      <c r="E2424" s="1055" t="s">
        <v>1842</v>
      </c>
      <c r="F2424" s="1056">
        <v>72</v>
      </c>
      <c r="G2424" s="1056">
        <v>0</v>
      </c>
      <c r="H2424" s="1056">
        <v>0</v>
      </c>
      <c r="I2424" s="1056">
        <v>72</v>
      </c>
      <c r="J2424" s="996">
        <f t="shared" si="50"/>
        <v>0</v>
      </c>
      <c r="K2424" s="1037">
        <f t="shared" si="51"/>
        <v>8</v>
      </c>
    </row>
    <row r="2425" spans="1:11" ht="13.9" customHeight="1">
      <c r="A2425" s="1054">
        <v>52054801</v>
      </c>
      <c r="B2425" s="1055" t="s">
        <v>893</v>
      </c>
      <c r="C2425" s="1055" t="s">
        <v>383</v>
      </c>
      <c r="D2425" s="1055" t="s">
        <v>1320</v>
      </c>
      <c r="E2425" s="1055" t="s">
        <v>1321</v>
      </c>
      <c r="F2425" s="1056">
        <v>216</v>
      </c>
      <c r="G2425" s="1056">
        <v>0</v>
      </c>
      <c r="H2425" s="1056">
        <v>0</v>
      </c>
      <c r="I2425" s="1056">
        <v>216</v>
      </c>
      <c r="J2425" s="996">
        <f t="shared" si="50"/>
        <v>0</v>
      </c>
      <c r="K2425" s="1037">
        <f t="shared" si="51"/>
        <v>8</v>
      </c>
    </row>
    <row r="2426" spans="1:11" ht="13.9" customHeight="1">
      <c r="A2426" s="1054">
        <v>52054801</v>
      </c>
      <c r="B2426" s="1055" t="s">
        <v>893</v>
      </c>
      <c r="C2426" s="1055" t="s">
        <v>383</v>
      </c>
      <c r="D2426" s="1055" t="s">
        <v>1274</v>
      </c>
      <c r="E2426" s="1055" t="s">
        <v>989</v>
      </c>
      <c r="F2426" s="1056">
        <v>300</v>
      </c>
      <c r="G2426" s="1056">
        <v>0</v>
      </c>
      <c r="H2426" s="1056">
        <v>0</v>
      </c>
      <c r="I2426" s="1056">
        <v>300</v>
      </c>
      <c r="J2426" s="996">
        <f t="shared" si="50"/>
        <v>0</v>
      </c>
      <c r="K2426" s="1037">
        <f t="shared" si="51"/>
        <v>8</v>
      </c>
    </row>
    <row r="2427" spans="1:11" ht="13.9" customHeight="1">
      <c r="A2427" s="1054">
        <v>52054801</v>
      </c>
      <c r="B2427" s="1055" t="s">
        <v>893</v>
      </c>
      <c r="C2427" s="1055" t="s">
        <v>383</v>
      </c>
      <c r="D2427" s="1055" t="s">
        <v>1521</v>
      </c>
      <c r="E2427" s="1055" t="s">
        <v>1522</v>
      </c>
      <c r="F2427" s="1056">
        <v>120</v>
      </c>
      <c r="G2427" s="1056">
        <v>0</v>
      </c>
      <c r="H2427" s="1056">
        <v>0</v>
      </c>
      <c r="I2427" s="1056">
        <v>120</v>
      </c>
      <c r="J2427" s="996">
        <f t="shared" si="50"/>
        <v>0</v>
      </c>
      <c r="K2427" s="1037">
        <f t="shared" si="51"/>
        <v>8</v>
      </c>
    </row>
    <row r="2428" spans="1:11" ht="13.9" customHeight="1">
      <c r="A2428" s="1054">
        <v>52054801</v>
      </c>
      <c r="B2428" s="1055" t="s">
        <v>893</v>
      </c>
      <c r="C2428" s="1055" t="s">
        <v>383</v>
      </c>
      <c r="D2428" s="1055" t="s">
        <v>1374</v>
      </c>
      <c r="E2428" s="1055" t="s">
        <v>1375</v>
      </c>
      <c r="F2428" s="1056">
        <v>240</v>
      </c>
      <c r="G2428" s="1056">
        <v>0</v>
      </c>
      <c r="H2428" s="1056">
        <v>0</v>
      </c>
      <c r="I2428" s="1056">
        <v>240</v>
      </c>
      <c r="J2428" s="996">
        <f t="shared" si="50"/>
        <v>0</v>
      </c>
      <c r="K2428" s="1037">
        <f t="shared" si="51"/>
        <v>8</v>
      </c>
    </row>
    <row r="2429" spans="1:11" ht="13.9" customHeight="1">
      <c r="A2429" s="1054">
        <v>52054801</v>
      </c>
      <c r="B2429" s="1055" t="s">
        <v>893</v>
      </c>
      <c r="C2429" s="1055" t="s">
        <v>383</v>
      </c>
      <c r="D2429" s="1055" t="s">
        <v>1249</v>
      </c>
      <c r="E2429" s="1055" t="s">
        <v>583</v>
      </c>
      <c r="F2429" s="1056">
        <v>150</v>
      </c>
      <c r="G2429" s="1056">
        <v>0</v>
      </c>
      <c r="H2429" s="1056">
        <v>0</v>
      </c>
      <c r="I2429" s="1056">
        <v>150</v>
      </c>
      <c r="J2429" s="996">
        <f t="shared" si="50"/>
        <v>0</v>
      </c>
      <c r="K2429" s="1037">
        <f t="shared" si="51"/>
        <v>8</v>
      </c>
    </row>
    <row r="2430" spans="1:11" ht="13.9" customHeight="1">
      <c r="A2430" s="1054">
        <v>52054801</v>
      </c>
      <c r="B2430" s="1055" t="s">
        <v>893</v>
      </c>
      <c r="C2430" s="1055" t="s">
        <v>383</v>
      </c>
      <c r="D2430" s="1055" t="s">
        <v>1376</v>
      </c>
      <c r="E2430" s="1055" t="s">
        <v>1377</v>
      </c>
      <c r="F2430" s="1056">
        <v>120</v>
      </c>
      <c r="G2430" s="1056">
        <v>0</v>
      </c>
      <c r="H2430" s="1056">
        <v>0</v>
      </c>
      <c r="I2430" s="1056">
        <v>120</v>
      </c>
      <c r="J2430" s="996">
        <f t="shared" si="50"/>
        <v>0</v>
      </c>
      <c r="K2430" s="1037">
        <f t="shared" si="51"/>
        <v>8</v>
      </c>
    </row>
    <row r="2431" spans="1:11" ht="13.9" customHeight="1">
      <c r="A2431" s="1054">
        <v>52054801</v>
      </c>
      <c r="B2431" s="1055" t="s">
        <v>893</v>
      </c>
      <c r="C2431" s="1055" t="s">
        <v>383</v>
      </c>
      <c r="D2431" s="1055" t="s">
        <v>1250</v>
      </c>
      <c r="E2431" s="1055" t="s">
        <v>1251</v>
      </c>
      <c r="F2431" s="1056">
        <v>216</v>
      </c>
      <c r="G2431" s="1056">
        <v>0</v>
      </c>
      <c r="H2431" s="1056">
        <v>0</v>
      </c>
      <c r="I2431" s="1056">
        <v>216</v>
      </c>
      <c r="J2431" s="996">
        <f t="shared" si="50"/>
        <v>0</v>
      </c>
      <c r="K2431" s="1037">
        <f t="shared" si="51"/>
        <v>8</v>
      </c>
    </row>
    <row r="2432" spans="1:11" ht="13.9" customHeight="1">
      <c r="A2432" s="1054">
        <v>52054801</v>
      </c>
      <c r="B2432" s="1055" t="s">
        <v>893</v>
      </c>
      <c r="C2432" s="1055" t="s">
        <v>383</v>
      </c>
      <c r="D2432" s="1055" t="s">
        <v>1761</v>
      </c>
      <c r="E2432" s="1055" t="s">
        <v>1762</v>
      </c>
      <c r="F2432" s="1056">
        <v>216</v>
      </c>
      <c r="G2432" s="1056">
        <v>0</v>
      </c>
      <c r="H2432" s="1056">
        <v>0</v>
      </c>
      <c r="I2432" s="1056">
        <v>216</v>
      </c>
      <c r="J2432" s="996">
        <f t="shared" si="50"/>
        <v>0</v>
      </c>
      <c r="K2432" s="1037">
        <f t="shared" si="51"/>
        <v>8</v>
      </c>
    </row>
    <row r="2433" spans="1:11" ht="13.9" customHeight="1">
      <c r="A2433" s="1054">
        <v>52054801</v>
      </c>
      <c r="B2433" s="1055" t="s">
        <v>893</v>
      </c>
      <c r="C2433" s="1055" t="s">
        <v>383</v>
      </c>
      <c r="D2433" s="1055" t="s">
        <v>1275</v>
      </c>
      <c r="E2433" s="1055" t="s">
        <v>991</v>
      </c>
      <c r="F2433" s="1056">
        <v>30</v>
      </c>
      <c r="G2433" s="1056">
        <v>0</v>
      </c>
      <c r="H2433" s="1056">
        <v>0</v>
      </c>
      <c r="I2433" s="1056">
        <v>30</v>
      </c>
      <c r="J2433" s="996">
        <f t="shared" si="50"/>
        <v>0</v>
      </c>
      <c r="K2433" s="1037">
        <f t="shared" si="51"/>
        <v>8</v>
      </c>
    </row>
    <row r="2434" spans="1:11" ht="13.9" customHeight="1">
      <c r="A2434" s="1054">
        <v>52054801</v>
      </c>
      <c r="B2434" s="1055" t="s">
        <v>893</v>
      </c>
      <c r="C2434" s="1055" t="s">
        <v>383</v>
      </c>
      <c r="D2434" s="1055" t="s">
        <v>1382</v>
      </c>
      <c r="E2434" s="1055" t="s">
        <v>1763</v>
      </c>
      <c r="F2434" s="1056">
        <v>270</v>
      </c>
      <c r="G2434" s="1056">
        <v>0</v>
      </c>
      <c r="H2434" s="1056">
        <v>0</v>
      </c>
      <c r="I2434" s="1056">
        <v>270</v>
      </c>
      <c r="J2434" s="996">
        <f t="shared" si="50"/>
        <v>0</v>
      </c>
      <c r="K2434" s="1037">
        <f t="shared" si="51"/>
        <v>8</v>
      </c>
    </row>
    <row r="2435" spans="1:11" ht="13.9" customHeight="1">
      <c r="A2435" s="1054">
        <v>52054801</v>
      </c>
      <c r="B2435" s="1055" t="s">
        <v>893</v>
      </c>
      <c r="C2435" s="1055" t="s">
        <v>383</v>
      </c>
      <c r="D2435" s="1055" t="s">
        <v>1440</v>
      </c>
      <c r="E2435" s="1055" t="s">
        <v>1441</v>
      </c>
      <c r="F2435" s="1056">
        <v>96</v>
      </c>
      <c r="G2435" s="1056">
        <v>0</v>
      </c>
      <c r="H2435" s="1056">
        <v>0</v>
      </c>
      <c r="I2435" s="1056">
        <v>96</v>
      </c>
      <c r="J2435" s="996">
        <f t="shared" si="50"/>
        <v>0</v>
      </c>
      <c r="K2435" s="1037">
        <f t="shared" si="51"/>
        <v>8</v>
      </c>
    </row>
    <row r="2436" spans="1:11" ht="13.9" customHeight="1">
      <c r="A2436" s="1054">
        <v>52054801</v>
      </c>
      <c r="B2436" s="1055" t="s">
        <v>893</v>
      </c>
      <c r="C2436" s="1055" t="s">
        <v>383</v>
      </c>
      <c r="D2436" s="1055" t="s">
        <v>1383</v>
      </c>
      <c r="E2436" s="1055" t="s">
        <v>1384</v>
      </c>
      <c r="F2436" s="1056">
        <v>240</v>
      </c>
      <c r="G2436" s="1056">
        <v>0</v>
      </c>
      <c r="H2436" s="1056">
        <v>0</v>
      </c>
      <c r="I2436" s="1056">
        <v>240</v>
      </c>
      <c r="J2436" s="996">
        <f t="shared" si="50"/>
        <v>0</v>
      </c>
      <c r="K2436" s="1037">
        <f t="shared" si="51"/>
        <v>8</v>
      </c>
    </row>
    <row r="2437" spans="1:11" ht="13.9" customHeight="1">
      <c r="A2437" s="1054">
        <v>52054802</v>
      </c>
      <c r="B2437" s="1055" t="s">
        <v>893</v>
      </c>
      <c r="C2437" s="1055" t="s">
        <v>595</v>
      </c>
      <c r="D2437" s="1055" t="s">
        <v>893</v>
      </c>
      <c r="E2437" s="1055" t="s">
        <v>893</v>
      </c>
      <c r="F2437" s="1056">
        <v>5657</v>
      </c>
      <c r="G2437" s="1056">
        <v>52</v>
      </c>
      <c r="H2437" s="1056">
        <v>0</v>
      </c>
      <c r="I2437" s="1056">
        <v>5710</v>
      </c>
      <c r="J2437" s="996">
        <f t="shared" si="50"/>
        <v>-52</v>
      </c>
      <c r="K2437" s="1037">
        <f t="shared" si="51"/>
        <v>8</v>
      </c>
    </row>
    <row r="2438" spans="1:11" ht="13.9" customHeight="1">
      <c r="A2438" s="1054">
        <v>52054802</v>
      </c>
      <c r="B2438" s="1055" t="s">
        <v>893</v>
      </c>
      <c r="C2438" s="1055" t="s">
        <v>595</v>
      </c>
      <c r="D2438" s="1055" t="s">
        <v>1360</v>
      </c>
      <c r="E2438" s="1055" t="s">
        <v>1361</v>
      </c>
      <c r="F2438" s="1056">
        <v>312</v>
      </c>
      <c r="G2438" s="1056">
        <v>0</v>
      </c>
      <c r="H2438" s="1056">
        <v>0</v>
      </c>
      <c r="I2438" s="1056">
        <v>312</v>
      </c>
      <c r="J2438" s="996">
        <f t="shared" si="50"/>
        <v>0</v>
      </c>
      <c r="K2438" s="1037">
        <f t="shared" si="51"/>
        <v>8</v>
      </c>
    </row>
    <row r="2439" spans="1:11" ht="13.9" customHeight="1">
      <c r="A2439" s="1054">
        <v>52054802</v>
      </c>
      <c r="B2439" s="1055" t="s">
        <v>893</v>
      </c>
      <c r="C2439" s="1055" t="s">
        <v>595</v>
      </c>
      <c r="D2439" s="1055" t="s">
        <v>1484</v>
      </c>
      <c r="E2439" s="1055" t="s">
        <v>1485</v>
      </c>
      <c r="F2439" s="1056">
        <v>180</v>
      </c>
      <c r="G2439" s="1056">
        <v>0</v>
      </c>
      <c r="H2439" s="1056">
        <v>0</v>
      </c>
      <c r="I2439" s="1056">
        <v>180</v>
      </c>
      <c r="J2439" s="996">
        <f t="shared" si="50"/>
        <v>0</v>
      </c>
      <c r="K2439" s="1037">
        <f t="shared" si="51"/>
        <v>8</v>
      </c>
    </row>
    <row r="2440" spans="1:11" ht="13.9" customHeight="1">
      <c r="A2440" s="1054">
        <v>52054802</v>
      </c>
      <c r="B2440" s="1055" t="s">
        <v>893</v>
      </c>
      <c r="C2440" s="1055" t="s">
        <v>595</v>
      </c>
      <c r="D2440" s="1055" t="s">
        <v>1579</v>
      </c>
      <c r="E2440" s="1055" t="s">
        <v>1580</v>
      </c>
      <c r="F2440" s="1056">
        <v>120</v>
      </c>
      <c r="G2440" s="1056">
        <v>0</v>
      </c>
      <c r="H2440" s="1056">
        <v>0</v>
      </c>
      <c r="I2440" s="1056">
        <v>120</v>
      </c>
      <c r="J2440" s="996">
        <f t="shared" si="50"/>
        <v>0</v>
      </c>
      <c r="K2440" s="1037">
        <f t="shared" si="51"/>
        <v>8</v>
      </c>
    </row>
    <row r="2441" spans="1:11" ht="13.9" customHeight="1">
      <c r="A2441" s="1054">
        <v>52054802</v>
      </c>
      <c r="B2441" s="1055" t="s">
        <v>893</v>
      </c>
      <c r="C2441" s="1055" t="s">
        <v>595</v>
      </c>
      <c r="D2441" s="1055" t="s">
        <v>1270</v>
      </c>
      <c r="E2441" s="1055" t="s">
        <v>988</v>
      </c>
      <c r="F2441" s="1056">
        <v>448</v>
      </c>
      <c r="G2441" s="1056">
        <v>52</v>
      </c>
      <c r="H2441" s="1056">
        <v>0</v>
      </c>
      <c r="I2441" s="1056">
        <v>500</v>
      </c>
      <c r="J2441" s="996">
        <f t="shared" ref="J2441:J2504" si="52">+H2441-G2441</f>
        <v>-52</v>
      </c>
      <c r="K2441" s="1037">
        <f t="shared" si="51"/>
        <v>8</v>
      </c>
    </row>
    <row r="2442" spans="1:11" ht="13.9" customHeight="1">
      <c r="A2442" s="1054">
        <v>52054802</v>
      </c>
      <c r="B2442" s="1055" t="s">
        <v>893</v>
      </c>
      <c r="C2442" s="1055" t="s">
        <v>595</v>
      </c>
      <c r="D2442" s="1055" t="s">
        <v>1420</v>
      </c>
      <c r="E2442" s="1055" t="s">
        <v>1421</v>
      </c>
      <c r="F2442" s="1056">
        <v>231</v>
      </c>
      <c r="G2442" s="1056">
        <v>0</v>
      </c>
      <c r="H2442" s="1056">
        <v>0</v>
      </c>
      <c r="I2442" s="1056">
        <v>231</v>
      </c>
      <c r="J2442" s="996">
        <f t="shared" si="52"/>
        <v>0</v>
      </c>
      <c r="K2442" s="1037">
        <f t="shared" si="51"/>
        <v>8</v>
      </c>
    </row>
    <row r="2443" spans="1:11" ht="13.9" customHeight="1">
      <c r="A2443" s="1054">
        <v>52054802</v>
      </c>
      <c r="B2443" s="1055" t="s">
        <v>893</v>
      </c>
      <c r="C2443" s="1055" t="s">
        <v>595</v>
      </c>
      <c r="D2443" s="1055" t="s">
        <v>1493</v>
      </c>
      <c r="E2443" s="1055" t="s">
        <v>1494</v>
      </c>
      <c r="F2443" s="1056">
        <v>120</v>
      </c>
      <c r="G2443" s="1056">
        <v>0</v>
      </c>
      <c r="H2443" s="1056">
        <v>0</v>
      </c>
      <c r="I2443" s="1056">
        <v>120</v>
      </c>
      <c r="J2443" s="996">
        <f t="shared" si="52"/>
        <v>0</v>
      </c>
      <c r="K2443" s="1037">
        <f t="shared" si="51"/>
        <v>8</v>
      </c>
    </row>
    <row r="2444" spans="1:11" ht="13.9" customHeight="1">
      <c r="A2444" s="1054">
        <v>52054802</v>
      </c>
      <c r="B2444" s="1055" t="s">
        <v>893</v>
      </c>
      <c r="C2444" s="1055" t="s">
        <v>595</v>
      </c>
      <c r="D2444" s="1055" t="s">
        <v>1320</v>
      </c>
      <c r="E2444" s="1055" t="s">
        <v>1321</v>
      </c>
      <c r="F2444" s="1056">
        <v>240</v>
      </c>
      <c r="G2444" s="1056">
        <v>0</v>
      </c>
      <c r="H2444" s="1056">
        <v>0</v>
      </c>
      <c r="I2444" s="1056">
        <v>240</v>
      </c>
      <c r="J2444" s="996">
        <f t="shared" si="52"/>
        <v>0</v>
      </c>
      <c r="K2444" s="1037">
        <f t="shared" si="51"/>
        <v>8</v>
      </c>
    </row>
    <row r="2445" spans="1:11" ht="13.9" customHeight="1">
      <c r="A2445" s="1054">
        <v>52054802</v>
      </c>
      <c r="B2445" s="1055" t="s">
        <v>893</v>
      </c>
      <c r="C2445" s="1055" t="s">
        <v>595</v>
      </c>
      <c r="D2445" s="1055" t="s">
        <v>1274</v>
      </c>
      <c r="E2445" s="1055" t="s">
        <v>989</v>
      </c>
      <c r="F2445" s="1056">
        <v>150</v>
      </c>
      <c r="G2445" s="1056">
        <v>0</v>
      </c>
      <c r="H2445" s="1056">
        <v>0</v>
      </c>
      <c r="I2445" s="1056">
        <v>150</v>
      </c>
      <c r="J2445" s="996">
        <f t="shared" si="52"/>
        <v>0</v>
      </c>
      <c r="K2445" s="1037">
        <f t="shared" si="51"/>
        <v>8</v>
      </c>
    </row>
    <row r="2446" spans="1:11" ht="13.9" customHeight="1">
      <c r="A2446" s="1054">
        <v>52054802</v>
      </c>
      <c r="B2446" s="1055" t="s">
        <v>893</v>
      </c>
      <c r="C2446" s="1055" t="s">
        <v>595</v>
      </c>
      <c r="D2446" s="1055" t="s">
        <v>1497</v>
      </c>
      <c r="E2446" s="1055" t="s">
        <v>1498</v>
      </c>
      <c r="F2446" s="1056">
        <v>240</v>
      </c>
      <c r="G2446" s="1056">
        <v>0</v>
      </c>
      <c r="H2446" s="1056">
        <v>0</v>
      </c>
      <c r="I2446" s="1056">
        <v>240</v>
      </c>
      <c r="J2446" s="996">
        <f t="shared" si="52"/>
        <v>0</v>
      </c>
      <c r="K2446" s="1037">
        <f t="shared" si="51"/>
        <v>8</v>
      </c>
    </row>
    <row r="2447" spans="1:11" ht="13.9" customHeight="1">
      <c r="A2447" s="1054">
        <v>52054802</v>
      </c>
      <c r="B2447" s="1055" t="s">
        <v>893</v>
      </c>
      <c r="C2447" s="1055" t="s">
        <v>595</v>
      </c>
      <c r="D2447" s="1055" t="s">
        <v>1370</v>
      </c>
      <c r="E2447" s="1055" t="s">
        <v>1371</v>
      </c>
      <c r="F2447" s="1056">
        <v>233</v>
      </c>
      <c r="G2447" s="1056">
        <v>0</v>
      </c>
      <c r="H2447" s="1056">
        <v>0</v>
      </c>
      <c r="I2447" s="1056">
        <v>233</v>
      </c>
      <c r="J2447" s="996">
        <f t="shared" si="52"/>
        <v>0</v>
      </c>
      <c r="K2447" s="1037">
        <f t="shared" si="51"/>
        <v>8</v>
      </c>
    </row>
    <row r="2448" spans="1:11" ht="13.9" customHeight="1">
      <c r="A2448" s="1054">
        <v>52054802</v>
      </c>
      <c r="B2448" s="1055" t="s">
        <v>893</v>
      </c>
      <c r="C2448" s="1055" t="s">
        <v>595</v>
      </c>
      <c r="D2448" s="1055" t="s">
        <v>1083</v>
      </c>
      <c r="E2448" s="1055" t="s">
        <v>256</v>
      </c>
      <c r="F2448" s="1056">
        <v>53</v>
      </c>
      <c r="G2448" s="1056">
        <v>0</v>
      </c>
      <c r="H2448" s="1056">
        <v>0</v>
      </c>
      <c r="I2448" s="1056">
        <v>53</v>
      </c>
      <c r="J2448" s="996">
        <f t="shared" si="52"/>
        <v>0</v>
      </c>
      <c r="K2448" s="1037">
        <f t="shared" si="51"/>
        <v>8</v>
      </c>
    </row>
    <row r="2449" spans="1:11" ht="13.9" customHeight="1">
      <c r="A2449" s="1054">
        <v>52054802</v>
      </c>
      <c r="B2449" s="1055" t="s">
        <v>893</v>
      </c>
      <c r="C2449" s="1055" t="s">
        <v>595</v>
      </c>
      <c r="D2449" s="1055" t="s">
        <v>1581</v>
      </c>
      <c r="E2449" s="1055" t="s">
        <v>1582</v>
      </c>
      <c r="F2449" s="1056">
        <v>72</v>
      </c>
      <c r="G2449" s="1056">
        <v>0</v>
      </c>
      <c r="H2449" s="1056">
        <v>0</v>
      </c>
      <c r="I2449" s="1056">
        <v>72</v>
      </c>
      <c r="J2449" s="996">
        <f t="shared" si="52"/>
        <v>0</v>
      </c>
      <c r="K2449" s="1037">
        <f t="shared" si="51"/>
        <v>8</v>
      </c>
    </row>
    <row r="2450" spans="1:11" ht="13.9" customHeight="1">
      <c r="A2450" s="1054">
        <v>52054802</v>
      </c>
      <c r="B2450" s="1055" t="s">
        <v>893</v>
      </c>
      <c r="C2450" s="1055" t="s">
        <v>595</v>
      </c>
      <c r="D2450" s="1055" t="s">
        <v>1521</v>
      </c>
      <c r="E2450" s="1055" t="s">
        <v>1522</v>
      </c>
      <c r="F2450" s="1056">
        <v>72</v>
      </c>
      <c r="G2450" s="1056">
        <v>0</v>
      </c>
      <c r="H2450" s="1056">
        <v>0</v>
      </c>
      <c r="I2450" s="1056">
        <v>72</v>
      </c>
      <c r="J2450" s="996">
        <f t="shared" si="52"/>
        <v>0</v>
      </c>
      <c r="K2450" s="1037">
        <f t="shared" si="51"/>
        <v>8</v>
      </c>
    </row>
    <row r="2451" spans="1:11" ht="13.9" customHeight="1">
      <c r="A2451" s="1054">
        <v>52054802</v>
      </c>
      <c r="B2451" s="1055" t="s">
        <v>893</v>
      </c>
      <c r="C2451" s="1055" t="s">
        <v>595</v>
      </c>
      <c r="D2451" s="1055" t="s">
        <v>1583</v>
      </c>
      <c r="E2451" s="1055" t="s">
        <v>1584</v>
      </c>
      <c r="F2451" s="1056">
        <v>60</v>
      </c>
      <c r="G2451" s="1056">
        <v>0</v>
      </c>
      <c r="H2451" s="1056">
        <v>0</v>
      </c>
      <c r="I2451" s="1056">
        <v>60</v>
      </c>
      <c r="J2451" s="996">
        <f t="shared" si="52"/>
        <v>0</v>
      </c>
      <c r="K2451" s="1037">
        <f t="shared" si="51"/>
        <v>8</v>
      </c>
    </row>
    <row r="2452" spans="1:11" ht="13.9" customHeight="1">
      <c r="A2452" s="1054">
        <v>52054802</v>
      </c>
      <c r="B2452" s="1055" t="s">
        <v>893</v>
      </c>
      <c r="C2452" s="1055" t="s">
        <v>595</v>
      </c>
      <c r="D2452" s="1055" t="s">
        <v>1372</v>
      </c>
      <c r="E2452" s="1055" t="s">
        <v>1373</v>
      </c>
      <c r="F2452" s="1056">
        <v>120</v>
      </c>
      <c r="G2452" s="1056">
        <v>0</v>
      </c>
      <c r="H2452" s="1056">
        <v>0</v>
      </c>
      <c r="I2452" s="1056">
        <v>120</v>
      </c>
      <c r="J2452" s="996">
        <f t="shared" si="52"/>
        <v>0</v>
      </c>
      <c r="K2452" s="1037">
        <f t="shared" si="51"/>
        <v>8</v>
      </c>
    </row>
    <row r="2453" spans="1:11" ht="13.9" customHeight="1">
      <c r="A2453" s="1054">
        <v>52054802</v>
      </c>
      <c r="B2453" s="1055" t="s">
        <v>893</v>
      </c>
      <c r="C2453" s="1055" t="s">
        <v>595</v>
      </c>
      <c r="D2453" s="1055" t="s">
        <v>1374</v>
      </c>
      <c r="E2453" s="1055" t="s">
        <v>1375</v>
      </c>
      <c r="F2453" s="1056">
        <v>120</v>
      </c>
      <c r="G2453" s="1056">
        <v>0</v>
      </c>
      <c r="H2453" s="1056">
        <v>0</v>
      </c>
      <c r="I2453" s="1056">
        <v>120</v>
      </c>
      <c r="J2453" s="996">
        <f t="shared" si="52"/>
        <v>0</v>
      </c>
      <c r="K2453" s="1037">
        <f t="shared" si="51"/>
        <v>8</v>
      </c>
    </row>
    <row r="2454" spans="1:11" ht="13.9" customHeight="1">
      <c r="A2454" s="1054">
        <v>52054802</v>
      </c>
      <c r="B2454" s="1055" t="s">
        <v>893</v>
      </c>
      <c r="C2454" s="1055" t="s">
        <v>595</v>
      </c>
      <c r="D2454" s="1055" t="s">
        <v>1249</v>
      </c>
      <c r="E2454" s="1055" t="s">
        <v>583</v>
      </c>
      <c r="F2454" s="1056">
        <v>390</v>
      </c>
      <c r="G2454" s="1056">
        <v>0</v>
      </c>
      <c r="H2454" s="1056">
        <v>0</v>
      </c>
      <c r="I2454" s="1056">
        <v>390</v>
      </c>
      <c r="J2454" s="996">
        <f t="shared" si="52"/>
        <v>0</v>
      </c>
      <c r="K2454" s="1037">
        <f t="shared" si="51"/>
        <v>8</v>
      </c>
    </row>
    <row r="2455" spans="1:11" ht="13.9" customHeight="1">
      <c r="A2455" s="1054">
        <v>52054802</v>
      </c>
      <c r="B2455" s="1055" t="s">
        <v>893</v>
      </c>
      <c r="C2455" s="1055" t="s">
        <v>595</v>
      </c>
      <c r="D2455" s="1055" t="s">
        <v>1376</v>
      </c>
      <c r="E2455" s="1055" t="s">
        <v>1377</v>
      </c>
      <c r="F2455" s="1056">
        <v>276</v>
      </c>
      <c r="G2455" s="1056">
        <v>0</v>
      </c>
      <c r="H2455" s="1056">
        <v>0</v>
      </c>
      <c r="I2455" s="1056">
        <v>276</v>
      </c>
      <c r="J2455" s="996">
        <f t="shared" si="52"/>
        <v>0</v>
      </c>
      <c r="K2455" s="1037">
        <f t="shared" si="51"/>
        <v>8</v>
      </c>
    </row>
    <row r="2456" spans="1:11" ht="13.9" customHeight="1">
      <c r="A2456" s="1054">
        <v>52054802</v>
      </c>
      <c r="B2456" s="1055" t="s">
        <v>893</v>
      </c>
      <c r="C2456" s="1055" t="s">
        <v>595</v>
      </c>
      <c r="D2456" s="1055" t="s">
        <v>1305</v>
      </c>
      <c r="E2456" s="1055" t="s">
        <v>990</v>
      </c>
      <c r="F2456" s="1056">
        <v>150</v>
      </c>
      <c r="G2456" s="1056">
        <v>0</v>
      </c>
      <c r="H2456" s="1056">
        <v>0</v>
      </c>
      <c r="I2456" s="1056">
        <v>150</v>
      </c>
      <c r="J2456" s="996">
        <f t="shared" si="52"/>
        <v>0</v>
      </c>
      <c r="K2456" s="1037">
        <f t="shared" si="51"/>
        <v>8</v>
      </c>
    </row>
    <row r="2457" spans="1:11" ht="13.9" customHeight="1">
      <c r="A2457" s="1054">
        <v>52054802</v>
      </c>
      <c r="B2457" s="1055" t="s">
        <v>893</v>
      </c>
      <c r="C2457" s="1055" t="s">
        <v>595</v>
      </c>
      <c r="D2457" s="1055" t="s">
        <v>1306</v>
      </c>
      <c r="E2457" s="1055" t="s">
        <v>997</v>
      </c>
      <c r="F2457" s="1056">
        <v>150</v>
      </c>
      <c r="G2457" s="1056">
        <v>0</v>
      </c>
      <c r="H2457" s="1056">
        <v>0</v>
      </c>
      <c r="I2457" s="1056">
        <v>150</v>
      </c>
      <c r="J2457" s="996">
        <f t="shared" si="52"/>
        <v>0</v>
      </c>
      <c r="K2457" s="1037">
        <f t="shared" si="51"/>
        <v>8</v>
      </c>
    </row>
    <row r="2458" spans="1:11" ht="13.9" customHeight="1">
      <c r="A2458" s="1054">
        <v>52054802</v>
      </c>
      <c r="B2458" s="1055" t="s">
        <v>893</v>
      </c>
      <c r="C2458" s="1055" t="s">
        <v>595</v>
      </c>
      <c r="D2458" s="1055" t="s">
        <v>1250</v>
      </c>
      <c r="E2458" s="1055" t="s">
        <v>1251</v>
      </c>
      <c r="F2458" s="1056">
        <v>240</v>
      </c>
      <c r="G2458" s="1056">
        <v>0</v>
      </c>
      <c r="H2458" s="1056">
        <v>0</v>
      </c>
      <c r="I2458" s="1056">
        <v>240</v>
      </c>
      <c r="J2458" s="996">
        <f t="shared" si="52"/>
        <v>0</v>
      </c>
      <c r="K2458" s="1037">
        <f t="shared" si="51"/>
        <v>8</v>
      </c>
    </row>
    <row r="2459" spans="1:11" ht="13.9" customHeight="1">
      <c r="A2459" s="1054">
        <v>52054802</v>
      </c>
      <c r="B2459" s="1055" t="s">
        <v>893</v>
      </c>
      <c r="C2459" s="1055" t="s">
        <v>595</v>
      </c>
      <c r="D2459" s="1055" t="s">
        <v>1303</v>
      </c>
      <c r="E2459" s="1055" t="s">
        <v>806</v>
      </c>
      <c r="F2459" s="1056">
        <v>108</v>
      </c>
      <c r="G2459" s="1056">
        <v>0</v>
      </c>
      <c r="H2459" s="1056">
        <v>0</v>
      </c>
      <c r="I2459" s="1056">
        <v>108</v>
      </c>
      <c r="J2459" s="996">
        <f t="shared" si="52"/>
        <v>0</v>
      </c>
      <c r="K2459" s="1037">
        <f t="shared" si="51"/>
        <v>8</v>
      </c>
    </row>
    <row r="2460" spans="1:11" ht="13.9" customHeight="1">
      <c r="A2460" s="1054">
        <v>52054802</v>
      </c>
      <c r="B2460" s="1055" t="s">
        <v>893</v>
      </c>
      <c r="C2460" s="1055" t="s">
        <v>595</v>
      </c>
      <c r="D2460" s="1055" t="s">
        <v>1422</v>
      </c>
      <c r="E2460" s="1055" t="s">
        <v>1423</v>
      </c>
      <c r="F2460" s="1056">
        <v>120</v>
      </c>
      <c r="G2460" s="1056">
        <v>0</v>
      </c>
      <c r="H2460" s="1056">
        <v>0</v>
      </c>
      <c r="I2460" s="1056">
        <v>120</v>
      </c>
      <c r="J2460" s="996">
        <f t="shared" si="52"/>
        <v>0</v>
      </c>
      <c r="K2460" s="1037">
        <f t="shared" si="51"/>
        <v>8</v>
      </c>
    </row>
    <row r="2461" spans="1:11" ht="13.9" customHeight="1">
      <c r="A2461" s="1054">
        <v>52054802</v>
      </c>
      <c r="B2461" s="1055" t="s">
        <v>893</v>
      </c>
      <c r="C2461" s="1055" t="s">
        <v>595</v>
      </c>
      <c r="D2461" s="1055" t="s">
        <v>1428</v>
      </c>
      <c r="E2461" s="1055" t="s">
        <v>1429</v>
      </c>
      <c r="F2461" s="1056">
        <v>240</v>
      </c>
      <c r="G2461" s="1056">
        <v>0</v>
      </c>
      <c r="H2461" s="1056">
        <v>0</v>
      </c>
      <c r="I2461" s="1056">
        <v>240</v>
      </c>
      <c r="J2461" s="996">
        <f t="shared" si="52"/>
        <v>0</v>
      </c>
      <c r="K2461" s="1037">
        <f t="shared" si="51"/>
        <v>8</v>
      </c>
    </row>
    <row r="2462" spans="1:11" ht="13.9" customHeight="1">
      <c r="A2462" s="1054">
        <v>52054802</v>
      </c>
      <c r="B2462" s="1055" t="s">
        <v>893</v>
      </c>
      <c r="C2462" s="1055" t="s">
        <v>595</v>
      </c>
      <c r="D2462" s="1055" t="s">
        <v>1275</v>
      </c>
      <c r="E2462" s="1055" t="s">
        <v>991</v>
      </c>
      <c r="F2462" s="1056">
        <v>300</v>
      </c>
      <c r="G2462" s="1056">
        <v>0</v>
      </c>
      <c r="H2462" s="1056">
        <v>0</v>
      </c>
      <c r="I2462" s="1056">
        <v>300</v>
      </c>
      <c r="J2462" s="996">
        <f t="shared" si="52"/>
        <v>0</v>
      </c>
      <c r="K2462" s="1037">
        <f t="shared" si="51"/>
        <v>8</v>
      </c>
    </row>
    <row r="2463" spans="1:11" ht="13.9" customHeight="1">
      <c r="A2463" s="1054">
        <v>52054802</v>
      </c>
      <c r="B2463" s="1055" t="s">
        <v>893</v>
      </c>
      <c r="C2463" s="1055" t="s">
        <v>595</v>
      </c>
      <c r="D2463" s="1055" t="s">
        <v>1380</v>
      </c>
      <c r="E2463" s="1055" t="s">
        <v>1381</v>
      </c>
      <c r="F2463" s="1056">
        <v>240</v>
      </c>
      <c r="G2463" s="1056">
        <v>0</v>
      </c>
      <c r="H2463" s="1056">
        <v>0</v>
      </c>
      <c r="I2463" s="1056">
        <v>240</v>
      </c>
      <c r="J2463" s="996">
        <f t="shared" si="52"/>
        <v>0</v>
      </c>
      <c r="K2463" s="1037">
        <f t="shared" si="51"/>
        <v>8</v>
      </c>
    </row>
    <row r="2464" spans="1:11" ht="13.9" customHeight="1">
      <c r="A2464" s="1054">
        <v>52054802</v>
      </c>
      <c r="B2464" s="1055" t="s">
        <v>893</v>
      </c>
      <c r="C2464" s="1055" t="s">
        <v>595</v>
      </c>
      <c r="D2464" s="1055" t="s">
        <v>1382</v>
      </c>
      <c r="E2464" s="1055" t="s">
        <v>1763</v>
      </c>
      <c r="F2464" s="1056">
        <v>300</v>
      </c>
      <c r="G2464" s="1056">
        <v>0</v>
      </c>
      <c r="H2464" s="1056">
        <v>0</v>
      </c>
      <c r="I2464" s="1056">
        <v>300</v>
      </c>
      <c r="J2464" s="996">
        <f t="shared" si="52"/>
        <v>0</v>
      </c>
      <c r="K2464" s="1037">
        <f t="shared" si="51"/>
        <v>8</v>
      </c>
    </row>
    <row r="2465" spans="1:11" ht="13.9" customHeight="1">
      <c r="A2465" s="1054">
        <v>52054802</v>
      </c>
      <c r="B2465" s="1055" t="s">
        <v>893</v>
      </c>
      <c r="C2465" s="1055" t="s">
        <v>595</v>
      </c>
      <c r="D2465" s="1055" t="s">
        <v>1440</v>
      </c>
      <c r="E2465" s="1055" t="s">
        <v>1441</v>
      </c>
      <c r="F2465" s="1056">
        <v>180</v>
      </c>
      <c r="G2465" s="1056">
        <v>0</v>
      </c>
      <c r="H2465" s="1056">
        <v>0</v>
      </c>
      <c r="I2465" s="1056">
        <v>180</v>
      </c>
      <c r="J2465" s="996">
        <f t="shared" si="52"/>
        <v>0</v>
      </c>
      <c r="K2465" s="1037">
        <f t="shared" si="51"/>
        <v>8</v>
      </c>
    </row>
    <row r="2466" spans="1:11" ht="13.9" customHeight="1">
      <c r="A2466" s="1054">
        <v>52054802</v>
      </c>
      <c r="B2466" s="1055" t="s">
        <v>893</v>
      </c>
      <c r="C2466" s="1055" t="s">
        <v>595</v>
      </c>
      <c r="D2466" s="1055" t="s">
        <v>1383</v>
      </c>
      <c r="E2466" s="1055" t="s">
        <v>1384</v>
      </c>
      <c r="F2466" s="1056">
        <v>120</v>
      </c>
      <c r="G2466" s="1056">
        <v>0</v>
      </c>
      <c r="H2466" s="1056">
        <v>0</v>
      </c>
      <c r="I2466" s="1056">
        <v>120</v>
      </c>
      <c r="J2466" s="996">
        <f t="shared" si="52"/>
        <v>0</v>
      </c>
      <c r="K2466" s="1037">
        <f t="shared" si="51"/>
        <v>8</v>
      </c>
    </row>
    <row r="2467" spans="1:11" ht="13.9" customHeight="1">
      <c r="A2467" s="1054">
        <v>52054802</v>
      </c>
      <c r="B2467" s="1055" t="s">
        <v>893</v>
      </c>
      <c r="C2467" s="1055" t="s">
        <v>595</v>
      </c>
      <c r="D2467" s="1055" t="s">
        <v>1430</v>
      </c>
      <c r="E2467" s="1055" t="s">
        <v>1431</v>
      </c>
      <c r="F2467" s="1056">
        <v>72</v>
      </c>
      <c r="G2467" s="1056">
        <v>0</v>
      </c>
      <c r="H2467" s="1056">
        <v>0</v>
      </c>
      <c r="I2467" s="1056">
        <v>72</v>
      </c>
      <c r="J2467" s="996">
        <f t="shared" si="52"/>
        <v>0</v>
      </c>
      <c r="K2467" s="1037">
        <f t="shared" si="51"/>
        <v>8</v>
      </c>
    </row>
    <row r="2468" spans="1:11" ht="13.9" customHeight="1">
      <c r="A2468" s="1054">
        <v>520551</v>
      </c>
      <c r="B2468" s="1055" t="s">
        <v>893</v>
      </c>
      <c r="C2468" s="1055" t="s">
        <v>482</v>
      </c>
      <c r="D2468" s="1055" t="s">
        <v>893</v>
      </c>
      <c r="E2468" s="1055" t="s">
        <v>893</v>
      </c>
      <c r="F2468" s="1056">
        <v>5705</v>
      </c>
      <c r="G2468" s="1056">
        <v>1311</v>
      </c>
      <c r="H2468" s="1056">
        <v>35</v>
      </c>
      <c r="I2468" s="1056">
        <v>6981</v>
      </c>
      <c r="J2468" s="996">
        <f t="shared" si="52"/>
        <v>-1276</v>
      </c>
      <c r="K2468" s="1037">
        <f t="shared" si="51"/>
        <v>6</v>
      </c>
    </row>
    <row r="2469" spans="1:11" ht="13.9" customHeight="1">
      <c r="A2469" s="1054">
        <v>52055101</v>
      </c>
      <c r="B2469" s="1055" t="s">
        <v>893</v>
      </c>
      <c r="C2469" s="1055" t="s">
        <v>482</v>
      </c>
      <c r="D2469" s="1055" t="s">
        <v>893</v>
      </c>
      <c r="E2469" s="1055" t="s">
        <v>893</v>
      </c>
      <c r="F2469" s="1056">
        <v>5705</v>
      </c>
      <c r="G2469" s="1056">
        <v>1311</v>
      </c>
      <c r="H2469" s="1056">
        <v>35</v>
      </c>
      <c r="I2469" s="1056">
        <v>6981</v>
      </c>
      <c r="J2469" s="996">
        <f t="shared" si="52"/>
        <v>-1276</v>
      </c>
      <c r="K2469" s="1037">
        <f t="shared" si="51"/>
        <v>8</v>
      </c>
    </row>
    <row r="2470" spans="1:11" ht="13.9" customHeight="1">
      <c r="A2470" s="1054">
        <v>52055101</v>
      </c>
      <c r="B2470" s="1055" t="s">
        <v>893</v>
      </c>
      <c r="C2470" s="1055" t="s">
        <v>482</v>
      </c>
      <c r="D2470" s="1055" t="s">
        <v>1197</v>
      </c>
      <c r="E2470" s="1055" t="s">
        <v>481</v>
      </c>
      <c r="F2470" s="1056">
        <v>5504</v>
      </c>
      <c r="G2470" s="1056">
        <v>1150</v>
      </c>
      <c r="H2470" s="1056">
        <v>0</v>
      </c>
      <c r="I2470" s="1056">
        <v>6654</v>
      </c>
      <c r="J2470" s="996">
        <f t="shared" si="52"/>
        <v>-1150</v>
      </c>
      <c r="K2470" s="1037">
        <f t="shared" si="51"/>
        <v>8</v>
      </c>
    </row>
    <row r="2471" spans="1:11" ht="13.9" customHeight="1">
      <c r="A2471" s="1054">
        <v>52055101</v>
      </c>
      <c r="B2471" s="1055" t="s">
        <v>893</v>
      </c>
      <c r="C2471" s="1055" t="s">
        <v>482</v>
      </c>
      <c r="D2471" s="1055" t="s">
        <v>1226</v>
      </c>
      <c r="E2471" s="1055" t="s">
        <v>1227</v>
      </c>
      <c r="F2471" s="1056">
        <v>130</v>
      </c>
      <c r="G2471" s="1056">
        <v>0</v>
      </c>
      <c r="H2471" s="1056">
        <v>0</v>
      </c>
      <c r="I2471" s="1056">
        <v>130</v>
      </c>
      <c r="J2471" s="996">
        <f t="shared" si="52"/>
        <v>0</v>
      </c>
      <c r="K2471" s="1037">
        <f t="shared" si="51"/>
        <v>8</v>
      </c>
    </row>
    <row r="2472" spans="1:11" ht="13.9" customHeight="1">
      <c r="A2472" s="1054">
        <v>52055101</v>
      </c>
      <c r="B2472" s="1055" t="s">
        <v>893</v>
      </c>
      <c r="C2472" s="1055" t="s">
        <v>482</v>
      </c>
      <c r="D2472" s="1055" t="s">
        <v>1354</v>
      </c>
      <c r="E2472" s="1055" t="s">
        <v>1355</v>
      </c>
      <c r="F2472" s="1056">
        <v>71</v>
      </c>
      <c r="G2472" s="1056">
        <v>161</v>
      </c>
      <c r="H2472" s="1056">
        <v>35</v>
      </c>
      <c r="I2472" s="1056">
        <v>197</v>
      </c>
      <c r="J2472" s="996">
        <f t="shared" si="52"/>
        <v>-126</v>
      </c>
      <c r="K2472" s="1037">
        <f t="shared" si="51"/>
        <v>8</v>
      </c>
    </row>
    <row r="2473" spans="1:11" ht="13.9" customHeight="1">
      <c r="A2473" s="1054">
        <v>520563</v>
      </c>
      <c r="B2473" s="1055" t="s">
        <v>893</v>
      </c>
      <c r="C2473" s="1055" t="s">
        <v>581</v>
      </c>
      <c r="D2473" s="1055" t="s">
        <v>893</v>
      </c>
      <c r="E2473" s="1055" t="s">
        <v>893</v>
      </c>
      <c r="F2473" s="1056">
        <v>60</v>
      </c>
      <c r="G2473" s="1056">
        <v>0</v>
      </c>
      <c r="H2473" s="1056">
        <v>0</v>
      </c>
      <c r="I2473" s="1056">
        <v>60</v>
      </c>
      <c r="J2473" s="996">
        <f t="shared" si="52"/>
        <v>0</v>
      </c>
      <c r="K2473" s="1037">
        <f t="shared" si="51"/>
        <v>6</v>
      </c>
    </row>
    <row r="2474" spans="1:11" ht="13.9" customHeight="1">
      <c r="A2474" s="1054">
        <v>52056301</v>
      </c>
      <c r="B2474" s="1055" t="s">
        <v>893</v>
      </c>
      <c r="C2474" s="1055" t="s">
        <v>581</v>
      </c>
      <c r="D2474" s="1055" t="s">
        <v>893</v>
      </c>
      <c r="E2474" s="1055" t="s">
        <v>893</v>
      </c>
      <c r="F2474" s="1056">
        <v>60</v>
      </c>
      <c r="G2474" s="1056">
        <v>0</v>
      </c>
      <c r="H2474" s="1056">
        <v>0</v>
      </c>
      <c r="I2474" s="1056">
        <v>60</v>
      </c>
      <c r="J2474" s="996">
        <f t="shared" si="52"/>
        <v>0</v>
      </c>
      <c r="K2474" s="1037">
        <f t="shared" si="51"/>
        <v>8</v>
      </c>
    </row>
    <row r="2475" spans="1:11" ht="13.9" customHeight="1">
      <c r="A2475" s="1054">
        <v>52056301</v>
      </c>
      <c r="B2475" s="1055" t="s">
        <v>893</v>
      </c>
      <c r="C2475" s="1055" t="s">
        <v>581</v>
      </c>
      <c r="D2475" s="1055" t="s">
        <v>1240</v>
      </c>
      <c r="E2475" s="1055" t="s">
        <v>1241</v>
      </c>
      <c r="F2475" s="1056">
        <v>60</v>
      </c>
      <c r="G2475" s="1056">
        <v>0</v>
      </c>
      <c r="H2475" s="1056">
        <v>0</v>
      </c>
      <c r="I2475" s="1056">
        <v>60</v>
      </c>
      <c r="J2475" s="996">
        <f t="shared" si="52"/>
        <v>0</v>
      </c>
      <c r="K2475" s="1037">
        <f t="shared" si="51"/>
        <v>8</v>
      </c>
    </row>
    <row r="2476" spans="1:11" ht="13.9" customHeight="1">
      <c r="A2476" s="1054">
        <v>520584</v>
      </c>
      <c r="B2476" s="1055" t="s">
        <v>893</v>
      </c>
      <c r="C2476" s="1055" t="s">
        <v>384</v>
      </c>
      <c r="D2476" s="1055" t="s">
        <v>893</v>
      </c>
      <c r="E2476" s="1055" t="s">
        <v>893</v>
      </c>
      <c r="F2476" s="1056">
        <v>2240</v>
      </c>
      <c r="G2476" s="1056">
        <v>456</v>
      </c>
      <c r="H2476" s="1056">
        <v>0</v>
      </c>
      <c r="I2476" s="1056">
        <v>2696</v>
      </c>
      <c r="J2476" s="996">
        <f t="shared" si="52"/>
        <v>-456</v>
      </c>
      <c r="K2476" s="1037">
        <f t="shared" si="51"/>
        <v>6</v>
      </c>
    </row>
    <row r="2477" spans="1:11" ht="13.9" customHeight="1">
      <c r="A2477" s="1054">
        <v>52058401</v>
      </c>
      <c r="B2477" s="1055" t="s">
        <v>893</v>
      </c>
      <c r="C2477" s="1055" t="s">
        <v>384</v>
      </c>
      <c r="D2477" s="1055" t="s">
        <v>893</v>
      </c>
      <c r="E2477" s="1055" t="s">
        <v>893</v>
      </c>
      <c r="F2477" s="1056">
        <v>2240</v>
      </c>
      <c r="G2477" s="1056">
        <v>456</v>
      </c>
      <c r="H2477" s="1056">
        <v>0</v>
      </c>
      <c r="I2477" s="1056">
        <v>2696</v>
      </c>
      <c r="J2477" s="996">
        <f t="shared" si="52"/>
        <v>-456</v>
      </c>
      <c r="K2477" s="1037">
        <f t="shared" si="51"/>
        <v>8</v>
      </c>
    </row>
    <row r="2478" spans="1:11" ht="13.9" customHeight="1">
      <c r="A2478" s="1054">
        <v>52058401</v>
      </c>
      <c r="B2478" s="1055" t="s">
        <v>893</v>
      </c>
      <c r="C2478" s="1055" t="s">
        <v>384</v>
      </c>
      <c r="D2478" s="1055" t="s">
        <v>1328</v>
      </c>
      <c r="E2478" s="1055" t="s">
        <v>1737</v>
      </c>
      <c r="F2478" s="1056">
        <v>6</v>
      </c>
      <c r="G2478" s="1056">
        <v>0</v>
      </c>
      <c r="H2478" s="1056">
        <v>0</v>
      </c>
      <c r="I2478" s="1056">
        <v>6</v>
      </c>
      <c r="J2478" s="996">
        <f t="shared" si="52"/>
        <v>0</v>
      </c>
      <c r="K2478" s="1037">
        <f t="shared" ref="K2478:K2541" si="53">+LEN(A2478)</f>
        <v>8</v>
      </c>
    </row>
    <row r="2479" spans="1:11" ht="13.9" customHeight="1">
      <c r="A2479" s="1054">
        <v>52058401</v>
      </c>
      <c r="B2479" s="1055" t="s">
        <v>893</v>
      </c>
      <c r="C2479" s="1055" t="s">
        <v>384</v>
      </c>
      <c r="D2479" s="1055" t="s">
        <v>1752</v>
      </c>
      <c r="E2479" s="1055" t="s">
        <v>1753</v>
      </c>
      <c r="F2479" s="1056">
        <v>17</v>
      </c>
      <c r="G2479" s="1056">
        <v>17</v>
      </c>
      <c r="H2479" s="1056">
        <v>0</v>
      </c>
      <c r="I2479" s="1056">
        <v>34</v>
      </c>
      <c r="J2479" s="996">
        <f t="shared" si="52"/>
        <v>-17</v>
      </c>
      <c r="K2479" s="1037">
        <f t="shared" si="53"/>
        <v>8</v>
      </c>
    </row>
    <row r="2480" spans="1:11" ht="13.9" customHeight="1">
      <c r="A2480" s="1054">
        <v>52058401</v>
      </c>
      <c r="B2480" s="1055" t="s">
        <v>893</v>
      </c>
      <c r="C2480" s="1055" t="s">
        <v>384</v>
      </c>
      <c r="D2480" s="1055" t="s">
        <v>1290</v>
      </c>
      <c r="E2480" s="1055" t="s">
        <v>1291</v>
      </c>
      <c r="F2480" s="1056">
        <v>0</v>
      </c>
      <c r="G2480" s="1056">
        <v>44</v>
      </c>
      <c r="H2480" s="1056">
        <v>0</v>
      </c>
      <c r="I2480" s="1056">
        <v>44</v>
      </c>
      <c r="J2480" s="996">
        <f t="shared" si="52"/>
        <v>-44</v>
      </c>
      <c r="K2480" s="1037">
        <f t="shared" si="53"/>
        <v>8</v>
      </c>
    </row>
    <row r="2481" spans="1:11" ht="13.9" customHeight="1">
      <c r="A2481" s="1054">
        <v>52058401</v>
      </c>
      <c r="B2481" s="1055" t="s">
        <v>893</v>
      </c>
      <c r="C2481" s="1055" t="s">
        <v>384</v>
      </c>
      <c r="D2481" s="1055" t="s">
        <v>1206</v>
      </c>
      <c r="E2481" s="1055" t="s">
        <v>522</v>
      </c>
      <c r="F2481" s="1056">
        <v>2217</v>
      </c>
      <c r="G2481" s="1056">
        <v>394</v>
      </c>
      <c r="H2481" s="1056">
        <v>0</v>
      </c>
      <c r="I2481" s="1056">
        <v>2611</v>
      </c>
      <c r="J2481" s="996">
        <f t="shared" si="52"/>
        <v>-394</v>
      </c>
      <c r="K2481" s="1037">
        <f t="shared" si="53"/>
        <v>8</v>
      </c>
    </row>
    <row r="2482" spans="1:11" ht="13.9" customHeight="1">
      <c r="A2482" s="1054">
        <v>520595</v>
      </c>
      <c r="B2482" s="1055" t="s">
        <v>893</v>
      </c>
      <c r="C2482" s="1055" t="s">
        <v>323</v>
      </c>
      <c r="D2482" s="1055" t="s">
        <v>893</v>
      </c>
      <c r="E2482" s="1055" t="s">
        <v>893</v>
      </c>
      <c r="F2482" s="1056">
        <v>12263</v>
      </c>
      <c r="G2482" s="1056">
        <v>1634</v>
      </c>
      <c r="H2482" s="1056">
        <v>0</v>
      </c>
      <c r="I2482" s="1056">
        <v>13898</v>
      </c>
      <c r="J2482" s="996">
        <f t="shared" si="52"/>
        <v>-1634</v>
      </c>
      <c r="K2482" s="1037">
        <f t="shared" si="53"/>
        <v>6</v>
      </c>
    </row>
    <row r="2483" spans="1:11" ht="13.9" customHeight="1">
      <c r="A2483" s="1054">
        <v>52059501</v>
      </c>
      <c r="B2483" s="1055" t="s">
        <v>893</v>
      </c>
      <c r="C2483" s="1055" t="s">
        <v>771</v>
      </c>
      <c r="D2483" s="1055" t="s">
        <v>893</v>
      </c>
      <c r="E2483" s="1055" t="s">
        <v>893</v>
      </c>
      <c r="F2483" s="1056">
        <v>352</v>
      </c>
      <c r="G2483" s="1056">
        <v>0</v>
      </c>
      <c r="H2483" s="1056">
        <v>0</v>
      </c>
      <c r="I2483" s="1056">
        <v>352</v>
      </c>
      <c r="J2483" s="996">
        <f t="shared" si="52"/>
        <v>0</v>
      </c>
      <c r="K2483" s="1037">
        <f t="shared" si="53"/>
        <v>8</v>
      </c>
    </row>
    <row r="2484" spans="1:11" ht="13.9" customHeight="1">
      <c r="A2484" s="1054">
        <v>52059501</v>
      </c>
      <c r="B2484" s="1055" t="s">
        <v>893</v>
      </c>
      <c r="C2484" s="1055" t="s">
        <v>771</v>
      </c>
      <c r="D2484" s="1055" t="s">
        <v>1575</v>
      </c>
      <c r="E2484" s="1055" t="s">
        <v>1576</v>
      </c>
      <c r="F2484" s="1056">
        <v>3</v>
      </c>
      <c r="G2484" s="1056">
        <v>0</v>
      </c>
      <c r="H2484" s="1056">
        <v>0</v>
      </c>
      <c r="I2484" s="1056">
        <v>3</v>
      </c>
      <c r="J2484" s="996">
        <f t="shared" si="52"/>
        <v>0</v>
      </c>
      <c r="K2484" s="1037">
        <f t="shared" si="53"/>
        <v>8</v>
      </c>
    </row>
    <row r="2485" spans="1:11" ht="13.9" customHeight="1">
      <c r="A2485" s="1054">
        <v>52059501</v>
      </c>
      <c r="B2485" s="1055" t="s">
        <v>893</v>
      </c>
      <c r="C2485" s="1055" t="s">
        <v>771</v>
      </c>
      <c r="D2485" s="1055" t="s">
        <v>1577</v>
      </c>
      <c r="E2485" s="1055" t="s">
        <v>1578</v>
      </c>
      <c r="F2485" s="1056">
        <v>8</v>
      </c>
      <c r="G2485" s="1056">
        <v>0</v>
      </c>
      <c r="H2485" s="1056">
        <v>0</v>
      </c>
      <c r="I2485" s="1056">
        <v>8</v>
      </c>
      <c r="J2485" s="996">
        <f t="shared" si="52"/>
        <v>0</v>
      </c>
      <c r="K2485" s="1037">
        <f t="shared" si="53"/>
        <v>8</v>
      </c>
    </row>
    <row r="2486" spans="1:11" ht="13.9" customHeight="1">
      <c r="A2486" s="1054">
        <v>52059501</v>
      </c>
      <c r="B2486" s="1055" t="s">
        <v>893</v>
      </c>
      <c r="C2486" s="1055" t="s">
        <v>771</v>
      </c>
      <c r="D2486" s="1055" t="s">
        <v>1360</v>
      </c>
      <c r="E2486" s="1055" t="s">
        <v>1361</v>
      </c>
      <c r="F2486" s="1056">
        <v>13</v>
      </c>
      <c r="G2486" s="1056">
        <v>0</v>
      </c>
      <c r="H2486" s="1056">
        <v>0</v>
      </c>
      <c r="I2486" s="1056">
        <v>13</v>
      </c>
      <c r="J2486" s="996">
        <f t="shared" si="52"/>
        <v>0</v>
      </c>
      <c r="K2486" s="1037">
        <f t="shared" si="53"/>
        <v>8</v>
      </c>
    </row>
    <row r="2487" spans="1:11" ht="13.9" customHeight="1">
      <c r="A2487" s="1054">
        <v>52059501</v>
      </c>
      <c r="B2487" s="1055" t="s">
        <v>893</v>
      </c>
      <c r="C2487" s="1055" t="s">
        <v>771</v>
      </c>
      <c r="D2487" s="1055" t="s">
        <v>1298</v>
      </c>
      <c r="E2487" s="1055" t="s">
        <v>987</v>
      </c>
      <c r="F2487" s="1056">
        <v>14</v>
      </c>
      <c r="G2487" s="1056">
        <v>0</v>
      </c>
      <c r="H2487" s="1056">
        <v>0</v>
      </c>
      <c r="I2487" s="1056">
        <v>14</v>
      </c>
      <c r="J2487" s="996">
        <f t="shared" si="52"/>
        <v>0</v>
      </c>
      <c r="K2487" s="1037">
        <f t="shared" si="53"/>
        <v>8</v>
      </c>
    </row>
    <row r="2488" spans="1:11" ht="13.9" customHeight="1">
      <c r="A2488" s="1054">
        <v>52059501</v>
      </c>
      <c r="B2488" s="1055" t="s">
        <v>893</v>
      </c>
      <c r="C2488" s="1055" t="s">
        <v>771</v>
      </c>
      <c r="D2488" s="1055" t="s">
        <v>1484</v>
      </c>
      <c r="E2488" s="1055" t="s">
        <v>1485</v>
      </c>
      <c r="F2488" s="1056">
        <v>14</v>
      </c>
      <c r="G2488" s="1056">
        <v>0</v>
      </c>
      <c r="H2488" s="1056">
        <v>0</v>
      </c>
      <c r="I2488" s="1056">
        <v>14</v>
      </c>
      <c r="J2488" s="996">
        <f t="shared" si="52"/>
        <v>0</v>
      </c>
      <c r="K2488" s="1037">
        <f t="shared" si="53"/>
        <v>8</v>
      </c>
    </row>
    <row r="2489" spans="1:11" ht="13.9" customHeight="1">
      <c r="A2489" s="1054">
        <v>52059501</v>
      </c>
      <c r="B2489" s="1055" t="s">
        <v>893</v>
      </c>
      <c r="C2489" s="1055" t="s">
        <v>771</v>
      </c>
      <c r="D2489" s="1055" t="s">
        <v>1579</v>
      </c>
      <c r="E2489" s="1055" t="s">
        <v>1580</v>
      </c>
      <c r="F2489" s="1056">
        <v>8</v>
      </c>
      <c r="G2489" s="1056">
        <v>0</v>
      </c>
      <c r="H2489" s="1056">
        <v>0</v>
      </c>
      <c r="I2489" s="1056">
        <v>8</v>
      </c>
      <c r="J2489" s="996">
        <f t="shared" si="52"/>
        <v>0</v>
      </c>
      <c r="K2489" s="1037">
        <f t="shared" si="53"/>
        <v>8</v>
      </c>
    </row>
    <row r="2490" spans="1:11" ht="13.9" customHeight="1">
      <c r="A2490" s="1054">
        <v>52059501</v>
      </c>
      <c r="B2490" s="1055" t="s">
        <v>893</v>
      </c>
      <c r="C2490" s="1055" t="s">
        <v>771</v>
      </c>
      <c r="D2490" s="1055" t="s">
        <v>1270</v>
      </c>
      <c r="E2490" s="1055" t="s">
        <v>988</v>
      </c>
      <c r="F2490" s="1056">
        <v>24</v>
      </c>
      <c r="G2490" s="1056">
        <v>0</v>
      </c>
      <c r="H2490" s="1056">
        <v>0</v>
      </c>
      <c r="I2490" s="1056">
        <v>24</v>
      </c>
      <c r="J2490" s="996">
        <f t="shared" si="52"/>
        <v>0</v>
      </c>
      <c r="K2490" s="1037">
        <f t="shared" si="53"/>
        <v>8</v>
      </c>
    </row>
    <row r="2491" spans="1:11" ht="13.9" customHeight="1">
      <c r="A2491" s="1054">
        <v>52059501</v>
      </c>
      <c r="B2491" s="1055" t="s">
        <v>893</v>
      </c>
      <c r="C2491" s="1055" t="s">
        <v>771</v>
      </c>
      <c r="D2491" s="1055" t="s">
        <v>1271</v>
      </c>
      <c r="E2491" s="1055" t="s">
        <v>782</v>
      </c>
      <c r="F2491" s="1056">
        <v>6</v>
      </c>
      <c r="G2491" s="1056">
        <v>0</v>
      </c>
      <c r="H2491" s="1056">
        <v>0</v>
      </c>
      <c r="I2491" s="1056">
        <v>6</v>
      </c>
      <c r="J2491" s="996">
        <f t="shared" si="52"/>
        <v>0</v>
      </c>
      <c r="K2491" s="1037">
        <f t="shared" si="53"/>
        <v>8</v>
      </c>
    </row>
    <row r="2492" spans="1:11" ht="13.9" customHeight="1">
      <c r="A2492" s="1054">
        <v>52059501</v>
      </c>
      <c r="B2492" s="1055" t="s">
        <v>893</v>
      </c>
      <c r="C2492" s="1055" t="s">
        <v>771</v>
      </c>
      <c r="D2492" s="1055" t="s">
        <v>1420</v>
      </c>
      <c r="E2492" s="1055" t="s">
        <v>1421</v>
      </c>
      <c r="F2492" s="1056">
        <v>8</v>
      </c>
      <c r="G2492" s="1056">
        <v>0</v>
      </c>
      <c r="H2492" s="1056">
        <v>0</v>
      </c>
      <c r="I2492" s="1056">
        <v>8</v>
      </c>
      <c r="J2492" s="996">
        <f t="shared" si="52"/>
        <v>0</v>
      </c>
      <c r="K2492" s="1037">
        <f t="shared" si="53"/>
        <v>8</v>
      </c>
    </row>
    <row r="2493" spans="1:11" ht="13.9" customHeight="1">
      <c r="A2493" s="1054">
        <v>52059501</v>
      </c>
      <c r="B2493" s="1055" t="s">
        <v>893</v>
      </c>
      <c r="C2493" s="1055" t="s">
        <v>771</v>
      </c>
      <c r="D2493" s="1055" t="s">
        <v>1493</v>
      </c>
      <c r="E2493" s="1055" t="s">
        <v>1494</v>
      </c>
      <c r="F2493" s="1056">
        <v>8</v>
      </c>
      <c r="G2493" s="1056">
        <v>0</v>
      </c>
      <c r="H2493" s="1056">
        <v>0</v>
      </c>
      <c r="I2493" s="1056">
        <v>8</v>
      </c>
      <c r="J2493" s="996">
        <f t="shared" si="52"/>
        <v>0</v>
      </c>
      <c r="K2493" s="1037">
        <f t="shared" si="53"/>
        <v>8</v>
      </c>
    </row>
    <row r="2494" spans="1:11" ht="13.9" customHeight="1">
      <c r="A2494" s="1054">
        <v>52059501</v>
      </c>
      <c r="B2494" s="1055" t="s">
        <v>893</v>
      </c>
      <c r="C2494" s="1055" t="s">
        <v>771</v>
      </c>
      <c r="D2494" s="1055" t="s">
        <v>1368</v>
      </c>
      <c r="E2494" s="1055" t="s">
        <v>1369</v>
      </c>
      <c r="F2494" s="1056">
        <v>3</v>
      </c>
      <c r="G2494" s="1056">
        <v>0</v>
      </c>
      <c r="H2494" s="1056">
        <v>0</v>
      </c>
      <c r="I2494" s="1056">
        <v>3</v>
      </c>
      <c r="J2494" s="996">
        <f t="shared" si="52"/>
        <v>0</v>
      </c>
      <c r="K2494" s="1037">
        <f t="shared" si="53"/>
        <v>8</v>
      </c>
    </row>
    <row r="2495" spans="1:11" ht="13.9" customHeight="1">
      <c r="A2495" s="1054">
        <v>52059501</v>
      </c>
      <c r="B2495" s="1055" t="s">
        <v>893</v>
      </c>
      <c r="C2495" s="1055" t="s">
        <v>771</v>
      </c>
      <c r="D2495" s="1055" t="s">
        <v>1320</v>
      </c>
      <c r="E2495" s="1055" t="s">
        <v>1321</v>
      </c>
      <c r="F2495" s="1056">
        <v>10</v>
      </c>
      <c r="G2495" s="1056">
        <v>0</v>
      </c>
      <c r="H2495" s="1056">
        <v>0</v>
      </c>
      <c r="I2495" s="1056">
        <v>10</v>
      </c>
      <c r="J2495" s="996">
        <f t="shared" si="52"/>
        <v>0</v>
      </c>
      <c r="K2495" s="1037">
        <f t="shared" si="53"/>
        <v>8</v>
      </c>
    </row>
    <row r="2496" spans="1:11" ht="13.9" customHeight="1">
      <c r="A2496" s="1054">
        <v>52059501</v>
      </c>
      <c r="B2496" s="1055" t="s">
        <v>893</v>
      </c>
      <c r="C2496" s="1055" t="s">
        <v>771</v>
      </c>
      <c r="D2496" s="1055" t="s">
        <v>1274</v>
      </c>
      <c r="E2496" s="1055" t="s">
        <v>989</v>
      </c>
      <c r="F2496" s="1056">
        <v>24</v>
      </c>
      <c r="G2496" s="1056">
        <v>0</v>
      </c>
      <c r="H2496" s="1056">
        <v>0</v>
      </c>
      <c r="I2496" s="1056">
        <v>24</v>
      </c>
      <c r="J2496" s="996">
        <f t="shared" si="52"/>
        <v>0</v>
      </c>
      <c r="K2496" s="1037">
        <f t="shared" si="53"/>
        <v>8</v>
      </c>
    </row>
    <row r="2497" spans="1:11" ht="13.9" customHeight="1">
      <c r="A2497" s="1054">
        <v>52059501</v>
      </c>
      <c r="B2497" s="1055" t="s">
        <v>893</v>
      </c>
      <c r="C2497" s="1055" t="s">
        <v>771</v>
      </c>
      <c r="D2497" s="1055" t="s">
        <v>1497</v>
      </c>
      <c r="E2497" s="1055" t="s">
        <v>1498</v>
      </c>
      <c r="F2497" s="1056">
        <v>8</v>
      </c>
      <c r="G2497" s="1056">
        <v>0</v>
      </c>
      <c r="H2497" s="1056">
        <v>0</v>
      </c>
      <c r="I2497" s="1056">
        <v>8</v>
      </c>
      <c r="J2497" s="996">
        <f t="shared" si="52"/>
        <v>0</v>
      </c>
      <c r="K2497" s="1037">
        <f t="shared" si="53"/>
        <v>8</v>
      </c>
    </row>
    <row r="2498" spans="1:11" ht="13.9" customHeight="1">
      <c r="A2498" s="1054">
        <v>52059501</v>
      </c>
      <c r="B2498" s="1055" t="s">
        <v>893</v>
      </c>
      <c r="C2498" s="1055" t="s">
        <v>771</v>
      </c>
      <c r="D2498" s="1055" t="s">
        <v>1043</v>
      </c>
      <c r="E2498" s="1055" t="s">
        <v>318</v>
      </c>
      <c r="F2498" s="1056">
        <v>18</v>
      </c>
      <c r="G2498" s="1056">
        <v>0</v>
      </c>
      <c r="H2498" s="1056">
        <v>0</v>
      </c>
      <c r="I2498" s="1056">
        <v>18</v>
      </c>
      <c r="J2498" s="996">
        <f t="shared" si="52"/>
        <v>0</v>
      </c>
      <c r="K2498" s="1037">
        <f t="shared" si="53"/>
        <v>8</v>
      </c>
    </row>
    <row r="2499" spans="1:11" ht="13.9" customHeight="1">
      <c r="A2499" s="1054">
        <v>52059501</v>
      </c>
      <c r="B2499" s="1055" t="s">
        <v>893</v>
      </c>
      <c r="C2499" s="1055" t="s">
        <v>771</v>
      </c>
      <c r="D2499" s="1055" t="s">
        <v>1370</v>
      </c>
      <c r="E2499" s="1055" t="s">
        <v>1371</v>
      </c>
      <c r="F2499" s="1056">
        <v>8</v>
      </c>
      <c r="G2499" s="1056">
        <v>0</v>
      </c>
      <c r="H2499" s="1056">
        <v>0</v>
      </c>
      <c r="I2499" s="1056">
        <v>8</v>
      </c>
      <c r="J2499" s="996">
        <f t="shared" si="52"/>
        <v>0</v>
      </c>
      <c r="K2499" s="1037">
        <f t="shared" si="53"/>
        <v>8</v>
      </c>
    </row>
    <row r="2500" spans="1:11" ht="13.9" customHeight="1">
      <c r="A2500" s="1054">
        <v>52059501</v>
      </c>
      <c r="B2500" s="1055" t="s">
        <v>893</v>
      </c>
      <c r="C2500" s="1055" t="s">
        <v>771</v>
      </c>
      <c r="D2500" s="1055" t="s">
        <v>1581</v>
      </c>
      <c r="E2500" s="1055" t="s">
        <v>1582</v>
      </c>
      <c r="F2500" s="1056">
        <v>3</v>
      </c>
      <c r="G2500" s="1056">
        <v>0</v>
      </c>
      <c r="H2500" s="1056">
        <v>0</v>
      </c>
      <c r="I2500" s="1056">
        <v>3</v>
      </c>
      <c r="J2500" s="996">
        <f t="shared" si="52"/>
        <v>0</v>
      </c>
      <c r="K2500" s="1037">
        <f t="shared" si="53"/>
        <v>8</v>
      </c>
    </row>
    <row r="2501" spans="1:11" ht="13.9" customHeight="1">
      <c r="A2501" s="1054">
        <v>52059501</v>
      </c>
      <c r="B2501" s="1055" t="s">
        <v>893</v>
      </c>
      <c r="C2501" s="1055" t="s">
        <v>771</v>
      </c>
      <c r="D2501" s="1055" t="s">
        <v>1521</v>
      </c>
      <c r="E2501" s="1055" t="s">
        <v>1522</v>
      </c>
      <c r="F2501" s="1056">
        <v>3</v>
      </c>
      <c r="G2501" s="1056">
        <v>0</v>
      </c>
      <c r="H2501" s="1056">
        <v>0</v>
      </c>
      <c r="I2501" s="1056">
        <v>3</v>
      </c>
      <c r="J2501" s="996">
        <f t="shared" si="52"/>
        <v>0</v>
      </c>
      <c r="K2501" s="1037">
        <f t="shared" si="53"/>
        <v>8</v>
      </c>
    </row>
    <row r="2502" spans="1:11" ht="13.9" customHeight="1">
      <c r="A2502" s="1054">
        <v>52059501</v>
      </c>
      <c r="B2502" s="1055" t="s">
        <v>893</v>
      </c>
      <c r="C2502" s="1055" t="s">
        <v>771</v>
      </c>
      <c r="D2502" s="1055" t="s">
        <v>1426</v>
      </c>
      <c r="E2502" s="1055" t="s">
        <v>1427</v>
      </c>
      <c r="F2502" s="1056">
        <v>8</v>
      </c>
      <c r="G2502" s="1056">
        <v>0</v>
      </c>
      <c r="H2502" s="1056">
        <v>0</v>
      </c>
      <c r="I2502" s="1056">
        <v>8</v>
      </c>
      <c r="J2502" s="996">
        <f t="shared" si="52"/>
        <v>0</v>
      </c>
      <c r="K2502" s="1037">
        <f t="shared" si="53"/>
        <v>8</v>
      </c>
    </row>
    <row r="2503" spans="1:11" ht="13.9" customHeight="1">
      <c r="A2503" s="1054">
        <v>52059501</v>
      </c>
      <c r="B2503" s="1055" t="s">
        <v>893</v>
      </c>
      <c r="C2503" s="1055" t="s">
        <v>771</v>
      </c>
      <c r="D2503" s="1055" t="s">
        <v>1372</v>
      </c>
      <c r="E2503" s="1055" t="s">
        <v>1373</v>
      </c>
      <c r="F2503" s="1056">
        <v>3</v>
      </c>
      <c r="G2503" s="1056">
        <v>0</v>
      </c>
      <c r="H2503" s="1056">
        <v>0</v>
      </c>
      <c r="I2503" s="1056">
        <v>3</v>
      </c>
      <c r="J2503" s="996">
        <f t="shared" si="52"/>
        <v>0</v>
      </c>
      <c r="K2503" s="1037">
        <f t="shared" si="53"/>
        <v>8</v>
      </c>
    </row>
    <row r="2504" spans="1:11" ht="13.9" customHeight="1">
      <c r="A2504" s="1054">
        <v>52059501</v>
      </c>
      <c r="B2504" s="1055" t="s">
        <v>893</v>
      </c>
      <c r="C2504" s="1055" t="s">
        <v>771</v>
      </c>
      <c r="D2504" s="1055" t="s">
        <v>1374</v>
      </c>
      <c r="E2504" s="1055" t="s">
        <v>1375</v>
      </c>
      <c r="F2504" s="1056">
        <v>13</v>
      </c>
      <c r="G2504" s="1056">
        <v>0</v>
      </c>
      <c r="H2504" s="1056">
        <v>0</v>
      </c>
      <c r="I2504" s="1056">
        <v>13</v>
      </c>
      <c r="J2504" s="996">
        <f t="shared" si="52"/>
        <v>0</v>
      </c>
      <c r="K2504" s="1037">
        <f t="shared" si="53"/>
        <v>8</v>
      </c>
    </row>
    <row r="2505" spans="1:11" ht="13.9" customHeight="1">
      <c r="A2505" s="1054">
        <v>52059501</v>
      </c>
      <c r="B2505" s="1055" t="s">
        <v>893</v>
      </c>
      <c r="C2505" s="1055" t="s">
        <v>771</v>
      </c>
      <c r="D2505" s="1055" t="s">
        <v>1249</v>
      </c>
      <c r="E2505" s="1055" t="s">
        <v>583</v>
      </c>
      <c r="F2505" s="1056">
        <v>24</v>
      </c>
      <c r="G2505" s="1056">
        <v>0</v>
      </c>
      <c r="H2505" s="1056">
        <v>0</v>
      </c>
      <c r="I2505" s="1056">
        <v>24</v>
      </c>
      <c r="J2505" s="996">
        <f t="shared" ref="J2505:J2568" si="54">+H2505-G2505</f>
        <v>0</v>
      </c>
      <c r="K2505" s="1037">
        <f t="shared" si="53"/>
        <v>8</v>
      </c>
    </row>
    <row r="2506" spans="1:11" ht="13.9" customHeight="1">
      <c r="A2506" s="1054">
        <v>52059501</v>
      </c>
      <c r="B2506" s="1055" t="s">
        <v>893</v>
      </c>
      <c r="C2506" s="1055" t="s">
        <v>771</v>
      </c>
      <c r="D2506" s="1055" t="s">
        <v>1376</v>
      </c>
      <c r="E2506" s="1055" t="s">
        <v>1377</v>
      </c>
      <c r="F2506" s="1056">
        <v>10</v>
      </c>
      <c r="G2506" s="1056">
        <v>0</v>
      </c>
      <c r="H2506" s="1056">
        <v>0</v>
      </c>
      <c r="I2506" s="1056">
        <v>10</v>
      </c>
      <c r="J2506" s="996">
        <f t="shared" si="54"/>
        <v>0</v>
      </c>
      <c r="K2506" s="1037">
        <f t="shared" si="53"/>
        <v>8</v>
      </c>
    </row>
    <row r="2507" spans="1:11" ht="13.9" customHeight="1">
      <c r="A2507" s="1054">
        <v>52059501</v>
      </c>
      <c r="B2507" s="1055" t="s">
        <v>893</v>
      </c>
      <c r="C2507" s="1055" t="s">
        <v>771</v>
      </c>
      <c r="D2507" s="1055" t="s">
        <v>1305</v>
      </c>
      <c r="E2507" s="1055" t="s">
        <v>990</v>
      </c>
      <c r="F2507" s="1056">
        <v>6</v>
      </c>
      <c r="G2507" s="1056">
        <v>0</v>
      </c>
      <c r="H2507" s="1056">
        <v>0</v>
      </c>
      <c r="I2507" s="1056">
        <v>6</v>
      </c>
      <c r="J2507" s="996">
        <f t="shared" si="54"/>
        <v>0</v>
      </c>
      <c r="K2507" s="1037">
        <f t="shared" si="53"/>
        <v>8</v>
      </c>
    </row>
    <row r="2508" spans="1:11" ht="13.9" customHeight="1">
      <c r="A2508" s="1054">
        <v>52059501</v>
      </c>
      <c r="B2508" s="1055" t="s">
        <v>893</v>
      </c>
      <c r="C2508" s="1055" t="s">
        <v>771</v>
      </c>
      <c r="D2508" s="1055" t="s">
        <v>1306</v>
      </c>
      <c r="E2508" s="1055" t="s">
        <v>997</v>
      </c>
      <c r="F2508" s="1056">
        <v>10</v>
      </c>
      <c r="G2508" s="1056">
        <v>0</v>
      </c>
      <c r="H2508" s="1056">
        <v>0</v>
      </c>
      <c r="I2508" s="1056">
        <v>10</v>
      </c>
      <c r="J2508" s="996">
        <f t="shared" si="54"/>
        <v>0</v>
      </c>
      <c r="K2508" s="1037">
        <f t="shared" si="53"/>
        <v>8</v>
      </c>
    </row>
    <row r="2509" spans="1:11" ht="13.9" customHeight="1">
      <c r="A2509" s="1054">
        <v>52059501</v>
      </c>
      <c r="B2509" s="1055" t="s">
        <v>893</v>
      </c>
      <c r="C2509" s="1055" t="s">
        <v>771</v>
      </c>
      <c r="D2509" s="1055" t="s">
        <v>1250</v>
      </c>
      <c r="E2509" s="1055" t="s">
        <v>1251</v>
      </c>
      <c r="F2509" s="1056">
        <v>10</v>
      </c>
      <c r="G2509" s="1056">
        <v>0</v>
      </c>
      <c r="H2509" s="1056">
        <v>0</v>
      </c>
      <c r="I2509" s="1056">
        <v>10</v>
      </c>
      <c r="J2509" s="996">
        <f t="shared" si="54"/>
        <v>0</v>
      </c>
      <c r="K2509" s="1037">
        <f t="shared" si="53"/>
        <v>8</v>
      </c>
    </row>
    <row r="2510" spans="1:11" ht="13.9" customHeight="1">
      <c r="A2510" s="1054">
        <v>52059501</v>
      </c>
      <c r="B2510" s="1055" t="s">
        <v>893</v>
      </c>
      <c r="C2510" s="1055" t="s">
        <v>771</v>
      </c>
      <c r="D2510" s="1055" t="s">
        <v>1686</v>
      </c>
      <c r="E2510" s="1055" t="s">
        <v>1687</v>
      </c>
      <c r="F2510" s="1056">
        <v>5</v>
      </c>
      <c r="G2510" s="1056">
        <v>0</v>
      </c>
      <c r="H2510" s="1056">
        <v>0</v>
      </c>
      <c r="I2510" s="1056">
        <v>5</v>
      </c>
      <c r="J2510" s="996">
        <f t="shared" si="54"/>
        <v>0</v>
      </c>
      <c r="K2510" s="1037">
        <f t="shared" si="53"/>
        <v>8</v>
      </c>
    </row>
    <row r="2511" spans="1:11" ht="13.9" customHeight="1">
      <c r="A2511" s="1054">
        <v>52059501</v>
      </c>
      <c r="B2511" s="1055" t="s">
        <v>893</v>
      </c>
      <c r="C2511" s="1055" t="s">
        <v>771</v>
      </c>
      <c r="D2511" s="1055" t="s">
        <v>1303</v>
      </c>
      <c r="E2511" s="1055" t="s">
        <v>806</v>
      </c>
      <c r="F2511" s="1056">
        <v>5</v>
      </c>
      <c r="G2511" s="1056">
        <v>0</v>
      </c>
      <c r="H2511" s="1056">
        <v>0</v>
      </c>
      <c r="I2511" s="1056">
        <v>5</v>
      </c>
      <c r="J2511" s="996">
        <f t="shared" si="54"/>
        <v>0</v>
      </c>
      <c r="K2511" s="1037">
        <f t="shared" si="53"/>
        <v>8</v>
      </c>
    </row>
    <row r="2512" spans="1:11" ht="13.9" customHeight="1">
      <c r="A2512" s="1054">
        <v>52059501</v>
      </c>
      <c r="B2512" s="1055" t="s">
        <v>893</v>
      </c>
      <c r="C2512" s="1055" t="s">
        <v>771</v>
      </c>
      <c r="D2512" s="1055" t="s">
        <v>1480</v>
      </c>
      <c r="E2512" s="1055" t="s">
        <v>1481</v>
      </c>
      <c r="F2512" s="1056">
        <v>6</v>
      </c>
      <c r="G2512" s="1056">
        <v>0</v>
      </c>
      <c r="H2512" s="1056">
        <v>0</v>
      </c>
      <c r="I2512" s="1056">
        <v>6</v>
      </c>
      <c r="J2512" s="996">
        <f t="shared" si="54"/>
        <v>0</v>
      </c>
      <c r="K2512" s="1037">
        <f t="shared" si="53"/>
        <v>8</v>
      </c>
    </row>
    <row r="2513" spans="1:11" ht="13.9" customHeight="1">
      <c r="A2513" s="1054">
        <v>52059501</v>
      </c>
      <c r="B2513" s="1055" t="s">
        <v>893</v>
      </c>
      <c r="C2513" s="1055" t="s">
        <v>771</v>
      </c>
      <c r="D2513" s="1055" t="s">
        <v>1761</v>
      </c>
      <c r="E2513" s="1055" t="s">
        <v>1762</v>
      </c>
      <c r="F2513" s="1056">
        <v>3</v>
      </c>
      <c r="G2513" s="1056">
        <v>0</v>
      </c>
      <c r="H2513" s="1056">
        <v>0</v>
      </c>
      <c r="I2513" s="1056">
        <v>3</v>
      </c>
      <c r="J2513" s="996">
        <f t="shared" si="54"/>
        <v>0</v>
      </c>
      <c r="K2513" s="1037">
        <f t="shared" si="53"/>
        <v>8</v>
      </c>
    </row>
    <row r="2514" spans="1:11" ht="13.9" customHeight="1">
      <c r="A2514" s="1054">
        <v>52059501</v>
      </c>
      <c r="B2514" s="1055" t="s">
        <v>893</v>
      </c>
      <c r="C2514" s="1055" t="s">
        <v>771</v>
      </c>
      <c r="D2514" s="1055" t="s">
        <v>1275</v>
      </c>
      <c r="E2514" s="1055" t="s">
        <v>991</v>
      </c>
      <c r="F2514" s="1056">
        <v>14</v>
      </c>
      <c r="G2514" s="1056">
        <v>0</v>
      </c>
      <c r="H2514" s="1056">
        <v>0</v>
      </c>
      <c r="I2514" s="1056">
        <v>14</v>
      </c>
      <c r="J2514" s="996">
        <f t="shared" si="54"/>
        <v>0</v>
      </c>
      <c r="K2514" s="1037">
        <f t="shared" si="53"/>
        <v>8</v>
      </c>
    </row>
    <row r="2515" spans="1:11" ht="13.9" customHeight="1">
      <c r="A2515" s="1054">
        <v>52059501</v>
      </c>
      <c r="B2515" s="1055" t="s">
        <v>893</v>
      </c>
      <c r="C2515" s="1055" t="s">
        <v>771</v>
      </c>
      <c r="D2515" s="1055" t="s">
        <v>1380</v>
      </c>
      <c r="E2515" s="1055" t="s">
        <v>1381</v>
      </c>
      <c r="F2515" s="1056">
        <v>8</v>
      </c>
      <c r="G2515" s="1056">
        <v>0</v>
      </c>
      <c r="H2515" s="1056">
        <v>0</v>
      </c>
      <c r="I2515" s="1056">
        <v>8</v>
      </c>
      <c r="J2515" s="996">
        <f t="shared" si="54"/>
        <v>0</v>
      </c>
      <c r="K2515" s="1037">
        <f t="shared" si="53"/>
        <v>8</v>
      </c>
    </row>
    <row r="2516" spans="1:11" ht="13.9" customHeight="1">
      <c r="A2516" s="1054">
        <v>52059501</v>
      </c>
      <c r="B2516" s="1055" t="s">
        <v>893</v>
      </c>
      <c r="C2516" s="1055" t="s">
        <v>771</v>
      </c>
      <c r="D2516" s="1055" t="s">
        <v>1585</v>
      </c>
      <c r="E2516" s="1055" t="s">
        <v>1586</v>
      </c>
      <c r="F2516" s="1056">
        <v>3</v>
      </c>
      <c r="G2516" s="1056">
        <v>0</v>
      </c>
      <c r="H2516" s="1056">
        <v>0</v>
      </c>
      <c r="I2516" s="1056">
        <v>3</v>
      </c>
      <c r="J2516" s="996">
        <f t="shared" si="54"/>
        <v>0</v>
      </c>
      <c r="K2516" s="1037">
        <f t="shared" si="53"/>
        <v>8</v>
      </c>
    </row>
    <row r="2517" spans="1:11" ht="13.9" customHeight="1">
      <c r="A2517" s="1054">
        <v>52059501</v>
      </c>
      <c r="B2517" s="1055" t="s">
        <v>893</v>
      </c>
      <c r="C2517" s="1055" t="s">
        <v>771</v>
      </c>
      <c r="D2517" s="1055" t="s">
        <v>1382</v>
      </c>
      <c r="E2517" s="1055" t="s">
        <v>1763</v>
      </c>
      <c r="F2517" s="1056">
        <v>24</v>
      </c>
      <c r="G2517" s="1056">
        <v>0</v>
      </c>
      <c r="H2517" s="1056">
        <v>0</v>
      </c>
      <c r="I2517" s="1056">
        <v>24</v>
      </c>
      <c r="J2517" s="996">
        <f t="shared" si="54"/>
        <v>0</v>
      </c>
      <c r="K2517" s="1037">
        <f t="shared" si="53"/>
        <v>8</v>
      </c>
    </row>
    <row r="2518" spans="1:11" ht="13.9" customHeight="1">
      <c r="A2518" s="1054">
        <v>52059501</v>
      </c>
      <c r="B2518" s="1055" t="s">
        <v>893</v>
      </c>
      <c r="C2518" s="1055" t="s">
        <v>771</v>
      </c>
      <c r="D2518" s="1055" t="s">
        <v>1440</v>
      </c>
      <c r="E2518" s="1055" t="s">
        <v>1441</v>
      </c>
      <c r="F2518" s="1056">
        <v>8</v>
      </c>
      <c r="G2518" s="1056">
        <v>0</v>
      </c>
      <c r="H2518" s="1056">
        <v>0</v>
      </c>
      <c r="I2518" s="1056">
        <v>8</v>
      </c>
      <c r="J2518" s="996">
        <f t="shared" si="54"/>
        <v>0</v>
      </c>
      <c r="K2518" s="1037">
        <f t="shared" si="53"/>
        <v>8</v>
      </c>
    </row>
    <row r="2519" spans="1:11" ht="13.9" customHeight="1">
      <c r="A2519" s="1054">
        <v>52059501</v>
      </c>
      <c r="B2519" s="1055" t="s">
        <v>893</v>
      </c>
      <c r="C2519" s="1055" t="s">
        <v>771</v>
      </c>
      <c r="D2519" s="1055" t="s">
        <v>1383</v>
      </c>
      <c r="E2519" s="1055" t="s">
        <v>1384</v>
      </c>
      <c r="F2519" s="1056">
        <v>10</v>
      </c>
      <c r="G2519" s="1056">
        <v>0</v>
      </c>
      <c r="H2519" s="1056">
        <v>0</v>
      </c>
      <c r="I2519" s="1056">
        <v>10</v>
      </c>
      <c r="J2519" s="996">
        <f t="shared" si="54"/>
        <v>0</v>
      </c>
      <c r="K2519" s="1037">
        <f t="shared" si="53"/>
        <v>8</v>
      </c>
    </row>
    <row r="2520" spans="1:11" ht="13.9" customHeight="1">
      <c r="A2520" s="1054">
        <v>52059501</v>
      </c>
      <c r="B2520" s="1055" t="s">
        <v>893</v>
      </c>
      <c r="C2520" s="1055" t="s">
        <v>771</v>
      </c>
      <c r="D2520" s="1055" t="s">
        <v>1587</v>
      </c>
      <c r="E2520" s="1055" t="s">
        <v>1588</v>
      </c>
      <c r="F2520" s="1056">
        <v>3</v>
      </c>
      <c r="G2520" s="1056">
        <v>0</v>
      </c>
      <c r="H2520" s="1056">
        <v>0</v>
      </c>
      <c r="I2520" s="1056">
        <v>3</v>
      </c>
      <c r="J2520" s="996">
        <f t="shared" si="54"/>
        <v>0</v>
      </c>
      <c r="K2520" s="1037">
        <f t="shared" si="53"/>
        <v>8</v>
      </c>
    </row>
    <row r="2521" spans="1:11" ht="13.9" customHeight="1">
      <c r="A2521" s="1054">
        <v>52059505</v>
      </c>
      <c r="B2521" s="1055" t="s">
        <v>893</v>
      </c>
      <c r="C2521" s="1055" t="s">
        <v>1589</v>
      </c>
      <c r="D2521" s="1055" t="s">
        <v>893</v>
      </c>
      <c r="E2521" s="1055" t="s">
        <v>893</v>
      </c>
      <c r="F2521" s="1056">
        <v>5836</v>
      </c>
      <c r="G2521" s="1056">
        <v>1634</v>
      </c>
      <c r="H2521" s="1056">
        <v>0</v>
      </c>
      <c r="I2521" s="1056">
        <v>7471</v>
      </c>
      <c r="J2521" s="996">
        <f t="shared" si="54"/>
        <v>-1634</v>
      </c>
      <c r="K2521" s="1037">
        <f t="shared" si="53"/>
        <v>8</v>
      </c>
    </row>
    <row r="2522" spans="1:11" ht="13.9" customHeight="1">
      <c r="A2522" s="1054">
        <v>52059505</v>
      </c>
      <c r="B2522" s="1055" t="s">
        <v>893</v>
      </c>
      <c r="C2522" s="1055" t="s">
        <v>1589</v>
      </c>
      <c r="D2522" s="1055" t="s">
        <v>1585</v>
      </c>
      <c r="E2522" s="1055" t="s">
        <v>1586</v>
      </c>
      <c r="F2522" s="1056">
        <v>5836</v>
      </c>
      <c r="G2522" s="1056">
        <v>1634</v>
      </c>
      <c r="H2522" s="1056">
        <v>0</v>
      </c>
      <c r="I2522" s="1056">
        <v>7471</v>
      </c>
      <c r="J2522" s="996">
        <f t="shared" si="54"/>
        <v>-1634</v>
      </c>
      <c r="K2522" s="1037">
        <f t="shared" si="53"/>
        <v>8</v>
      </c>
    </row>
    <row r="2523" spans="1:11" ht="13.9" customHeight="1">
      <c r="A2523" s="1054">
        <v>52059506</v>
      </c>
      <c r="B2523" s="1055" t="s">
        <v>1489</v>
      </c>
      <c r="C2523" s="1055" t="s">
        <v>1008</v>
      </c>
      <c r="D2523" s="1055" t="s">
        <v>893</v>
      </c>
      <c r="E2523" s="1055" t="s">
        <v>893</v>
      </c>
      <c r="F2523" s="1056">
        <v>6075</v>
      </c>
      <c r="G2523" s="1056">
        <v>0</v>
      </c>
      <c r="H2523" s="1056">
        <v>0</v>
      </c>
      <c r="I2523" s="1056">
        <v>6075</v>
      </c>
      <c r="J2523" s="996">
        <f t="shared" si="54"/>
        <v>0</v>
      </c>
      <c r="K2523" s="1037">
        <f t="shared" si="53"/>
        <v>8</v>
      </c>
    </row>
    <row r="2524" spans="1:11" ht="13.9" customHeight="1">
      <c r="A2524" s="1054">
        <v>52059506</v>
      </c>
      <c r="B2524" s="1055" t="s">
        <v>1489</v>
      </c>
      <c r="C2524" s="1055" t="s">
        <v>1008</v>
      </c>
      <c r="D2524" s="1055" t="s">
        <v>1403</v>
      </c>
      <c r="E2524" s="1055" t="s">
        <v>1404</v>
      </c>
      <c r="F2524" s="1056">
        <v>6075</v>
      </c>
      <c r="G2524" s="1056">
        <v>0</v>
      </c>
      <c r="H2524" s="1056">
        <v>0</v>
      </c>
      <c r="I2524" s="1056">
        <v>6075</v>
      </c>
      <c r="J2524" s="996">
        <f t="shared" si="54"/>
        <v>0</v>
      </c>
      <c r="K2524" s="1037">
        <f t="shared" si="53"/>
        <v>8</v>
      </c>
    </row>
    <row r="2525" spans="1:11" ht="13.9" customHeight="1">
      <c r="A2525" s="1054">
        <v>5210</v>
      </c>
      <c r="B2525" s="1055" t="s">
        <v>893</v>
      </c>
      <c r="C2525" s="1055" t="s">
        <v>117</v>
      </c>
      <c r="D2525" s="1055" t="s">
        <v>893</v>
      </c>
      <c r="E2525" s="1055" t="s">
        <v>893</v>
      </c>
      <c r="F2525" s="1056">
        <v>97737</v>
      </c>
      <c r="G2525" s="1056">
        <v>27755</v>
      </c>
      <c r="H2525" s="1056">
        <v>0</v>
      </c>
      <c r="I2525" s="1056">
        <v>125492</v>
      </c>
      <c r="J2525" s="996">
        <f t="shared" si="54"/>
        <v>-27755</v>
      </c>
      <c r="K2525" s="1037">
        <f t="shared" si="53"/>
        <v>4</v>
      </c>
    </row>
    <row r="2526" spans="1:11" ht="13.9" customHeight="1">
      <c r="A2526" s="1054">
        <v>521010</v>
      </c>
      <c r="B2526" s="1055" t="s">
        <v>1489</v>
      </c>
      <c r="C2526" s="1055" t="s">
        <v>1769</v>
      </c>
      <c r="D2526" s="1055" t="s">
        <v>893</v>
      </c>
      <c r="E2526" s="1055" t="s">
        <v>893</v>
      </c>
      <c r="F2526" s="1056">
        <v>4800</v>
      </c>
      <c r="G2526" s="1056">
        <v>1200</v>
      </c>
      <c r="H2526" s="1056">
        <v>0</v>
      </c>
      <c r="I2526" s="1056">
        <v>6000</v>
      </c>
      <c r="J2526" s="996">
        <f t="shared" si="54"/>
        <v>-1200</v>
      </c>
      <c r="K2526" s="1037">
        <f t="shared" si="53"/>
        <v>6</v>
      </c>
    </row>
    <row r="2527" spans="1:11" ht="13.9" customHeight="1">
      <c r="A2527" s="1054">
        <v>52101001</v>
      </c>
      <c r="B2527" s="1055" t="s">
        <v>1489</v>
      </c>
      <c r="C2527" s="1055" t="s">
        <v>1769</v>
      </c>
      <c r="D2527" s="1055" t="s">
        <v>893</v>
      </c>
      <c r="E2527" s="1055" t="s">
        <v>893</v>
      </c>
      <c r="F2527" s="1056">
        <v>4800</v>
      </c>
      <c r="G2527" s="1056">
        <v>1200</v>
      </c>
      <c r="H2527" s="1056">
        <v>0</v>
      </c>
      <c r="I2527" s="1056">
        <v>6000</v>
      </c>
      <c r="J2527" s="996">
        <f t="shared" si="54"/>
        <v>-1200</v>
      </c>
      <c r="K2527" s="1037">
        <f t="shared" si="53"/>
        <v>8</v>
      </c>
    </row>
    <row r="2528" spans="1:11" ht="13.9" customHeight="1">
      <c r="A2528" s="1054">
        <v>52101001</v>
      </c>
      <c r="B2528" s="1055" t="s">
        <v>1489</v>
      </c>
      <c r="C2528" s="1055" t="s">
        <v>1769</v>
      </c>
      <c r="D2528" s="1055" t="s">
        <v>1482</v>
      </c>
      <c r="E2528" s="1055" t="s">
        <v>1483</v>
      </c>
      <c r="F2528" s="1056">
        <v>4800</v>
      </c>
      <c r="G2528" s="1056">
        <v>1200</v>
      </c>
      <c r="H2528" s="1056">
        <v>0</v>
      </c>
      <c r="I2528" s="1056">
        <v>6000</v>
      </c>
      <c r="J2528" s="996">
        <f t="shared" si="54"/>
        <v>-1200</v>
      </c>
      <c r="K2528" s="1037">
        <f t="shared" si="53"/>
        <v>8</v>
      </c>
    </row>
    <row r="2529" spans="1:11" ht="13.9" customHeight="1">
      <c r="A2529" s="1054">
        <v>521045</v>
      </c>
      <c r="B2529" s="1055" t="s">
        <v>893</v>
      </c>
      <c r="C2529" s="1055" t="s">
        <v>385</v>
      </c>
      <c r="D2529" s="1055" t="s">
        <v>893</v>
      </c>
      <c r="E2529" s="1055" t="s">
        <v>893</v>
      </c>
      <c r="F2529" s="1056">
        <v>84730</v>
      </c>
      <c r="G2529" s="1056">
        <v>25821</v>
      </c>
      <c r="H2529" s="1056">
        <v>0</v>
      </c>
      <c r="I2529" s="1056">
        <v>110551</v>
      </c>
      <c r="J2529" s="996">
        <f t="shared" si="54"/>
        <v>-25821</v>
      </c>
      <c r="K2529" s="1037">
        <f t="shared" si="53"/>
        <v>6</v>
      </c>
    </row>
    <row r="2530" spans="1:11" ht="13.9" customHeight="1">
      <c r="A2530" s="1054">
        <v>52104501</v>
      </c>
      <c r="B2530" s="1055" t="s">
        <v>893</v>
      </c>
      <c r="C2530" s="1055" t="s">
        <v>385</v>
      </c>
      <c r="D2530" s="1055" t="s">
        <v>893</v>
      </c>
      <c r="E2530" s="1055" t="s">
        <v>893</v>
      </c>
      <c r="F2530" s="1056">
        <v>84730</v>
      </c>
      <c r="G2530" s="1056">
        <v>25821</v>
      </c>
      <c r="H2530" s="1056">
        <v>0</v>
      </c>
      <c r="I2530" s="1056">
        <v>110551</v>
      </c>
      <c r="J2530" s="996">
        <f t="shared" si="54"/>
        <v>-25821</v>
      </c>
      <c r="K2530" s="1037">
        <f t="shared" si="53"/>
        <v>8</v>
      </c>
    </row>
    <row r="2531" spans="1:11" ht="13.9" customHeight="1">
      <c r="A2531" s="1054">
        <v>52104501</v>
      </c>
      <c r="B2531" s="1055" t="s">
        <v>893</v>
      </c>
      <c r="C2531" s="1055" t="s">
        <v>385</v>
      </c>
      <c r="D2531" s="1055" t="s">
        <v>1190</v>
      </c>
      <c r="E2531" s="1055" t="s">
        <v>577</v>
      </c>
      <c r="F2531" s="1056">
        <v>1308</v>
      </c>
      <c r="G2531" s="1056">
        <v>1486</v>
      </c>
      <c r="H2531" s="1056">
        <v>0</v>
      </c>
      <c r="I2531" s="1056">
        <v>2794</v>
      </c>
      <c r="J2531" s="996">
        <f t="shared" si="54"/>
        <v>-1486</v>
      </c>
      <c r="K2531" s="1037">
        <f t="shared" si="53"/>
        <v>8</v>
      </c>
    </row>
    <row r="2532" spans="1:11" ht="13.9" customHeight="1">
      <c r="A2532" s="1054">
        <v>52104501</v>
      </c>
      <c r="B2532" s="1055" t="s">
        <v>893</v>
      </c>
      <c r="C2532" s="1055" t="s">
        <v>385</v>
      </c>
      <c r="D2532" s="1055" t="s">
        <v>1482</v>
      </c>
      <c r="E2532" s="1055" t="s">
        <v>1483</v>
      </c>
      <c r="F2532" s="1056">
        <v>37024</v>
      </c>
      <c r="G2532" s="1056">
        <v>15056</v>
      </c>
      <c r="H2532" s="1056">
        <v>0</v>
      </c>
      <c r="I2532" s="1056">
        <v>52080</v>
      </c>
      <c r="J2532" s="996">
        <f t="shared" si="54"/>
        <v>-15056</v>
      </c>
      <c r="K2532" s="1037">
        <f t="shared" si="53"/>
        <v>8</v>
      </c>
    </row>
    <row r="2533" spans="1:11" ht="13.9" customHeight="1">
      <c r="A2533" s="1054">
        <v>52104501</v>
      </c>
      <c r="B2533" s="1055" t="s">
        <v>893</v>
      </c>
      <c r="C2533" s="1055" t="s">
        <v>385</v>
      </c>
      <c r="D2533" s="1055" t="s">
        <v>1208</v>
      </c>
      <c r="E2533" s="1055" t="s">
        <v>428</v>
      </c>
      <c r="F2533" s="1056">
        <v>46398</v>
      </c>
      <c r="G2533" s="1056">
        <v>9280</v>
      </c>
      <c r="H2533" s="1056">
        <v>0</v>
      </c>
      <c r="I2533" s="1056">
        <v>55677</v>
      </c>
      <c r="J2533" s="996">
        <f t="shared" si="54"/>
        <v>-9280</v>
      </c>
      <c r="K2533" s="1037">
        <f t="shared" si="53"/>
        <v>8</v>
      </c>
    </row>
    <row r="2534" spans="1:11" ht="13.9" customHeight="1">
      <c r="A2534" s="1054">
        <v>521095</v>
      </c>
      <c r="B2534" s="1055" t="s">
        <v>893</v>
      </c>
      <c r="C2534" s="1055" t="s">
        <v>323</v>
      </c>
      <c r="D2534" s="1055" t="s">
        <v>893</v>
      </c>
      <c r="E2534" s="1055" t="s">
        <v>893</v>
      </c>
      <c r="F2534" s="1056">
        <v>8207</v>
      </c>
      <c r="G2534" s="1056">
        <v>734</v>
      </c>
      <c r="H2534" s="1056">
        <v>0</v>
      </c>
      <c r="I2534" s="1056">
        <v>8941</v>
      </c>
      <c r="J2534" s="996">
        <f t="shared" si="54"/>
        <v>-734</v>
      </c>
      <c r="K2534" s="1037">
        <f t="shared" si="53"/>
        <v>6</v>
      </c>
    </row>
    <row r="2535" spans="1:11" ht="13.9" customHeight="1">
      <c r="A2535" s="1054">
        <v>52109502</v>
      </c>
      <c r="B2535" s="1055" t="s">
        <v>893</v>
      </c>
      <c r="C2535" s="1055" t="s">
        <v>545</v>
      </c>
      <c r="D2535" s="1055" t="s">
        <v>893</v>
      </c>
      <c r="E2535" s="1055" t="s">
        <v>893</v>
      </c>
      <c r="F2535" s="1056">
        <v>8207</v>
      </c>
      <c r="G2535" s="1056">
        <v>734</v>
      </c>
      <c r="H2535" s="1056">
        <v>0</v>
      </c>
      <c r="I2535" s="1056">
        <v>8941</v>
      </c>
      <c r="J2535" s="996">
        <f t="shared" si="54"/>
        <v>-734</v>
      </c>
      <c r="K2535" s="1037">
        <f t="shared" si="53"/>
        <v>8</v>
      </c>
    </row>
    <row r="2536" spans="1:11" ht="13.9" customHeight="1">
      <c r="A2536" s="1054">
        <v>52109502</v>
      </c>
      <c r="B2536" s="1055" t="s">
        <v>893</v>
      </c>
      <c r="C2536" s="1055" t="s">
        <v>545</v>
      </c>
      <c r="D2536" s="1055" t="s">
        <v>1190</v>
      </c>
      <c r="E2536" s="1055" t="s">
        <v>577</v>
      </c>
      <c r="F2536" s="1056">
        <v>4625</v>
      </c>
      <c r="G2536" s="1056">
        <v>0</v>
      </c>
      <c r="H2536" s="1056">
        <v>0</v>
      </c>
      <c r="I2536" s="1056">
        <v>4625</v>
      </c>
      <c r="J2536" s="996">
        <f t="shared" si="54"/>
        <v>0</v>
      </c>
      <c r="K2536" s="1037">
        <f t="shared" si="53"/>
        <v>8</v>
      </c>
    </row>
    <row r="2537" spans="1:11" ht="13.9" customHeight="1">
      <c r="A2537" s="1054">
        <v>52109502</v>
      </c>
      <c r="B2537" s="1055" t="s">
        <v>893</v>
      </c>
      <c r="C2537" s="1055" t="s">
        <v>545</v>
      </c>
      <c r="D2537" s="1055" t="s">
        <v>1212</v>
      </c>
      <c r="E2537" s="1055" t="s">
        <v>1030</v>
      </c>
      <c r="F2537" s="1056">
        <v>3582</v>
      </c>
      <c r="G2537" s="1056">
        <v>734</v>
      </c>
      <c r="H2537" s="1056">
        <v>0</v>
      </c>
      <c r="I2537" s="1056">
        <v>4316</v>
      </c>
      <c r="J2537" s="996">
        <f t="shared" si="54"/>
        <v>-734</v>
      </c>
      <c r="K2537" s="1037">
        <f t="shared" si="53"/>
        <v>8</v>
      </c>
    </row>
    <row r="2538" spans="1:11" ht="13.9" customHeight="1">
      <c r="A2538" s="1054">
        <v>5215</v>
      </c>
      <c r="B2538" s="1055" t="s">
        <v>893</v>
      </c>
      <c r="C2538" s="1055" t="s">
        <v>136</v>
      </c>
      <c r="D2538" s="1055" t="s">
        <v>893</v>
      </c>
      <c r="E2538" s="1055" t="s">
        <v>893</v>
      </c>
      <c r="F2538" s="1056">
        <v>35671</v>
      </c>
      <c r="G2538" s="1056">
        <v>14360</v>
      </c>
      <c r="H2538" s="1056">
        <v>7617</v>
      </c>
      <c r="I2538" s="1056">
        <v>42414</v>
      </c>
      <c r="J2538" s="996">
        <f t="shared" si="54"/>
        <v>-6743</v>
      </c>
      <c r="K2538" s="1037">
        <f t="shared" si="53"/>
        <v>4</v>
      </c>
    </row>
    <row r="2539" spans="1:11" ht="13.9" customHeight="1">
      <c r="A2539" s="1054">
        <v>521505</v>
      </c>
      <c r="B2539" s="1055" t="s">
        <v>893</v>
      </c>
      <c r="C2539" s="1055" t="s">
        <v>386</v>
      </c>
      <c r="D2539" s="1055" t="s">
        <v>893</v>
      </c>
      <c r="E2539" s="1055" t="s">
        <v>893</v>
      </c>
      <c r="F2539" s="1056">
        <v>33737</v>
      </c>
      <c r="G2539" s="1056">
        <v>12427</v>
      </c>
      <c r="H2539" s="1056">
        <v>7617</v>
      </c>
      <c r="I2539" s="1056">
        <v>38548</v>
      </c>
      <c r="J2539" s="996">
        <f t="shared" si="54"/>
        <v>-4810</v>
      </c>
      <c r="K2539" s="1037">
        <f t="shared" si="53"/>
        <v>6</v>
      </c>
    </row>
    <row r="2540" spans="1:11" ht="13.9" customHeight="1">
      <c r="A2540" s="1054">
        <v>52150501</v>
      </c>
      <c r="B2540" s="1055" t="s">
        <v>893</v>
      </c>
      <c r="C2540" s="1055" t="s">
        <v>386</v>
      </c>
      <c r="D2540" s="1055" t="s">
        <v>893</v>
      </c>
      <c r="E2540" s="1055" t="s">
        <v>893</v>
      </c>
      <c r="F2540" s="1056">
        <v>14166</v>
      </c>
      <c r="G2540" s="1056">
        <v>0</v>
      </c>
      <c r="H2540" s="1056">
        <v>0</v>
      </c>
      <c r="I2540" s="1056">
        <v>14166</v>
      </c>
      <c r="J2540" s="996">
        <f t="shared" si="54"/>
        <v>0</v>
      </c>
      <c r="K2540" s="1037">
        <f t="shared" si="53"/>
        <v>8</v>
      </c>
    </row>
    <row r="2541" spans="1:11" ht="13.9" customHeight="1">
      <c r="A2541" s="1054">
        <v>52150501</v>
      </c>
      <c r="B2541" s="1055" t="s">
        <v>893</v>
      </c>
      <c r="C2541" s="1055" t="s">
        <v>386</v>
      </c>
      <c r="D2541" s="1055" t="s">
        <v>1401</v>
      </c>
      <c r="E2541" s="1055" t="s">
        <v>1402</v>
      </c>
      <c r="F2541" s="1056">
        <v>2787</v>
      </c>
      <c r="G2541" s="1056">
        <v>0</v>
      </c>
      <c r="H2541" s="1056">
        <v>0</v>
      </c>
      <c r="I2541" s="1056">
        <v>2787</v>
      </c>
      <c r="J2541" s="996">
        <f t="shared" si="54"/>
        <v>0</v>
      </c>
      <c r="K2541" s="1037">
        <f t="shared" si="53"/>
        <v>8</v>
      </c>
    </row>
    <row r="2542" spans="1:11" ht="13.9" customHeight="1">
      <c r="A2542" s="1054">
        <v>52150501</v>
      </c>
      <c r="B2542" s="1055" t="s">
        <v>893</v>
      </c>
      <c r="C2542" s="1055" t="s">
        <v>386</v>
      </c>
      <c r="D2542" s="1055" t="s">
        <v>1194</v>
      </c>
      <c r="E2542" s="1055" t="s">
        <v>678</v>
      </c>
      <c r="F2542" s="1056">
        <v>459</v>
      </c>
      <c r="G2542" s="1056">
        <v>0</v>
      </c>
      <c r="H2542" s="1056">
        <v>0</v>
      </c>
      <c r="I2542" s="1056">
        <v>459</v>
      </c>
      <c r="J2542" s="996">
        <f t="shared" si="54"/>
        <v>0</v>
      </c>
      <c r="K2542" s="1037">
        <f t="shared" ref="K2542:K2605" si="55">+LEN(A2542)</f>
        <v>8</v>
      </c>
    </row>
    <row r="2543" spans="1:11" ht="13.9" customHeight="1">
      <c r="A2543" s="1054">
        <v>52150501</v>
      </c>
      <c r="B2543" s="1055" t="s">
        <v>893</v>
      </c>
      <c r="C2543" s="1055" t="s">
        <v>386</v>
      </c>
      <c r="D2543" s="1055" t="s">
        <v>1199</v>
      </c>
      <c r="E2543" s="1055" t="s">
        <v>1024</v>
      </c>
      <c r="F2543" s="1056">
        <v>10920</v>
      </c>
      <c r="G2543" s="1056">
        <v>0</v>
      </c>
      <c r="H2543" s="1056">
        <v>0</v>
      </c>
      <c r="I2543" s="1056">
        <v>10920</v>
      </c>
      <c r="J2543" s="996">
        <f t="shared" si="54"/>
        <v>0</v>
      </c>
      <c r="K2543" s="1037">
        <f t="shared" si="55"/>
        <v>8</v>
      </c>
    </row>
    <row r="2544" spans="1:11" ht="13.9" customHeight="1">
      <c r="A2544" s="1054">
        <v>52150502</v>
      </c>
      <c r="B2544" s="1055" t="s">
        <v>1489</v>
      </c>
      <c r="C2544" s="1055" t="s">
        <v>887</v>
      </c>
      <c r="D2544" s="1055" t="s">
        <v>893</v>
      </c>
      <c r="E2544" s="1055" t="s">
        <v>893</v>
      </c>
      <c r="F2544" s="1056">
        <v>8094</v>
      </c>
      <c r="G2544" s="1056">
        <v>12427</v>
      </c>
      <c r="H2544" s="1056">
        <v>7617</v>
      </c>
      <c r="I2544" s="1056">
        <v>12904</v>
      </c>
      <c r="J2544" s="996">
        <f t="shared" si="54"/>
        <v>-4810</v>
      </c>
      <c r="K2544" s="1037">
        <f t="shared" si="55"/>
        <v>8</v>
      </c>
    </row>
    <row r="2545" spans="1:11" ht="13.9" customHeight="1">
      <c r="A2545" s="1054">
        <v>52150502</v>
      </c>
      <c r="B2545" s="1055" t="s">
        <v>1489</v>
      </c>
      <c r="C2545" s="1055" t="s">
        <v>887</v>
      </c>
      <c r="D2545" s="1055" t="s">
        <v>1295</v>
      </c>
      <c r="E2545" s="1055" t="s">
        <v>963</v>
      </c>
      <c r="F2545" s="1056">
        <v>373</v>
      </c>
      <c r="G2545" s="1056">
        <v>0</v>
      </c>
      <c r="H2545" s="1056">
        <v>0</v>
      </c>
      <c r="I2545" s="1056">
        <v>373</v>
      </c>
      <c r="J2545" s="996">
        <f t="shared" si="54"/>
        <v>0</v>
      </c>
      <c r="K2545" s="1037">
        <f t="shared" si="55"/>
        <v>8</v>
      </c>
    </row>
    <row r="2546" spans="1:11" ht="13.9" customHeight="1">
      <c r="A2546" s="1054">
        <v>52150502</v>
      </c>
      <c r="B2546" s="1055" t="s">
        <v>1489</v>
      </c>
      <c r="C2546" s="1055" t="s">
        <v>887</v>
      </c>
      <c r="D2546" s="1055" t="s">
        <v>1314</v>
      </c>
      <c r="E2546" s="1055" t="s">
        <v>1737</v>
      </c>
      <c r="F2546" s="1056">
        <v>4261</v>
      </c>
      <c r="G2546" s="1056">
        <v>889</v>
      </c>
      <c r="H2546" s="1056">
        <v>0</v>
      </c>
      <c r="I2546" s="1056">
        <v>5150</v>
      </c>
      <c r="J2546" s="996">
        <f t="shared" si="54"/>
        <v>-889</v>
      </c>
      <c r="K2546" s="1037">
        <f t="shared" si="55"/>
        <v>8</v>
      </c>
    </row>
    <row r="2547" spans="1:11" ht="13.9" customHeight="1">
      <c r="A2547" s="1054">
        <v>52150502</v>
      </c>
      <c r="B2547" s="1055" t="s">
        <v>1489</v>
      </c>
      <c r="C2547" s="1055" t="s">
        <v>887</v>
      </c>
      <c r="D2547" s="1055" t="s">
        <v>1168</v>
      </c>
      <c r="E2547" s="1055" t="s">
        <v>1169</v>
      </c>
      <c r="F2547" s="1056">
        <v>0</v>
      </c>
      <c r="G2547" s="1056">
        <v>11519</v>
      </c>
      <c r="H2547" s="1056">
        <v>7608</v>
      </c>
      <c r="I2547" s="1056">
        <v>3911</v>
      </c>
      <c r="J2547" s="996">
        <f t="shared" si="54"/>
        <v>-3911</v>
      </c>
      <c r="K2547" s="1037">
        <f t="shared" si="55"/>
        <v>8</v>
      </c>
    </row>
    <row r="2548" spans="1:11" ht="13.9" customHeight="1">
      <c r="A2548" s="1054">
        <v>52150502</v>
      </c>
      <c r="B2548" s="1055" t="s">
        <v>1489</v>
      </c>
      <c r="C2548" s="1055" t="s">
        <v>887</v>
      </c>
      <c r="D2548" s="1055" t="s">
        <v>1401</v>
      </c>
      <c r="E2548" s="1055" t="s">
        <v>1402</v>
      </c>
      <c r="F2548" s="1056">
        <v>3460</v>
      </c>
      <c r="G2548" s="1056">
        <v>0</v>
      </c>
      <c r="H2548" s="1056">
        <v>0</v>
      </c>
      <c r="I2548" s="1056">
        <v>3460</v>
      </c>
      <c r="J2548" s="996">
        <f t="shared" si="54"/>
        <v>0</v>
      </c>
      <c r="K2548" s="1037">
        <f t="shared" si="55"/>
        <v>8</v>
      </c>
    </row>
    <row r="2549" spans="1:11" ht="13.9" customHeight="1">
      <c r="A2549" s="1054">
        <v>52150502</v>
      </c>
      <c r="B2549" s="1055" t="s">
        <v>1489</v>
      </c>
      <c r="C2549" s="1055" t="s">
        <v>887</v>
      </c>
      <c r="D2549" s="1055" t="s">
        <v>1170</v>
      </c>
      <c r="E2549" s="1055" t="s">
        <v>696</v>
      </c>
      <c r="F2549" s="1056">
        <v>0</v>
      </c>
      <c r="G2549" s="1056">
        <v>19</v>
      </c>
      <c r="H2549" s="1056">
        <v>9</v>
      </c>
      <c r="I2549" s="1056">
        <v>10</v>
      </c>
      <c r="J2549" s="996">
        <f t="shared" si="54"/>
        <v>-10</v>
      </c>
      <c r="K2549" s="1037">
        <f t="shared" si="55"/>
        <v>8</v>
      </c>
    </row>
    <row r="2550" spans="1:11" ht="13.9" customHeight="1">
      <c r="A2550" s="1054">
        <v>52150503</v>
      </c>
      <c r="B2550" s="1055" t="s">
        <v>1489</v>
      </c>
      <c r="C2550" s="1055" t="s">
        <v>824</v>
      </c>
      <c r="D2550" s="1055" t="s">
        <v>893</v>
      </c>
      <c r="E2550" s="1055" t="s">
        <v>893</v>
      </c>
      <c r="F2550" s="1056">
        <v>11478</v>
      </c>
      <c r="G2550" s="1056">
        <v>0</v>
      </c>
      <c r="H2550" s="1056">
        <v>0</v>
      </c>
      <c r="I2550" s="1056">
        <v>11478</v>
      </c>
      <c r="J2550" s="996">
        <f t="shared" si="54"/>
        <v>0</v>
      </c>
      <c r="K2550" s="1037">
        <f t="shared" si="55"/>
        <v>8</v>
      </c>
    </row>
    <row r="2551" spans="1:11" ht="13.9" customHeight="1">
      <c r="A2551" s="1054">
        <v>52150503</v>
      </c>
      <c r="B2551" s="1055" t="s">
        <v>1489</v>
      </c>
      <c r="C2551" s="1055" t="s">
        <v>824</v>
      </c>
      <c r="D2551" s="1055" t="s">
        <v>1401</v>
      </c>
      <c r="E2551" s="1055" t="s">
        <v>1402</v>
      </c>
      <c r="F2551" s="1056">
        <v>11478</v>
      </c>
      <c r="G2551" s="1056">
        <v>0</v>
      </c>
      <c r="H2551" s="1056">
        <v>0</v>
      </c>
      <c r="I2551" s="1056">
        <v>11478</v>
      </c>
      <c r="J2551" s="996">
        <f t="shared" si="54"/>
        <v>0</v>
      </c>
      <c r="K2551" s="1037">
        <f t="shared" si="55"/>
        <v>8</v>
      </c>
    </row>
    <row r="2552" spans="1:11" ht="13.9" customHeight="1">
      <c r="A2552" s="1054">
        <v>521515</v>
      </c>
      <c r="B2552" s="1055" t="s">
        <v>1489</v>
      </c>
      <c r="C2552" s="1055" t="s">
        <v>1000</v>
      </c>
      <c r="D2552" s="1055" t="s">
        <v>893</v>
      </c>
      <c r="E2552" s="1055" t="s">
        <v>893</v>
      </c>
      <c r="F2552" s="1056">
        <v>1933</v>
      </c>
      <c r="G2552" s="1056">
        <v>1933</v>
      </c>
      <c r="H2552" s="1056">
        <v>0</v>
      </c>
      <c r="I2552" s="1056">
        <v>3867</v>
      </c>
      <c r="J2552" s="996">
        <f t="shared" si="54"/>
        <v>-1933</v>
      </c>
      <c r="K2552" s="1037">
        <f t="shared" si="55"/>
        <v>6</v>
      </c>
    </row>
    <row r="2553" spans="1:11" ht="13.9" customHeight="1">
      <c r="A2553" s="1054">
        <v>52151505</v>
      </c>
      <c r="B2553" s="1055" t="s">
        <v>1489</v>
      </c>
      <c r="C2553" s="1055" t="s">
        <v>1770</v>
      </c>
      <c r="D2553" s="1055" t="s">
        <v>893</v>
      </c>
      <c r="E2553" s="1055" t="s">
        <v>893</v>
      </c>
      <c r="F2553" s="1056">
        <v>1933</v>
      </c>
      <c r="G2553" s="1056">
        <v>1933</v>
      </c>
      <c r="H2553" s="1056">
        <v>0</v>
      </c>
      <c r="I2553" s="1056">
        <v>3867</v>
      </c>
      <c r="J2553" s="996">
        <f t="shared" si="54"/>
        <v>-1933</v>
      </c>
      <c r="K2553" s="1037">
        <f t="shared" si="55"/>
        <v>8</v>
      </c>
    </row>
    <row r="2554" spans="1:11" ht="13.9" customHeight="1">
      <c r="A2554" s="1054">
        <v>52151505</v>
      </c>
      <c r="B2554" s="1055" t="s">
        <v>1489</v>
      </c>
      <c r="C2554" s="1055" t="s">
        <v>1770</v>
      </c>
      <c r="D2554" s="1055" t="s">
        <v>1286</v>
      </c>
      <c r="E2554" s="1055" t="s">
        <v>1287</v>
      </c>
      <c r="F2554" s="1056">
        <v>1933</v>
      </c>
      <c r="G2554" s="1056">
        <v>1933</v>
      </c>
      <c r="H2554" s="1056">
        <v>0</v>
      </c>
      <c r="I2554" s="1056">
        <v>3867</v>
      </c>
      <c r="J2554" s="996">
        <f t="shared" si="54"/>
        <v>-1933</v>
      </c>
      <c r="K2554" s="1037">
        <f t="shared" si="55"/>
        <v>8</v>
      </c>
    </row>
    <row r="2555" spans="1:11" ht="13.9" customHeight="1">
      <c r="A2555" s="1054">
        <v>521595</v>
      </c>
      <c r="B2555" s="1055" t="s">
        <v>893</v>
      </c>
      <c r="C2555" s="1055" t="s">
        <v>888</v>
      </c>
      <c r="D2555" s="1055" t="s">
        <v>893</v>
      </c>
      <c r="E2555" s="1055" t="s">
        <v>893</v>
      </c>
      <c r="F2555" s="1056">
        <v>0</v>
      </c>
      <c r="G2555" s="1056">
        <v>0</v>
      </c>
      <c r="H2555" s="1056">
        <v>0</v>
      </c>
      <c r="I2555" s="1056">
        <v>0</v>
      </c>
      <c r="J2555" s="996">
        <f t="shared" si="54"/>
        <v>0</v>
      </c>
      <c r="K2555" s="1037">
        <f t="shared" si="55"/>
        <v>6</v>
      </c>
    </row>
    <row r="2556" spans="1:11" ht="13.9" customHeight="1">
      <c r="A2556" s="1054">
        <v>52159504</v>
      </c>
      <c r="B2556" s="1055" t="s">
        <v>1489</v>
      </c>
      <c r="C2556" s="1055" t="s">
        <v>1590</v>
      </c>
      <c r="D2556" s="1055" t="s">
        <v>893</v>
      </c>
      <c r="E2556" s="1055" t="s">
        <v>893</v>
      </c>
      <c r="F2556" s="1056">
        <v>0</v>
      </c>
      <c r="G2556" s="1056">
        <v>0</v>
      </c>
      <c r="H2556" s="1056">
        <v>0</v>
      </c>
      <c r="I2556" s="1056">
        <v>0</v>
      </c>
      <c r="J2556" s="996">
        <f t="shared" si="54"/>
        <v>0</v>
      </c>
      <c r="K2556" s="1037">
        <f t="shared" si="55"/>
        <v>8</v>
      </c>
    </row>
    <row r="2557" spans="1:11" ht="13.9" customHeight="1">
      <c r="A2557" s="1054">
        <v>52159504</v>
      </c>
      <c r="B2557" s="1055" t="s">
        <v>1489</v>
      </c>
      <c r="C2557" s="1055" t="s">
        <v>1590</v>
      </c>
      <c r="D2557" s="1055" t="s">
        <v>1572</v>
      </c>
      <c r="E2557" s="1055" t="s">
        <v>1573</v>
      </c>
      <c r="F2557" s="1056">
        <v>0</v>
      </c>
      <c r="G2557" s="1056">
        <v>0</v>
      </c>
      <c r="H2557" s="1056">
        <v>0</v>
      </c>
      <c r="I2557" s="1056">
        <v>0</v>
      </c>
      <c r="J2557" s="996">
        <f t="shared" si="54"/>
        <v>0</v>
      </c>
      <c r="K2557" s="1037">
        <f t="shared" si="55"/>
        <v>8</v>
      </c>
    </row>
    <row r="2558" spans="1:11" ht="13.9" customHeight="1">
      <c r="A2558" s="1054">
        <v>5220</v>
      </c>
      <c r="B2558" s="1055" t="s">
        <v>893</v>
      </c>
      <c r="C2558" s="1055" t="s">
        <v>119</v>
      </c>
      <c r="D2558" s="1055" t="s">
        <v>893</v>
      </c>
      <c r="E2558" s="1055" t="s">
        <v>893</v>
      </c>
      <c r="F2558" s="1056">
        <v>424516</v>
      </c>
      <c r="G2558" s="1056">
        <v>85409</v>
      </c>
      <c r="H2558" s="1056">
        <v>0</v>
      </c>
      <c r="I2558" s="1056">
        <v>509925</v>
      </c>
      <c r="J2558" s="996">
        <f t="shared" si="54"/>
        <v>-85409</v>
      </c>
      <c r="K2558" s="1037">
        <f t="shared" si="55"/>
        <v>4</v>
      </c>
    </row>
    <row r="2559" spans="1:11" ht="13.9" customHeight="1">
      <c r="A2559" s="1054">
        <v>522010</v>
      </c>
      <c r="B2559" s="1055" t="s">
        <v>893</v>
      </c>
      <c r="C2559" s="1055" t="s">
        <v>209</v>
      </c>
      <c r="D2559" s="1055" t="s">
        <v>893</v>
      </c>
      <c r="E2559" s="1055" t="s">
        <v>893</v>
      </c>
      <c r="F2559" s="1056">
        <v>404241</v>
      </c>
      <c r="G2559" s="1056">
        <v>83432</v>
      </c>
      <c r="H2559" s="1056">
        <v>0</v>
      </c>
      <c r="I2559" s="1056">
        <v>487673</v>
      </c>
      <c r="J2559" s="996">
        <f t="shared" si="54"/>
        <v>-83432</v>
      </c>
      <c r="K2559" s="1037">
        <f t="shared" si="55"/>
        <v>6</v>
      </c>
    </row>
    <row r="2560" spans="1:11" ht="13.9" customHeight="1">
      <c r="A2560" s="1054">
        <v>52201001</v>
      </c>
      <c r="B2560" s="1055" t="s">
        <v>893</v>
      </c>
      <c r="C2560" s="1055" t="s">
        <v>209</v>
      </c>
      <c r="D2560" s="1055" t="s">
        <v>893</v>
      </c>
      <c r="E2560" s="1055" t="s">
        <v>893</v>
      </c>
      <c r="F2560" s="1056">
        <v>404241</v>
      </c>
      <c r="G2560" s="1056">
        <v>83432</v>
      </c>
      <c r="H2560" s="1056">
        <v>0</v>
      </c>
      <c r="I2560" s="1056">
        <v>487673</v>
      </c>
      <c r="J2560" s="996">
        <f t="shared" si="54"/>
        <v>-83432</v>
      </c>
      <c r="K2560" s="1037">
        <f t="shared" si="55"/>
        <v>8</v>
      </c>
    </row>
    <row r="2561" spans="1:11" ht="13.9" customHeight="1">
      <c r="A2561" s="1054">
        <v>52201001</v>
      </c>
      <c r="B2561" s="1055" t="s">
        <v>893</v>
      </c>
      <c r="C2561" s="1055" t="s">
        <v>209</v>
      </c>
      <c r="D2561" s="1055" t="s">
        <v>1179</v>
      </c>
      <c r="E2561" s="1055" t="s">
        <v>1013</v>
      </c>
      <c r="F2561" s="1056">
        <v>21502</v>
      </c>
      <c r="G2561" s="1056">
        <v>4692</v>
      </c>
      <c r="H2561" s="1056">
        <v>0</v>
      </c>
      <c r="I2561" s="1056">
        <v>26193</v>
      </c>
      <c r="J2561" s="996">
        <f t="shared" si="54"/>
        <v>-4692</v>
      </c>
      <c r="K2561" s="1037">
        <f t="shared" si="55"/>
        <v>8</v>
      </c>
    </row>
    <row r="2562" spans="1:11" ht="13.9" customHeight="1">
      <c r="A2562" s="1054">
        <v>52201001</v>
      </c>
      <c r="B2562" s="1055" t="s">
        <v>893</v>
      </c>
      <c r="C2562" s="1055" t="s">
        <v>209</v>
      </c>
      <c r="D2562" s="1055" t="s">
        <v>1180</v>
      </c>
      <c r="E2562" s="1055" t="s">
        <v>1014</v>
      </c>
      <c r="F2562" s="1056">
        <v>6625</v>
      </c>
      <c r="G2562" s="1056">
        <v>0</v>
      </c>
      <c r="H2562" s="1056">
        <v>0</v>
      </c>
      <c r="I2562" s="1056">
        <v>6625</v>
      </c>
      <c r="J2562" s="996">
        <f t="shared" si="54"/>
        <v>0</v>
      </c>
      <c r="K2562" s="1037">
        <f t="shared" si="55"/>
        <v>8</v>
      </c>
    </row>
    <row r="2563" spans="1:11" ht="13.9" customHeight="1">
      <c r="A2563" s="1054">
        <v>52201001</v>
      </c>
      <c r="B2563" s="1055" t="s">
        <v>893</v>
      </c>
      <c r="C2563" s="1055" t="s">
        <v>209</v>
      </c>
      <c r="D2563" s="1055" t="s">
        <v>1183</v>
      </c>
      <c r="E2563" s="1055" t="s">
        <v>1015</v>
      </c>
      <c r="F2563" s="1056">
        <v>21502</v>
      </c>
      <c r="G2563" s="1056">
        <v>4692</v>
      </c>
      <c r="H2563" s="1056">
        <v>0</v>
      </c>
      <c r="I2563" s="1056">
        <v>26193</v>
      </c>
      <c r="J2563" s="996">
        <f t="shared" si="54"/>
        <v>-4692</v>
      </c>
      <c r="K2563" s="1037">
        <f t="shared" si="55"/>
        <v>8</v>
      </c>
    </row>
    <row r="2564" spans="1:11" ht="13.9" customHeight="1">
      <c r="A2564" s="1054">
        <v>52201001</v>
      </c>
      <c r="B2564" s="1055" t="s">
        <v>893</v>
      </c>
      <c r="C2564" s="1055" t="s">
        <v>209</v>
      </c>
      <c r="D2564" s="1055" t="s">
        <v>1186</v>
      </c>
      <c r="E2564" s="1055" t="s">
        <v>1018</v>
      </c>
      <c r="F2564" s="1056">
        <v>23161</v>
      </c>
      <c r="G2564" s="1056">
        <v>5037</v>
      </c>
      <c r="H2564" s="1056">
        <v>0</v>
      </c>
      <c r="I2564" s="1056">
        <v>28198</v>
      </c>
      <c r="J2564" s="996">
        <f t="shared" si="54"/>
        <v>-5037</v>
      </c>
      <c r="K2564" s="1037">
        <f t="shared" si="55"/>
        <v>8</v>
      </c>
    </row>
    <row r="2565" spans="1:11" ht="13.9" customHeight="1">
      <c r="A2565" s="1054">
        <v>52201001</v>
      </c>
      <c r="B2565" s="1055" t="s">
        <v>893</v>
      </c>
      <c r="C2565" s="1055" t="s">
        <v>209</v>
      </c>
      <c r="D2565" s="1055" t="s">
        <v>1295</v>
      </c>
      <c r="E2565" s="1055" t="s">
        <v>963</v>
      </c>
      <c r="F2565" s="1056">
        <v>37510</v>
      </c>
      <c r="G2565" s="1056">
        <v>7502</v>
      </c>
      <c r="H2565" s="1056">
        <v>0</v>
      </c>
      <c r="I2565" s="1056">
        <v>45012</v>
      </c>
      <c r="J2565" s="996">
        <f t="shared" si="54"/>
        <v>-7502</v>
      </c>
      <c r="K2565" s="1037">
        <f t="shared" si="55"/>
        <v>8</v>
      </c>
    </row>
    <row r="2566" spans="1:11" ht="13.9" customHeight="1">
      <c r="A2566" s="1054">
        <v>52201001</v>
      </c>
      <c r="B2566" s="1055" t="s">
        <v>893</v>
      </c>
      <c r="C2566" s="1055" t="s">
        <v>209</v>
      </c>
      <c r="D2566" s="1055" t="s">
        <v>1312</v>
      </c>
      <c r="E2566" s="1055" t="s">
        <v>1824</v>
      </c>
      <c r="F2566" s="1056">
        <v>0</v>
      </c>
      <c r="G2566" s="1056">
        <v>2077</v>
      </c>
      <c r="H2566" s="1056">
        <v>0</v>
      </c>
      <c r="I2566" s="1056">
        <v>2077</v>
      </c>
      <c r="J2566" s="996">
        <f t="shared" si="54"/>
        <v>-2077</v>
      </c>
      <c r="K2566" s="1037">
        <f t="shared" si="55"/>
        <v>8</v>
      </c>
    </row>
    <row r="2567" spans="1:11" ht="13.9" customHeight="1">
      <c r="A2567" s="1054">
        <v>52201001</v>
      </c>
      <c r="B2567" s="1055" t="s">
        <v>893</v>
      </c>
      <c r="C2567" s="1055" t="s">
        <v>209</v>
      </c>
      <c r="D2567" s="1055" t="s">
        <v>1224</v>
      </c>
      <c r="E2567" s="1055" t="s">
        <v>1225</v>
      </c>
      <c r="F2567" s="1056">
        <v>19625</v>
      </c>
      <c r="G2567" s="1056">
        <v>3836</v>
      </c>
      <c r="H2567" s="1056">
        <v>0</v>
      </c>
      <c r="I2567" s="1056">
        <v>23461</v>
      </c>
      <c r="J2567" s="996">
        <f t="shared" si="54"/>
        <v>-3836</v>
      </c>
      <c r="K2567" s="1037">
        <f t="shared" si="55"/>
        <v>8</v>
      </c>
    </row>
    <row r="2568" spans="1:11" ht="13.9" customHeight="1">
      <c r="A2568" s="1054">
        <v>52201001</v>
      </c>
      <c r="B2568" s="1055" t="s">
        <v>893</v>
      </c>
      <c r="C2568" s="1055" t="s">
        <v>209</v>
      </c>
      <c r="D2568" s="1055" t="s">
        <v>1033</v>
      </c>
      <c r="E2568" s="1055" t="s">
        <v>695</v>
      </c>
      <c r="F2568" s="1056">
        <v>282</v>
      </c>
      <c r="G2568" s="1056">
        <v>0</v>
      </c>
      <c r="H2568" s="1056">
        <v>0</v>
      </c>
      <c r="I2568" s="1056">
        <v>282</v>
      </c>
      <c r="J2568" s="996">
        <f t="shared" si="54"/>
        <v>0</v>
      </c>
      <c r="K2568" s="1037">
        <f t="shared" si="55"/>
        <v>8</v>
      </c>
    </row>
    <row r="2569" spans="1:11" ht="13.9" customHeight="1">
      <c r="A2569" s="1054">
        <v>52201001</v>
      </c>
      <c r="B2569" s="1055" t="s">
        <v>893</v>
      </c>
      <c r="C2569" s="1055" t="s">
        <v>209</v>
      </c>
      <c r="D2569" s="1055" t="s">
        <v>1213</v>
      </c>
      <c r="E2569" s="1055" t="s">
        <v>1214</v>
      </c>
      <c r="F2569" s="1056">
        <v>29224</v>
      </c>
      <c r="G2569" s="1056">
        <v>5845</v>
      </c>
      <c r="H2569" s="1056">
        <v>0</v>
      </c>
      <c r="I2569" s="1056">
        <v>35068</v>
      </c>
      <c r="J2569" s="996">
        <f t="shared" ref="J2569:J2632" si="56">+H2569-G2569</f>
        <v>-5845</v>
      </c>
      <c r="K2569" s="1037">
        <f t="shared" si="55"/>
        <v>8</v>
      </c>
    </row>
    <row r="2570" spans="1:11" ht="13.9" customHeight="1">
      <c r="A2570" s="1054">
        <v>52201001</v>
      </c>
      <c r="B2570" s="1055" t="s">
        <v>893</v>
      </c>
      <c r="C2570" s="1055" t="s">
        <v>209</v>
      </c>
      <c r="D2570" s="1055" t="s">
        <v>1195</v>
      </c>
      <c r="E2570" s="1055" t="s">
        <v>1022</v>
      </c>
      <c r="F2570" s="1056">
        <v>65884</v>
      </c>
      <c r="G2570" s="1056">
        <v>13270</v>
      </c>
      <c r="H2570" s="1056">
        <v>0</v>
      </c>
      <c r="I2570" s="1056">
        <v>79154</v>
      </c>
      <c r="J2570" s="996">
        <f t="shared" si="56"/>
        <v>-13270</v>
      </c>
      <c r="K2570" s="1037">
        <f t="shared" si="55"/>
        <v>8</v>
      </c>
    </row>
    <row r="2571" spans="1:11" ht="13.9" customHeight="1">
      <c r="A2571" s="1054">
        <v>52201001</v>
      </c>
      <c r="B2571" s="1055" t="s">
        <v>893</v>
      </c>
      <c r="C2571" s="1055" t="s">
        <v>209</v>
      </c>
      <c r="D2571" s="1055" t="s">
        <v>1046</v>
      </c>
      <c r="E2571" s="1055" t="s">
        <v>1026</v>
      </c>
      <c r="F2571" s="1056">
        <v>80</v>
      </c>
      <c r="G2571" s="1056">
        <v>16</v>
      </c>
      <c r="H2571" s="1056">
        <v>0</v>
      </c>
      <c r="I2571" s="1056">
        <v>96</v>
      </c>
      <c r="J2571" s="996">
        <f t="shared" si="56"/>
        <v>-16</v>
      </c>
      <c r="K2571" s="1037">
        <f t="shared" si="55"/>
        <v>8</v>
      </c>
    </row>
    <row r="2572" spans="1:11" ht="13.9" customHeight="1">
      <c r="A2572" s="1054">
        <v>52201001</v>
      </c>
      <c r="B2572" s="1055" t="s">
        <v>893</v>
      </c>
      <c r="C2572" s="1055" t="s">
        <v>209</v>
      </c>
      <c r="D2572" s="1055" t="s">
        <v>1215</v>
      </c>
      <c r="E2572" s="1055" t="s">
        <v>1216</v>
      </c>
      <c r="F2572" s="1056">
        <v>45175</v>
      </c>
      <c r="G2572" s="1056">
        <v>9035</v>
      </c>
      <c r="H2572" s="1056">
        <v>0</v>
      </c>
      <c r="I2572" s="1056">
        <v>54210</v>
      </c>
      <c r="J2572" s="996">
        <f t="shared" si="56"/>
        <v>-9035</v>
      </c>
      <c r="K2572" s="1037">
        <f t="shared" si="55"/>
        <v>8</v>
      </c>
    </row>
    <row r="2573" spans="1:11" ht="13.9" customHeight="1">
      <c r="A2573" s="1054">
        <v>52201001</v>
      </c>
      <c r="B2573" s="1055" t="s">
        <v>893</v>
      </c>
      <c r="C2573" s="1055" t="s">
        <v>209</v>
      </c>
      <c r="D2573" s="1055" t="s">
        <v>1217</v>
      </c>
      <c r="E2573" s="1055" t="s">
        <v>1218</v>
      </c>
      <c r="F2573" s="1056">
        <v>54908</v>
      </c>
      <c r="G2573" s="1056">
        <v>10982</v>
      </c>
      <c r="H2573" s="1056">
        <v>0</v>
      </c>
      <c r="I2573" s="1056">
        <v>65890</v>
      </c>
      <c r="J2573" s="996">
        <f t="shared" si="56"/>
        <v>-10982</v>
      </c>
      <c r="K2573" s="1037">
        <f t="shared" si="55"/>
        <v>8</v>
      </c>
    </row>
    <row r="2574" spans="1:11" ht="13.9" customHeight="1">
      <c r="A2574" s="1054">
        <v>52201001</v>
      </c>
      <c r="B2574" s="1055" t="s">
        <v>893</v>
      </c>
      <c r="C2574" s="1055" t="s">
        <v>209</v>
      </c>
      <c r="D2574" s="1055" t="s">
        <v>1203</v>
      </c>
      <c r="E2574" s="1055" t="s">
        <v>1827</v>
      </c>
      <c r="F2574" s="1056">
        <v>8712</v>
      </c>
      <c r="G2574" s="1056">
        <v>919</v>
      </c>
      <c r="H2574" s="1056">
        <v>0</v>
      </c>
      <c r="I2574" s="1056">
        <v>9631</v>
      </c>
      <c r="J2574" s="996">
        <f t="shared" si="56"/>
        <v>-919</v>
      </c>
      <c r="K2574" s="1037">
        <f t="shared" si="55"/>
        <v>8</v>
      </c>
    </row>
    <row r="2575" spans="1:11" ht="13.9" customHeight="1">
      <c r="A2575" s="1054">
        <v>52201001</v>
      </c>
      <c r="B2575" s="1055" t="s">
        <v>893</v>
      </c>
      <c r="C2575" s="1055" t="s">
        <v>209</v>
      </c>
      <c r="D2575" s="1055" t="s">
        <v>1207</v>
      </c>
      <c r="E2575" s="1055" t="s">
        <v>1028</v>
      </c>
      <c r="F2575" s="1056">
        <v>38338</v>
      </c>
      <c r="G2575" s="1056">
        <v>7765</v>
      </c>
      <c r="H2575" s="1056">
        <v>0</v>
      </c>
      <c r="I2575" s="1056">
        <v>46103</v>
      </c>
      <c r="J2575" s="996">
        <f t="shared" si="56"/>
        <v>-7765</v>
      </c>
      <c r="K2575" s="1037">
        <f t="shared" si="55"/>
        <v>8</v>
      </c>
    </row>
    <row r="2576" spans="1:11" ht="13.9" customHeight="1">
      <c r="A2576" s="1054">
        <v>52201001</v>
      </c>
      <c r="B2576" s="1055" t="s">
        <v>893</v>
      </c>
      <c r="C2576" s="1055" t="s">
        <v>209</v>
      </c>
      <c r="D2576" s="1055" t="s">
        <v>1039</v>
      </c>
      <c r="E2576" s="1055" t="s">
        <v>681</v>
      </c>
      <c r="F2576" s="1056">
        <v>31713</v>
      </c>
      <c r="G2576" s="1056">
        <v>7765</v>
      </c>
      <c r="H2576" s="1056">
        <v>0</v>
      </c>
      <c r="I2576" s="1056">
        <v>39478</v>
      </c>
      <c r="J2576" s="996">
        <f t="shared" si="56"/>
        <v>-7765</v>
      </c>
      <c r="K2576" s="1037">
        <f t="shared" si="55"/>
        <v>8</v>
      </c>
    </row>
    <row r="2577" spans="1:11" ht="13.9" customHeight="1">
      <c r="A2577" s="1054">
        <v>522040</v>
      </c>
      <c r="B2577" s="1055" t="s">
        <v>893</v>
      </c>
      <c r="C2577" s="1055" t="s">
        <v>1528</v>
      </c>
      <c r="D2577" s="1055" t="s">
        <v>893</v>
      </c>
      <c r="E2577" s="1055" t="s">
        <v>893</v>
      </c>
      <c r="F2577" s="1056">
        <v>20274</v>
      </c>
      <c r="G2577" s="1056">
        <v>1978</v>
      </c>
      <c r="H2577" s="1056">
        <v>0</v>
      </c>
      <c r="I2577" s="1056">
        <v>22252</v>
      </c>
      <c r="J2577" s="996">
        <f t="shared" si="56"/>
        <v>-1978</v>
      </c>
      <c r="K2577" s="1037">
        <f t="shared" si="55"/>
        <v>6</v>
      </c>
    </row>
    <row r="2578" spans="1:11" ht="13.9" customHeight="1">
      <c r="A2578" s="1054">
        <v>52204001</v>
      </c>
      <c r="B2578" s="1055" t="s">
        <v>893</v>
      </c>
      <c r="C2578" s="1055" t="s">
        <v>1528</v>
      </c>
      <c r="D2578" s="1055" t="s">
        <v>893</v>
      </c>
      <c r="E2578" s="1055" t="s">
        <v>893</v>
      </c>
      <c r="F2578" s="1056">
        <v>20274</v>
      </c>
      <c r="G2578" s="1056">
        <v>1978</v>
      </c>
      <c r="H2578" s="1056">
        <v>0</v>
      </c>
      <c r="I2578" s="1056">
        <v>22252</v>
      </c>
      <c r="J2578" s="996">
        <f t="shared" si="56"/>
        <v>-1978</v>
      </c>
      <c r="K2578" s="1037">
        <f t="shared" si="55"/>
        <v>8</v>
      </c>
    </row>
    <row r="2579" spans="1:11" ht="13.9" customHeight="1">
      <c r="A2579" s="1054">
        <v>52204001</v>
      </c>
      <c r="B2579" s="1055" t="s">
        <v>893</v>
      </c>
      <c r="C2579" s="1055" t="s">
        <v>1528</v>
      </c>
      <c r="D2579" s="1055" t="s">
        <v>1312</v>
      </c>
      <c r="E2579" s="1055" t="s">
        <v>1824</v>
      </c>
      <c r="F2579" s="1056">
        <v>20274</v>
      </c>
      <c r="G2579" s="1056">
        <v>1978</v>
      </c>
      <c r="H2579" s="1056">
        <v>0</v>
      </c>
      <c r="I2579" s="1056">
        <v>22252</v>
      </c>
      <c r="J2579" s="996">
        <f t="shared" si="56"/>
        <v>-1978</v>
      </c>
      <c r="K2579" s="1037">
        <f t="shared" si="55"/>
        <v>8</v>
      </c>
    </row>
    <row r="2580" spans="1:11" ht="13.9" customHeight="1">
      <c r="A2580" s="1054">
        <v>5225</v>
      </c>
      <c r="B2580" s="1055" t="s">
        <v>893</v>
      </c>
      <c r="C2580" s="1055" t="s">
        <v>137</v>
      </c>
      <c r="D2580" s="1055" t="s">
        <v>893</v>
      </c>
      <c r="E2580" s="1055" t="s">
        <v>893</v>
      </c>
      <c r="F2580" s="1056">
        <v>42789</v>
      </c>
      <c r="G2580" s="1056">
        <v>9245</v>
      </c>
      <c r="H2580" s="1056">
        <v>64</v>
      </c>
      <c r="I2580" s="1056">
        <v>51970</v>
      </c>
      <c r="J2580" s="996">
        <f t="shared" si="56"/>
        <v>-9181</v>
      </c>
      <c r="K2580" s="1037">
        <f t="shared" si="55"/>
        <v>4</v>
      </c>
    </row>
    <row r="2581" spans="1:11" ht="13.9" customHeight="1">
      <c r="A2581" s="1054">
        <v>522510</v>
      </c>
      <c r="B2581" s="1055" t="s">
        <v>893</v>
      </c>
      <c r="C2581" s="1055" t="s">
        <v>582</v>
      </c>
      <c r="D2581" s="1055" t="s">
        <v>893</v>
      </c>
      <c r="E2581" s="1055" t="s">
        <v>893</v>
      </c>
      <c r="F2581" s="1056">
        <v>42789</v>
      </c>
      <c r="G2581" s="1056">
        <v>9245</v>
      </c>
      <c r="H2581" s="1056">
        <v>64</v>
      </c>
      <c r="I2581" s="1056">
        <v>51970</v>
      </c>
      <c r="J2581" s="996">
        <f t="shared" si="56"/>
        <v>-9181</v>
      </c>
      <c r="K2581" s="1037">
        <f t="shared" si="55"/>
        <v>6</v>
      </c>
    </row>
    <row r="2582" spans="1:11" ht="13.9" customHeight="1">
      <c r="A2582" s="1054">
        <v>52251001</v>
      </c>
      <c r="B2582" s="1055" t="s">
        <v>893</v>
      </c>
      <c r="C2582" s="1055" t="s">
        <v>582</v>
      </c>
      <c r="D2582" s="1055" t="s">
        <v>893</v>
      </c>
      <c r="E2582" s="1055" t="s">
        <v>893</v>
      </c>
      <c r="F2582" s="1056">
        <v>42789</v>
      </c>
      <c r="G2582" s="1056">
        <v>9245</v>
      </c>
      <c r="H2582" s="1056">
        <v>64</v>
      </c>
      <c r="I2582" s="1056">
        <v>51970</v>
      </c>
      <c r="J2582" s="996">
        <f t="shared" si="56"/>
        <v>-9181</v>
      </c>
      <c r="K2582" s="1037">
        <f t="shared" si="55"/>
        <v>8</v>
      </c>
    </row>
    <row r="2583" spans="1:11" ht="13.9" customHeight="1">
      <c r="A2583" s="1054">
        <v>52251001</v>
      </c>
      <c r="B2583" s="1055" t="s">
        <v>893</v>
      </c>
      <c r="C2583" s="1055" t="s">
        <v>582</v>
      </c>
      <c r="D2583" s="1055" t="s">
        <v>1187</v>
      </c>
      <c r="E2583" s="1055" t="s">
        <v>1019</v>
      </c>
      <c r="F2583" s="1056">
        <v>1734</v>
      </c>
      <c r="G2583" s="1056">
        <v>347</v>
      </c>
      <c r="H2583" s="1056">
        <v>0</v>
      </c>
      <c r="I2583" s="1056">
        <v>2080</v>
      </c>
      <c r="J2583" s="996">
        <f t="shared" si="56"/>
        <v>-347</v>
      </c>
      <c r="K2583" s="1037">
        <f t="shared" si="55"/>
        <v>8</v>
      </c>
    </row>
    <row r="2584" spans="1:11" ht="13.9" customHeight="1">
      <c r="A2584" s="1054">
        <v>52251001</v>
      </c>
      <c r="B2584" s="1055" t="s">
        <v>893</v>
      </c>
      <c r="C2584" s="1055" t="s">
        <v>582</v>
      </c>
      <c r="D2584" s="1055" t="s">
        <v>1224</v>
      </c>
      <c r="E2584" s="1055" t="s">
        <v>1225</v>
      </c>
      <c r="F2584" s="1056">
        <v>1858</v>
      </c>
      <c r="G2584" s="1056">
        <v>466</v>
      </c>
      <c r="H2584" s="1056">
        <v>0</v>
      </c>
      <c r="I2584" s="1056">
        <v>2324</v>
      </c>
      <c r="J2584" s="996">
        <f t="shared" si="56"/>
        <v>-466</v>
      </c>
      <c r="K2584" s="1037">
        <f t="shared" si="55"/>
        <v>8</v>
      </c>
    </row>
    <row r="2585" spans="1:11" ht="13.9" customHeight="1">
      <c r="A2585" s="1054">
        <v>52251001</v>
      </c>
      <c r="B2585" s="1055" t="s">
        <v>893</v>
      </c>
      <c r="C2585" s="1055" t="s">
        <v>582</v>
      </c>
      <c r="D2585" s="1055" t="s">
        <v>1491</v>
      </c>
      <c r="E2585" s="1055" t="s">
        <v>1492</v>
      </c>
      <c r="F2585" s="1056">
        <v>2893</v>
      </c>
      <c r="G2585" s="1056">
        <v>1046</v>
      </c>
      <c r="H2585" s="1056">
        <v>0</v>
      </c>
      <c r="I2585" s="1056">
        <v>3939</v>
      </c>
      <c r="J2585" s="996">
        <f t="shared" si="56"/>
        <v>-1046</v>
      </c>
      <c r="K2585" s="1037">
        <f t="shared" si="55"/>
        <v>8</v>
      </c>
    </row>
    <row r="2586" spans="1:11" ht="13.9" customHeight="1">
      <c r="A2586" s="1054">
        <v>52251001</v>
      </c>
      <c r="B2586" s="1055" t="s">
        <v>893</v>
      </c>
      <c r="C2586" s="1055" t="s">
        <v>582</v>
      </c>
      <c r="D2586" s="1055" t="s">
        <v>1046</v>
      </c>
      <c r="E2586" s="1055" t="s">
        <v>1026</v>
      </c>
      <c r="F2586" s="1056">
        <v>28</v>
      </c>
      <c r="G2586" s="1056">
        <v>640</v>
      </c>
      <c r="H2586" s="1056">
        <v>0</v>
      </c>
      <c r="I2586" s="1056">
        <v>668</v>
      </c>
      <c r="J2586" s="996">
        <f t="shared" si="56"/>
        <v>-640</v>
      </c>
      <c r="K2586" s="1037">
        <f t="shared" si="55"/>
        <v>8</v>
      </c>
    </row>
    <row r="2587" spans="1:11" ht="13.9" customHeight="1">
      <c r="A2587" s="1054">
        <v>52251001</v>
      </c>
      <c r="B2587" s="1055" t="s">
        <v>893</v>
      </c>
      <c r="C2587" s="1055" t="s">
        <v>582</v>
      </c>
      <c r="D2587" s="1055" t="s">
        <v>1215</v>
      </c>
      <c r="E2587" s="1055" t="s">
        <v>1216</v>
      </c>
      <c r="F2587" s="1056">
        <v>3199</v>
      </c>
      <c r="G2587" s="1056">
        <v>64</v>
      </c>
      <c r="H2587" s="1056">
        <v>64</v>
      </c>
      <c r="I2587" s="1056">
        <v>3199</v>
      </c>
      <c r="J2587" s="996">
        <f t="shared" si="56"/>
        <v>0</v>
      </c>
      <c r="K2587" s="1037">
        <f t="shared" si="55"/>
        <v>8</v>
      </c>
    </row>
    <row r="2588" spans="1:11" ht="13.9" customHeight="1">
      <c r="A2588" s="1054">
        <v>52251001</v>
      </c>
      <c r="B2588" s="1055" t="s">
        <v>893</v>
      </c>
      <c r="C2588" s="1055" t="s">
        <v>582</v>
      </c>
      <c r="D2588" s="1055" t="s">
        <v>1217</v>
      </c>
      <c r="E2588" s="1055" t="s">
        <v>1218</v>
      </c>
      <c r="F2588" s="1056">
        <v>2635</v>
      </c>
      <c r="G2588" s="1056">
        <v>527</v>
      </c>
      <c r="H2588" s="1056">
        <v>0</v>
      </c>
      <c r="I2588" s="1056">
        <v>3161</v>
      </c>
      <c r="J2588" s="996">
        <f t="shared" si="56"/>
        <v>-527</v>
      </c>
      <c r="K2588" s="1037">
        <f t="shared" si="55"/>
        <v>8</v>
      </c>
    </row>
    <row r="2589" spans="1:11" ht="13.9" customHeight="1">
      <c r="A2589" s="1054">
        <v>52251001</v>
      </c>
      <c r="B2589" s="1055" t="s">
        <v>893</v>
      </c>
      <c r="C2589" s="1055" t="s">
        <v>582</v>
      </c>
      <c r="D2589" s="1055" t="s">
        <v>1170</v>
      </c>
      <c r="E2589" s="1055" t="s">
        <v>696</v>
      </c>
      <c r="F2589" s="1056">
        <v>9183</v>
      </c>
      <c r="G2589" s="1056">
        <v>1835</v>
      </c>
      <c r="H2589" s="1056">
        <v>0</v>
      </c>
      <c r="I2589" s="1056">
        <v>11018</v>
      </c>
      <c r="J2589" s="996">
        <f t="shared" si="56"/>
        <v>-1835</v>
      </c>
      <c r="K2589" s="1037">
        <f t="shared" si="55"/>
        <v>8</v>
      </c>
    </row>
    <row r="2590" spans="1:11" ht="13.9" customHeight="1">
      <c r="A2590" s="1054">
        <v>52251001</v>
      </c>
      <c r="B2590" s="1055" t="s">
        <v>893</v>
      </c>
      <c r="C2590" s="1055" t="s">
        <v>582</v>
      </c>
      <c r="D2590" s="1055" t="s">
        <v>1036</v>
      </c>
      <c r="E2590" s="1055" t="s">
        <v>1037</v>
      </c>
      <c r="F2590" s="1056">
        <v>10933</v>
      </c>
      <c r="G2590" s="1056">
        <v>2187</v>
      </c>
      <c r="H2590" s="1056">
        <v>0</v>
      </c>
      <c r="I2590" s="1056">
        <v>13120</v>
      </c>
      <c r="J2590" s="996">
        <f t="shared" si="56"/>
        <v>-2187</v>
      </c>
      <c r="K2590" s="1037">
        <f t="shared" si="55"/>
        <v>8</v>
      </c>
    </row>
    <row r="2591" spans="1:11" ht="13.9" customHeight="1">
      <c r="A2591" s="1054">
        <v>52251001</v>
      </c>
      <c r="B2591" s="1055" t="s">
        <v>893</v>
      </c>
      <c r="C2591" s="1055" t="s">
        <v>582</v>
      </c>
      <c r="D2591" s="1055" t="s">
        <v>1209</v>
      </c>
      <c r="E2591" s="1055" t="s">
        <v>1029</v>
      </c>
      <c r="F2591" s="1056">
        <v>10327</v>
      </c>
      <c r="G2591" s="1056">
        <v>2133</v>
      </c>
      <c r="H2591" s="1056">
        <v>0</v>
      </c>
      <c r="I2591" s="1056">
        <v>12460</v>
      </c>
      <c r="J2591" s="996">
        <f t="shared" si="56"/>
        <v>-2133</v>
      </c>
      <c r="K2591" s="1037">
        <f t="shared" si="55"/>
        <v>8</v>
      </c>
    </row>
    <row r="2592" spans="1:11" ht="13.9" customHeight="1">
      <c r="A2592" s="1054">
        <v>5230</v>
      </c>
      <c r="B2592" s="1055" t="s">
        <v>893</v>
      </c>
      <c r="C2592" s="1055" t="s">
        <v>138</v>
      </c>
      <c r="D2592" s="1055" t="s">
        <v>893</v>
      </c>
      <c r="E2592" s="1055" t="s">
        <v>893</v>
      </c>
      <c r="F2592" s="1056">
        <v>2176</v>
      </c>
      <c r="G2592" s="1056">
        <v>0</v>
      </c>
      <c r="H2592" s="1056">
        <v>0</v>
      </c>
      <c r="I2592" s="1056">
        <v>2176</v>
      </c>
      <c r="J2592" s="996">
        <f t="shared" si="56"/>
        <v>0</v>
      </c>
      <c r="K2592" s="1037">
        <f t="shared" si="55"/>
        <v>4</v>
      </c>
    </row>
    <row r="2593" spans="1:11" ht="13.9" customHeight="1">
      <c r="A2593" s="1054">
        <v>523095</v>
      </c>
      <c r="B2593" s="1055" t="s">
        <v>893</v>
      </c>
      <c r="C2593" s="1055" t="s">
        <v>323</v>
      </c>
      <c r="D2593" s="1055" t="s">
        <v>893</v>
      </c>
      <c r="E2593" s="1055" t="s">
        <v>893</v>
      </c>
      <c r="F2593" s="1056">
        <v>2176</v>
      </c>
      <c r="G2593" s="1056">
        <v>0</v>
      </c>
      <c r="H2593" s="1056">
        <v>0</v>
      </c>
      <c r="I2593" s="1056">
        <v>2176</v>
      </c>
      <c r="J2593" s="996">
        <f t="shared" si="56"/>
        <v>0</v>
      </c>
      <c r="K2593" s="1037">
        <f t="shared" si="55"/>
        <v>6</v>
      </c>
    </row>
    <row r="2594" spans="1:11" ht="13.9" customHeight="1">
      <c r="A2594" s="1054">
        <v>52309501</v>
      </c>
      <c r="B2594" s="1055" t="s">
        <v>893</v>
      </c>
      <c r="C2594" s="1055" t="s">
        <v>323</v>
      </c>
      <c r="D2594" s="1055" t="s">
        <v>893</v>
      </c>
      <c r="E2594" s="1055" t="s">
        <v>893</v>
      </c>
      <c r="F2594" s="1056">
        <v>2176</v>
      </c>
      <c r="G2594" s="1056">
        <v>0</v>
      </c>
      <c r="H2594" s="1056">
        <v>0</v>
      </c>
      <c r="I2594" s="1056">
        <v>2176</v>
      </c>
      <c r="J2594" s="996">
        <f t="shared" si="56"/>
        <v>0</v>
      </c>
      <c r="K2594" s="1037">
        <f t="shared" si="55"/>
        <v>8</v>
      </c>
    </row>
    <row r="2595" spans="1:11" ht="13.9" customHeight="1">
      <c r="A2595" s="1054">
        <v>52309501</v>
      </c>
      <c r="B2595" s="1055" t="s">
        <v>893</v>
      </c>
      <c r="C2595" s="1055" t="s">
        <v>323</v>
      </c>
      <c r="D2595" s="1055" t="s">
        <v>1234</v>
      </c>
      <c r="E2595" s="1055" t="s">
        <v>913</v>
      </c>
      <c r="F2595" s="1056">
        <v>752</v>
      </c>
      <c r="G2595" s="1056">
        <v>0</v>
      </c>
      <c r="H2595" s="1056">
        <v>0</v>
      </c>
      <c r="I2595" s="1056">
        <v>752</v>
      </c>
      <c r="J2595" s="996">
        <f t="shared" si="56"/>
        <v>0</v>
      </c>
      <c r="K2595" s="1037">
        <f t="shared" si="55"/>
        <v>8</v>
      </c>
    </row>
    <row r="2596" spans="1:11" ht="13.9" customHeight="1">
      <c r="A2596" s="1054">
        <v>52309501</v>
      </c>
      <c r="B2596" s="1055" t="s">
        <v>893</v>
      </c>
      <c r="C2596" s="1055" t="s">
        <v>323</v>
      </c>
      <c r="D2596" s="1055" t="s">
        <v>1691</v>
      </c>
      <c r="E2596" s="1055" t="s">
        <v>1692</v>
      </c>
      <c r="F2596" s="1056">
        <v>1424</v>
      </c>
      <c r="G2596" s="1056">
        <v>0</v>
      </c>
      <c r="H2596" s="1056">
        <v>0</v>
      </c>
      <c r="I2596" s="1056">
        <v>1424</v>
      </c>
      <c r="J2596" s="996">
        <f t="shared" si="56"/>
        <v>0</v>
      </c>
      <c r="K2596" s="1037">
        <f t="shared" si="55"/>
        <v>8</v>
      </c>
    </row>
    <row r="2597" spans="1:11" ht="13.9" customHeight="1">
      <c r="A2597" s="1054">
        <v>5235</v>
      </c>
      <c r="B2597" s="1055" t="s">
        <v>893</v>
      </c>
      <c r="C2597" s="1055" t="s">
        <v>118</v>
      </c>
      <c r="D2597" s="1055" t="s">
        <v>893</v>
      </c>
      <c r="E2597" s="1055" t="s">
        <v>893</v>
      </c>
      <c r="F2597" s="1056">
        <v>245668</v>
      </c>
      <c r="G2597" s="1056">
        <v>36688</v>
      </c>
      <c r="H2597" s="1056">
        <v>10</v>
      </c>
      <c r="I2597" s="1056">
        <v>282346</v>
      </c>
      <c r="J2597" s="996">
        <f t="shared" si="56"/>
        <v>-36678</v>
      </c>
      <c r="K2597" s="1037">
        <f t="shared" si="55"/>
        <v>4</v>
      </c>
    </row>
    <row r="2598" spans="1:11" ht="13.9" customHeight="1">
      <c r="A2598" s="1054">
        <v>523505</v>
      </c>
      <c r="B2598" s="1055" t="s">
        <v>893</v>
      </c>
      <c r="C2598" s="1055" t="s">
        <v>387</v>
      </c>
      <c r="D2598" s="1055" t="s">
        <v>893</v>
      </c>
      <c r="E2598" s="1055" t="s">
        <v>893</v>
      </c>
      <c r="F2598" s="1056">
        <v>4351</v>
      </c>
      <c r="G2598" s="1056">
        <v>906</v>
      </c>
      <c r="H2598" s="1056">
        <v>0</v>
      </c>
      <c r="I2598" s="1056">
        <v>5257</v>
      </c>
      <c r="J2598" s="996">
        <f t="shared" si="56"/>
        <v>-906</v>
      </c>
      <c r="K2598" s="1037">
        <f t="shared" si="55"/>
        <v>6</v>
      </c>
    </row>
    <row r="2599" spans="1:11" ht="13.9" customHeight="1">
      <c r="A2599" s="1054">
        <v>52350501</v>
      </c>
      <c r="B2599" s="1055" t="s">
        <v>893</v>
      </c>
      <c r="C2599" s="1055" t="s">
        <v>387</v>
      </c>
      <c r="D2599" s="1055" t="s">
        <v>893</v>
      </c>
      <c r="E2599" s="1055" t="s">
        <v>893</v>
      </c>
      <c r="F2599" s="1056">
        <v>4351</v>
      </c>
      <c r="G2599" s="1056">
        <v>906</v>
      </c>
      <c r="H2599" s="1056">
        <v>0</v>
      </c>
      <c r="I2599" s="1056">
        <v>5257</v>
      </c>
      <c r="J2599" s="996">
        <f t="shared" si="56"/>
        <v>-906</v>
      </c>
      <c r="K2599" s="1037">
        <f t="shared" si="55"/>
        <v>8</v>
      </c>
    </row>
    <row r="2600" spans="1:11" ht="13.9" customHeight="1">
      <c r="A2600" s="1054">
        <v>52350501</v>
      </c>
      <c r="B2600" s="1055" t="s">
        <v>893</v>
      </c>
      <c r="C2600" s="1055" t="s">
        <v>387</v>
      </c>
      <c r="D2600" s="1055" t="s">
        <v>1186</v>
      </c>
      <c r="E2600" s="1055" t="s">
        <v>1018</v>
      </c>
      <c r="F2600" s="1056">
        <v>145</v>
      </c>
      <c r="G2600" s="1056">
        <v>31</v>
      </c>
      <c r="H2600" s="1056">
        <v>0</v>
      </c>
      <c r="I2600" s="1056">
        <v>176</v>
      </c>
      <c r="J2600" s="996">
        <f t="shared" si="56"/>
        <v>-31</v>
      </c>
      <c r="K2600" s="1037">
        <f t="shared" si="55"/>
        <v>8</v>
      </c>
    </row>
    <row r="2601" spans="1:11" ht="13.9" customHeight="1">
      <c r="A2601" s="1054">
        <v>52350501</v>
      </c>
      <c r="B2601" s="1055" t="s">
        <v>893</v>
      </c>
      <c r="C2601" s="1055" t="s">
        <v>387</v>
      </c>
      <c r="D2601" s="1055" t="s">
        <v>1187</v>
      </c>
      <c r="E2601" s="1055" t="s">
        <v>1019</v>
      </c>
      <c r="F2601" s="1056">
        <v>1304</v>
      </c>
      <c r="G2601" s="1056">
        <v>261</v>
      </c>
      <c r="H2601" s="1056">
        <v>0</v>
      </c>
      <c r="I2601" s="1056">
        <v>1565</v>
      </c>
      <c r="J2601" s="996">
        <f t="shared" si="56"/>
        <v>-261</v>
      </c>
      <c r="K2601" s="1037">
        <f t="shared" si="55"/>
        <v>8</v>
      </c>
    </row>
    <row r="2602" spans="1:11" ht="13.9" customHeight="1">
      <c r="A2602" s="1054">
        <v>52350501</v>
      </c>
      <c r="B2602" s="1055" t="s">
        <v>893</v>
      </c>
      <c r="C2602" s="1055" t="s">
        <v>387</v>
      </c>
      <c r="D2602" s="1055" t="s">
        <v>1191</v>
      </c>
      <c r="E2602" s="1055" t="s">
        <v>1021</v>
      </c>
      <c r="F2602" s="1056">
        <v>2797</v>
      </c>
      <c r="G2602" s="1056">
        <v>590</v>
      </c>
      <c r="H2602" s="1056">
        <v>0</v>
      </c>
      <c r="I2602" s="1056">
        <v>3386</v>
      </c>
      <c r="J2602" s="996">
        <f t="shared" si="56"/>
        <v>-590</v>
      </c>
      <c r="K2602" s="1037">
        <f t="shared" si="55"/>
        <v>8</v>
      </c>
    </row>
    <row r="2603" spans="1:11" ht="13.9" customHeight="1">
      <c r="A2603" s="1054">
        <v>52350501</v>
      </c>
      <c r="B2603" s="1055" t="s">
        <v>893</v>
      </c>
      <c r="C2603" s="1055" t="s">
        <v>387</v>
      </c>
      <c r="D2603" s="1055" t="s">
        <v>1200</v>
      </c>
      <c r="E2603" s="1055" t="s">
        <v>1025</v>
      </c>
      <c r="F2603" s="1056">
        <v>105</v>
      </c>
      <c r="G2603" s="1056">
        <v>19</v>
      </c>
      <c r="H2603" s="1056">
        <v>0</v>
      </c>
      <c r="I2603" s="1056">
        <v>124</v>
      </c>
      <c r="J2603" s="996">
        <f t="shared" si="56"/>
        <v>-19</v>
      </c>
      <c r="K2603" s="1037">
        <f t="shared" si="55"/>
        <v>8</v>
      </c>
    </row>
    <row r="2604" spans="1:11" ht="13.9" customHeight="1">
      <c r="A2604" s="1054">
        <v>52350501</v>
      </c>
      <c r="B2604" s="1055" t="s">
        <v>893</v>
      </c>
      <c r="C2604" s="1055" t="s">
        <v>387</v>
      </c>
      <c r="D2604" s="1055" t="s">
        <v>1238</v>
      </c>
      <c r="E2604" s="1055" t="s">
        <v>1239</v>
      </c>
      <c r="F2604" s="1056">
        <v>0</v>
      </c>
      <c r="G2604" s="1056">
        <v>5</v>
      </c>
      <c r="H2604" s="1056">
        <v>0</v>
      </c>
      <c r="I2604" s="1056">
        <v>5</v>
      </c>
      <c r="J2604" s="996">
        <f t="shared" si="56"/>
        <v>-5</v>
      </c>
      <c r="K2604" s="1037">
        <f t="shared" si="55"/>
        <v>8</v>
      </c>
    </row>
    <row r="2605" spans="1:11" ht="13.9" customHeight="1">
      <c r="A2605" s="1054">
        <v>523515</v>
      </c>
      <c r="B2605" s="1055" t="s">
        <v>893</v>
      </c>
      <c r="C2605" s="1055" t="s">
        <v>1591</v>
      </c>
      <c r="D2605" s="1055" t="s">
        <v>893</v>
      </c>
      <c r="E2605" s="1055" t="s">
        <v>893</v>
      </c>
      <c r="F2605" s="1056">
        <v>60</v>
      </c>
      <c r="G2605" s="1056">
        <v>0</v>
      </c>
      <c r="H2605" s="1056">
        <v>0</v>
      </c>
      <c r="I2605" s="1056">
        <v>60</v>
      </c>
      <c r="J2605" s="996">
        <f t="shared" si="56"/>
        <v>0</v>
      </c>
      <c r="K2605" s="1037">
        <f t="shared" si="55"/>
        <v>6</v>
      </c>
    </row>
    <row r="2606" spans="1:11" ht="13.9" customHeight="1">
      <c r="A2606" s="1054">
        <v>52351501</v>
      </c>
      <c r="B2606" s="1055" t="s">
        <v>893</v>
      </c>
      <c r="C2606" s="1055" t="s">
        <v>1591</v>
      </c>
      <c r="D2606" s="1055" t="s">
        <v>893</v>
      </c>
      <c r="E2606" s="1055" t="s">
        <v>893</v>
      </c>
      <c r="F2606" s="1056">
        <v>60</v>
      </c>
      <c r="G2606" s="1056">
        <v>0</v>
      </c>
      <c r="H2606" s="1056">
        <v>0</v>
      </c>
      <c r="I2606" s="1056">
        <v>60</v>
      </c>
      <c r="J2606" s="996">
        <f t="shared" si="56"/>
        <v>0</v>
      </c>
      <c r="K2606" s="1037">
        <f t="shared" ref="K2606:K2669" si="57">+LEN(A2606)</f>
        <v>8</v>
      </c>
    </row>
    <row r="2607" spans="1:11" ht="13.9" customHeight="1">
      <c r="A2607" s="1054">
        <v>52351501</v>
      </c>
      <c r="B2607" s="1055" t="s">
        <v>893</v>
      </c>
      <c r="C2607" s="1055" t="s">
        <v>1591</v>
      </c>
      <c r="D2607" s="1055" t="s">
        <v>1294</v>
      </c>
      <c r="E2607" s="1055" t="s">
        <v>779</v>
      </c>
      <c r="F2607" s="1056">
        <v>60</v>
      </c>
      <c r="G2607" s="1056">
        <v>0</v>
      </c>
      <c r="H2607" s="1056">
        <v>0</v>
      </c>
      <c r="I2607" s="1056">
        <v>60</v>
      </c>
      <c r="J2607" s="996">
        <f t="shared" si="56"/>
        <v>0</v>
      </c>
      <c r="K2607" s="1037">
        <f t="shared" si="57"/>
        <v>8</v>
      </c>
    </row>
    <row r="2608" spans="1:11" ht="13.9" customHeight="1">
      <c r="A2608" s="1054">
        <v>523520</v>
      </c>
      <c r="B2608" s="1055" t="s">
        <v>893</v>
      </c>
      <c r="C2608" s="1055" t="s">
        <v>389</v>
      </c>
      <c r="D2608" s="1055" t="s">
        <v>893</v>
      </c>
      <c r="E2608" s="1055" t="s">
        <v>893</v>
      </c>
      <c r="F2608" s="1056">
        <v>17548</v>
      </c>
      <c r="G2608" s="1056">
        <v>3171</v>
      </c>
      <c r="H2608" s="1056">
        <v>0</v>
      </c>
      <c r="I2608" s="1056">
        <v>20719</v>
      </c>
      <c r="J2608" s="996">
        <f t="shared" si="56"/>
        <v>-3171</v>
      </c>
      <c r="K2608" s="1037">
        <f t="shared" si="57"/>
        <v>6</v>
      </c>
    </row>
    <row r="2609" spans="1:11" ht="13.9" customHeight="1">
      <c r="A2609" s="1054">
        <v>52352001</v>
      </c>
      <c r="B2609" s="1055" t="s">
        <v>893</v>
      </c>
      <c r="C2609" s="1055" t="s">
        <v>389</v>
      </c>
      <c r="D2609" s="1055" t="s">
        <v>893</v>
      </c>
      <c r="E2609" s="1055" t="s">
        <v>893</v>
      </c>
      <c r="F2609" s="1056">
        <v>17548</v>
      </c>
      <c r="G2609" s="1056">
        <v>3171</v>
      </c>
      <c r="H2609" s="1056">
        <v>0</v>
      </c>
      <c r="I2609" s="1056">
        <v>20719</v>
      </c>
      <c r="J2609" s="996">
        <f t="shared" si="56"/>
        <v>-3171</v>
      </c>
      <c r="K2609" s="1037">
        <f t="shared" si="57"/>
        <v>8</v>
      </c>
    </row>
    <row r="2610" spans="1:11" ht="13.9" customHeight="1">
      <c r="A2610" s="1054">
        <v>52352001</v>
      </c>
      <c r="B2610" s="1055" t="s">
        <v>893</v>
      </c>
      <c r="C2610" s="1055" t="s">
        <v>389</v>
      </c>
      <c r="D2610" s="1055" t="s">
        <v>1608</v>
      </c>
      <c r="E2610" s="1055" t="s">
        <v>1609</v>
      </c>
      <c r="F2610" s="1056">
        <v>525</v>
      </c>
      <c r="G2610" s="1056">
        <v>0</v>
      </c>
      <c r="H2610" s="1056">
        <v>0</v>
      </c>
      <c r="I2610" s="1056">
        <v>525</v>
      </c>
      <c r="J2610" s="996">
        <f t="shared" si="56"/>
        <v>0</v>
      </c>
      <c r="K2610" s="1037">
        <f t="shared" si="57"/>
        <v>8</v>
      </c>
    </row>
    <row r="2611" spans="1:11" ht="13.9" customHeight="1">
      <c r="A2611" s="1054">
        <v>52352001</v>
      </c>
      <c r="B2611" s="1055" t="s">
        <v>893</v>
      </c>
      <c r="C2611" s="1055" t="s">
        <v>389</v>
      </c>
      <c r="D2611" s="1055" t="s">
        <v>1204</v>
      </c>
      <c r="E2611" s="1055" t="s">
        <v>427</v>
      </c>
      <c r="F2611" s="1056">
        <v>696</v>
      </c>
      <c r="G2611" s="1056">
        <v>146</v>
      </c>
      <c r="H2611" s="1056">
        <v>0</v>
      </c>
      <c r="I2611" s="1056">
        <v>842</v>
      </c>
      <c r="J2611" s="996">
        <f t="shared" si="56"/>
        <v>-146</v>
      </c>
      <c r="K2611" s="1037">
        <f t="shared" si="57"/>
        <v>8</v>
      </c>
    </row>
    <row r="2612" spans="1:11" ht="13.9" customHeight="1">
      <c r="A2612" s="1054">
        <v>52352001</v>
      </c>
      <c r="B2612" s="1055" t="s">
        <v>893</v>
      </c>
      <c r="C2612" s="1055" t="s">
        <v>389</v>
      </c>
      <c r="D2612" s="1055" t="s">
        <v>1205</v>
      </c>
      <c r="E2612" s="1055" t="s">
        <v>328</v>
      </c>
      <c r="F2612" s="1056">
        <v>15128</v>
      </c>
      <c r="G2612" s="1056">
        <v>3026</v>
      </c>
      <c r="H2612" s="1056">
        <v>0</v>
      </c>
      <c r="I2612" s="1056">
        <v>18153</v>
      </c>
      <c r="J2612" s="996">
        <f t="shared" si="56"/>
        <v>-3026</v>
      </c>
      <c r="K2612" s="1037">
        <f t="shared" si="57"/>
        <v>8</v>
      </c>
    </row>
    <row r="2613" spans="1:11" ht="13.9" customHeight="1">
      <c r="A2613" s="1054">
        <v>52352001</v>
      </c>
      <c r="B2613" s="1055" t="s">
        <v>893</v>
      </c>
      <c r="C2613" s="1055" t="s">
        <v>389</v>
      </c>
      <c r="D2613" s="1055" t="s">
        <v>1315</v>
      </c>
      <c r="E2613" s="1055" t="s">
        <v>996</v>
      </c>
      <c r="F2613" s="1056">
        <v>1200</v>
      </c>
      <c r="G2613" s="1056">
        <v>0</v>
      </c>
      <c r="H2613" s="1056">
        <v>0</v>
      </c>
      <c r="I2613" s="1056">
        <v>1200</v>
      </c>
      <c r="J2613" s="996">
        <f t="shared" si="56"/>
        <v>0</v>
      </c>
      <c r="K2613" s="1037">
        <f t="shared" si="57"/>
        <v>8</v>
      </c>
    </row>
    <row r="2614" spans="1:11" ht="13.9" customHeight="1">
      <c r="A2614" s="1054">
        <v>523525</v>
      </c>
      <c r="B2614" s="1055" t="s">
        <v>893</v>
      </c>
      <c r="C2614" s="1055" t="s">
        <v>396</v>
      </c>
      <c r="D2614" s="1055" t="s">
        <v>893</v>
      </c>
      <c r="E2614" s="1055" t="s">
        <v>893</v>
      </c>
      <c r="F2614" s="1056">
        <v>7483</v>
      </c>
      <c r="G2614" s="1056">
        <v>1602</v>
      </c>
      <c r="H2614" s="1056">
        <v>0</v>
      </c>
      <c r="I2614" s="1056">
        <v>9085</v>
      </c>
      <c r="J2614" s="996">
        <f t="shared" si="56"/>
        <v>-1602</v>
      </c>
      <c r="K2614" s="1037">
        <f t="shared" si="57"/>
        <v>6</v>
      </c>
    </row>
    <row r="2615" spans="1:11" ht="13.9" customHeight="1">
      <c r="A2615" s="1054">
        <v>52352501</v>
      </c>
      <c r="B2615" s="1055" t="s">
        <v>893</v>
      </c>
      <c r="C2615" s="1055" t="s">
        <v>396</v>
      </c>
      <c r="D2615" s="1055" t="s">
        <v>893</v>
      </c>
      <c r="E2615" s="1055" t="s">
        <v>893</v>
      </c>
      <c r="F2615" s="1056">
        <v>7483</v>
      </c>
      <c r="G2615" s="1056">
        <v>1602</v>
      </c>
      <c r="H2615" s="1056">
        <v>0</v>
      </c>
      <c r="I2615" s="1056">
        <v>9085</v>
      </c>
      <c r="J2615" s="996">
        <f t="shared" si="56"/>
        <v>-1602</v>
      </c>
      <c r="K2615" s="1037">
        <f t="shared" si="57"/>
        <v>8</v>
      </c>
    </row>
    <row r="2616" spans="1:11" ht="13.9" customHeight="1">
      <c r="A2616" s="1054">
        <v>52352501</v>
      </c>
      <c r="B2616" s="1055" t="s">
        <v>893</v>
      </c>
      <c r="C2616" s="1055" t="s">
        <v>396</v>
      </c>
      <c r="D2616" s="1055" t="s">
        <v>1295</v>
      </c>
      <c r="E2616" s="1055" t="s">
        <v>963</v>
      </c>
      <c r="F2616" s="1056">
        <v>447</v>
      </c>
      <c r="G2616" s="1056">
        <v>105</v>
      </c>
      <c r="H2616" s="1056">
        <v>0</v>
      </c>
      <c r="I2616" s="1056">
        <v>552</v>
      </c>
      <c r="J2616" s="996">
        <f t="shared" si="56"/>
        <v>-105</v>
      </c>
      <c r="K2616" s="1037">
        <f t="shared" si="57"/>
        <v>8</v>
      </c>
    </row>
    <row r="2617" spans="1:11" ht="13.9" customHeight="1">
      <c r="A2617" s="1054">
        <v>52352501</v>
      </c>
      <c r="B2617" s="1055" t="s">
        <v>893</v>
      </c>
      <c r="C2617" s="1055" t="s">
        <v>396</v>
      </c>
      <c r="D2617" s="1055" t="s">
        <v>1191</v>
      </c>
      <c r="E2617" s="1055" t="s">
        <v>1021</v>
      </c>
      <c r="F2617" s="1056">
        <v>7036</v>
      </c>
      <c r="G2617" s="1056">
        <v>1497</v>
      </c>
      <c r="H2617" s="1056">
        <v>0</v>
      </c>
      <c r="I2617" s="1056">
        <v>8533</v>
      </c>
      <c r="J2617" s="996">
        <f t="shared" si="56"/>
        <v>-1497</v>
      </c>
      <c r="K2617" s="1037">
        <f t="shared" si="57"/>
        <v>8</v>
      </c>
    </row>
    <row r="2618" spans="1:11" ht="13.9" customHeight="1">
      <c r="A2618" s="1054">
        <v>523530</v>
      </c>
      <c r="B2618" s="1055" t="s">
        <v>893</v>
      </c>
      <c r="C2618" s="1055" t="s">
        <v>390</v>
      </c>
      <c r="D2618" s="1055" t="s">
        <v>893</v>
      </c>
      <c r="E2618" s="1055" t="s">
        <v>893</v>
      </c>
      <c r="F2618" s="1056">
        <v>70603</v>
      </c>
      <c r="G2618" s="1056">
        <v>14094</v>
      </c>
      <c r="H2618" s="1056">
        <v>0</v>
      </c>
      <c r="I2618" s="1056">
        <v>84697</v>
      </c>
      <c r="J2618" s="996">
        <f t="shared" si="56"/>
        <v>-14094</v>
      </c>
      <c r="K2618" s="1037">
        <f t="shared" si="57"/>
        <v>6</v>
      </c>
    </row>
    <row r="2619" spans="1:11" ht="13.9" customHeight="1">
      <c r="A2619" s="1054">
        <v>52353001</v>
      </c>
      <c r="B2619" s="1055" t="s">
        <v>893</v>
      </c>
      <c r="C2619" s="1055" t="s">
        <v>390</v>
      </c>
      <c r="D2619" s="1055" t="s">
        <v>893</v>
      </c>
      <c r="E2619" s="1055" t="s">
        <v>893</v>
      </c>
      <c r="F2619" s="1056">
        <v>70603</v>
      </c>
      <c r="G2619" s="1056">
        <v>14094</v>
      </c>
      <c r="H2619" s="1056">
        <v>0</v>
      </c>
      <c r="I2619" s="1056">
        <v>84697</v>
      </c>
      <c r="J2619" s="996">
        <f t="shared" si="56"/>
        <v>-14094</v>
      </c>
      <c r="K2619" s="1037">
        <f t="shared" si="57"/>
        <v>8</v>
      </c>
    </row>
    <row r="2620" spans="1:11" ht="13.9" customHeight="1">
      <c r="A2620" s="1054">
        <v>52353001</v>
      </c>
      <c r="B2620" s="1055" t="s">
        <v>893</v>
      </c>
      <c r="C2620" s="1055" t="s">
        <v>390</v>
      </c>
      <c r="D2620" s="1055" t="s">
        <v>1295</v>
      </c>
      <c r="E2620" s="1055" t="s">
        <v>963</v>
      </c>
      <c r="F2620" s="1056">
        <v>7075</v>
      </c>
      <c r="G2620" s="1056">
        <v>1146</v>
      </c>
      <c r="H2620" s="1056">
        <v>0</v>
      </c>
      <c r="I2620" s="1056">
        <v>8220</v>
      </c>
      <c r="J2620" s="996">
        <f t="shared" si="56"/>
        <v>-1146</v>
      </c>
      <c r="K2620" s="1037">
        <f t="shared" si="57"/>
        <v>8</v>
      </c>
    </row>
    <row r="2621" spans="1:11" ht="13.9" customHeight="1">
      <c r="A2621" s="1054">
        <v>52353001</v>
      </c>
      <c r="B2621" s="1055" t="s">
        <v>893</v>
      </c>
      <c r="C2621" s="1055" t="s">
        <v>390</v>
      </c>
      <c r="D2621" s="1055" t="s">
        <v>1313</v>
      </c>
      <c r="E2621" s="1055" t="s">
        <v>1020</v>
      </c>
      <c r="F2621" s="1056">
        <v>8409</v>
      </c>
      <c r="G2621" s="1056">
        <v>1741</v>
      </c>
      <c r="H2621" s="1056">
        <v>0</v>
      </c>
      <c r="I2621" s="1056">
        <v>10150</v>
      </c>
      <c r="J2621" s="996">
        <f t="shared" si="56"/>
        <v>-1741</v>
      </c>
      <c r="K2621" s="1037">
        <f t="shared" si="57"/>
        <v>8</v>
      </c>
    </row>
    <row r="2622" spans="1:11" ht="13.9" customHeight="1">
      <c r="A2622" s="1054">
        <v>52353001</v>
      </c>
      <c r="B2622" s="1055" t="s">
        <v>893</v>
      </c>
      <c r="C2622" s="1055" t="s">
        <v>390</v>
      </c>
      <c r="D2622" s="1055" t="s">
        <v>1191</v>
      </c>
      <c r="E2622" s="1055" t="s">
        <v>1021</v>
      </c>
      <c r="F2622" s="1056">
        <v>55119</v>
      </c>
      <c r="G2622" s="1056">
        <v>11208</v>
      </c>
      <c r="H2622" s="1056">
        <v>0</v>
      </c>
      <c r="I2622" s="1056">
        <v>66327</v>
      </c>
      <c r="J2622" s="996">
        <f t="shared" si="56"/>
        <v>-11208</v>
      </c>
      <c r="K2622" s="1037">
        <f t="shared" si="57"/>
        <v>8</v>
      </c>
    </row>
    <row r="2623" spans="1:11" ht="13.9" customHeight="1">
      <c r="A2623" s="1054">
        <v>523535</v>
      </c>
      <c r="B2623" s="1055" t="s">
        <v>893</v>
      </c>
      <c r="C2623" s="1055" t="s">
        <v>773</v>
      </c>
      <c r="D2623" s="1055" t="s">
        <v>893</v>
      </c>
      <c r="E2623" s="1055" t="s">
        <v>893</v>
      </c>
      <c r="F2623" s="1056">
        <v>1116</v>
      </c>
      <c r="G2623" s="1056">
        <v>0</v>
      </c>
      <c r="H2623" s="1056">
        <v>0</v>
      </c>
      <c r="I2623" s="1056">
        <v>1116</v>
      </c>
      <c r="J2623" s="996">
        <f t="shared" si="56"/>
        <v>0</v>
      </c>
      <c r="K2623" s="1037">
        <f t="shared" si="57"/>
        <v>6</v>
      </c>
    </row>
    <row r="2624" spans="1:11" ht="13.9" customHeight="1">
      <c r="A2624" s="1054">
        <v>52353502</v>
      </c>
      <c r="B2624" s="1055" t="s">
        <v>1489</v>
      </c>
      <c r="C2624" s="1055" t="s">
        <v>1771</v>
      </c>
      <c r="D2624" s="1055" t="s">
        <v>893</v>
      </c>
      <c r="E2624" s="1055" t="s">
        <v>893</v>
      </c>
      <c r="F2624" s="1056">
        <v>1116</v>
      </c>
      <c r="G2624" s="1056">
        <v>0</v>
      </c>
      <c r="H2624" s="1056">
        <v>0</v>
      </c>
      <c r="I2624" s="1056">
        <v>1116</v>
      </c>
      <c r="J2624" s="996">
        <f t="shared" si="56"/>
        <v>0</v>
      </c>
      <c r="K2624" s="1037">
        <f t="shared" si="57"/>
        <v>8</v>
      </c>
    </row>
    <row r="2625" spans="1:11" ht="13.9" customHeight="1">
      <c r="A2625" s="1054">
        <v>52353502</v>
      </c>
      <c r="B2625" s="1055" t="s">
        <v>1489</v>
      </c>
      <c r="C2625" s="1055" t="s">
        <v>1771</v>
      </c>
      <c r="D2625" s="1055" t="s">
        <v>1177</v>
      </c>
      <c r="E2625" s="1055" t="s">
        <v>1011</v>
      </c>
      <c r="F2625" s="1056">
        <v>296</v>
      </c>
      <c r="G2625" s="1056">
        <v>0</v>
      </c>
      <c r="H2625" s="1056">
        <v>0</v>
      </c>
      <c r="I2625" s="1056">
        <v>296</v>
      </c>
      <c r="J2625" s="996">
        <f t="shared" si="56"/>
        <v>0</v>
      </c>
      <c r="K2625" s="1037">
        <f t="shared" si="57"/>
        <v>8</v>
      </c>
    </row>
    <row r="2626" spans="1:11" ht="13.9" customHeight="1">
      <c r="A2626" s="1054">
        <v>52353502</v>
      </c>
      <c r="B2626" s="1055" t="s">
        <v>1489</v>
      </c>
      <c r="C2626" s="1055" t="s">
        <v>1771</v>
      </c>
      <c r="D2626" s="1055" t="s">
        <v>1560</v>
      </c>
      <c r="E2626" s="1055" t="s">
        <v>1561</v>
      </c>
      <c r="F2626" s="1056">
        <v>820</v>
      </c>
      <c r="G2626" s="1056">
        <v>0</v>
      </c>
      <c r="H2626" s="1056">
        <v>0</v>
      </c>
      <c r="I2626" s="1056">
        <v>820</v>
      </c>
      <c r="J2626" s="996">
        <f t="shared" si="56"/>
        <v>0</v>
      </c>
      <c r="K2626" s="1037">
        <f t="shared" si="57"/>
        <v>8</v>
      </c>
    </row>
    <row r="2627" spans="1:11" ht="13.9" customHeight="1">
      <c r="A2627" s="1054">
        <v>523540</v>
      </c>
      <c r="B2627" s="1055" t="s">
        <v>893</v>
      </c>
      <c r="C2627" s="1055" t="s">
        <v>1903</v>
      </c>
      <c r="D2627" s="1055" t="s">
        <v>893</v>
      </c>
      <c r="E2627" s="1055" t="s">
        <v>893</v>
      </c>
      <c r="F2627" s="1056">
        <v>0</v>
      </c>
      <c r="G2627" s="1056">
        <v>16</v>
      </c>
      <c r="H2627" s="1056">
        <v>0</v>
      </c>
      <c r="I2627" s="1056">
        <v>16</v>
      </c>
      <c r="J2627" s="996">
        <f t="shared" si="56"/>
        <v>-16</v>
      </c>
      <c r="K2627" s="1037">
        <f t="shared" si="57"/>
        <v>6</v>
      </c>
    </row>
    <row r="2628" spans="1:11" ht="13.9" customHeight="1">
      <c r="A2628" s="1054">
        <v>52354002</v>
      </c>
      <c r="B2628" s="1055" t="s">
        <v>893</v>
      </c>
      <c r="C2628" s="1055" t="s">
        <v>1904</v>
      </c>
      <c r="D2628" s="1055" t="s">
        <v>893</v>
      </c>
      <c r="E2628" s="1055" t="s">
        <v>893</v>
      </c>
      <c r="F2628" s="1056">
        <v>0</v>
      </c>
      <c r="G2628" s="1056">
        <v>16</v>
      </c>
      <c r="H2628" s="1056">
        <v>0</v>
      </c>
      <c r="I2628" s="1056">
        <v>16</v>
      </c>
      <c r="J2628" s="996">
        <f t="shared" si="56"/>
        <v>-16</v>
      </c>
      <c r="K2628" s="1037">
        <f t="shared" si="57"/>
        <v>8</v>
      </c>
    </row>
    <row r="2629" spans="1:11" ht="13.9" customHeight="1">
      <c r="A2629" s="1054">
        <v>52354002</v>
      </c>
      <c r="B2629" s="1055" t="s">
        <v>893</v>
      </c>
      <c r="C2629" s="1055" t="s">
        <v>1904</v>
      </c>
      <c r="D2629" s="1055" t="s">
        <v>1885</v>
      </c>
      <c r="E2629" s="1055" t="s">
        <v>1886</v>
      </c>
      <c r="F2629" s="1056">
        <v>0</v>
      </c>
      <c r="G2629" s="1056">
        <v>16</v>
      </c>
      <c r="H2629" s="1056">
        <v>0</v>
      </c>
      <c r="I2629" s="1056">
        <v>16</v>
      </c>
      <c r="J2629" s="996">
        <f t="shared" si="56"/>
        <v>-16</v>
      </c>
      <c r="K2629" s="1037">
        <f t="shared" si="57"/>
        <v>8</v>
      </c>
    </row>
    <row r="2630" spans="1:11" ht="13.9" customHeight="1">
      <c r="A2630" s="1054">
        <v>523550</v>
      </c>
      <c r="B2630" s="1055" t="s">
        <v>893</v>
      </c>
      <c r="C2630" s="1055" t="s">
        <v>366</v>
      </c>
      <c r="D2630" s="1055" t="s">
        <v>893</v>
      </c>
      <c r="E2630" s="1055" t="s">
        <v>893</v>
      </c>
      <c r="F2630" s="1056">
        <v>40009</v>
      </c>
      <c r="G2630" s="1056">
        <v>6278</v>
      </c>
      <c r="H2630" s="1056">
        <v>10</v>
      </c>
      <c r="I2630" s="1056">
        <v>46277</v>
      </c>
      <c r="J2630" s="996">
        <f t="shared" si="56"/>
        <v>-6268</v>
      </c>
      <c r="K2630" s="1037">
        <f t="shared" si="57"/>
        <v>6</v>
      </c>
    </row>
    <row r="2631" spans="1:11" ht="13.9" customHeight="1">
      <c r="A2631" s="1054">
        <v>52355001</v>
      </c>
      <c r="B2631" s="1055" t="s">
        <v>893</v>
      </c>
      <c r="C2631" s="1055" t="s">
        <v>366</v>
      </c>
      <c r="D2631" s="1055" t="s">
        <v>893</v>
      </c>
      <c r="E2631" s="1055" t="s">
        <v>893</v>
      </c>
      <c r="F2631" s="1056">
        <v>40009</v>
      </c>
      <c r="G2631" s="1056">
        <v>6278</v>
      </c>
      <c r="H2631" s="1056">
        <v>10</v>
      </c>
      <c r="I2631" s="1056">
        <v>46277</v>
      </c>
      <c r="J2631" s="996">
        <f t="shared" si="56"/>
        <v>-6268</v>
      </c>
      <c r="K2631" s="1037">
        <f t="shared" si="57"/>
        <v>8</v>
      </c>
    </row>
    <row r="2632" spans="1:11" ht="13.9" customHeight="1">
      <c r="A2632" s="1054">
        <v>52355001</v>
      </c>
      <c r="B2632" s="1055" t="s">
        <v>893</v>
      </c>
      <c r="C2632" s="1055" t="s">
        <v>366</v>
      </c>
      <c r="D2632" s="1055" t="s">
        <v>1887</v>
      </c>
      <c r="E2632" s="1055" t="s">
        <v>1888</v>
      </c>
      <c r="F2632" s="1056">
        <v>0</v>
      </c>
      <c r="G2632" s="1056">
        <v>250</v>
      </c>
      <c r="H2632" s="1056">
        <v>0</v>
      </c>
      <c r="I2632" s="1056">
        <v>250</v>
      </c>
      <c r="J2632" s="996">
        <f t="shared" si="56"/>
        <v>-250</v>
      </c>
      <c r="K2632" s="1037">
        <f t="shared" si="57"/>
        <v>8</v>
      </c>
    </row>
    <row r="2633" spans="1:11" ht="13.9" customHeight="1">
      <c r="A2633" s="1054">
        <v>52355001</v>
      </c>
      <c r="B2633" s="1055" t="s">
        <v>893</v>
      </c>
      <c r="C2633" s="1055" t="s">
        <v>366</v>
      </c>
      <c r="D2633" s="1055" t="s">
        <v>1051</v>
      </c>
      <c r="E2633" s="1055" t="s">
        <v>1052</v>
      </c>
      <c r="F2633" s="1056">
        <v>310</v>
      </c>
      <c r="G2633" s="1056">
        <v>170</v>
      </c>
      <c r="H2633" s="1056">
        <v>0</v>
      </c>
      <c r="I2633" s="1056">
        <v>480</v>
      </c>
      <c r="J2633" s="996">
        <f t="shared" ref="J2633:J2696" si="58">+H2633-G2633</f>
        <v>-170</v>
      </c>
      <c r="K2633" s="1037">
        <f t="shared" si="57"/>
        <v>8</v>
      </c>
    </row>
    <row r="2634" spans="1:11" ht="13.9" customHeight="1">
      <c r="A2634" s="1054">
        <v>52355001</v>
      </c>
      <c r="B2634" s="1055" t="s">
        <v>893</v>
      </c>
      <c r="C2634" s="1055" t="s">
        <v>366</v>
      </c>
      <c r="D2634" s="1055" t="s">
        <v>1182</v>
      </c>
      <c r="E2634" s="1055" t="s">
        <v>521</v>
      </c>
      <c r="F2634" s="1056">
        <v>50</v>
      </c>
      <c r="G2634" s="1056">
        <v>0</v>
      </c>
      <c r="H2634" s="1056">
        <v>0</v>
      </c>
      <c r="I2634" s="1056">
        <v>50</v>
      </c>
      <c r="J2634" s="996">
        <f t="shared" si="58"/>
        <v>0</v>
      </c>
      <c r="K2634" s="1037">
        <f t="shared" si="57"/>
        <v>8</v>
      </c>
    </row>
    <row r="2635" spans="1:11" ht="13.9" customHeight="1">
      <c r="A2635" s="1054">
        <v>52355001</v>
      </c>
      <c r="B2635" s="1055" t="s">
        <v>893</v>
      </c>
      <c r="C2635" s="1055" t="s">
        <v>366</v>
      </c>
      <c r="D2635" s="1055" t="s">
        <v>1331</v>
      </c>
      <c r="E2635" s="1055" t="s">
        <v>1332</v>
      </c>
      <c r="F2635" s="1056">
        <v>21</v>
      </c>
      <c r="G2635" s="1056">
        <v>8</v>
      </c>
      <c r="H2635" s="1056">
        <v>0</v>
      </c>
      <c r="I2635" s="1056">
        <v>29</v>
      </c>
      <c r="J2635" s="996">
        <f t="shared" si="58"/>
        <v>-8</v>
      </c>
      <c r="K2635" s="1037">
        <f t="shared" si="57"/>
        <v>8</v>
      </c>
    </row>
    <row r="2636" spans="1:11" ht="13.9" customHeight="1">
      <c r="A2636" s="1054">
        <v>52355001</v>
      </c>
      <c r="B2636" s="1055" t="s">
        <v>893</v>
      </c>
      <c r="C2636" s="1055" t="s">
        <v>366</v>
      </c>
      <c r="D2636" s="1055" t="s">
        <v>1507</v>
      </c>
      <c r="E2636" s="1055" t="s">
        <v>1508</v>
      </c>
      <c r="F2636" s="1056">
        <v>250</v>
      </c>
      <c r="G2636" s="1056">
        <v>0</v>
      </c>
      <c r="H2636" s="1056">
        <v>0</v>
      </c>
      <c r="I2636" s="1056">
        <v>250</v>
      </c>
      <c r="J2636" s="996">
        <f t="shared" si="58"/>
        <v>0</v>
      </c>
      <c r="K2636" s="1037">
        <f t="shared" si="57"/>
        <v>8</v>
      </c>
    </row>
    <row r="2637" spans="1:11" ht="13.9" customHeight="1">
      <c r="A2637" s="1054">
        <v>52355001</v>
      </c>
      <c r="B2637" s="1055" t="s">
        <v>893</v>
      </c>
      <c r="C2637" s="1055" t="s">
        <v>366</v>
      </c>
      <c r="D2637" s="1055" t="s">
        <v>1034</v>
      </c>
      <c r="E2637" s="1055" t="s">
        <v>504</v>
      </c>
      <c r="F2637" s="1056">
        <v>38294</v>
      </c>
      <c r="G2637" s="1056">
        <v>5719</v>
      </c>
      <c r="H2637" s="1056">
        <v>0</v>
      </c>
      <c r="I2637" s="1056">
        <v>44013</v>
      </c>
      <c r="J2637" s="996">
        <f t="shared" si="58"/>
        <v>-5719</v>
      </c>
      <c r="K2637" s="1037">
        <f t="shared" si="57"/>
        <v>8</v>
      </c>
    </row>
    <row r="2638" spans="1:11" ht="13.9" customHeight="1">
      <c r="A2638" s="1054">
        <v>52355001</v>
      </c>
      <c r="B2638" s="1055" t="s">
        <v>893</v>
      </c>
      <c r="C2638" s="1055" t="s">
        <v>366</v>
      </c>
      <c r="D2638" s="1055" t="s">
        <v>1513</v>
      </c>
      <c r="E2638" s="1055" t="s">
        <v>1514</v>
      </c>
      <c r="F2638" s="1056">
        <v>75</v>
      </c>
      <c r="G2638" s="1056">
        <v>0</v>
      </c>
      <c r="H2638" s="1056">
        <v>0</v>
      </c>
      <c r="I2638" s="1056">
        <v>75</v>
      </c>
      <c r="J2638" s="996">
        <f t="shared" si="58"/>
        <v>0</v>
      </c>
      <c r="K2638" s="1037">
        <f t="shared" si="57"/>
        <v>8</v>
      </c>
    </row>
    <row r="2639" spans="1:11" ht="13.9" customHeight="1">
      <c r="A2639" s="1054">
        <v>52355001</v>
      </c>
      <c r="B2639" s="1055" t="s">
        <v>893</v>
      </c>
      <c r="C2639" s="1055" t="s">
        <v>366</v>
      </c>
      <c r="D2639" s="1055" t="s">
        <v>1077</v>
      </c>
      <c r="E2639" s="1055" t="s">
        <v>1078</v>
      </c>
      <c r="F2639" s="1056">
        <v>10</v>
      </c>
      <c r="G2639" s="1056">
        <v>0</v>
      </c>
      <c r="H2639" s="1056">
        <v>0</v>
      </c>
      <c r="I2639" s="1056">
        <v>10</v>
      </c>
      <c r="J2639" s="996">
        <f t="shared" si="58"/>
        <v>0</v>
      </c>
      <c r="K2639" s="1037">
        <f t="shared" si="57"/>
        <v>8</v>
      </c>
    </row>
    <row r="2640" spans="1:11" ht="13.9" customHeight="1">
      <c r="A2640" s="1054">
        <v>52355001</v>
      </c>
      <c r="B2640" s="1055" t="s">
        <v>893</v>
      </c>
      <c r="C2640" s="1055" t="s">
        <v>366</v>
      </c>
      <c r="D2640" s="1055" t="s">
        <v>1467</v>
      </c>
      <c r="E2640" s="1055" t="s">
        <v>1468</v>
      </c>
      <c r="F2640" s="1056">
        <v>12</v>
      </c>
      <c r="G2640" s="1056">
        <v>0</v>
      </c>
      <c r="H2640" s="1056">
        <v>0</v>
      </c>
      <c r="I2640" s="1056">
        <v>12</v>
      </c>
      <c r="J2640" s="996">
        <f t="shared" si="58"/>
        <v>0</v>
      </c>
      <c r="K2640" s="1037">
        <f t="shared" si="57"/>
        <v>8</v>
      </c>
    </row>
    <row r="2641" spans="1:11" ht="13.9" customHeight="1">
      <c r="A2641" s="1054">
        <v>52355001</v>
      </c>
      <c r="B2641" s="1055" t="s">
        <v>893</v>
      </c>
      <c r="C2641" s="1055" t="s">
        <v>366</v>
      </c>
      <c r="D2641" s="1055" t="s">
        <v>1628</v>
      </c>
      <c r="E2641" s="1055" t="s">
        <v>1629</v>
      </c>
      <c r="F2641" s="1056">
        <v>7</v>
      </c>
      <c r="G2641" s="1056">
        <v>0</v>
      </c>
      <c r="H2641" s="1056">
        <v>0</v>
      </c>
      <c r="I2641" s="1056">
        <v>7</v>
      </c>
      <c r="J2641" s="996">
        <f t="shared" si="58"/>
        <v>0</v>
      </c>
      <c r="K2641" s="1037">
        <f t="shared" si="57"/>
        <v>8</v>
      </c>
    </row>
    <row r="2642" spans="1:11" ht="13.9" customHeight="1">
      <c r="A2642" s="1054">
        <v>52355001</v>
      </c>
      <c r="B2642" s="1055" t="s">
        <v>893</v>
      </c>
      <c r="C2642" s="1055" t="s">
        <v>366</v>
      </c>
      <c r="D2642" s="1055" t="s">
        <v>1316</v>
      </c>
      <c r="E2642" s="1055" t="s">
        <v>985</v>
      </c>
      <c r="F2642" s="1056">
        <v>496</v>
      </c>
      <c r="G2642" s="1056">
        <v>0</v>
      </c>
      <c r="H2642" s="1056">
        <v>0</v>
      </c>
      <c r="I2642" s="1056">
        <v>496</v>
      </c>
      <c r="J2642" s="996">
        <f t="shared" si="58"/>
        <v>0</v>
      </c>
      <c r="K2642" s="1037">
        <f t="shared" si="57"/>
        <v>8</v>
      </c>
    </row>
    <row r="2643" spans="1:11" ht="13.9" customHeight="1">
      <c r="A2643" s="1054">
        <v>52355001</v>
      </c>
      <c r="B2643" s="1055" t="s">
        <v>893</v>
      </c>
      <c r="C2643" s="1055" t="s">
        <v>366</v>
      </c>
      <c r="D2643" s="1055" t="s">
        <v>1307</v>
      </c>
      <c r="E2643" s="1055" t="s">
        <v>992</v>
      </c>
      <c r="F2643" s="1056">
        <v>484</v>
      </c>
      <c r="G2643" s="1056">
        <v>130</v>
      </c>
      <c r="H2643" s="1056">
        <v>10</v>
      </c>
      <c r="I2643" s="1056">
        <v>604</v>
      </c>
      <c r="J2643" s="996">
        <f t="shared" si="58"/>
        <v>-120</v>
      </c>
      <c r="K2643" s="1037">
        <f t="shared" si="57"/>
        <v>8</v>
      </c>
    </row>
    <row r="2644" spans="1:11" ht="13.9" customHeight="1">
      <c r="A2644" s="1054">
        <v>523560</v>
      </c>
      <c r="B2644" s="1055" t="s">
        <v>1489</v>
      </c>
      <c r="C2644" s="1055" t="s">
        <v>922</v>
      </c>
      <c r="D2644" s="1055" t="s">
        <v>893</v>
      </c>
      <c r="E2644" s="1055" t="s">
        <v>893</v>
      </c>
      <c r="F2644" s="1056">
        <v>4440</v>
      </c>
      <c r="G2644" s="1056">
        <v>763</v>
      </c>
      <c r="H2644" s="1056">
        <v>0</v>
      </c>
      <c r="I2644" s="1056">
        <v>5203</v>
      </c>
      <c r="J2644" s="996">
        <f t="shared" si="58"/>
        <v>-763</v>
      </c>
      <c r="K2644" s="1037">
        <f t="shared" si="57"/>
        <v>6</v>
      </c>
    </row>
    <row r="2645" spans="1:11" ht="13.9" customHeight="1">
      <c r="A2645" s="1054">
        <v>52356001</v>
      </c>
      <c r="B2645" s="1055" t="s">
        <v>893</v>
      </c>
      <c r="C2645" s="1055" t="s">
        <v>923</v>
      </c>
      <c r="D2645" s="1055" t="s">
        <v>893</v>
      </c>
      <c r="E2645" s="1055" t="s">
        <v>893</v>
      </c>
      <c r="F2645" s="1056">
        <v>4440</v>
      </c>
      <c r="G2645" s="1056">
        <v>763</v>
      </c>
      <c r="H2645" s="1056">
        <v>0</v>
      </c>
      <c r="I2645" s="1056">
        <v>5203</v>
      </c>
      <c r="J2645" s="996">
        <f t="shared" si="58"/>
        <v>-763</v>
      </c>
      <c r="K2645" s="1037">
        <f t="shared" si="57"/>
        <v>8</v>
      </c>
    </row>
    <row r="2646" spans="1:11" ht="13.9" customHeight="1">
      <c r="A2646" s="1054">
        <v>52356001</v>
      </c>
      <c r="B2646" s="1055" t="s">
        <v>893</v>
      </c>
      <c r="C2646" s="1055" t="s">
        <v>923</v>
      </c>
      <c r="D2646" s="1055" t="s">
        <v>1730</v>
      </c>
      <c r="E2646" s="1055" t="s">
        <v>1731</v>
      </c>
      <c r="F2646" s="1056">
        <v>1800</v>
      </c>
      <c r="G2646" s="1056">
        <v>0</v>
      </c>
      <c r="H2646" s="1056">
        <v>0</v>
      </c>
      <c r="I2646" s="1056">
        <v>1800</v>
      </c>
      <c r="J2646" s="996">
        <f t="shared" si="58"/>
        <v>0</v>
      </c>
      <c r="K2646" s="1037">
        <f t="shared" si="57"/>
        <v>8</v>
      </c>
    </row>
    <row r="2647" spans="1:11" ht="13.9" customHeight="1">
      <c r="A2647" s="1054">
        <v>52356001</v>
      </c>
      <c r="B2647" s="1055" t="s">
        <v>893</v>
      </c>
      <c r="C2647" s="1055" t="s">
        <v>923</v>
      </c>
      <c r="D2647" s="1055" t="s">
        <v>1034</v>
      </c>
      <c r="E2647" s="1055" t="s">
        <v>504</v>
      </c>
      <c r="F2647" s="1056">
        <v>2289</v>
      </c>
      <c r="G2647" s="1056">
        <v>0</v>
      </c>
      <c r="H2647" s="1056">
        <v>0</v>
      </c>
      <c r="I2647" s="1056">
        <v>2289</v>
      </c>
      <c r="J2647" s="996">
        <f t="shared" si="58"/>
        <v>0</v>
      </c>
      <c r="K2647" s="1037">
        <f t="shared" si="57"/>
        <v>8</v>
      </c>
    </row>
    <row r="2648" spans="1:11" ht="13.9" customHeight="1">
      <c r="A2648" s="1054">
        <v>52356001</v>
      </c>
      <c r="B2648" s="1055" t="s">
        <v>893</v>
      </c>
      <c r="C2648" s="1055" t="s">
        <v>923</v>
      </c>
      <c r="D2648" s="1055" t="s">
        <v>1035</v>
      </c>
      <c r="E2648" s="1055" t="s">
        <v>573</v>
      </c>
      <c r="F2648" s="1056">
        <v>306</v>
      </c>
      <c r="G2648" s="1056">
        <v>0</v>
      </c>
      <c r="H2648" s="1056">
        <v>0</v>
      </c>
      <c r="I2648" s="1056">
        <v>306</v>
      </c>
      <c r="J2648" s="996">
        <f t="shared" si="58"/>
        <v>0</v>
      </c>
      <c r="K2648" s="1037">
        <f t="shared" si="57"/>
        <v>8</v>
      </c>
    </row>
    <row r="2649" spans="1:11" ht="13.9" customHeight="1">
      <c r="A2649" s="1054">
        <v>52356001</v>
      </c>
      <c r="B2649" s="1055" t="s">
        <v>893</v>
      </c>
      <c r="C2649" s="1055" t="s">
        <v>923</v>
      </c>
      <c r="D2649" s="1055" t="s">
        <v>1883</v>
      </c>
      <c r="E2649" s="1055" t="s">
        <v>1884</v>
      </c>
      <c r="F2649" s="1056">
        <v>0</v>
      </c>
      <c r="G2649" s="1056">
        <v>763</v>
      </c>
      <c r="H2649" s="1056">
        <v>0</v>
      </c>
      <c r="I2649" s="1056">
        <v>763</v>
      </c>
      <c r="J2649" s="996">
        <f t="shared" si="58"/>
        <v>-763</v>
      </c>
      <c r="K2649" s="1037">
        <f t="shared" si="57"/>
        <v>8</v>
      </c>
    </row>
    <row r="2650" spans="1:11" ht="13.9" customHeight="1">
      <c r="A2650" s="1054">
        <v>52356001</v>
      </c>
      <c r="B2650" s="1055" t="s">
        <v>893</v>
      </c>
      <c r="C2650" s="1055" t="s">
        <v>923</v>
      </c>
      <c r="D2650" s="1055" t="s">
        <v>1738</v>
      </c>
      <c r="E2650" s="1055" t="s">
        <v>1739</v>
      </c>
      <c r="F2650" s="1056">
        <v>45</v>
      </c>
      <c r="G2650" s="1056">
        <v>0</v>
      </c>
      <c r="H2650" s="1056">
        <v>0</v>
      </c>
      <c r="I2650" s="1056">
        <v>45</v>
      </c>
      <c r="J2650" s="996">
        <f t="shared" si="58"/>
        <v>0</v>
      </c>
      <c r="K2650" s="1037">
        <f t="shared" si="57"/>
        <v>8</v>
      </c>
    </row>
    <row r="2651" spans="1:11" ht="13.9" customHeight="1">
      <c r="A2651" s="1054">
        <v>523565</v>
      </c>
      <c r="B2651" s="1055" t="s">
        <v>893</v>
      </c>
      <c r="C2651" s="1055" t="s">
        <v>774</v>
      </c>
      <c r="D2651" s="1055" t="s">
        <v>893</v>
      </c>
      <c r="E2651" s="1055" t="s">
        <v>893</v>
      </c>
      <c r="F2651" s="1056">
        <v>550</v>
      </c>
      <c r="G2651" s="1056">
        <v>110</v>
      </c>
      <c r="H2651" s="1056">
        <v>0</v>
      </c>
      <c r="I2651" s="1056">
        <v>659</v>
      </c>
      <c r="J2651" s="996">
        <f t="shared" si="58"/>
        <v>-110</v>
      </c>
      <c r="K2651" s="1037">
        <f t="shared" si="57"/>
        <v>6</v>
      </c>
    </row>
    <row r="2652" spans="1:11" ht="13.9" customHeight="1">
      <c r="A2652" s="1054">
        <v>52356501</v>
      </c>
      <c r="B2652" s="1055" t="s">
        <v>893</v>
      </c>
      <c r="C2652" s="1055" t="s">
        <v>774</v>
      </c>
      <c r="D2652" s="1055" t="s">
        <v>893</v>
      </c>
      <c r="E2652" s="1055" t="s">
        <v>893</v>
      </c>
      <c r="F2652" s="1056">
        <v>550</v>
      </c>
      <c r="G2652" s="1056">
        <v>110</v>
      </c>
      <c r="H2652" s="1056">
        <v>0</v>
      </c>
      <c r="I2652" s="1056">
        <v>659</v>
      </c>
      <c r="J2652" s="996">
        <f t="shared" si="58"/>
        <v>-110</v>
      </c>
      <c r="K2652" s="1037">
        <f t="shared" si="57"/>
        <v>8</v>
      </c>
    </row>
    <row r="2653" spans="1:11" ht="13.9" customHeight="1">
      <c r="A2653" s="1054">
        <v>52356501</v>
      </c>
      <c r="B2653" s="1055" t="s">
        <v>893</v>
      </c>
      <c r="C2653" s="1055" t="s">
        <v>774</v>
      </c>
      <c r="D2653" s="1055" t="s">
        <v>1201</v>
      </c>
      <c r="E2653" s="1055" t="s">
        <v>679</v>
      </c>
      <c r="F2653" s="1056">
        <v>550</v>
      </c>
      <c r="G2653" s="1056">
        <v>110</v>
      </c>
      <c r="H2653" s="1056">
        <v>0</v>
      </c>
      <c r="I2653" s="1056">
        <v>659</v>
      </c>
      <c r="J2653" s="996">
        <f t="shared" si="58"/>
        <v>-110</v>
      </c>
      <c r="K2653" s="1037">
        <f t="shared" si="57"/>
        <v>8</v>
      </c>
    </row>
    <row r="2654" spans="1:11" ht="13.9" customHeight="1">
      <c r="A2654" s="1054">
        <v>523595</v>
      </c>
      <c r="B2654" s="1055" t="s">
        <v>893</v>
      </c>
      <c r="C2654" s="1055" t="s">
        <v>323</v>
      </c>
      <c r="D2654" s="1055" t="s">
        <v>893</v>
      </c>
      <c r="E2654" s="1055" t="s">
        <v>893</v>
      </c>
      <c r="F2654" s="1056">
        <v>99509</v>
      </c>
      <c r="G2654" s="1056">
        <v>9748</v>
      </c>
      <c r="H2654" s="1056">
        <v>0</v>
      </c>
      <c r="I2654" s="1056">
        <v>109257</v>
      </c>
      <c r="J2654" s="996">
        <f t="shared" si="58"/>
        <v>-9748</v>
      </c>
      <c r="K2654" s="1037">
        <f t="shared" si="57"/>
        <v>6</v>
      </c>
    </row>
    <row r="2655" spans="1:11" ht="13.9" customHeight="1">
      <c r="A2655" s="1054">
        <v>52359503</v>
      </c>
      <c r="B2655" s="1055" t="s">
        <v>1489</v>
      </c>
      <c r="C2655" s="1055" t="s">
        <v>775</v>
      </c>
      <c r="D2655" s="1055" t="s">
        <v>893</v>
      </c>
      <c r="E2655" s="1055" t="s">
        <v>893</v>
      </c>
      <c r="F2655" s="1056">
        <v>74890</v>
      </c>
      <c r="G2655" s="1056">
        <v>5580</v>
      </c>
      <c r="H2655" s="1056">
        <v>0</v>
      </c>
      <c r="I2655" s="1056">
        <v>80470</v>
      </c>
      <c r="J2655" s="996">
        <f t="shared" si="58"/>
        <v>-5580</v>
      </c>
      <c r="K2655" s="1037">
        <f t="shared" si="57"/>
        <v>8</v>
      </c>
    </row>
    <row r="2656" spans="1:11" ht="13.9" customHeight="1">
      <c r="A2656" s="1054">
        <v>52359503</v>
      </c>
      <c r="B2656" s="1055" t="s">
        <v>1489</v>
      </c>
      <c r="C2656" s="1055" t="s">
        <v>775</v>
      </c>
      <c r="D2656" s="1055" t="s">
        <v>1180</v>
      </c>
      <c r="E2656" s="1055" t="s">
        <v>1014</v>
      </c>
      <c r="F2656" s="1056">
        <v>21263</v>
      </c>
      <c r="G2656" s="1056">
        <v>0</v>
      </c>
      <c r="H2656" s="1056">
        <v>0</v>
      </c>
      <c r="I2656" s="1056">
        <v>21263</v>
      </c>
      <c r="J2656" s="996">
        <f t="shared" si="58"/>
        <v>0</v>
      </c>
      <c r="K2656" s="1037">
        <f t="shared" si="57"/>
        <v>8</v>
      </c>
    </row>
    <row r="2657" spans="1:11" ht="13.9" customHeight="1">
      <c r="A2657" s="1054">
        <v>52359503</v>
      </c>
      <c r="B2657" s="1055" t="s">
        <v>1489</v>
      </c>
      <c r="C2657" s="1055" t="s">
        <v>775</v>
      </c>
      <c r="D2657" s="1055" t="s">
        <v>1032</v>
      </c>
      <c r="E2657" s="1055" t="s">
        <v>508</v>
      </c>
      <c r="F2657" s="1056">
        <v>9789</v>
      </c>
      <c r="G2657" s="1056">
        <v>0</v>
      </c>
      <c r="H2657" s="1056">
        <v>0</v>
      </c>
      <c r="I2657" s="1056">
        <v>9789</v>
      </c>
      <c r="J2657" s="996">
        <f t="shared" si="58"/>
        <v>0</v>
      </c>
      <c r="K2657" s="1037">
        <f t="shared" si="57"/>
        <v>8</v>
      </c>
    </row>
    <row r="2658" spans="1:11" ht="13.9" customHeight="1">
      <c r="A2658" s="1054">
        <v>52359503</v>
      </c>
      <c r="B2658" s="1055" t="s">
        <v>1489</v>
      </c>
      <c r="C2658" s="1055" t="s">
        <v>775</v>
      </c>
      <c r="D2658" s="1055" t="s">
        <v>1185</v>
      </c>
      <c r="E2658" s="1055" t="s">
        <v>1017</v>
      </c>
      <c r="F2658" s="1056">
        <v>9700</v>
      </c>
      <c r="G2658" s="1056">
        <v>0</v>
      </c>
      <c r="H2658" s="1056">
        <v>0</v>
      </c>
      <c r="I2658" s="1056">
        <v>9700</v>
      </c>
      <c r="J2658" s="996">
        <f t="shared" si="58"/>
        <v>0</v>
      </c>
      <c r="K2658" s="1037">
        <f t="shared" si="57"/>
        <v>8</v>
      </c>
    </row>
    <row r="2659" spans="1:11" ht="13.9" customHeight="1">
      <c r="A2659" s="1054">
        <v>52359503</v>
      </c>
      <c r="B2659" s="1055" t="s">
        <v>1489</v>
      </c>
      <c r="C2659" s="1055" t="s">
        <v>775</v>
      </c>
      <c r="D2659" s="1055" t="s">
        <v>1034</v>
      </c>
      <c r="E2659" s="1055" t="s">
        <v>504</v>
      </c>
      <c r="F2659" s="1056">
        <v>7301</v>
      </c>
      <c r="G2659" s="1056">
        <v>3650</v>
      </c>
      <c r="H2659" s="1056">
        <v>0</v>
      </c>
      <c r="I2659" s="1056">
        <v>10951</v>
      </c>
      <c r="J2659" s="996">
        <f t="shared" si="58"/>
        <v>-3650</v>
      </c>
      <c r="K2659" s="1037">
        <f t="shared" si="57"/>
        <v>8</v>
      </c>
    </row>
    <row r="2660" spans="1:11" ht="13.9" customHeight="1">
      <c r="A2660" s="1054">
        <v>52359503</v>
      </c>
      <c r="B2660" s="1055" t="s">
        <v>1489</v>
      </c>
      <c r="C2660" s="1055" t="s">
        <v>775</v>
      </c>
      <c r="D2660" s="1055" t="s">
        <v>1207</v>
      </c>
      <c r="E2660" s="1055" t="s">
        <v>1028</v>
      </c>
      <c r="F2660" s="1056">
        <v>26837</v>
      </c>
      <c r="G2660" s="1056">
        <v>1930</v>
      </c>
      <c r="H2660" s="1056">
        <v>0</v>
      </c>
      <c r="I2660" s="1056">
        <v>28767</v>
      </c>
      <c r="J2660" s="996">
        <f t="shared" si="58"/>
        <v>-1930</v>
      </c>
      <c r="K2660" s="1037">
        <f t="shared" si="57"/>
        <v>8</v>
      </c>
    </row>
    <row r="2661" spans="1:11" ht="13.9" customHeight="1">
      <c r="A2661" s="1054">
        <v>52359504</v>
      </c>
      <c r="B2661" s="1055" t="s">
        <v>1489</v>
      </c>
      <c r="C2661" s="1055" t="s">
        <v>322</v>
      </c>
      <c r="D2661" s="1055" t="s">
        <v>893</v>
      </c>
      <c r="E2661" s="1055" t="s">
        <v>893</v>
      </c>
      <c r="F2661" s="1056">
        <v>12589</v>
      </c>
      <c r="G2661" s="1056">
        <v>2548</v>
      </c>
      <c r="H2661" s="1056">
        <v>0</v>
      </c>
      <c r="I2661" s="1056">
        <v>15136</v>
      </c>
      <c r="J2661" s="996">
        <f t="shared" si="58"/>
        <v>-2548</v>
      </c>
      <c r="K2661" s="1037">
        <f t="shared" si="57"/>
        <v>8</v>
      </c>
    </row>
    <row r="2662" spans="1:11" ht="13.9" customHeight="1">
      <c r="A2662" s="1054">
        <v>52359504</v>
      </c>
      <c r="B2662" s="1055" t="s">
        <v>1489</v>
      </c>
      <c r="C2662" s="1055" t="s">
        <v>322</v>
      </c>
      <c r="D2662" s="1055" t="s">
        <v>1034</v>
      </c>
      <c r="E2662" s="1055" t="s">
        <v>504</v>
      </c>
      <c r="F2662" s="1056">
        <v>1331</v>
      </c>
      <c r="G2662" s="1056">
        <v>0</v>
      </c>
      <c r="H2662" s="1056">
        <v>0</v>
      </c>
      <c r="I2662" s="1056">
        <v>1331</v>
      </c>
      <c r="J2662" s="996">
        <f t="shared" si="58"/>
        <v>0</v>
      </c>
      <c r="K2662" s="1037">
        <f t="shared" si="57"/>
        <v>8</v>
      </c>
    </row>
    <row r="2663" spans="1:11" ht="13.9" customHeight="1">
      <c r="A2663" s="1054">
        <v>52359504</v>
      </c>
      <c r="B2663" s="1055" t="s">
        <v>1489</v>
      </c>
      <c r="C2663" s="1055" t="s">
        <v>322</v>
      </c>
      <c r="D2663" s="1055" t="s">
        <v>1062</v>
      </c>
      <c r="E2663" s="1055" t="s">
        <v>510</v>
      </c>
      <c r="F2663" s="1056">
        <v>11257</v>
      </c>
      <c r="G2663" s="1056">
        <v>2548</v>
      </c>
      <c r="H2663" s="1056">
        <v>0</v>
      </c>
      <c r="I2663" s="1056">
        <v>13805</v>
      </c>
      <c r="J2663" s="996">
        <f t="shared" si="58"/>
        <v>-2548</v>
      </c>
      <c r="K2663" s="1037">
        <f t="shared" si="57"/>
        <v>8</v>
      </c>
    </row>
    <row r="2664" spans="1:11" ht="13.9" customHeight="1">
      <c r="A2664" s="1054">
        <v>52359505</v>
      </c>
      <c r="B2664" s="1055" t="s">
        <v>1489</v>
      </c>
      <c r="C2664" s="1055" t="s">
        <v>546</v>
      </c>
      <c r="D2664" s="1055" t="s">
        <v>893</v>
      </c>
      <c r="E2664" s="1055" t="s">
        <v>893</v>
      </c>
      <c r="F2664" s="1056">
        <v>5892</v>
      </c>
      <c r="G2664" s="1056">
        <v>635</v>
      </c>
      <c r="H2664" s="1056">
        <v>0</v>
      </c>
      <c r="I2664" s="1056">
        <v>6527</v>
      </c>
      <c r="J2664" s="996">
        <f t="shared" si="58"/>
        <v>-635</v>
      </c>
      <c r="K2664" s="1037">
        <f t="shared" si="57"/>
        <v>8</v>
      </c>
    </row>
    <row r="2665" spans="1:11" ht="13.9" customHeight="1">
      <c r="A2665" s="1054">
        <v>52359505</v>
      </c>
      <c r="B2665" s="1055" t="s">
        <v>1489</v>
      </c>
      <c r="C2665" s="1055" t="s">
        <v>546</v>
      </c>
      <c r="D2665" s="1055" t="s">
        <v>1035</v>
      </c>
      <c r="E2665" s="1055" t="s">
        <v>573</v>
      </c>
      <c r="F2665" s="1056">
        <v>5892</v>
      </c>
      <c r="G2665" s="1056">
        <v>635</v>
      </c>
      <c r="H2665" s="1056">
        <v>0</v>
      </c>
      <c r="I2665" s="1056">
        <v>6527</v>
      </c>
      <c r="J2665" s="996">
        <f t="shared" si="58"/>
        <v>-635</v>
      </c>
      <c r="K2665" s="1037">
        <f t="shared" si="57"/>
        <v>8</v>
      </c>
    </row>
    <row r="2666" spans="1:11" ht="13.9" customHeight="1">
      <c r="A2666" s="1054">
        <v>52359507</v>
      </c>
      <c r="B2666" s="1055" t="s">
        <v>1489</v>
      </c>
      <c r="C2666" s="1055" t="s">
        <v>1432</v>
      </c>
      <c r="D2666" s="1055" t="s">
        <v>893</v>
      </c>
      <c r="E2666" s="1055" t="s">
        <v>893</v>
      </c>
      <c r="F2666" s="1056">
        <v>30</v>
      </c>
      <c r="G2666" s="1056">
        <v>0</v>
      </c>
      <c r="H2666" s="1056">
        <v>0</v>
      </c>
      <c r="I2666" s="1056">
        <v>30</v>
      </c>
      <c r="J2666" s="996">
        <f t="shared" si="58"/>
        <v>0</v>
      </c>
      <c r="K2666" s="1037">
        <f t="shared" si="57"/>
        <v>8</v>
      </c>
    </row>
    <row r="2667" spans="1:11" ht="13.9" customHeight="1">
      <c r="A2667" s="1054">
        <v>52359507</v>
      </c>
      <c r="B2667" s="1055" t="s">
        <v>1489</v>
      </c>
      <c r="C2667" s="1055" t="s">
        <v>1432</v>
      </c>
      <c r="D2667" s="1055" t="s">
        <v>1237</v>
      </c>
      <c r="E2667" s="1055" t="s">
        <v>338</v>
      </c>
      <c r="F2667" s="1056">
        <v>30</v>
      </c>
      <c r="G2667" s="1056">
        <v>0</v>
      </c>
      <c r="H2667" s="1056">
        <v>0</v>
      </c>
      <c r="I2667" s="1056">
        <v>30</v>
      </c>
      <c r="J2667" s="996">
        <f t="shared" si="58"/>
        <v>0</v>
      </c>
      <c r="K2667" s="1037">
        <f t="shared" si="57"/>
        <v>8</v>
      </c>
    </row>
    <row r="2668" spans="1:11" ht="13.9" customHeight="1">
      <c r="A2668" s="1054">
        <v>52359509</v>
      </c>
      <c r="B2668" s="1055" t="s">
        <v>1489</v>
      </c>
      <c r="C2668" s="1055" t="s">
        <v>776</v>
      </c>
      <c r="D2668" s="1055" t="s">
        <v>893</v>
      </c>
      <c r="E2668" s="1055" t="s">
        <v>893</v>
      </c>
      <c r="F2668" s="1056">
        <v>110</v>
      </c>
      <c r="G2668" s="1056">
        <v>0</v>
      </c>
      <c r="H2668" s="1056">
        <v>0</v>
      </c>
      <c r="I2668" s="1056">
        <v>110</v>
      </c>
      <c r="J2668" s="996">
        <f t="shared" si="58"/>
        <v>0</v>
      </c>
      <c r="K2668" s="1037">
        <f t="shared" si="57"/>
        <v>8</v>
      </c>
    </row>
    <row r="2669" spans="1:11" ht="13.9" customHeight="1">
      <c r="A2669" s="1054">
        <v>52359509</v>
      </c>
      <c r="B2669" s="1055" t="s">
        <v>1489</v>
      </c>
      <c r="C2669" s="1055" t="s">
        <v>776</v>
      </c>
      <c r="D2669" s="1055" t="s">
        <v>1237</v>
      </c>
      <c r="E2669" s="1055" t="s">
        <v>338</v>
      </c>
      <c r="F2669" s="1056">
        <v>110</v>
      </c>
      <c r="G2669" s="1056">
        <v>0</v>
      </c>
      <c r="H2669" s="1056">
        <v>0</v>
      </c>
      <c r="I2669" s="1056">
        <v>110</v>
      </c>
      <c r="J2669" s="996">
        <f t="shared" si="58"/>
        <v>0</v>
      </c>
      <c r="K2669" s="1037">
        <f t="shared" si="57"/>
        <v>8</v>
      </c>
    </row>
    <row r="2670" spans="1:11" ht="13.9" customHeight="1">
      <c r="A2670" s="1054">
        <v>52359595</v>
      </c>
      <c r="B2670" s="1055" t="s">
        <v>893</v>
      </c>
      <c r="C2670" s="1055" t="s">
        <v>391</v>
      </c>
      <c r="D2670" s="1055" t="s">
        <v>893</v>
      </c>
      <c r="E2670" s="1055" t="s">
        <v>893</v>
      </c>
      <c r="F2670" s="1056">
        <v>5998</v>
      </c>
      <c r="G2670" s="1056">
        <v>986</v>
      </c>
      <c r="H2670" s="1056">
        <v>0</v>
      </c>
      <c r="I2670" s="1056">
        <v>6984</v>
      </c>
      <c r="J2670" s="996">
        <f t="shared" si="58"/>
        <v>-986</v>
      </c>
      <c r="K2670" s="1037">
        <f t="shared" ref="K2670:K2733" si="59">+LEN(A2670)</f>
        <v>8</v>
      </c>
    </row>
    <row r="2671" spans="1:11" ht="13.9" customHeight="1">
      <c r="A2671" s="1054">
        <v>52359595</v>
      </c>
      <c r="B2671" s="1055" t="s">
        <v>893</v>
      </c>
      <c r="C2671" s="1055" t="s">
        <v>391</v>
      </c>
      <c r="D2671" s="1055" t="s">
        <v>1202</v>
      </c>
      <c r="E2671" s="1055" t="s">
        <v>446</v>
      </c>
      <c r="F2671" s="1056">
        <v>4928</v>
      </c>
      <c r="G2671" s="1056">
        <v>986</v>
      </c>
      <c r="H2671" s="1056">
        <v>0</v>
      </c>
      <c r="I2671" s="1056">
        <v>5914</v>
      </c>
      <c r="J2671" s="996">
        <f t="shared" si="58"/>
        <v>-986</v>
      </c>
      <c r="K2671" s="1037">
        <f t="shared" si="59"/>
        <v>8</v>
      </c>
    </row>
    <row r="2672" spans="1:11" ht="13.9" customHeight="1">
      <c r="A2672" s="1054">
        <v>52359595</v>
      </c>
      <c r="B2672" s="1055" t="s">
        <v>893</v>
      </c>
      <c r="C2672" s="1055" t="s">
        <v>391</v>
      </c>
      <c r="D2672" s="1055" t="s">
        <v>1294</v>
      </c>
      <c r="E2672" s="1055" t="s">
        <v>779</v>
      </c>
      <c r="F2672" s="1056">
        <v>60</v>
      </c>
      <c r="G2672" s="1056">
        <v>0</v>
      </c>
      <c r="H2672" s="1056">
        <v>0</v>
      </c>
      <c r="I2672" s="1056">
        <v>60</v>
      </c>
      <c r="J2672" s="996">
        <f t="shared" si="58"/>
        <v>0</v>
      </c>
      <c r="K2672" s="1037">
        <f t="shared" si="59"/>
        <v>8</v>
      </c>
    </row>
    <row r="2673" spans="1:11" ht="13.9" customHeight="1">
      <c r="A2673" s="1054">
        <v>52359595</v>
      </c>
      <c r="B2673" s="1055" t="s">
        <v>893</v>
      </c>
      <c r="C2673" s="1055" t="s">
        <v>391</v>
      </c>
      <c r="D2673" s="1055" t="s">
        <v>1316</v>
      </c>
      <c r="E2673" s="1055" t="s">
        <v>985</v>
      </c>
      <c r="F2673" s="1056">
        <v>1010</v>
      </c>
      <c r="G2673" s="1056">
        <v>0</v>
      </c>
      <c r="H2673" s="1056">
        <v>0</v>
      </c>
      <c r="I2673" s="1056">
        <v>1010</v>
      </c>
      <c r="J2673" s="996">
        <f t="shared" si="58"/>
        <v>0</v>
      </c>
      <c r="K2673" s="1037">
        <f t="shared" si="59"/>
        <v>8</v>
      </c>
    </row>
    <row r="2674" spans="1:11" ht="13.9" customHeight="1">
      <c r="A2674" s="1054">
        <v>5240</v>
      </c>
      <c r="B2674" s="1055" t="s">
        <v>893</v>
      </c>
      <c r="C2674" s="1055" t="s">
        <v>139</v>
      </c>
      <c r="D2674" s="1055" t="s">
        <v>893</v>
      </c>
      <c r="E2674" s="1055" t="s">
        <v>893</v>
      </c>
      <c r="F2674" s="1056">
        <v>6570</v>
      </c>
      <c r="G2674" s="1056">
        <v>12</v>
      </c>
      <c r="H2674" s="1056">
        <v>0</v>
      </c>
      <c r="I2674" s="1056">
        <v>6582</v>
      </c>
      <c r="J2674" s="996">
        <f t="shared" si="58"/>
        <v>-12</v>
      </c>
      <c r="K2674" s="1037">
        <f t="shared" si="59"/>
        <v>4</v>
      </c>
    </row>
    <row r="2675" spans="1:11" ht="13.9" customHeight="1">
      <c r="A2675" s="1054">
        <v>524010</v>
      </c>
      <c r="B2675" s="1055" t="s">
        <v>893</v>
      </c>
      <c r="C2675" s="1055" t="s">
        <v>931</v>
      </c>
      <c r="D2675" s="1055" t="s">
        <v>893</v>
      </c>
      <c r="E2675" s="1055" t="s">
        <v>893</v>
      </c>
      <c r="F2675" s="1056">
        <v>355</v>
      </c>
      <c r="G2675" s="1056">
        <v>0</v>
      </c>
      <c r="H2675" s="1056">
        <v>0</v>
      </c>
      <c r="I2675" s="1056">
        <v>355</v>
      </c>
      <c r="J2675" s="996">
        <f t="shared" si="58"/>
        <v>0</v>
      </c>
      <c r="K2675" s="1037">
        <f t="shared" si="59"/>
        <v>6</v>
      </c>
    </row>
    <row r="2676" spans="1:11" ht="13.9" customHeight="1">
      <c r="A2676" s="1054">
        <v>52401002</v>
      </c>
      <c r="B2676" s="1055" t="s">
        <v>893</v>
      </c>
      <c r="C2676" s="1055" t="s">
        <v>931</v>
      </c>
      <c r="D2676" s="1055" t="s">
        <v>893</v>
      </c>
      <c r="E2676" s="1055" t="s">
        <v>893</v>
      </c>
      <c r="F2676" s="1056">
        <v>355</v>
      </c>
      <c r="G2676" s="1056">
        <v>0</v>
      </c>
      <c r="H2676" s="1056">
        <v>0</v>
      </c>
      <c r="I2676" s="1056">
        <v>355</v>
      </c>
      <c r="J2676" s="996">
        <f t="shared" si="58"/>
        <v>0</v>
      </c>
      <c r="K2676" s="1037">
        <f t="shared" si="59"/>
        <v>8</v>
      </c>
    </row>
    <row r="2677" spans="1:11" ht="13.9" customHeight="1">
      <c r="A2677" s="1054">
        <v>52401002</v>
      </c>
      <c r="B2677" s="1055" t="s">
        <v>893</v>
      </c>
      <c r="C2677" s="1055" t="s">
        <v>931</v>
      </c>
      <c r="D2677" s="1055" t="s">
        <v>1192</v>
      </c>
      <c r="E2677" s="1055" t="s">
        <v>1193</v>
      </c>
      <c r="F2677" s="1056">
        <v>355</v>
      </c>
      <c r="G2677" s="1056">
        <v>0</v>
      </c>
      <c r="H2677" s="1056">
        <v>0</v>
      </c>
      <c r="I2677" s="1056">
        <v>355</v>
      </c>
      <c r="J2677" s="996">
        <f t="shared" si="58"/>
        <v>0</v>
      </c>
      <c r="K2677" s="1037">
        <f t="shared" si="59"/>
        <v>8</v>
      </c>
    </row>
    <row r="2678" spans="1:11" ht="13.9" customHeight="1">
      <c r="A2678" s="1054">
        <v>524015</v>
      </c>
      <c r="B2678" s="1055" t="s">
        <v>893</v>
      </c>
      <c r="C2678" s="1055" t="s">
        <v>397</v>
      </c>
      <c r="D2678" s="1055" t="s">
        <v>893</v>
      </c>
      <c r="E2678" s="1055" t="s">
        <v>893</v>
      </c>
      <c r="F2678" s="1056">
        <v>6215</v>
      </c>
      <c r="G2678" s="1056">
        <v>12</v>
      </c>
      <c r="H2678" s="1056">
        <v>0</v>
      </c>
      <c r="I2678" s="1056">
        <v>6227</v>
      </c>
      <c r="J2678" s="996">
        <f t="shared" si="58"/>
        <v>-12</v>
      </c>
      <c r="K2678" s="1037">
        <f t="shared" si="59"/>
        <v>6</v>
      </c>
    </row>
    <row r="2679" spans="1:11" ht="13.9" customHeight="1">
      <c r="A2679" s="1054">
        <v>52401501</v>
      </c>
      <c r="B2679" s="1055" t="s">
        <v>893</v>
      </c>
      <c r="C2679" s="1055" t="s">
        <v>397</v>
      </c>
      <c r="D2679" s="1055" t="s">
        <v>893</v>
      </c>
      <c r="E2679" s="1055" t="s">
        <v>893</v>
      </c>
      <c r="F2679" s="1056">
        <v>6215</v>
      </c>
      <c r="G2679" s="1056">
        <v>12</v>
      </c>
      <c r="H2679" s="1056">
        <v>0</v>
      </c>
      <c r="I2679" s="1056">
        <v>6227</v>
      </c>
      <c r="J2679" s="996">
        <f t="shared" si="58"/>
        <v>-12</v>
      </c>
      <c r="K2679" s="1037">
        <f t="shared" si="59"/>
        <v>8</v>
      </c>
    </row>
    <row r="2680" spans="1:11" ht="13.9" customHeight="1">
      <c r="A2680" s="1054">
        <v>52401501</v>
      </c>
      <c r="B2680" s="1055" t="s">
        <v>893</v>
      </c>
      <c r="C2680" s="1055" t="s">
        <v>397</v>
      </c>
      <c r="D2680" s="1055" t="s">
        <v>1288</v>
      </c>
      <c r="E2680" s="1055" t="s">
        <v>1289</v>
      </c>
      <c r="F2680" s="1056">
        <v>950</v>
      </c>
      <c r="G2680" s="1056">
        <v>0</v>
      </c>
      <c r="H2680" s="1056">
        <v>0</v>
      </c>
      <c r="I2680" s="1056">
        <v>950</v>
      </c>
      <c r="J2680" s="996">
        <f t="shared" si="58"/>
        <v>0</v>
      </c>
      <c r="K2680" s="1037">
        <f t="shared" si="59"/>
        <v>8</v>
      </c>
    </row>
    <row r="2681" spans="1:11" ht="13.9" customHeight="1">
      <c r="A2681" s="1054">
        <v>52401501</v>
      </c>
      <c r="B2681" s="1055" t="s">
        <v>893</v>
      </c>
      <c r="C2681" s="1055" t="s">
        <v>397</v>
      </c>
      <c r="D2681" s="1055" t="s">
        <v>1192</v>
      </c>
      <c r="E2681" s="1055" t="s">
        <v>1193</v>
      </c>
      <c r="F2681" s="1056">
        <v>5219</v>
      </c>
      <c r="G2681" s="1056">
        <v>12</v>
      </c>
      <c r="H2681" s="1056">
        <v>0</v>
      </c>
      <c r="I2681" s="1056">
        <v>5231</v>
      </c>
      <c r="J2681" s="996">
        <f t="shared" si="58"/>
        <v>-12</v>
      </c>
      <c r="K2681" s="1037">
        <f t="shared" si="59"/>
        <v>8</v>
      </c>
    </row>
    <row r="2682" spans="1:11" ht="13.9" customHeight="1">
      <c r="A2682" s="1054">
        <v>52401501</v>
      </c>
      <c r="B2682" s="1055" t="s">
        <v>893</v>
      </c>
      <c r="C2682" s="1055" t="s">
        <v>397</v>
      </c>
      <c r="D2682" s="1055" t="s">
        <v>1689</v>
      </c>
      <c r="E2682" s="1055" t="s">
        <v>1690</v>
      </c>
      <c r="F2682" s="1056">
        <v>46</v>
      </c>
      <c r="G2682" s="1056">
        <v>0</v>
      </c>
      <c r="H2682" s="1056">
        <v>0</v>
      </c>
      <c r="I2682" s="1056">
        <v>46</v>
      </c>
      <c r="J2682" s="996">
        <f t="shared" si="58"/>
        <v>0</v>
      </c>
      <c r="K2682" s="1037">
        <f t="shared" si="59"/>
        <v>8</v>
      </c>
    </row>
    <row r="2683" spans="1:11" ht="13.9" customHeight="1">
      <c r="A2683" s="1054">
        <v>5245</v>
      </c>
      <c r="B2683" s="1055" t="s">
        <v>893</v>
      </c>
      <c r="C2683" s="1055" t="s">
        <v>392</v>
      </c>
      <c r="D2683" s="1055" t="s">
        <v>893</v>
      </c>
      <c r="E2683" s="1055" t="s">
        <v>893</v>
      </c>
      <c r="F2683" s="1056">
        <v>22026</v>
      </c>
      <c r="G2683" s="1056">
        <v>2778</v>
      </c>
      <c r="H2683" s="1056">
        <v>0</v>
      </c>
      <c r="I2683" s="1056">
        <v>24804</v>
      </c>
      <c r="J2683" s="996">
        <f t="shared" si="58"/>
        <v>-2778</v>
      </c>
      <c r="K2683" s="1037">
        <f t="shared" si="59"/>
        <v>4</v>
      </c>
    </row>
    <row r="2684" spans="1:11" ht="13.9" customHeight="1">
      <c r="A2684" s="1054">
        <v>524515</v>
      </c>
      <c r="B2684" s="1055" t="s">
        <v>893</v>
      </c>
      <c r="C2684" s="1055" t="s">
        <v>110</v>
      </c>
      <c r="D2684" s="1055" t="s">
        <v>893</v>
      </c>
      <c r="E2684" s="1055" t="s">
        <v>893</v>
      </c>
      <c r="F2684" s="1056">
        <v>21747</v>
      </c>
      <c r="G2684" s="1056">
        <v>2778</v>
      </c>
      <c r="H2684" s="1056">
        <v>0</v>
      </c>
      <c r="I2684" s="1056">
        <v>24525</v>
      </c>
      <c r="J2684" s="996">
        <f t="shared" si="58"/>
        <v>-2778</v>
      </c>
      <c r="K2684" s="1037">
        <f t="shared" si="59"/>
        <v>6</v>
      </c>
    </row>
    <row r="2685" spans="1:11" ht="13.9" customHeight="1">
      <c r="A2685" s="1054">
        <v>52451501</v>
      </c>
      <c r="B2685" s="1055" t="s">
        <v>893</v>
      </c>
      <c r="C2685" s="1055" t="s">
        <v>110</v>
      </c>
      <c r="D2685" s="1055" t="s">
        <v>893</v>
      </c>
      <c r="E2685" s="1055" t="s">
        <v>893</v>
      </c>
      <c r="F2685" s="1056">
        <v>21747</v>
      </c>
      <c r="G2685" s="1056">
        <v>2778</v>
      </c>
      <c r="H2685" s="1056">
        <v>0</v>
      </c>
      <c r="I2685" s="1056">
        <v>24525</v>
      </c>
      <c r="J2685" s="996">
        <f t="shared" si="58"/>
        <v>-2778</v>
      </c>
      <c r="K2685" s="1037">
        <f t="shared" si="59"/>
        <v>8</v>
      </c>
    </row>
    <row r="2686" spans="1:11" ht="13.9" customHeight="1">
      <c r="A2686" s="1054">
        <v>52451501</v>
      </c>
      <c r="B2686" s="1055" t="s">
        <v>893</v>
      </c>
      <c r="C2686" s="1055" t="s">
        <v>110</v>
      </c>
      <c r="D2686" s="1055" t="s">
        <v>1182</v>
      </c>
      <c r="E2686" s="1055" t="s">
        <v>521</v>
      </c>
      <c r="F2686" s="1056">
        <v>4455</v>
      </c>
      <c r="G2686" s="1056">
        <v>1688</v>
      </c>
      <c r="H2686" s="1056">
        <v>0</v>
      </c>
      <c r="I2686" s="1056">
        <v>6143</v>
      </c>
      <c r="J2686" s="996">
        <f t="shared" si="58"/>
        <v>-1688</v>
      </c>
      <c r="K2686" s="1037">
        <f t="shared" si="59"/>
        <v>8</v>
      </c>
    </row>
    <row r="2687" spans="1:11" ht="13.9" customHeight="1">
      <c r="A2687" s="1054">
        <v>52451501</v>
      </c>
      <c r="B2687" s="1055" t="s">
        <v>893</v>
      </c>
      <c r="C2687" s="1055" t="s">
        <v>110</v>
      </c>
      <c r="D2687" s="1055" t="s">
        <v>1311</v>
      </c>
      <c r="E2687" s="1055" t="s">
        <v>995</v>
      </c>
      <c r="F2687" s="1056">
        <v>3870</v>
      </c>
      <c r="G2687" s="1056">
        <v>180</v>
      </c>
      <c r="H2687" s="1056">
        <v>0</v>
      </c>
      <c r="I2687" s="1056">
        <v>4050</v>
      </c>
      <c r="J2687" s="996">
        <f t="shared" si="58"/>
        <v>-180</v>
      </c>
      <c r="K2687" s="1037">
        <f t="shared" si="59"/>
        <v>8</v>
      </c>
    </row>
    <row r="2688" spans="1:11" ht="13.9" customHeight="1">
      <c r="A2688" s="1054">
        <v>52451501</v>
      </c>
      <c r="B2688" s="1055" t="s">
        <v>893</v>
      </c>
      <c r="C2688" s="1055" t="s">
        <v>110</v>
      </c>
      <c r="D2688" s="1055" t="s">
        <v>1109</v>
      </c>
      <c r="E2688" s="1055" t="s">
        <v>1110</v>
      </c>
      <c r="F2688" s="1056">
        <v>55</v>
      </c>
      <c r="G2688" s="1056">
        <v>0</v>
      </c>
      <c r="H2688" s="1056">
        <v>0</v>
      </c>
      <c r="I2688" s="1056">
        <v>55</v>
      </c>
      <c r="J2688" s="996">
        <f t="shared" si="58"/>
        <v>0</v>
      </c>
      <c r="K2688" s="1037">
        <f t="shared" si="59"/>
        <v>8</v>
      </c>
    </row>
    <row r="2689" spans="1:11" ht="13.9" customHeight="1">
      <c r="A2689" s="1054">
        <v>52451501</v>
      </c>
      <c r="B2689" s="1055" t="s">
        <v>893</v>
      </c>
      <c r="C2689" s="1055" t="s">
        <v>110</v>
      </c>
      <c r="D2689" s="1055" t="s">
        <v>1513</v>
      </c>
      <c r="E2689" s="1055" t="s">
        <v>1514</v>
      </c>
      <c r="F2689" s="1056">
        <v>350</v>
      </c>
      <c r="G2689" s="1056">
        <v>0</v>
      </c>
      <c r="H2689" s="1056">
        <v>0</v>
      </c>
      <c r="I2689" s="1056">
        <v>350</v>
      </c>
      <c r="J2689" s="996">
        <f t="shared" si="58"/>
        <v>0</v>
      </c>
      <c r="K2689" s="1037">
        <f t="shared" si="59"/>
        <v>8</v>
      </c>
    </row>
    <row r="2690" spans="1:11" ht="13.9" customHeight="1">
      <c r="A2690" s="1054">
        <v>52451501</v>
      </c>
      <c r="B2690" s="1055" t="s">
        <v>893</v>
      </c>
      <c r="C2690" s="1055" t="s">
        <v>110</v>
      </c>
      <c r="D2690" s="1055" t="s">
        <v>1316</v>
      </c>
      <c r="E2690" s="1055" t="s">
        <v>985</v>
      </c>
      <c r="F2690" s="1056">
        <v>4770</v>
      </c>
      <c r="G2690" s="1056">
        <v>0</v>
      </c>
      <c r="H2690" s="1056">
        <v>0</v>
      </c>
      <c r="I2690" s="1056">
        <v>4770</v>
      </c>
      <c r="J2690" s="996">
        <f t="shared" si="58"/>
        <v>0</v>
      </c>
      <c r="K2690" s="1037">
        <f t="shared" si="59"/>
        <v>8</v>
      </c>
    </row>
    <row r="2691" spans="1:11" ht="13.9" customHeight="1">
      <c r="A2691" s="1054">
        <v>52451501</v>
      </c>
      <c r="B2691" s="1055" t="s">
        <v>893</v>
      </c>
      <c r="C2691" s="1055" t="s">
        <v>110</v>
      </c>
      <c r="D2691" s="1055" t="s">
        <v>1564</v>
      </c>
      <c r="E2691" s="1055" t="s">
        <v>1565</v>
      </c>
      <c r="F2691" s="1056">
        <v>85</v>
      </c>
      <c r="G2691" s="1056">
        <v>0</v>
      </c>
      <c r="H2691" s="1056">
        <v>0</v>
      </c>
      <c r="I2691" s="1056">
        <v>85</v>
      </c>
      <c r="J2691" s="996">
        <f t="shared" si="58"/>
        <v>0</v>
      </c>
      <c r="K2691" s="1037">
        <f t="shared" si="59"/>
        <v>8</v>
      </c>
    </row>
    <row r="2692" spans="1:11" ht="13.9" customHeight="1">
      <c r="A2692" s="1054">
        <v>52451501</v>
      </c>
      <c r="B2692" s="1055" t="s">
        <v>893</v>
      </c>
      <c r="C2692" s="1055" t="s">
        <v>110</v>
      </c>
      <c r="D2692" s="1055" t="s">
        <v>1210</v>
      </c>
      <c r="E2692" s="1055" t="s">
        <v>1211</v>
      </c>
      <c r="F2692" s="1056">
        <v>3555</v>
      </c>
      <c r="G2692" s="1056">
        <v>170</v>
      </c>
      <c r="H2692" s="1056">
        <v>0</v>
      </c>
      <c r="I2692" s="1056">
        <v>3725</v>
      </c>
      <c r="J2692" s="996">
        <f t="shared" si="58"/>
        <v>-170</v>
      </c>
      <c r="K2692" s="1037">
        <f t="shared" si="59"/>
        <v>8</v>
      </c>
    </row>
    <row r="2693" spans="1:11" ht="13.9" customHeight="1">
      <c r="A2693" s="1054">
        <v>52451501</v>
      </c>
      <c r="B2693" s="1055" t="s">
        <v>893</v>
      </c>
      <c r="C2693" s="1055" t="s">
        <v>110</v>
      </c>
      <c r="D2693" s="1055" t="s">
        <v>1560</v>
      </c>
      <c r="E2693" s="1055" t="s">
        <v>1561</v>
      </c>
      <c r="F2693" s="1056">
        <v>4607</v>
      </c>
      <c r="G2693" s="1056">
        <v>740</v>
      </c>
      <c r="H2693" s="1056">
        <v>0</v>
      </c>
      <c r="I2693" s="1056">
        <v>5347</v>
      </c>
      <c r="J2693" s="996">
        <f t="shared" si="58"/>
        <v>-740</v>
      </c>
      <c r="K2693" s="1037">
        <f t="shared" si="59"/>
        <v>8</v>
      </c>
    </row>
    <row r="2694" spans="1:11" ht="13.9" customHeight="1">
      <c r="A2694" s="1054">
        <v>524520</v>
      </c>
      <c r="B2694" s="1055" t="s">
        <v>893</v>
      </c>
      <c r="C2694" s="1055" t="s">
        <v>111</v>
      </c>
      <c r="D2694" s="1055" t="s">
        <v>893</v>
      </c>
      <c r="E2694" s="1055" t="s">
        <v>893</v>
      </c>
      <c r="F2694" s="1056">
        <v>150</v>
      </c>
      <c r="G2694" s="1056">
        <v>0</v>
      </c>
      <c r="H2694" s="1056">
        <v>0</v>
      </c>
      <c r="I2694" s="1056">
        <v>150</v>
      </c>
      <c r="J2694" s="996">
        <f t="shared" si="58"/>
        <v>0</v>
      </c>
      <c r="K2694" s="1037">
        <f t="shared" si="59"/>
        <v>6</v>
      </c>
    </row>
    <row r="2695" spans="1:11" ht="13.9" customHeight="1">
      <c r="A2695" s="1054">
        <v>52452001</v>
      </c>
      <c r="B2695" s="1055" t="s">
        <v>893</v>
      </c>
      <c r="C2695" s="1055" t="s">
        <v>111</v>
      </c>
      <c r="D2695" s="1055" t="s">
        <v>893</v>
      </c>
      <c r="E2695" s="1055" t="s">
        <v>893</v>
      </c>
      <c r="F2695" s="1056">
        <v>150</v>
      </c>
      <c r="G2695" s="1056">
        <v>0</v>
      </c>
      <c r="H2695" s="1056">
        <v>0</v>
      </c>
      <c r="I2695" s="1056">
        <v>150</v>
      </c>
      <c r="J2695" s="996">
        <f t="shared" si="58"/>
        <v>0</v>
      </c>
      <c r="K2695" s="1037">
        <f t="shared" si="59"/>
        <v>8</v>
      </c>
    </row>
    <row r="2696" spans="1:11" ht="13.9" customHeight="1">
      <c r="A2696" s="1054">
        <v>52452001</v>
      </c>
      <c r="B2696" s="1055" t="s">
        <v>893</v>
      </c>
      <c r="C2696" s="1055" t="s">
        <v>111</v>
      </c>
      <c r="D2696" s="1055" t="s">
        <v>1294</v>
      </c>
      <c r="E2696" s="1055" t="s">
        <v>779</v>
      </c>
      <c r="F2696" s="1056">
        <v>150</v>
      </c>
      <c r="G2696" s="1056">
        <v>0</v>
      </c>
      <c r="H2696" s="1056">
        <v>0</v>
      </c>
      <c r="I2696" s="1056">
        <v>150</v>
      </c>
      <c r="J2696" s="996">
        <f t="shared" si="58"/>
        <v>0</v>
      </c>
      <c r="K2696" s="1037">
        <f t="shared" si="59"/>
        <v>8</v>
      </c>
    </row>
    <row r="2697" spans="1:11" ht="13.9" customHeight="1">
      <c r="A2697" s="1054">
        <v>524595</v>
      </c>
      <c r="B2697" s="1055" t="s">
        <v>893</v>
      </c>
      <c r="C2697" s="1055" t="s">
        <v>323</v>
      </c>
      <c r="D2697" s="1055" t="s">
        <v>893</v>
      </c>
      <c r="E2697" s="1055" t="s">
        <v>893</v>
      </c>
      <c r="F2697" s="1056">
        <v>129</v>
      </c>
      <c r="G2697" s="1056">
        <v>0</v>
      </c>
      <c r="H2697" s="1056">
        <v>0</v>
      </c>
      <c r="I2697" s="1056">
        <v>129</v>
      </c>
      <c r="J2697" s="996">
        <f t="shared" ref="J2697:J2760" si="60">+H2697-G2697</f>
        <v>0</v>
      </c>
      <c r="K2697" s="1037">
        <f t="shared" si="59"/>
        <v>6</v>
      </c>
    </row>
    <row r="2698" spans="1:11" ht="13.9" customHeight="1">
      <c r="A2698" s="1054">
        <v>52459595</v>
      </c>
      <c r="B2698" s="1055" t="s">
        <v>893</v>
      </c>
      <c r="C2698" s="1055" t="s">
        <v>323</v>
      </c>
      <c r="D2698" s="1055" t="s">
        <v>893</v>
      </c>
      <c r="E2698" s="1055" t="s">
        <v>893</v>
      </c>
      <c r="F2698" s="1056">
        <v>129</v>
      </c>
      <c r="G2698" s="1056">
        <v>0</v>
      </c>
      <c r="H2698" s="1056">
        <v>0</v>
      </c>
      <c r="I2698" s="1056">
        <v>129</v>
      </c>
      <c r="J2698" s="996">
        <f t="shared" si="60"/>
        <v>0</v>
      </c>
      <c r="K2698" s="1037">
        <f t="shared" si="59"/>
        <v>8</v>
      </c>
    </row>
    <row r="2699" spans="1:11" ht="13.9" customHeight="1">
      <c r="A2699" s="1054">
        <v>52459595</v>
      </c>
      <c r="B2699" s="1055" t="s">
        <v>893</v>
      </c>
      <c r="C2699" s="1055" t="s">
        <v>323</v>
      </c>
      <c r="D2699" s="1055" t="s">
        <v>1294</v>
      </c>
      <c r="E2699" s="1055" t="s">
        <v>779</v>
      </c>
      <c r="F2699" s="1056">
        <v>129</v>
      </c>
      <c r="G2699" s="1056">
        <v>0</v>
      </c>
      <c r="H2699" s="1056">
        <v>0</v>
      </c>
      <c r="I2699" s="1056">
        <v>129</v>
      </c>
      <c r="J2699" s="996">
        <f t="shared" si="60"/>
        <v>0</v>
      </c>
      <c r="K2699" s="1037">
        <f t="shared" si="59"/>
        <v>8</v>
      </c>
    </row>
    <row r="2700" spans="1:11" ht="13.9" customHeight="1">
      <c r="A2700" s="1054">
        <v>5250</v>
      </c>
      <c r="B2700" s="1055" t="s">
        <v>893</v>
      </c>
      <c r="C2700" s="1055" t="s">
        <v>547</v>
      </c>
      <c r="D2700" s="1055" t="s">
        <v>893</v>
      </c>
      <c r="E2700" s="1055" t="s">
        <v>893</v>
      </c>
      <c r="F2700" s="1056">
        <v>2941</v>
      </c>
      <c r="G2700" s="1056">
        <v>0</v>
      </c>
      <c r="H2700" s="1056">
        <v>0</v>
      </c>
      <c r="I2700" s="1056">
        <v>2941</v>
      </c>
      <c r="J2700" s="996">
        <f t="shared" si="60"/>
        <v>0</v>
      </c>
      <c r="K2700" s="1037">
        <f t="shared" si="59"/>
        <v>4</v>
      </c>
    </row>
    <row r="2701" spans="1:11" ht="13.9" customHeight="1">
      <c r="A2701" s="1054">
        <v>525005</v>
      </c>
      <c r="B2701" s="1055" t="s">
        <v>893</v>
      </c>
      <c r="C2701" s="1055" t="s">
        <v>476</v>
      </c>
      <c r="D2701" s="1055" t="s">
        <v>893</v>
      </c>
      <c r="E2701" s="1055" t="s">
        <v>893</v>
      </c>
      <c r="F2701" s="1056">
        <v>404</v>
      </c>
      <c r="G2701" s="1056">
        <v>0</v>
      </c>
      <c r="H2701" s="1056">
        <v>0</v>
      </c>
      <c r="I2701" s="1056">
        <v>404</v>
      </c>
      <c r="J2701" s="996">
        <f t="shared" si="60"/>
        <v>0</v>
      </c>
      <c r="K2701" s="1037">
        <f t="shared" si="59"/>
        <v>6</v>
      </c>
    </row>
    <row r="2702" spans="1:11" ht="13.9" customHeight="1">
      <c r="A2702" s="1054">
        <v>52500501</v>
      </c>
      <c r="B2702" s="1055" t="s">
        <v>893</v>
      </c>
      <c r="C2702" s="1055" t="s">
        <v>476</v>
      </c>
      <c r="D2702" s="1055" t="s">
        <v>893</v>
      </c>
      <c r="E2702" s="1055" t="s">
        <v>893</v>
      </c>
      <c r="F2702" s="1056">
        <v>404</v>
      </c>
      <c r="G2702" s="1056">
        <v>0</v>
      </c>
      <c r="H2702" s="1056">
        <v>0</v>
      </c>
      <c r="I2702" s="1056">
        <v>404</v>
      </c>
      <c r="J2702" s="996">
        <f t="shared" si="60"/>
        <v>0</v>
      </c>
      <c r="K2702" s="1037">
        <f t="shared" si="59"/>
        <v>8</v>
      </c>
    </row>
    <row r="2703" spans="1:11" ht="13.9" customHeight="1">
      <c r="A2703" s="1054">
        <v>52500501</v>
      </c>
      <c r="B2703" s="1055" t="s">
        <v>893</v>
      </c>
      <c r="C2703" s="1055" t="s">
        <v>476</v>
      </c>
      <c r="D2703" s="1055" t="s">
        <v>1232</v>
      </c>
      <c r="E2703" s="1055" t="s">
        <v>1233</v>
      </c>
      <c r="F2703" s="1056">
        <v>14</v>
      </c>
      <c r="G2703" s="1056">
        <v>0</v>
      </c>
      <c r="H2703" s="1056">
        <v>0</v>
      </c>
      <c r="I2703" s="1056">
        <v>14</v>
      </c>
      <c r="J2703" s="996">
        <f t="shared" si="60"/>
        <v>0</v>
      </c>
      <c r="K2703" s="1037">
        <f t="shared" si="59"/>
        <v>8</v>
      </c>
    </row>
    <row r="2704" spans="1:11" ht="13.9" customHeight="1">
      <c r="A2704" s="1054">
        <v>52500501</v>
      </c>
      <c r="B2704" s="1055" t="s">
        <v>893</v>
      </c>
      <c r="C2704" s="1055" t="s">
        <v>476</v>
      </c>
      <c r="D2704" s="1055" t="s">
        <v>1316</v>
      </c>
      <c r="E2704" s="1055" t="s">
        <v>985</v>
      </c>
      <c r="F2704" s="1056">
        <v>390</v>
      </c>
      <c r="G2704" s="1056">
        <v>0</v>
      </c>
      <c r="H2704" s="1056">
        <v>0</v>
      </c>
      <c r="I2704" s="1056">
        <v>390</v>
      </c>
      <c r="J2704" s="996">
        <f t="shared" si="60"/>
        <v>0</v>
      </c>
      <c r="K2704" s="1037">
        <f t="shared" si="59"/>
        <v>8</v>
      </c>
    </row>
    <row r="2705" spans="1:11" ht="13.9" customHeight="1">
      <c r="A2705" s="1054">
        <v>525010</v>
      </c>
      <c r="B2705" s="1055" t="s">
        <v>893</v>
      </c>
      <c r="C2705" s="1055" t="s">
        <v>1592</v>
      </c>
      <c r="D2705" s="1055" t="s">
        <v>893</v>
      </c>
      <c r="E2705" s="1055" t="s">
        <v>893</v>
      </c>
      <c r="F2705" s="1056">
        <v>420</v>
      </c>
      <c r="G2705" s="1056">
        <v>0</v>
      </c>
      <c r="H2705" s="1056">
        <v>0</v>
      </c>
      <c r="I2705" s="1056">
        <v>420</v>
      </c>
      <c r="J2705" s="996">
        <f t="shared" si="60"/>
        <v>0</v>
      </c>
      <c r="K2705" s="1037">
        <f t="shared" si="59"/>
        <v>6</v>
      </c>
    </row>
    <row r="2706" spans="1:11" ht="13.9" customHeight="1">
      <c r="A2706" s="1054">
        <v>52501001</v>
      </c>
      <c r="B2706" s="1055" t="s">
        <v>893</v>
      </c>
      <c r="C2706" s="1055" t="s">
        <v>1592</v>
      </c>
      <c r="D2706" s="1055" t="s">
        <v>893</v>
      </c>
      <c r="E2706" s="1055" t="s">
        <v>893</v>
      </c>
      <c r="F2706" s="1056">
        <v>420</v>
      </c>
      <c r="G2706" s="1056">
        <v>0</v>
      </c>
      <c r="H2706" s="1056">
        <v>0</v>
      </c>
      <c r="I2706" s="1056">
        <v>420</v>
      </c>
      <c r="J2706" s="996">
        <f t="shared" si="60"/>
        <v>0</v>
      </c>
      <c r="K2706" s="1037">
        <f t="shared" si="59"/>
        <v>8</v>
      </c>
    </row>
    <row r="2707" spans="1:11" ht="13.9" customHeight="1">
      <c r="A2707" s="1054">
        <v>52501001</v>
      </c>
      <c r="B2707" s="1055" t="s">
        <v>893</v>
      </c>
      <c r="C2707" s="1055" t="s">
        <v>1592</v>
      </c>
      <c r="D2707" s="1055" t="s">
        <v>1562</v>
      </c>
      <c r="E2707" s="1055" t="s">
        <v>1563</v>
      </c>
      <c r="F2707" s="1056">
        <v>420</v>
      </c>
      <c r="G2707" s="1056">
        <v>0</v>
      </c>
      <c r="H2707" s="1056">
        <v>0</v>
      </c>
      <c r="I2707" s="1056">
        <v>420</v>
      </c>
      <c r="J2707" s="996">
        <f t="shared" si="60"/>
        <v>0</v>
      </c>
      <c r="K2707" s="1037">
        <f t="shared" si="59"/>
        <v>8</v>
      </c>
    </row>
    <row r="2708" spans="1:11" ht="13.9" customHeight="1">
      <c r="A2708" s="1054">
        <v>525015</v>
      </c>
      <c r="B2708" s="1055" t="s">
        <v>893</v>
      </c>
      <c r="C2708" s="1055" t="s">
        <v>393</v>
      </c>
      <c r="D2708" s="1055" t="s">
        <v>893</v>
      </c>
      <c r="E2708" s="1055" t="s">
        <v>893</v>
      </c>
      <c r="F2708" s="1056">
        <v>1732</v>
      </c>
      <c r="G2708" s="1056">
        <v>0</v>
      </c>
      <c r="H2708" s="1056">
        <v>0</v>
      </c>
      <c r="I2708" s="1056">
        <v>1732</v>
      </c>
      <c r="J2708" s="996">
        <f t="shared" si="60"/>
        <v>0</v>
      </c>
      <c r="K2708" s="1037">
        <f t="shared" si="59"/>
        <v>6</v>
      </c>
    </row>
    <row r="2709" spans="1:11" ht="13.9" customHeight="1">
      <c r="A2709" s="1054">
        <v>52501501</v>
      </c>
      <c r="B2709" s="1055" t="s">
        <v>893</v>
      </c>
      <c r="C2709" s="1055" t="s">
        <v>393</v>
      </c>
      <c r="D2709" s="1055" t="s">
        <v>893</v>
      </c>
      <c r="E2709" s="1055" t="s">
        <v>893</v>
      </c>
      <c r="F2709" s="1056">
        <v>1732</v>
      </c>
      <c r="G2709" s="1056">
        <v>0</v>
      </c>
      <c r="H2709" s="1056">
        <v>0</v>
      </c>
      <c r="I2709" s="1056">
        <v>1732</v>
      </c>
      <c r="J2709" s="996">
        <f t="shared" si="60"/>
        <v>0</v>
      </c>
      <c r="K2709" s="1037">
        <f t="shared" si="59"/>
        <v>8</v>
      </c>
    </row>
    <row r="2710" spans="1:11" ht="13.9" customHeight="1">
      <c r="A2710" s="1054">
        <v>52501501</v>
      </c>
      <c r="B2710" s="1055" t="s">
        <v>893</v>
      </c>
      <c r="C2710" s="1055" t="s">
        <v>393</v>
      </c>
      <c r="D2710" s="1055" t="s">
        <v>1316</v>
      </c>
      <c r="E2710" s="1055" t="s">
        <v>985</v>
      </c>
      <c r="F2710" s="1056">
        <v>1732</v>
      </c>
      <c r="G2710" s="1056">
        <v>0</v>
      </c>
      <c r="H2710" s="1056">
        <v>0</v>
      </c>
      <c r="I2710" s="1056">
        <v>1732</v>
      </c>
      <c r="J2710" s="996">
        <f t="shared" si="60"/>
        <v>0</v>
      </c>
      <c r="K2710" s="1037">
        <f t="shared" si="59"/>
        <v>8</v>
      </c>
    </row>
    <row r="2711" spans="1:11" ht="13.9" customHeight="1">
      <c r="A2711" s="1054">
        <v>525095</v>
      </c>
      <c r="B2711" s="1055" t="s">
        <v>893</v>
      </c>
      <c r="C2711" s="1055" t="s">
        <v>1593</v>
      </c>
      <c r="D2711" s="1055" t="s">
        <v>893</v>
      </c>
      <c r="E2711" s="1055" t="s">
        <v>893</v>
      </c>
      <c r="F2711" s="1056">
        <v>386</v>
      </c>
      <c r="G2711" s="1056">
        <v>0</v>
      </c>
      <c r="H2711" s="1056">
        <v>0</v>
      </c>
      <c r="I2711" s="1056">
        <v>386</v>
      </c>
      <c r="J2711" s="996">
        <f t="shared" si="60"/>
        <v>0</v>
      </c>
      <c r="K2711" s="1037">
        <f t="shared" si="59"/>
        <v>6</v>
      </c>
    </row>
    <row r="2712" spans="1:11" ht="13.9" customHeight="1">
      <c r="A2712" s="1054">
        <v>52509505</v>
      </c>
      <c r="B2712" s="1055" t="s">
        <v>893</v>
      </c>
      <c r="C2712" s="1055" t="s">
        <v>1594</v>
      </c>
      <c r="D2712" s="1055" t="s">
        <v>893</v>
      </c>
      <c r="E2712" s="1055" t="s">
        <v>893</v>
      </c>
      <c r="F2712" s="1056">
        <v>386</v>
      </c>
      <c r="G2712" s="1056">
        <v>0</v>
      </c>
      <c r="H2712" s="1056">
        <v>0</v>
      </c>
      <c r="I2712" s="1056">
        <v>386</v>
      </c>
      <c r="J2712" s="996">
        <f t="shared" si="60"/>
        <v>0</v>
      </c>
      <c r="K2712" s="1037">
        <f t="shared" si="59"/>
        <v>8</v>
      </c>
    </row>
    <row r="2713" spans="1:11" ht="13.9" customHeight="1">
      <c r="A2713" s="1054">
        <v>52509505</v>
      </c>
      <c r="B2713" s="1055" t="s">
        <v>893</v>
      </c>
      <c r="C2713" s="1055" t="s">
        <v>1594</v>
      </c>
      <c r="D2713" s="1055" t="s">
        <v>1316</v>
      </c>
      <c r="E2713" s="1055" t="s">
        <v>985</v>
      </c>
      <c r="F2713" s="1056">
        <v>386</v>
      </c>
      <c r="G2713" s="1056">
        <v>0</v>
      </c>
      <c r="H2713" s="1056">
        <v>0</v>
      </c>
      <c r="I2713" s="1056">
        <v>386</v>
      </c>
      <c r="J2713" s="996">
        <f t="shared" si="60"/>
        <v>0</v>
      </c>
      <c r="K2713" s="1037">
        <f t="shared" si="59"/>
        <v>8</v>
      </c>
    </row>
    <row r="2714" spans="1:11" ht="13.9" customHeight="1">
      <c r="A2714" s="1054">
        <v>5260</v>
      </c>
      <c r="B2714" s="1055" t="s">
        <v>893</v>
      </c>
      <c r="C2714" s="1055" t="s">
        <v>327</v>
      </c>
      <c r="D2714" s="1055" t="s">
        <v>893</v>
      </c>
      <c r="E2714" s="1055" t="s">
        <v>893</v>
      </c>
      <c r="F2714" s="1056">
        <v>4498</v>
      </c>
      <c r="G2714" s="1056">
        <v>904</v>
      </c>
      <c r="H2714" s="1056">
        <v>0</v>
      </c>
      <c r="I2714" s="1056">
        <v>5402</v>
      </c>
      <c r="J2714" s="996">
        <f t="shared" si="60"/>
        <v>-904</v>
      </c>
      <c r="K2714" s="1037">
        <f t="shared" si="59"/>
        <v>4</v>
      </c>
    </row>
    <row r="2715" spans="1:11" ht="13.9" customHeight="1">
      <c r="A2715" s="1054">
        <v>526005</v>
      </c>
      <c r="B2715" s="1055" t="s">
        <v>1489</v>
      </c>
      <c r="C2715" s="1055" t="s">
        <v>209</v>
      </c>
      <c r="D2715" s="1055" t="s">
        <v>893</v>
      </c>
      <c r="E2715" s="1055" t="s">
        <v>893</v>
      </c>
      <c r="F2715" s="1056">
        <v>2443</v>
      </c>
      <c r="G2715" s="1056">
        <v>489</v>
      </c>
      <c r="H2715" s="1056">
        <v>0</v>
      </c>
      <c r="I2715" s="1056">
        <v>2931</v>
      </c>
      <c r="J2715" s="996">
        <f t="shared" si="60"/>
        <v>-489</v>
      </c>
      <c r="K2715" s="1037">
        <f t="shared" si="59"/>
        <v>6</v>
      </c>
    </row>
    <row r="2716" spans="1:11" ht="13.9" customHeight="1">
      <c r="A2716" s="1054">
        <v>526005</v>
      </c>
      <c r="B2716" s="1055" t="s">
        <v>1489</v>
      </c>
      <c r="C2716" s="1055" t="s">
        <v>209</v>
      </c>
      <c r="D2716" s="1055" t="s">
        <v>1083</v>
      </c>
      <c r="E2716" s="1055" t="s">
        <v>256</v>
      </c>
      <c r="F2716" s="1056">
        <v>2443</v>
      </c>
      <c r="G2716" s="1056">
        <v>489</v>
      </c>
      <c r="H2716" s="1056">
        <v>0</v>
      </c>
      <c r="I2716" s="1056">
        <v>2931</v>
      </c>
      <c r="J2716" s="996">
        <f t="shared" si="60"/>
        <v>-489</v>
      </c>
      <c r="K2716" s="1037">
        <f t="shared" si="59"/>
        <v>6</v>
      </c>
    </row>
    <row r="2717" spans="1:11" ht="13.9" customHeight="1">
      <c r="A2717" s="1054">
        <v>526010</v>
      </c>
      <c r="B2717" s="1055" t="s">
        <v>893</v>
      </c>
      <c r="C2717" s="1055" t="s">
        <v>110</v>
      </c>
      <c r="D2717" s="1055" t="s">
        <v>893</v>
      </c>
      <c r="E2717" s="1055" t="s">
        <v>893</v>
      </c>
      <c r="F2717" s="1056">
        <v>1087</v>
      </c>
      <c r="G2717" s="1056">
        <v>222</v>
      </c>
      <c r="H2717" s="1056">
        <v>0</v>
      </c>
      <c r="I2717" s="1056">
        <v>1309</v>
      </c>
      <c r="J2717" s="996">
        <f t="shared" si="60"/>
        <v>-222</v>
      </c>
      <c r="K2717" s="1037">
        <f t="shared" si="59"/>
        <v>6</v>
      </c>
    </row>
    <row r="2718" spans="1:11" ht="13.9" customHeight="1">
      <c r="A2718" s="1054">
        <v>52601001</v>
      </c>
      <c r="B2718" s="1055" t="s">
        <v>893</v>
      </c>
      <c r="C2718" s="1055" t="s">
        <v>110</v>
      </c>
      <c r="D2718" s="1055" t="s">
        <v>893</v>
      </c>
      <c r="E2718" s="1055" t="s">
        <v>893</v>
      </c>
      <c r="F2718" s="1056">
        <v>1087</v>
      </c>
      <c r="G2718" s="1056">
        <v>222</v>
      </c>
      <c r="H2718" s="1056">
        <v>0</v>
      </c>
      <c r="I2718" s="1056">
        <v>1309</v>
      </c>
      <c r="J2718" s="996">
        <f t="shared" si="60"/>
        <v>-222</v>
      </c>
      <c r="K2718" s="1037">
        <f t="shared" si="59"/>
        <v>8</v>
      </c>
    </row>
    <row r="2719" spans="1:11" ht="13.9" customHeight="1">
      <c r="A2719" s="1054">
        <v>52601001</v>
      </c>
      <c r="B2719" s="1055" t="s">
        <v>893</v>
      </c>
      <c r="C2719" s="1055" t="s">
        <v>110</v>
      </c>
      <c r="D2719" s="1055" t="s">
        <v>1083</v>
      </c>
      <c r="E2719" s="1055" t="s">
        <v>256</v>
      </c>
      <c r="F2719" s="1056">
        <v>1087</v>
      </c>
      <c r="G2719" s="1056">
        <v>222</v>
      </c>
      <c r="H2719" s="1056">
        <v>0</v>
      </c>
      <c r="I2719" s="1056">
        <v>1309</v>
      </c>
      <c r="J2719" s="996">
        <f t="shared" si="60"/>
        <v>-222</v>
      </c>
      <c r="K2719" s="1037">
        <f t="shared" si="59"/>
        <v>8</v>
      </c>
    </row>
    <row r="2720" spans="1:11" ht="13.9" customHeight="1">
      <c r="A2720" s="1054">
        <v>526015</v>
      </c>
      <c r="B2720" s="1055" t="s">
        <v>893</v>
      </c>
      <c r="C2720" s="1055" t="s">
        <v>111</v>
      </c>
      <c r="D2720" s="1055" t="s">
        <v>893</v>
      </c>
      <c r="E2720" s="1055" t="s">
        <v>893</v>
      </c>
      <c r="F2720" s="1056">
        <v>733</v>
      </c>
      <c r="G2720" s="1056">
        <v>147</v>
      </c>
      <c r="H2720" s="1056">
        <v>0</v>
      </c>
      <c r="I2720" s="1056">
        <v>879</v>
      </c>
      <c r="J2720" s="996">
        <f t="shared" si="60"/>
        <v>-147</v>
      </c>
      <c r="K2720" s="1037">
        <f t="shared" si="59"/>
        <v>6</v>
      </c>
    </row>
    <row r="2721" spans="1:11" ht="13.9" customHeight="1">
      <c r="A2721" s="1054">
        <v>52601501</v>
      </c>
      <c r="B2721" s="1055" t="s">
        <v>893</v>
      </c>
      <c r="C2721" s="1055" t="s">
        <v>111</v>
      </c>
      <c r="D2721" s="1055" t="s">
        <v>893</v>
      </c>
      <c r="E2721" s="1055" t="s">
        <v>893</v>
      </c>
      <c r="F2721" s="1056">
        <v>733</v>
      </c>
      <c r="G2721" s="1056">
        <v>147</v>
      </c>
      <c r="H2721" s="1056">
        <v>0</v>
      </c>
      <c r="I2721" s="1056">
        <v>879</v>
      </c>
      <c r="J2721" s="996">
        <f t="shared" si="60"/>
        <v>-147</v>
      </c>
      <c r="K2721" s="1037">
        <f t="shared" si="59"/>
        <v>8</v>
      </c>
    </row>
    <row r="2722" spans="1:11" ht="13.9" customHeight="1">
      <c r="A2722" s="1054">
        <v>52601501</v>
      </c>
      <c r="B2722" s="1055" t="s">
        <v>893</v>
      </c>
      <c r="C2722" s="1055" t="s">
        <v>111</v>
      </c>
      <c r="D2722" s="1055" t="s">
        <v>1083</v>
      </c>
      <c r="E2722" s="1055" t="s">
        <v>256</v>
      </c>
      <c r="F2722" s="1056">
        <v>733</v>
      </c>
      <c r="G2722" s="1056">
        <v>147</v>
      </c>
      <c r="H2722" s="1056">
        <v>0</v>
      </c>
      <c r="I2722" s="1056">
        <v>879</v>
      </c>
      <c r="J2722" s="996">
        <f t="shared" si="60"/>
        <v>-147</v>
      </c>
      <c r="K2722" s="1037">
        <f t="shared" si="59"/>
        <v>8</v>
      </c>
    </row>
    <row r="2723" spans="1:11" ht="13.9" customHeight="1">
      <c r="A2723" s="1054">
        <v>526020</v>
      </c>
      <c r="B2723" s="1055" t="s">
        <v>893</v>
      </c>
      <c r="C2723" s="1055" t="s">
        <v>777</v>
      </c>
      <c r="D2723" s="1055" t="s">
        <v>893</v>
      </c>
      <c r="E2723" s="1055" t="s">
        <v>893</v>
      </c>
      <c r="F2723" s="1056">
        <v>236</v>
      </c>
      <c r="G2723" s="1056">
        <v>47</v>
      </c>
      <c r="H2723" s="1056">
        <v>0</v>
      </c>
      <c r="I2723" s="1056">
        <v>283</v>
      </c>
      <c r="J2723" s="996">
        <f t="shared" si="60"/>
        <v>-47</v>
      </c>
      <c r="K2723" s="1037">
        <f t="shared" si="59"/>
        <v>6</v>
      </c>
    </row>
    <row r="2724" spans="1:11" ht="13.9" customHeight="1">
      <c r="A2724" s="1054">
        <v>52602001</v>
      </c>
      <c r="B2724" s="1055" t="s">
        <v>893</v>
      </c>
      <c r="C2724" s="1055" t="s">
        <v>777</v>
      </c>
      <c r="D2724" s="1055" t="s">
        <v>893</v>
      </c>
      <c r="E2724" s="1055" t="s">
        <v>893</v>
      </c>
      <c r="F2724" s="1056">
        <v>236</v>
      </c>
      <c r="G2724" s="1056">
        <v>47</v>
      </c>
      <c r="H2724" s="1056">
        <v>0</v>
      </c>
      <c r="I2724" s="1056">
        <v>283</v>
      </c>
      <c r="J2724" s="996">
        <f t="shared" si="60"/>
        <v>-47</v>
      </c>
      <c r="K2724" s="1037">
        <f t="shared" si="59"/>
        <v>8</v>
      </c>
    </row>
    <row r="2725" spans="1:11" ht="13.9" customHeight="1">
      <c r="A2725" s="1054">
        <v>52602001</v>
      </c>
      <c r="B2725" s="1055" t="s">
        <v>893</v>
      </c>
      <c r="C2725" s="1055" t="s">
        <v>777</v>
      </c>
      <c r="D2725" s="1055" t="s">
        <v>1083</v>
      </c>
      <c r="E2725" s="1055" t="s">
        <v>256</v>
      </c>
      <c r="F2725" s="1056">
        <v>236</v>
      </c>
      <c r="G2725" s="1056">
        <v>47</v>
      </c>
      <c r="H2725" s="1056">
        <v>0</v>
      </c>
      <c r="I2725" s="1056">
        <v>283</v>
      </c>
      <c r="J2725" s="996">
        <f t="shared" si="60"/>
        <v>-47</v>
      </c>
      <c r="K2725" s="1037">
        <f t="shared" si="59"/>
        <v>8</v>
      </c>
    </row>
    <row r="2726" spans="1:11" ht="13.9" customHeight="1">
      <c r="A2726" s="1054">
        <v>5295</v>
      </c>
      <c r="B2726" s="1055" t="s">
        <v>893</v>
      </c>
      <c r="C2726" s="1055" t="s">
        <v>141</v>
      </c>
      <c r="D2726" s="1055" t="s">
        <v>893</v>
      </c>
      <c r="E2726" s="1055" t="s">
        <v>893</v>
      </c>
      <c r="F2726" s="1056">
        <v>18379</v>
      </c>
      <c r="G2726" s="1056">
        <v>3584</v>
      </c>
      <c r="H2726" s="1056">
        <v>318</v>
      </c>
      <c r="I2726" s="1056">
        <v>21645</v>
      </c>
      <c r="J2726" s="996">
        <f t="shared" si="60"/>
        <v>-3266</v>
      </c>
      <c r="K2726" s="1037">
        <f t="shared" si="59"/>
        <v>4</v>
      </c>
    </row>
    <row r="2727" spans="1:11" ht="13.9" customHeight="1">
      <c r="A2727" s="1054">
        <v>529525</v>
      </c>
      <c r="B2727" s="1055" t="s">
        <v>893</v>
      </c>
      <c r="C2727" s="1055" t="s">
        <v>429</v>
      </c>
      <c r="D2727" s="1055" t="s">
        <v>893</v>
      </c>
      <c r="E2727" s="1055" t="s">
        <v>893</v>
      </c>
      <c r="F2727" s="1056">
        <v>5564</v>
      </c>
      <c r="G2727" s="1056">
        <v>1462</v>
      </c>
      <c r="H2727" s="1056">
        <v>87</v>
      </c>
      <c r="I2727" s="1056">
        <v>6939</v>
      </c>
      <c r="J2727" s="996">
        <f t="shared" si="60"/>
        <v>-1375</v>
      </c>
      <c r="K2727" s="1037">
        <f t="shared" si="59"/>
        <v>6</v>
      </c>
    </row>
    <row r="2728" spans="1:11" ht="13.9" customHeight="1">
      <c r="A2728" s="1054">
        <v>52952501</v>
      </c>
      <c r="B2728" s="1055" t="s">
        <v>893</v>
      </c>
      <c r="C2728" s="1055" t="s">
        <v>1595</v>
      </c>
      <c r="D2728" s="1055" t="s">
        <v>893</v>
      </c>
      <c r="E2728" s="1055" t="s">
        <v>893</v>
      </c>
      <c r="F2728" s="1056">
        <v>112</v>
      </c>
      <c r="G2728" s="1056">
        <v>0</v>
      </c>
      <c r="H2728" s="1056">
        <v>0</v>
      </c>
      <c r="I2728" s="1056">
        <v>112</v>
      </c>
      <c r="J2728" s="996">
        <f t="shared" si="60"/>
        <v>0</v>
      </c>
      <c r="K2728" s="1037">
        <f t="shared" si="59"/>
        <v>8</v>
      </c>
    </row>
    <row r="2729" spans="1:11" ht="13.9" customHeight="1">
      <c r="A2729" s="1054">
        <v>52952501</v>
      </c>
      <c r="B2729" s="1055" t="s">
        <v>893</v>
      </c>
      <c r="C2729" s="1055" t="s">
        <v>1595</v>
      </c>
      <c r="D2729" s="1055" t="s">
        <v>1075</v>
      </c>
      <c r="E2729" s="1055" t="s">
        <v>325</v>
      </c>
      <c r="F2729" s="1056">
        <v>112</v>
      </c>
      <c r="G2729" s="1056">
        <v>0</v>
      </c>
      <c r="H2729" s="1056">
        <v>0</v>
      </c>
      <c r="I2729" s="1056">
        <v>112</v>
      </c>
      <c r="J2729" s="996">
        <f t="shared" si="60"/>
        <v>0</v>
      </c>
      <c r="K2729" s="1037">
        <f t="shared" si="59"/>
        <v>8</v>
      </c>
    </row>
    <row r="2730" spans="1:11" ht="13.9" customHeight="1">
      <c r="A2730" s="1054">
        <v>52952502</v>
      </c>
      <c r="B2730" s="1055" t="s">
        <v>893</v>
      </c>
      <c r="C2730" s="1055" t="s">
        <v>548</v>
      </c>
      <c r="D2730" s="1055" t="s">
        <v>893</v>
      </c>
      <c r="E2730" s="1055" t="s">
        <v>893</v>
      </c>
      <c r="F2730" s="1056">
        <v>5452</v>
      </c>
      <c r="G2730" s="1056">
        <v>1462</v>
      </c>
      <c r="H2730" s="1056">
        <v>87</v>
      </c>
      <c r="I2730" s="1056">
        <v>6827</v>
      </c>
      <c r="J2730" s="996">
        <f t="shared" si="60"/>
        <v>-1375</v>
      </c>
      <c r="K2730" s="1037">
        <f t="shared" si="59"/>
        <v>8</v>
      </c>
    </row>
    <row r="2731" spans="1:11" ht="13.9" customHeight="1">
      <c r="A2731" s="1054">
        <v>52952502</v>
      </c>
      <c r="B2731" s="1055" t="s">
        <v>893</v>
      </c>
      <c r="C2731" s="1055" t="s">
        <v>548</v>
      </c>
      <c r="D2731" s="1055" t="s">
        <v>1272</v>
      </c>
      <c r="E2731" s="1055" t="s">
        <v>1273</v>
      </c>
      <c r="F2731" s="1056">
        <v>33</v>
      </c>
      <c r="G2731" s="1056">
        <v>0</v>
      </c>
      <c r="H2731" s="1056">
        <v>0</v>
      </c>
      <c r="I2731" s="1056">
        <v>33</v>
      </c>
      <c r="J2731" s="996">
        <f t="shared" si="60"/>
        <v>0</v>
      </c>
      <c r="K2731" s="1037">
        <f t="shared" si="59"/>
        <v>8</v>
      </c>
    </row>
    <row r="2732" spans="1:11" ht="13.9" customHeight="1">
      <c r="A2732" s="1054">
        <v>52952502</v>
      </c>
      <c r="B2732" s="1055" t="s">
        <v>893</v>
      </c>
      <c r="C2732" s="1055" t="s">
        <v>548</v>
      </c>
      <c r="D2732" s="1055" t="s">
        <v>1331</v>
      </c>
      <c r="E2732" s="1055" t="s">
        <v>1332</v>
      </c>
      <c r="F2732" s="1056">
        <v>420</v>
      </c>
      <c r="G2732" s="1056">
        <v>173</v>
      </c>
      <c r="H2732" s="1056">
        <v>0</v>
      </c>
      <c r="I2732" s="1056">
        <v>593</v>
      </c>
      <c r="J2732" s="996">
        <f t="shared" si="60"/>
        <v>-173</v>
      </c>
      <c r="K2732" s="1037">
        <f t="shared" si="59"/>
        <v>8</v>
      </c>
    </row>
    <row r="2733" spans="1:11" ht="13.9" customHeight="1">
      <c r="A2733" s="1054">
        <v>52952502</v>
      </c>
      <c r="B2733" s="1055" t="s">
        <v>893</v>
      </c>
      <c r="C2733" s="1055" t="s">
        <v>548</v>
      </c>
      <c r="D2733" s="1055" t="s">
        <v>1230</v>
      </c>
      <c r="E2733" s="1055" t="s">
        <v>1231</v>
      </c>
      <c r="F2733" s="1056">
        <v>42</v>
      </c>
      <c r="G2733" s="1056">
        <v>0</v>
      </c>
      <c r="H2733" s="1056">
        <v>0</v>
      </c>
      <c r="I2733" s="1056">
        <v>42</v>
      </c>
      <c r="J2733" s="996">
        <f t="shared" si="60"/>
        <v>0</v>
      </c>
      <c r="K2733" s="1037">
        <f t="shared" si="59"/>
        <v>8</v>
      </c>
    </row>
    <row r="2734" spans="1:11" ht="13.9" customHeight="1">
      <c r="A2734" s="1054">
        <v>52952502</v>
      </c>
      <c r="B2734" s="1055" t="s">
        <v>893</v>
      </c>
      <c r="C2734" s="1055" t="s">
        <v>548</v>
      </c>
      <c r="D2734" s="1055" t="s">
        <v>1572</v>
      </c>
      <c r="E2734" s="1055" t="s">
        <v>1573</v>
      </c>
      <c r="F2734" s="1056">
        <v>6</v>
      </c>
      <c r="G2734" s="1056">
        <v>0</v>
      </c>
      <c r="H2734" s="1056">
        <v>0</v>
      </c>
      <c r="I2734" s="1056">
        <v>6</v>
      </c>
      <c r="J2734" s="996">
        <f t="shared" si="60"/>
        <v>0</v>
      </c>
      <c r="K2734" s="1037">
        <f t="shared" ref="K2734:K2797" si="61">+LEN(A2734)</f>
        <v>8</v>
      </c>
    </row>
    <row r="2735" spans="1:11" ht="13.9" customHeight="1">
      <c r="A2735" s="1054">
        <v>52952502</v>
      </c>
      <c r="B2735" s="1055" t="s">
        <v>893</v>
      </c>
      <c r="C2735" s="1055" t="s">
        <v>548</v>
      </c>
      <c r="D2735" s="1055" t="s">
        <v>1232</v>
      </c>
      <c r="E2735" s="1055" t="s">
        <v>1233</v>
      </c>
      <c r="F2735" s="1056">
        <v>11</v>
      </c>
      <c r="G2735" s="1056">
        <v>0</v>
      </c>
      <c r="H2735" s="1056">
        <v>0</v>
      </c>
      <c r="I2735" s="1056">
        <v>11</v>
      </c>
      <c r="J2735" s="996">
        <f t="shared" si="60"/>
        <v>0</v>
      </c>
      <c r="K2735" s="1037">
        <f t="shared" si="61"/>
        <v>8</v>
      </c>
    </row>
    <row r="2736" spans="1:11" ht="13.9" customHeight="1">
      <c r="A2736" s="1054">
        <v>52952502</v>
      </c>
      <c r="B2736" s="1055" t="s">
        <v>893</v>
      </c>
      <c r="C2736" s="1055" t="s">
        <v>548</v>
      </c>
      <c r="D2736" s="1055" t="s">
        <v>1109</v>
      </c>
      <c r="E2736" s="1055" t="s">
        <v>1110</v>
      </c>
      <c r="F2736" s="1056">
        <v>173</v>
      </c>
      <c r="G2736" s="1056">
        <v>58</v>
      </c>
      <c r="H2736" s="1056">
        <v>0</v>
      </c>
      <c r="I2736" s="1056">
        <v>231</v>
      </c>
      <c r="J2736" s="996">
        <f t="shared" si="60"/>
        <v>-58</v>
      </c>
      <c r="K2736" s="1037">
        <f t="shared" si="61"/>
        <v>8</v>
      </c>
    </row>
    <row r="2737" spans="1:11" ht="13.9" customHeight="1">
      <c r="A2737" s="1054">
        <v>52952502</v>
      </c>
      <c r="B2737" s="1055" t="s">
        <v>893</v>
      </c>
      <c r="C2737" s="1055" t="s">
        <v>548</v>
      </c>
      <c r="D2737" s="1055" t="s">
        <v>1069</v>
      </c>
      <c r="E2737" s="1055" t="s">
        <v>1070</v>
      </c>
      <c r="F2737" s="1056">
        <v>284</v>
      </c>
      <c r="G2737" s="1056">
        <v>20</v>
      </c>
      <c r="H2737" s="1056">
        <v>0</v>
      </c>
      <c r="I2737" s="1056">
        <v>304</v>
      </c>
      <c r="J2737" s="996">
        <f t="shared" si="60"/>
        <v>-20</v>
      </c>
      <c r="K2737" s="1037">
        <f t="shared" si="61"/>
        <v>8</v>
      </c>
    </row>
    <row r="2738" spans="1:11" ht="13.9" customHeight="1">
      <c r="A2738" s="1054">
        <v>52952502</v>
      </c>
      <c r="B2738" s="1055" t="s">
        <v>893</v>
      </c>
      <c r="C2738" s="1055" t="s">
        <v>548</v>
      </c>
      <c r="D2738" s="1055" t="s">
        <v>1075</v>
      </c>
      <c r="E2738" s="1055" t="s">
        <v>325</v>
      </c>
      <c r="F2738" s="1056">
        <v>4436</v>
      </c>
      <c r="G2738" s="1056">
        <v>1200</v>
      </c>
      <c r="H2738" s="1056">
        <v>87</v>
      </c>
      <c r="I2738" s="1056">
        <v>5548</v>
      </c>
      <c r="J2738" s="996">
        <f t="shared" si="60"/>
        <v>-1113</v>
      </c>
      <c r="K2738" s="1037">
        <f t="shared" si="61"/>
        <v>8</v>
      </c>
    </row>
    <row r="2739" spans="1:11" ht="13.9" customHeight="1">
      <c r="A2739" s="1054">
        <v>52952502</v>
      </c>
      <c r="B2739" s="1055" t="s">
        <v>893</v>
      </c>
      <c r="C2739" s="1055" t="s">
        <v>548</v>
      </c>
      <c r="D2739" s="1055" t="s">
        <v>1238</v>
      </c>
      <c r="E2739" s="1055" t="s">
        <v>1239</v>
      </c>
      <c r="F2739" s="1056">
        <v>47</v>
      </c>
      <c r="G2739" s="1056">
        <v>0</v>
      </c>
      <c r="H2739" s="1056">
        <v>0</v>
      </c>
      <c r="I2739" s="1056">
        <v>47</v>
      </c>
      <c r="J2739" s="996">
        <f t="shared" si="60"/>
        <v>0</v>
      </c>
      <c r="K2739" s="1037">
        <f t="shared" si="61"/>
        <v>8</v>
      </c>
    </row>
    <row r="2740" spans="1:11" ht="13.9" customHeight="1">
      <c r="A2740" s="1054">
        <v>52952502</v>
      </c>
      <c r="B2740" s="1055" t="s">
        <v>893</v>
      </c>
      <c r="C2740" s="1055" t="s">
        <v>548</v>
      </c>
      <c r="D2740" s="1055" t="s">
        <v>1413</v>
      </c>
      <c r="E2740" s="1055" t="s">
        <v>1414</v>
      </c>
      <c r="F2740" s="1056">
        <v>0</v>
      </c>
      <c r="G2740" s="1056">
        <v>11</v>
      </c>
      <c r="H2740" s="1056">
        <v>0</v>
      </c>
      <c r="I2740" s="1056">
        <v>11</v>
      </c>
      <c r="J2740" s="996">
        <f t="shared" si="60"/>
        <v>-11</v>
      </c>
      <c r="K2740" s="1037">
        <f t="shared" si="61"/>
        <v>8</v>
      </c>
    </row>
    <row r="2741" spans="1:11" ht="13.9" customHeight="1">
      <c r="A2741" s="1054">
        <v>529530</v>
      </c>
      <c r="B2741" s="1055" t="s">
        <v>893</v>
      </c>
      <c r="C2741" s="1055" t="s">
        <v>399</v>
      </c>
      <c r="D2741" s="1055" t="s">
        <v>893</v>
      </c>
      <c r="E2741" s="1055" t="s">
        <v>893</v>
      </c>
      <c r="F2741" s="1056">
        <v>2720</v>
      </c>
      <c r="G2741" s="1056">
        <v>499</v>
      </c>
      <c r="H2741" s="1056">
        <v>0</v>
      </c>
      <c r="I2741" s="1056">
        <v>3219</v>
      </c>
      <c r="J2741" s="996">
        <f t="shared" si="60"/>
        <v>-499</v>
      </c>
      <c r="K2741" s="1037">
        <f t="shared" si="61"/>
        <v>6</v>
      </c>
    </row>
    <row r="2742" spans="1:11" ht="13.9" customHeight="1">
      <c r="A2742" s="1054">
        <v>52953001</v>
      </c>
      <c r="B2742" s="1055" t="s">
        <v>893</v>
      </c>
      <c r="C2742" s="1055" t="s">
        <v>399</v>
      </c>
      <c r="D2742" s="1055" t="s">
        <v>893</v>
      </c>
      <c r="E2742" s="1055" t="s">
        <v>893</v>
      </c>
      <c r="F2742" s="1056">
        <v>2720</v>
      </c>
      <c r="G2742" s="1056">
        <v>499</v>
      </c>
      <c r="H2742" s="1056">
        <v>0</v>
      </c>
      <c r="I2742" s="1056">
        <v>3219</v>
      </c>
      <c r="J2742" s="996">
        <f t="shared" si="60"/>
        <v>-499</v>
      </c>
      <c r="K2742" s="1037">
        <f t="shared" si="61"/>
        <v>8</v>
      </c>
    </row>
    <row r="2743" spans="1:11" ht="13.9" customHeight="1">
      <c r="A2743" s="1054">
        <v>52953001</v>
      </c>
      <c r="B2743" s="1055" t="s">
        <v>893</v>
      </c>
      <c r="C2743" s="1055" t="s">
        <v>399</v>
      </c>
      <c r="D2743" s="1055" t="s">
        <v>1329</v>
      </c>
      <c r="E2743" s="1055" t="s">
        <v>1330</v>
      </c>
      <c r="F2743" s="1056">
        <v>168</v>
      </c>
      <c r="G2743" s="1056">
        <v>0</v>
      </c>
      <c r="H2743" s="1056">
        <v>0</v>
      </c>
      <c r="I2743" s="1056">
        <v>168</v>
      </c>
      <c r="J2743" s="996">
        <f t="shared" si="60"/>
        <v>0</v>
      </c>
      <c r="K2743" s="1037">
        <f t="shared" si="61"/>
        <v>8</v>
      </c>
    </row>
    <row r="2744" spans="1:11" ht="13.9" customHeight="1">
      <c r="A2744" s="1054">
        <v>52953001</v>
      </c>
      <c r="B2744" s="1055" t="s">
        <v>893</v>
      </c>
      <c r="C2744" s="1055" t="s">
        <v>399</v>
      </c>
      <c r="D2744" s="1055" t="s">
        <v>1272</v>
      </c>
      <c r="E2744" s="1055" t="s">
        <v>1273</v>
      </c>
      <c r="F2744" s="1056">
        <v>2149</v>
      </c>
      <c r="G2744" s="1056">
        <v>499</v>
      </c>
      <c r="H2744" s="1056">
        <v>0</v>
      </c>
      <c r="I2744" s="1056">
        <v>2648</v>
      </c>
      <c r="J2744" s="996">
        <f t="shared" si="60"/>
        <v>-499</v>
      </c>
      <c r="K2744" s="1037">
        <f t="shared" si="61"/>
        <v>8</v>
      </c>
    </row>
    <row r="2745" spans="1:11" ht="13.9" customHeight="1">
      <c r="A2745" s="1054">
        <v>52953001</v>
      </c>
      <c r="B2745" s="1055" t="s">
        <v>893</v>
      </c>
      <c r="C2745" s="1055" t="s">
        <v>399</v>
      </c>
      <c r="D2745" s="1055" t="s">
        <v>1673</v>
      </c>
      <c r="E2745" s="1055" t="s">
        <v>1674</v>
      </c>
      <c r="F2745" s="1056">
        <v>130</v>
      </c>
      <c r="G2745" s="1056">
        <v>0</v>
      </c>
      <c r="H2745" s="1056">
        <v>0</v>
      </c>
      <c r="I2745" s="1056">
        <v>130</v>
      </c>
      <c r="J2745" s="996">
        <f t="shared" si="60"/>
        <v>0</v>
      </c>
      <c r="K2745" s="1037">
        <f t="shared" si="61"/>
        <v>8</v>
      </c>
    </row>
    <row r="2746" spans="1:11" ht="13.9" customHeight="1">
      <c r="A2746" s="1054">
        <v>52953001</v>
      </c>
      <c r="B2746" s="1055" t="s">
        <v>893</v>
      </c>
      <c r="C2746" s="1055" t="s">
        <v>399</v>
      </c>
      <c r="D2746" s="1055" t="s">
        <v>1228</v>
      </c>
      <c r="E2746" s="1055" t="s">
        <v>1229</v>
      </c>
      <c r="F2746" s="1056">
        <v>128</v>
      </c>
      <c r="G2746" s="1056">
        <v>0</v>
      </c>
      <c r="H2746" s="1056">
        <v>0</v>
      </c>
      <c r="I2746" s="1056">
        <v>128</v>
      </c>
      <c r="J2746" s="996">
        <f t="shared" si="60"/>
        <v>0</v>
      </c>
      <c r="K2746" s="1037">
        <f t="shared" si="61"/>
        <v>8</v>
      </c>
    </row>
    <row r="2747" spans="1:11" ht="13.9" customHeight="1">
      <c r="A2747" s="1054">
        <v>52953001</v>
      </c>
      <c r="B2747" s="1055" t="s">
        <v>893</v>
      </c>
      <c r="C2747" s="1055" t="s">
        <v>399</v>
      </c>
      <c r="D2747" s="1055" t="s">
        <v>1336</v>
      </c>
      <c r="E2747" s="1055" t="s">
        <v>1337</v>
      </c>
      <c r="F2747" s="1056">
        <v>25</v>
      </c>
      <c r="G2747" s="1056">
        <v>0</v>
      </c>
      <c r="H2747" s="1056">
        <v>0</v>
      </c>
      <c r="I2747" s="1056">
        <v>25</v>
      </c>
      <c r="J2747" s="996">
        <f t="shared" si="60"/>
        <v>0</v>
      </c>
      <c r="K2747" s="1037">
        <f t="shared" si="61"/>
        <v>8</v>
      </c>
    </row>
    <row r="2748" spans="1:11" ht="13.9" customHeight="1">
      <c r="A2748" s="1054">
        <v>52953001</v>
      </c>
      <c r="B2748" s="1055" t="s">
        <v>893</v>
      </c>
      <c r="C2748" s="1055" t="s">
        <v>399</v>
      </c>
      <c r="D2748" s="1055" t="s">
        <v>1069</v>
      </c>
      <c r="E2748" s="1055" t="s">
        <v>1070</v>
      </c>
      <c r="F2748" s="1056">
        <v>17</v>
      </c>
      <c r="G2748" s="1056">
        <v>0</v>
      </c>
      <c r="H2748" s="1056">
        <v>0</v>
      </c>
      <c r="I2748" s="1056">
        <v>17</v>
      </c>
      <c r="J2748" s="996">
        <f t="shared" si="60"/>
        <v>0</v>
      </c>
      <c r="K2748" s="1037">
        <f t="shared" si="61"/>
        <v>8</v>
      </c>
    </row>
    <row r="2749" spans="1:11" ht="13.9" customHeight="1">
      <c r="A2749" s="1054">
        <v>52953001</v>
      </c>
      <c r="B2749" s="1055" t="s">
        <v>893</v>
      </c>
      <c r="C2749" s="1055" t="s">
        <v>399</v>
      </c>
      <c r="D2749" s="1055" t="s">
        <v>1238</v>
      </c>
      <c r="E2749" s="1055" t="s">
        <v>1239</v>
      </c>
      <c r="F2749" s="1056">
        <v>100</v>
      </c>
      <c r="G2749" s="1056">
        <v>0</v>
      </c>
      <c r="H2749" s="1056">
        <v>0</v>
      </c>
      <c r="I2749" s="1056">
        <v>100</v>
      </c>
      <c r="J2749" s="996">
        <f t="shared" si="60"/>
        <v>0</v>
      </c>
      <c r="K2749" s="1037">
        <f t="shared" si="61"/>
        <v>8</v>
      </c>
    </row>
    <row r="2750" spans="1:11" ht="13.9" customHeight="1">
      <c r="A2750" s="1054">
        <v>52953001</v>
      </c>
      <c r="B2750" s="1055" t="s">
        <v>893</v>
      </c>
      <c r="C2750" s="1055" t="s">
        <v>399</v>
      </c>
      <c r="D2750" s="1055" t="s">
        <v>1682</v>
      </c>
      <c r="E2750" s="1055" t="s">
        <v>1683</v>
      </c>
      <c r="F2750" s="1056">
        <v>4</v>
      </c>
      <c r="G2750" s="1056">
        <v>0</v>
      </c>
      <c r="H2750" s="1056">
        <v>0</v>
      </c>
      <c r="I2750" s="1056">
        <v>4</v>
      </c>
      <c r="J2750" s="996">
        <f t="shared" si="60"/>
        <v>0</v>
      </c>
      <c r="K2750" s="1037">
        <f t="shared" si="61"/>
        <v>8</v>
      </c>
    </row>
    <row r="2751" spans="1:11" ht="13.9" customHeight="1">
      <c r="A2751" s="1054">
        <v>529540</v>
      </c>
      <c r="B2751" s="1055" t="s">
        <v>893</v>
      </c>
      <c r="C2751" s="1055" t="s">
        <v>477</v>
      </c>
      <c r="D2751" s="1055" t="s">
        <v>893</v>
      </c>
      <c r="E2751" s="1055" t="s">
        <v>893</v>
      </c>
      <c r="F2751" s="1056">
        <v>69</v>
      </c>
      <c r="G2751" s="1056">
        <v>0</v>
      </c>
      <c r="H2751" s="1056">
        <v>0</v>
      </c>
      <c r="I2751" s="1056">
        <v>69</v>
      </c>
      <c r="J2751" s="996">
        <f t="shared" si="60"/>
        <v>0</v>
      </c>
      <c r="K2751" s="1037">
        <f t="shared" si="61"/>
        <v>6</v>
      </c>
    </row>
    <row r="2752" spans="1:11" ht="13.9" customHeight="1">
      <c r="A2752" s="1054">
        <v>52954001</v>
      </c>
      <c r="B2752" s="1055" t="s">
        <v>893</v>
      </c>
      <c r="C2752" s="1055" t="s">
        <v>477</v>
      </c>
      <c r="D2752" s="1055" t="s">
        <v>893</v>
      </c>
      <c r="E2752" s="1055" t="s">
        <v>893</v>
      </c>
      <c r="F2752" s="1056">
        <v>69</v>
      </c>
      <c r="G2752" s="1056">
        <v>0</v>
      </c>
      <c r="H2752" s="1056">
        <v>0</v>
      </c>
      <c r="I2752" s="1056">
        <v>69</v>
      </c>
      <c r="J2752" s="996">
        <f t="shared" si="60"/>
        <v>0</v>
      </c>
      <c r="K2752" s="1037">
        <f t="shared" si="61"/>
        <v>8</v>
      </c>
    </row>
    <row r="2753" spans="1:11" ht="13.9" customHeight="1">
      <c r="A2753" s="1054">
        <v>52954001</v>
      </c>
      <c r="B2753" s="1055" t="s">
        <v>893</v>
      </c>
      <c r="C2753" s="1055" t="s">
        <v>477</v>
      </c>
      <c r="D2753" s="1055" t="s">
        <v>1572</v>
      </c>
      <c r="E2753" s="1055" t="s">
        <v>1573</v>
      </c>
      <c r="F2753" s="1056">
        <v>0</v>
      </c>
      <c r="G2753" s="1056">
        <v>0</v>
      </c>
      <c r="H2753" s="1056">
        <v>0</v>
      </c>
      <c r="I2753" s="1056">
        <v>0</v>
      </c>
      <c r="J2753" s="996">
        <f t="shared" si="60"/>
        <v>0</v>
      </c>
      <c r="K2753" s="1037">
        <f t="shared" si="61"/>
        <v>8</v>
      </c>
    </row>
    <row r="2754" spans="1:11" ht="13.9" customHeight="1">
      <c r="A2754" s="1054">
        <v>52954001</v>
      </c>
      <c r="B2754" s="1055" t="s">
        <v>893</v>
      </c>
      <c r="C2754" s="1055" t="s">
        <v>477</v>
      </c>
      <c r="D2754" s="1055" t="s">
        <v>1069</v>
      </c>
      <c r="E2754" s="1055" t="s">
        <v>1070</v>
      </c>
      <c r="F2754" s="1056">
        <v>8</v>
      </c>
      <c r="G2754" s="1056">
        <v>0</v>
      </c>
      <c r="H2754" s="1056">
        <v>0</v>
      </c>
      <c r="I2754" s="1056">
        <v>8</v>
      </c>
      <c r="J2754" s="996">
        <f t="shared" si="60"/>
        <v>0</v>
      </c>
      <c r="K2754" s="1037">
        <f t="shared" si="61"/>
        <v>8</v>
      </c>
    </row>
    <row r="2755" spans="1:11" ht="13.9" customHeight="1">
      <c r="A2755" s="1054">
        <v>52954001</v>
      </c>
      <c r="B2755" s="1055" t="s">
        <v>893</v>
      </c>
      <c r="C2755" s="1055" t="s">
        <v>477</v>
      </c>
      <c r="D2755" s="1055" t="s">
        <v>1290</v>
      </c>
      <c r="E2755" s="1055" t="s">
        <v>1291</v>
      </c>
      <c r="F2755" s="1056">
        <v>0</v>
      </c>
      <c r="G2755" s="1056">
        <v>0</v>
      </c>
      <c r="H2755" s="1056">
        <v>0</v>
      </c>
      <c r="I2755" s="1056">
        <v>0</v>
      </c>
      <c r="J2755" s="996">
        <f t="shared" si="60"/>
        <v>0</v>
      </c>
      <c r="K2755" s="1037">
        <f t="shared" si="61"/>
        <v>8</v>
      </c>
    </row>
    <row r="2756" spans="1:11" ht="13.9" customHeight="1">
      <c r="A2756" s="1054">
        <v>52954001</v>
      </c>
      <c r="B2756" s="1055" t="s">
        <v>893</v>
      </c>
      <c r="C2756" s="1055" t="s">
        <v>477</v>
      </c>
      <c r="D2756" s="1055" t="s">
        <v>1346</v>
      </c>
      <c r="E2756" s="1055" t="s">
        <v>1347</v>
      </c>
      <c r="F2756" s="1056">
        <v>0</v>
      </c>
      <c r="G2756" s="1056">
        <v>0</v>
      </c>
      <c r="H2756" s="1056">
        <v>0</v>
      </c>
      <c r="I2756" s="1056">
        <v>0</v>
      </c>
      <c r="J2756" s="996">
        <f t="shared" si="60"/>
        <v>0</v>
      </c>
      <c r="K2756" s="1037">
        <f t="shared" si="61"/>
        <v>8</v>
      </c>
    </row>
    <row r="2757" spans="1:11" ht="13.9" customHeight="1">
      <c r="A2757" s="1054">
        <v>52954001</v>
      </c>
      <c r="B2757" s="1055" t="s">
        <v>893</v>
      </c>
      <c r="C2757" s="1055" t="s">
        <v>477</v>
      </c>
      <c r="D2757" s="1055" t="s">
        <v>1238</v>
      </c>
      <c r="E2757" s="1055" t="s">
        <v>1239</v>
      </c>
      <c r="F2757" s="1056">
        <v>61</v>
      </c>
      <c r="G2757" s="1056">
        <v>0</v>
      </c>
      <c r="H2757" s="1056">
        <v>0</v>
      </c>
      <c r="I2757" s="1056">
        <v>61</v>
      </c>
      <c r="J2757" s="996">
        <f t="shared" si="60"/>
        <v>0</v>
      </c>
      <c r="K2757" s="1037">
        <f t="shared" si="61"/>
        <v>8</v>
      </c>
    </row>
    <row r="2758" spans="1:11" ht="13.9" customHeight="1">
      <c r="A2758" s="1054">
        <v>52954001</v>
      </c>
      <c r="B2758" s="1055" t="s">
        <v>893</v>
      </c>
      <c r="C2758" s="1055" t="s">
        <v>477</v>
      </c>
      <c r="D2758" s="1055" t="s">
        <v>1413</v>
      </c>
      <c r="E2758" s="1055" t="s">
        <v>1414</v>
      </c>
      <c r="F2758" s="1056">
        <v>0</v>
      </c>
      <c r="G2758" s="1056">
        <v>0</v>
      </c>
      <c r="H2758" s="1056">
        <v>0</v>
      </c>
      <c r="I2758" s="1056">
        <v>0</v>
      </c>
      <c r="J2758" s="996">
        <f t="shared" si="60"/>
        <v>0</v>
      </c>
      <c r="K2758" s="1037">
        <f t="shared" si="61"/>
        <v>8</v>
      </c>
    </row>
    <row r="2759" spans="1:11" ht="13.9" customHeight="1">
      <c r="A2759" s="1054">
        <v>529545</v>
      </c>
      <c r="B2759" s="1055" t="s">
        <v>893</v>
      </c>
      <c r="C2759" s="1055" t="s">
        <v>394</v>
      </c>
      <c r="D2759" s="1055" t="s">
        <v>893</v>
      </c>
      <c r="E2759" s="1055" t="s">
        <v>893</v>
      </c>
      <c r="F2759" s="1056">
        <v>1722</v>
      </c>
      <c r="G2759" s="1056">
        <v>312</v>
      </c>
      <c r="H2759" s="1056">
        <v>0</v>
      </c>
      <c r="I2759" s="1056">
        <v>2035</v>
      </c>
      <c r="J2759" s="996">
        <f t="shared" si="60"/>
        <v>-312</v>
      </c>
      <c r="K2759" s="1037">
        <f t="shared" si="61"/>
        <v>6</v>
      </c>
    </row>
    <row r="2760" spans="1:11" ht="13.9" customHeight="1">
      <c r="A2760" s="1054">
        <v>52954501</v>
      </c>
      <c r="B2760" s="1055" t="s">
        <v>893</v>
      </c>
      <c r="C2760" s="1055" t="s">
        <v>394</v>
      </c>
      <c r="D2760" s="1055" t="s">
        <v>893</v>
      </c>
      <c r="E2760" s="1055" t="s">
        <v>893</v>
      </c>
      <c r="F2760" s="1056">
        <v>1722</v>
      </c>
      <c r="G2760" s="1056">
        <v>312</v>
      </c>
      <c r="H2760" s="1056">
        <v>0</v>
      </c>
      <c r="I2760" s="1056">
        <v>2035</v>
      </c>
      <c r="J2760" s="996">
        <f t="shared" si="60"/>
        <v>-312</v>
      </c>
      <c r="K2760" s="1037">
        <f t="shared" si="61"/>
        <v>8</v>
      </c>
    </row>
    <row r="2761" spans="1:11" ht="13.9" customHeight="1">
      <c r="A2761" s="1054">
        <v>52954501</v>
      </c>
      <c r="B2761" s="1055" t="s">
        <v>893</v>
      </c>
      <c r="C2761" s="1055" t="s">
        <v>394</v>
      </c>
      <c r="D2761" s="1055" t="s">
        <v>1051</v>
      </c>
      <c r="E2761" s="1055" t="s">
        <v>1052</v>
      </c>
      <c r="F2761" s="1056">
        <v>120</v>
      </c>
      <c r="G2761" s="1056">
        <v>170</v>
      </c>
      <c r="H2761" s="1056">
        <v>0</v>
      </c>
      <c r="I2761" s="1056">
        <v>290</v>
      </c>
      <c r="J2761" s="996">
        <f t="shared" ref="J2761:J2824" si="62">+H2761-G2761</f>
        <v>-170</v>
      </c>
      <c r="K2761" s="1037">
        <f t="shared" si="61"/>
        <v>8</v>
      </c>
    </row>
    <row r="2762" spans="1:11" ht="13.9" customHeight="1">
      <c r="A2762" s="1054">
        <v>52954501</v>
      </c>
      <c r="B2762" s="1055" t="s">
        <v>893</v>
      </c>
      <c r="C2762" s="1055" t="s">
        <v>394</v>
      </c>
      <c r="D2762" s="1055" t="s">
        <v>1331</v>
      </c>
      <c r="E2762" s="1055" t="s">
        <v>1332</v>
      </c>
      <c r="F2762" s="1056">
        <v>8</v>
      </c>
      <c r="G2762" s="1056">
        <v>0</v>
      </c>
      <c r="H2762" s="1056">
        <v>0</v>
      </c>
      <c r="I2762" s="1056">
        <v>8</v>
      </c>
      <c r="J2762" s="996">
        <f t="shared" si="62"/>
        <v>0</v>
      </c>
      <c r="K2762" s="1037">
        <f t="shared" si="61"/>
        <v>8</v>
      </c>
    </row>
    <row r="2763" spans="1:11" ht="13.9" customHeight="1">
      <c r="A2763" s="1054">
        <v>52954501</v>
      </c>
      <c r="B2763" s="1055" t="s">
        <v>893</v>
      </c>
      <c r="C2763" s="1055" t="s">
        <v>394</v>
      </c>
      <c r="D2763" s="1055" t="s">
        <v>1507</v>
      </c>
      <c r="E2763" s="1055" t="s">
        <v>1508</v>
      </c>
      <c r="F2763" s="1056">
        <v>390</v>
      </c>
      <c r="G2763" s="1056">
        <v>0</v>
      </c>
      <c r="H2763" s="1056">
        <v>0</v>
      </c>
      <c r="I2763" s="1056">
        <v>390</v>
      </c>
      <c r="J2763" s="996">
        <f t="shared" si="62"/>
        <v>0</v>
      </c>
      <c r="K2763" s="1037">
        <f t="shared" si="61"/>
        <v>8</v>
      </c>
    </row>
    <row r="2764" spans="1:11" ht="13.9" customHeight="1">
      <c r="A2764" s="1054">
        <v>52954501</v>
      </c>
      <c r="B2764" s="1055" t="s">
        <v>893</v>
      </c>
      <c r="C2764" s="1055" t="s">
        <v>394</v>
      </c>
      <c r="D2764" s="1055" t="s">
        <v>1299</v>
      </c>
      <c r="E2764" s="1055" t="s">
        <v>1737</v>
      </c>
      <c r="F2764" s="1056">
        <v>193</v>
      </c>
      <c r="G2764" s="1056">
        <v>0</v>
      </c>
      <c r="H2764" s="1056">
        <v>0</v>
      </c>
      <c r="I2764" s="1056">
        <v>193</v>
      </c>
      <c r="J2764" s="996">
        <f t="shared" si="62"/>
        <v>0</v>
      </c>
      <c r="K2764" s="1037">
        <f t="shared" si="61"/>
        <v>8</v>
      </c>
    </row>
    <row r="2765" spans="1:11" ht="13.9" customHeight="1">
      <c r="A2765" s="1054">
        <v>52954501</v>
      </c>
      <c r="B2765" s="1055" t="s">
        <v>893</v>
      </c>
      <c r="C2765" s="1055" t="s">
        <v>394</v>
      </c>
      <c r="D2765" s="1055" t="s">
        <v>1300</v>
      </c>
      <c r="E2765" s="1055" t="s">
        <v>1301</v>
      </c>
      <c r="F2765" s="1056">
        <v>976</v>
      </c>
      <c r="G2765" s="1056">
        <v>134</v>
      </c>
      <c r="H2765" s="1056">
        <v>0</v>
      </c>
      <c r="I2765" s="1056">
        <v>1110</v>
      </c>
      <c r="J2765" s="996">
        <f t="shared" si="62"/>
        <v>-134</v>
      </c>
      <c r="K2765" s="1037">
        <f t="shared" si="61"/>
        <v>8</v>
      </c>
    </row>
    <row r="2766" spans="1:11" ht="13.9" customHeight="1">
      <c r="A2766" s="1054">
        <v>52954501</v>
      </c>
      <c r="B2766" s="1055" t="s">
        <v>893</v>
      </c>
      <c r="C2766" s="1055" t="s">
        <v>394</v>
      </c>
      <c r="D2766" s="1055" t="s">
        <v>1036</v>
      </c>
      <c r="E2766" s="1055" t="s">
        <v>1037</v>
      </c>
      <c r="F2766" s="1056">
        <v>0</v>
      </c>
      <c r="G2766" s="1056">
        <v>8</v>
      </c>
      <c r="H2766" s="1056">
        <v>0</v>
      </c>
      <c r="I2766" s="1056">
        <v>8</v>
      </c>
      <c r="J2766" s="996">
        <f t="shared" si="62"/>
        <v>-8</v>
      </c>
      <c r="K2766" s="1037">
        <f t="shared" si="61"/>
        <v>8</v>
      </c>
    </row>
    <row r="2767" spans="1:11" ht="13.9" customHeight="1">
      <c r="A2767" s="1054">
        <v>52954501</v>
      </c>
      <c r="B2767" s="1055" t="s">
        <v>893</v>
      </c>
      <c r="C2767" s="1055" t="s">
        <v>394</v>
      </c>
      <c r="D2767" s="1055" t="s">
        <v>1413</v>
      </c>
      <c r="E2767" s="1055" t="s">
        <v>1414</v>
      </c>
      <c r="F2767" s="1056">
        <v>11</v>
      </c>
      <c r="G2767" s="1056">
        <v>0</v>
      </c>
      <c r="H2767" s="1056">
        <v>0</v>
      </c>
      <c r="I2767" s="1056">
        <v>11</v>
      </c>
      <c r="J2767" s="996">
        <f t="shared" si="62"/>
        <v>0</v>
      </c>
      <c r="K2767" s="1037">
        <f t="shared" si="61"/>
        <v>8</v>
      </c>
    </row>
    <row r="2768" spans="1:11" ht="13.9" customHeight="1">
      <c r="A2768" s="1054">
        <v>52954501</v>
      </c>
      <c r="B2768" s="1055" t="s">
        <v>893</v>
      </c>
      <c r="C2768" s="1055" t="s">
        <v>394</v>
      </c>
      <c r="D2768" s="1055" t="s">
        <v>1060</v>
      </c>
      <c r="E2768" s="1055" t="s">
        <v>1061</v>
      </c>
      <c r="F2768" s="1056">
        <v>24</v>
      </c>
      <c r="G2768" s="1056">
        <v>0</v>
      </c>
      <c r="H2768" s="1056">
        <v>0</v>
      </c>
      <c r="I2768" s="1056">
        <v>24</v>
      </c>
      <c r="J2768" s="996">
        <f t="shared" si="62"/>
        <v>0</v>
      </c>
      <c r="K2768" s="1037">
        <f t="shared" si="61"/>
        <v>8</v>
      </c>
    </row>
    <row r="2769" spans="1:11" ht="13.9" customHeight="1">
      <c r="A2769" s="1054">
        <v>529560</v>
      </c>
      <c r="B2769" s="1055" t="s">
        <v>893</v>
      </c>
      <c r="C2769" s="1055" t="s">
        <v>1442</v>
      </c>
      <c r="D2769" s="1055" t="s">
        <v>893</v>
      </c>
      <c r="E2769" s="1055" t="s">
        <v>893</v>
      </c>
      <c r="F2769" s="1056">
        <v>38</v>
      </c>
      <c r="G2769" s="1056">
        <v>231</v>
      </c>
      <c r="H2769" s="1056">
        <v>231</v>
      </c>
      <c r="I2769" s="1056">
        <v>38</v>
      </c>
      <c r="J2769" s="996">
        <f t="shared" si="62"/>
        <v>0</v>
      </c>
      <c r="K2769" s="1037">
        <f t="shared" si="61"/>
        <v>6</v>
      </c>
    </row>
    <row r="2770" spans="1:11" ht="13.9" customHeight="1">
      <c r="A2770" s="1054">
        <v>52956001</v>
      </c>
      <c r="B2770" s="1055" t="s">
        <v>893</v>
      </c>
      <c r="C2770" s="1055" t="s">
        <v>1442</v>
      </c>
      <c r="D2770" s="1055" t="s">
        <v>893</v>
      </c>
      <c r="E2770" s="1055" t="s">
        <v>893</v>
      </c>
      <c r="F2770" s="1056">
        <v>38</v>
      </c>
      <c r="G2770" s="1056">
        <v>231</v>
      </c>
      <c r="H2770" s="1056">
        <v>231</v>
      </c>
      <c r="I2770" s="1056">
        <v>38</v>
      </c>
      <c r="J2770" s="996">
        <f t="shared" si="62"/>
        <v>0</v>
      </c>
      <c r="K2770" s="1037">
        <f t="shared" si="61"/>
        <v>8</v>
      </c>
    </row>
    <row r="2771" spans="1:11" ht="13.9" customHeight="1">
      <c r="A2771" s="1054">
        <v>52956001</v>
      </c>
      <c r="B2771" s="1055" t="s">
        <v>893</v>
      </c>
      <c r="C2771" s="1055" t="s">
        <v>1442</v>
      </c>
      <c r="D2771" s="1055" t="s">
        <v>1469</v>
      </c>
      <c r="E2771" s="1055" t="s">
        <v>1470</v>
      </c>
      <c r="F2771" s="1056">
        <v>38</v>
      </c>
      <c r="G2771" s="1056">
        <v>0</v>
      </c>
      <c r="H2771" s="1056">
        <v>0</v>
      </c>
      <c r="I2771" s="1056">
        <v>38</v>
      </c>
      <c r="J2771" s="996">
        <f t="shared" si="62"/>
        <v>0</v>
      </c>
      <c r="K2771" s="1037">
        <f t="shared" si="61"/>
        <v>8</v>
      </c>
    </row>
    <row r="2772" spans="1:11" ht="13.9" customHeight="1">
      <c r="A2772" s="1054">
        <v>52956001</v>
      </c>
      <c r="B2772" s="1055" t="s">
        <v>893</v>
      </c>
      <c r="C2772" s="1055" t="s">
        <v>1442</v>
      </c>
      <c r="D2772" s="1055" t="s">
        <v>1346</v>
      </c>
      <c r="E2772" s="1055" t="s">
        <v>1347</v>
      </c>
      <c r="F2772" s="1056">
        <v>0</v>
      </c>
      <c r="G2772" s="1056">
        <v>231</v>
      </c>
      <c r="H2772" s="1056">
        <v>231</v>
      </c>
      <c r="I2772" s="1056">
        <v>0</v>
      </c>
      <c r="J2772" s="996">
        <f t="shared" si="62"/>
        <v>0</v>
      </c>
      <c r="K2772" s="1037">
        <f t="shared" si="61"/>
        <v>8</v>
      </c>
    </row>
    <row r="2773" spans="1:11" ht="13.9" customHeight="1">
      <c r="A2773" s="1054">
        <v>529565</v>
      </c>
      <c r="B2773" s="1055" t="s">
        <v>893</v>
      </c>
      <c r="C2773" s="1055" t="s">
        <v>795</v>
      </c>
      <c r="D2773" s="1055" t="s">
        <v>893</v>
      </c>
      <c r="E2773" s="1055" t="s">
        <v>893</v>
      </c>
      <c r="F2773" s="1056">
        <v>64</v>
      </c>
      <c r="G2773" s="1056">
        <v>19</v>
      </c>
      <c r="H2773" s="1056">
        <v>0</v>
      </c>
      <c r="I2773" s="1056">
        <v>83</v>
      </c>
      <c r="J2773" s="996">
        <f t="shared" si="62"/>
        <v>-19</v>
      </c>
      <c r="K2773" s="1037">
        <f t="shared" si="61"/>
        <v>6</v>
      </c>
    </row>
    <row r="2774" spans="1:11" ht="13.9" customHeight="1">
      <c r="A2774" s="1054">
        <v>52956501</v>
      </c>
      <c r="B2774" s="1055" t="s">
        <v>893</v>
      </c>
      <c r="C2774" s="1055" t="s">
        <v>795</v>
      </c>
      <c r="D2774" s="1055" t="s">
        <v>893</v>
      </c>
      <c r="E2774" s="1055" t="s">
        <v>893</v>
      </c>
      <c r="F2774" s="1056">
        <v>64</v>
      </c>
      <c r="G2774" s="1056">
        <v>19</v>
      </c>
      <c r="H2774" s="1056">
        <v>0</v>
      </c>
      <c r="I2774" s="1056">
        <v>83</v>
      </c>
      <c r="J2774" s="996">
        <f t="shared" si="62"/>
        <v>-19</v>
      </c>
      <c r="K2774" s="1037">
        <f t="shared" si="61"/>
        <v>8</v>
      </c>
    </row>
    <row r="2775" spans="1:11" ht="13.9" customHeight="1">
      <c r="A2775" s="1054">
        <v>52956501</v>
      </c>
      <c r="B2775" s="1055" t="s">
        <v>893</v>
      </c>
      <c r="C2775" s="1055" t="s">
        <v>795</v>
      </c>
      <c r="D2775" s="1055" t="s">
        <v>1340</v>
      </c>
      <c r="E2775" s="1055" t="s">
        <v>1737</v>
      </c>
      <c r="F2775" s="1056">
        <v>44</v>
      </c>
      <c r="G2775" s="1056">
        <v>0</v>
      </c>
      <c r="H2775" s="1056">
        <v>0</v>
      </c>
      <c r="I2775" s="1056">
        <v>44</v>
      </c>
      <c r="J2775" s="996">
        <f t="shared" si="62"/>
        <v>0</v>
      </c>
      <c r="K2775" s="1037">
        <f t="shared" si="61"/>
        <v>8</v>
      </c>
    </row>
    <row r="2776" spans="1:11" ht="13.9" customHeight="1">
      <c r="A2776" s="1054">
        <v>52956501</v>
      </c>
      <c r="B2776" s="1055" t="s">
        <v>893</v>
      </c>
      <c r="C2776" s="1055" t="s">
        <v>795</v>
      </c>
      <c r="D2776" s="1055" t="s">
        <v>1345</v>
      </c>
      <c r="E2776" s="1055" t="s">
        <v>1754</v>
      </c>
      <c r="F2776" s="1056">
        <v>7</v>
      </c>
      <c r="G2776" s="1056">
        <v>0</v>
      </c>
      <c r="H2776" s="1056">
        <v>0</v>
      </c>
      <c r="I2776" s="1056">
        <v>7</v>
      </c>
      <c r="J2776" s="996">
        <f t="shared" si="62"/>
        <v>0</v>
      </c>
      <c r="K2776" s="1037">
        <f t="shared" si="61"/>
        <v>8</v>
      </c>
    </row>
    <row r="2777" spans="1:11" ht="13.9" customHeight="1">
      <c r="A2777" s="1054">
        <v>52956501</v>
      </c>
      <c r="B2777" s="1055" t="s">
        <v>893</v>
      </c>
      <c r="C2777" s="1055" t="s">
        <v>795</v>
      </c>
      <c r="D2777" s="1055" t="s">
        <v>1350</v>
      </c>
      <c r="E2777" s="1055" t="s">
        <v>1351</v>
      </c>
      <c r="F2777" s="1056">
        <v>8</v>
      </c>
      <c r="G2777" s="1056">
        <v>0</v>
      </c>
      <c r="H2777" s="1056">
        <v>0</v>
      </c>
      <c r="I2777" s="1056">
        <v>8</v>
      </c>
      <c r="J2777" s="996">
        <f t="shared" si="62"/>
        <v>0</v>
      </c>
      <c r="K2777" s="1037">
        <f t="shared" si="61"/>
        <v>8</v>
      </c>
    </row>
    <row r="2778" spans="1:11" ht="13.9" customHeight="1">
      <c r="A2778" s="1054">
        <v>52956501</v>
      </c>
      <c r="B2778" s="1055" t="s">
        <v>893</v>
      </c>
      <c r="C2778" s="1055" t="s">
        <v>795</v>
      </c>
      <c r="D2778" s="1055" t="s">
        <v>1352</v>
      </c>
      <c r="E2778" s="1055" t="s">
        <v>1353</v>
      </c>
      <c r="F2778" s="1056">
        <v>6</v>
      </c>
      <c r="G2778" s="1056">
        <v>0</v>
      </c>
      <c r="H2778" s="1056">
        <v>0</v>
      </c>
      <c r="I2778" s="1056">
        <v>6</v>
      </c>
      <c r="J2778" s="996">
        <f t="shared" si="62"/>
        <v>0</v>
      </c>
      <c r="K2778" s="1037">
        <f t="shared" si="61"/>
        <v>8</v>
      </c>
    </row>
    <row r="2779" spans="1:11" ht="13.9" customHeight="1">
      <c r="A2779" s="1054">
        <v>52956501</v>
      </c>
      <c r="B2779" s="1055" t="s">
        <v>893</v>
      </c>
      <c r="C2779" s="1055" t="s">
        <v>795</v>
      </c>
      <c r="D2779" s="1055" t="s">
        <v>1036</v>
      </c>
      <c r="E2779" s="1055" t="s">
        <v>1037</v>
      </c>
      <c r="F2779" s="1056">
        <v>0</v>
      </c>
      <c r="G2779" s="1056">
        <v>15</v>
      </c>
      <c r="H2779" s="1056">
        <v>0</v>
      </c>
      <c r="I2779" s="1056">
        <v>15</v>
      </c>
      <c r="J2779" s="996">
        <f t="shared" si="62"/>
        <v>-15</v>
      </c>
      <c r="K2779" s="1037">
        <f t="shared" si="61"/>
        <v>8</v>
      </c>
    </row>
    <row r="2780" spans="1:11" ht="13.9" customHeight="1">
      <c r="A2780" s="1054">
        <v>52956501</v>
      </c>
      <c r="B2780" s="1055" t="s">
        <v>893</v>
      </c>
      <c r="C2780" s="1055" t="s">
        <v>795</v>
      </c>
      <c r="D2780" s="1055" t="s">
        <v>1885</v>
      </c>
      <c r="E2780" s="1055" t="s">
        <v>1886</v>
      </c>
      <c r="F2780" s="1056">
        <v>0</v>
      </c>
      <c r="G2780" s="1056">
        <v>4</v>
      </c>
      <c r="H2780" s="1056">
        <v>0</v>
      </c>
      <c r="I2780" s="1056">
        <v>4</v>
      </c>
      <c r="J2780" s="996">
        <f t="shared" si="62"/>
        <v>-4</v>
      </c>
      <c r="K2780" s="1037">
        <f t="shared" si="61"/>
        <v>8</v>
      </c>
    </row>
    <row r="2781" spans="1:11" ht="13.9" customHeight="1">
      <c r="A2781" s="1054">
        <v>529595</v>
      </c>
      <c r="B2781" s="1055" t="s">
        <v>893</v>
      </c>
      <c r="C2781" s="1055" t="s">
        <v>323</v>
      </c>
      <c r="D2781" s="1055" t="s">
        <v>893</v>
      </c>
      <c r="E2781" s="1055" t="s">
        <v>893</v>
      </c>
      <c r="F2781" s="1056">
        <v>7074</v>
      </c>
      <c r="G2781" s="1056">
        <v>388</v>
      </c>
      <c r="H2781" s="1056">
        <v>0</v>
      </c>
      <c r="I2781" s="1056">
        <v>7462</v>
      </c>
      <c r="J2781" s="996">
        <f t="shared" si="62"/>
        <v>-388</v>
      </c>
      <c r="K2781" s="1037">
        <f t="shared" si="61"/>
        <v>6</v>
      </c>
    </row>
    <row r="2782" spans="1:11" ht="13.9" customHeight="1">
      <c r="A2782" s="1054">
        <v>52959501</v>
      </c>
      <c r="B2782" s="1055" t="s">
        <v>893</v>
      </c>
      <c r="C2782" s="1055" t="s">
        <v>434</v>
      </c>
      <c r="D2782" s="1055" t="s">
        <v>893</v>
      </c>
      <c r="E2782" s="1055" t="s">
        <v>893</v>
      </c>
      <c r="F2782" s="1056">
        <v>850</v>
      </c>
      <c r="G2782" s="1056">
        <v>24</v>
      </c>
      <c r="H2782" s="1056">
        <v>0</v>
      </c>
      <c r="I2782" s="1056">
        <v>874</v>
      </c>
      <c r="J2782" s="996">
        <f t="shared" si="62"/>
        <v>-24</v>
      </c>
      <c r="K2782" s="1037">
        <f t="shared" si="61"/>
        <v>8</v>
      </c>
    </row>
    <row r="2783" spans="1:11" ht="13.9" customHeight="1">
      <c r="A2783" s="1054">
        <v>52959501</v>
      </c>
      <c r="B2783" s="1055" t="s">
        <v>893</v>
      </c>
      <c r="C2783" s="1055" t="s">
        <v>434</v>
      </c>
      <c r="D2783" s="1055" t="s">
        <v>1272</v>
      </c>
      <c r="E2783" s="1055" t="s">
        <v>1273</v>
      </c>
      <c r="F2783" s="1056">
        <v>192</v>
      </c>
      <c r="G2783" s="1056">
        <v>0</v>
      </c>
      <c r="H2783" s="1056">
        <v>0</v>
      </c>
      <c r="I2783" s="1056">
        <v>192</v>
      </c>
      <c r="J2783" s="996">
        <f t="shared" si="62"/>
        <v>0</v>
      </c>
      <c r="K2783" s="1037">
        <f t="shared" si="61"/>
        <v>8</v>
      </c>
    </row>
    <row r="2784" spans="1:11" ht="13.9" customHeight="1">
      <c r="A2784" s="1054">
        <v>52959501</v>
      </c>
      <c r="B2784" s="1055" t="s">
        <v>893</v>
      </c>
      <c r="C2784" s="1055" t="s">
        <v>434</v>
      </c>
      <c r="D2784" s="1055" t="s">
        <v>1069</v>
      </c>
      <c r="E2784" s="1055" t="s">
        <v>1070</v>
      </c>
      <c r="F2784" s="1056">
        <v>44</v>
      </c>
      <c r="G2784" s="1056">
        <v>15</v>
      </c>
      <c r="H2784" s="1056">
        <v>0</v>
      </c>
      <c r="I2784" s="1056">
        <v>59</v>
      </c>
      <c r="J2784" s="996">
        <f t="shared" si="62"/>
        <v>-15</v>
      </c>
      <c r="K2784" s="1037">
        <f t="shared" si="61"/>
        <v>8</v>
      </c>
    </row>
    <row r="2785" spans="1:11" ht="13.9" customHeight="1">
      <c r="A2785" s="1054">
        <v>52959501</v>
      </c>
      <c r="B2785" s="1055" t="s">
        <v>893</v>
      </c>
      <c r="C2785" s="1055" t="s">
        <v>434</v>
      </c>
      <c r="D2785" s="1055" t="s">
        <v>1235</v>
      </c>
      <c r="E2785" s="1055" t="s">
        <v>1236</v>
      </c>
      <c r="F2785" s="1056">
        <v>78</v>
      </c>
      <c r="G2785" s="1056">
        <v>0</v>
      </c>
      <c r="H2785" s="1056">
        <v>0</v>
      </c>
      <c r="I2785" s="1056">
        <v>78</v>
      </c>
      <c r="J2785" s="996">
        <f t="shared" si="62"/>
        <v>0</v>
      </c>
      <c r="K2785" s="1037">
        <f t="shared" si="61"/>
        <v>8</v>
      </c>
    </row>
    <row r="2786" spans="1:11" ht="13.9" customHeight="1">
      <c r="A2786" s="1054">
        <v>52959501</v>
      </c>
      <c r="B2786" s="1055" t="s">
        <v>893</v>
      </c>
      <c r="C2786" s="1055" t="s">
        <v>434</v>
      </c>
      <c r="D2786" s="1055" t="s">
        <v>1755</v>
      </c>
      <c r="E2786" s="1055" t="s">
        <v>1756</v>
      </c>
      <c r="F2786" s="1056">
        <v>95</v>
      </c>
      <c r="G2786" s="1056">
        <v>0</v>
      </c>
      <c r="H2786" s="1056">
        <v>0</v>
      </c>
      <c r="I2786" s="1056">
        <v>95</v>
      </c>
      <c r="J2786" s="996">
        <f t="shared" si="62"/>
        <v>0</v>
      </c>
      <c r="K2786" s="1037">
        <f t="shared" si="61"/>
        <v>8</v>
      </c>
    </row>
    <row r="2787" spans="1:11" ht="13.9" customHeight="1">
      <c r="A2787" s="1054">
        <v>52959501</v>
      </c>
      <c r="B2787" s="1055" t="s">
        <v>893</v>
      </c>
      <c r="C2787" s="1055" t="s">
        <v>434</v>
      </c>
      <c r="D2787" s="1055" t="s">
        <v>1835</v>
      </c>
      <c r="E2787" s="1055" t="s">
        <v>1836</v>
      </c>
      <c r="F2787" s="1056">
        <v>77</v>
      </c>
      <c r="G2787" s="1056">
        <v>0</v>
      </c>
      <c r="H2787" s="1056">
        <v>0</v>
      </c>
      <c r="I2787" s="1056">
        <v>77</v>
      </c>
      <c r="J2787" s="996">
        <f t="shared" si="62"/>
        <v>0</v>
      </c>
      <c r="K2787" s="1037">
        <f t="shared" si="61"/>
        <v>8</v>
      </c>
    </row>
    <row r="2788" spans="1:11" ht="13.9" customHeight="1">
      <c r="A2788" s="1054">
        <v>52959501</v>
      </c>
      <c r="B2788" s="1055" t="s">
        <v>893</v>
      </c>
      <c r="C2788" s="1055" t="s">
        <v>434</v>
      </c>
      <c r="D2788" s="1055" t="s">
        <v>1837</v>
      </c>
      <c r="E2788" s="1055" t="s">
        <v>1838</v>
      </c>
      <c r="F2788" s="1056">
        <v>22</v>
      </c>
      <c r="G2788" s="1056">
        <v>0</v>
      </c>
      <c r="H2788" s="1056">
        <v>0</v>
      </c>
      <c r="I2788" s="1056">
        <v>22</v>
      </c>
      <c r="J2788" s="996">
        <f t="shared" si="62"/>
        <v>0</v>
      </c>
      <c r="K2788" s="1037">
        <f t="shared" si="61"/>
        <v>8</v>
      </c>
    </row>
    <row r="2789" spans="1:11" ht="13.9" customHeight="1">
      <c r="A2789" s="1054">
        <v>52959501</v>
      </c>
      <c r="B2789" s="1055" t="s">
        <v>893</v>
      </c>
      <c r="C2789" s="1055" t="s">
        <v>434</v>
      </c>
      <c r="D2789" s="1055" t="s">
        <v>1354</v>
      </c>
      <c r="E2789" s="1055" t="s">
        <v>1355</v>
      </c>
      <c r="F2789" s="1056">
        <v>55</v>
      </c>
      <c r="G2789" s="1056">
        <v>0</v>
      </c>
      <c r="H2789" s="1056">
        <v>0</v>
      </c>
      <c r="I2789" s="1056">
        <v>55</v>
      </c>
      <c r="J2789" s="996">
        <f t="shared" si="62"/>
        <v>0</v>
      </c>
      <c r="K2789" s="1037">
        <f t="shared" si="61"/>
        <v>8</v>
      </c>
    </row>
    <row r="2790" spans="1:11" ht="13.9" customHeight="1">
      <c r="A2790" s="1054">
        <v>52959501</v>
      </c>
      <c r="B2790" s="1055" t="s">
        <v>893</v>
      </c>
      <c r="C2790" s="1055" t="s">
        <v>434</v>
      </c>
      <c r="D2790" s="1055" t="s">
        <v>1628</v>
      </c>
      <c r="E2790" s="1055" t="s">
        <v>1629</v>
      </c>
      <c r="F2790" s="1056">
        <v>79</v>
      </c>
      <c r="G2790" s="1056">
        <v>0</v>
      </c>
      <c r="H2790" s="1056">
        <v>0</v>
      </c>
      <c r="I2790" s="1056">
        <v>79</v>
      </c>
      <c r="J2790" s="996">
        <f t="shared" si="62"/>
        <v>0</v>
      </c>
      <c r="K2790" s="1037">
        <f t="shared" si="61"/>
        <v>8</v>
      </c>
    </row>
    <row r="2791" spans="1:11" ht="13.9" customHeight="1">
      <c r="A2791" s="1054">
        <v>52959501</v>
      </c>
      <c r="B2791" s="1055" t="s">
        <v>893</v>
      </c>
      <c r="C2791" s="1055" t="s">
        <v>434</v>
      </c>
      <c r="D2791" s="1055" t="s">
        <v>1413</v>
      </c>
      <c r="E2791" s="1055" t="s">
        <v>1414</v>
      </c>
      <c r="F2791" s="1056">
        <v>0</v>
      </c>
      <c r="G2791" s="1056">
        <v>9</v>
      </c>
      <c r="H2791" s="1056">
        <v>0</v>
      </c>
      <c r="I2791" s="1056">
        <v>9</v>
      </c>
      <c r="J2791" s="996">
        <f t="shared" si="62"/>
        <v>-9</v>
      </c>
      <c r="K2791" s="1037">
        <f t="shared" si="61"/>
        <v>8</v>
      </c>
    </row>
    <row r="2792" spans="1:11" ht="13.9" customHeight="1">
      <c r="A2792" s="1054">
        <v>52959501</v>
      </c>
      <c r="B2792" s="1055" t="s">
        <v>893</v>
      </c>
      <c r="C2792" s="1055" t="s">
        <v>434</v>
      </c>
      <c r="D2792" s="1055" t="s">
        <v>1828</v>
      </c>
      <c r="E2792" s="1055" t="s">
        <v>1829</v>
      </c>
      <c r="F2792" s="1056">
        <v>208</v>
      </c>
      <c r="G2792" s="1056">
        <v>0</v>
      </c>
      <c r="H2792" s="1056">
        <v>0</v>
      </c>
      <c r="I2792" s="1056">
        <v>208</v>
      </c>
      <c r="J2792" s="996">
        <f t="shared" si="62"/>
        <v>0</v>
      </c>
      <c r="K2792" s="1037">
        <f t="shared" si="61"/>
        <v>8</v>
      </c>
    </row>
    <row r="2793" spans="1:11" ht="13.9" customHeight="1">
      <c r="A2793" s="1054">
        <v>52959506</v>
      </c>
      <c r="B2793" s="1055" t="s">
        <v>893</v>
      </c>
      <c r="C2793" s="1055" t="s">
        <v>550</v>
      </c>
      <c r="D2793" s="1055" t="s">
        <v>893</v>
      </c>
      <c r="E2793" s="1055" t="s">
        <v>893</v>
      </c>
      <c r="F2793" s="1056">
        <v>3110</v>
      </c>
      <c r="G2793" s="1056">
        <v>59</v>
      </c>
      <c r="H2793" s="1056">
        <v>0</v>
      </c>
      <c r="I2793" s="1056">
        <v>3169</v>
      </c>
      <c r="J2793" s="996">
        <f t="shared" si="62"/>
        <v>-59</v>
      </c>
      <c r="K2793" s="1037">
        <f t="shared" si="61"/>
        <v>8</v>
      </c>
    </row>
    <row r="2794" spans="1:11" ht="13.9" customHeight="1">
      <c r="A2794" s="1054">
        <v>52959506</v>
      </c>
      <c r="B2794" s="1055" t="s">
        <v>893</v>
      </c>
      <c r="C2794" s="1055" t="s">
        <v>550</v>
      </c>
      <c r="D2794" s="1055" t="s">
        <v>1053</v>
      </c>
      <c r="E2794" s="1055" t="s">
        <v>1054</v>
      </c>
      <c r="F2794" s="1056">
        <v>3110</v>
      </c>
      <c r="G2794" s="1056">
        <v>59</v>
      </c>
      <c r="H2794" s="1056">
        <v>0</v>
      </c>
      <c r="I2794" s="1056">
        <v>3169</v>
      </c>
      <c r="J2794" s="996">
        <f t="shared" si="62"/>
        <v>-59</v>
      </c>
      <c r="K2794" s="1037">
        <f t="shared" si="61"/>
        <v>8</v>
      </c>
    </row>
    <row r="2795" spans="1:11" ht="13.9" customHeight="1">
      <c r="A2795" s="1054">
        <v>52959508</v>
      </c>
      <c r="B2795" s="1055" t="s">
        <v>1489</v>
      </c>
      <c r="C2795" s="1055" t="s">
        <v>549</v>
      </c>
      <c r="D2795" s="1055" t="s">
        <v>893</v>
      </c>
      <c r="E2795" s="1055" t="s">
        <v>893</v>
      </c>
      <c r="F2795" s="1056">
        <v>2248</v>
      </c>
      <c r="G2795" s="1056">
        <v>174</v>
      </c>
      <c r="H2795" s="1056">
        <v>0</v>
      </c>
      <c r="I2795" s="1056">
        <v>2422</v>
      </c>
      <c r="J2795" s="996">
        <f t="shared" si="62"/>
        <v>-174</v>
      </c>
      <c r="K2795" s="1037">
        <f t="shared" si="61"/>
        <v>8</v>
      </c>
    </row>
    <row r="2796" spans="1:11" ht="13.9" customHeight="1">
      <c r="A2796" s="1054">
        <v>52959508</v>
      </c>
      <c r="B2796" s="1055" t="s">
        <v>1489</v>
      </c>
      <c r="C2796" s="1055" t="s">
        <v>549</v>
      </c>
      <c r="D2796" s="1055" t="s">
        <v>1230</v>
      </c>
      <c r="E2796" s="1055" t="s">
        <v>1231</v>
      </c>
      <c r="F2796" s="1056">
        <v>126</v>
      </c>
      <c r="G2796" s="1056">
        <v>0</v>
      </c>
      <c r="H2796" s="1056">
        <v>0</v>
      </c>
      <c r="I2796" s="1056">
        <v>126</v>
      </c>
      <c r="J2796" s="996">
        <f t="shared" si="62"/>
        <v>0</v>
      </c>
      <c r="K2796" s="1037">
        <f t="shared" si="61"/>
        <v>8</v>
      </c>
    </row>
    <row r="2797" spans="1:11" ht="13.9" customHeight="1">
      <c r="A2797" s="1054">
        <v>52959508</v>
      </c>
      <c r="B2797" s="1055" t="s">
        <v>1489</v>
      </c>
      <c r="C2797" s="1055" t="s">
        <v>549</v>
      </c>
      <c r="D2797" s="1055" t="s">
        <v>1558</v>
      </c>
      <c r="E2797" s="1055" t="s">
        <v>1559</v>
      </c>
      <c r="F2797" s="1056">
        <v>1346</v>
      </c>
      <c r="G2797" s="1056">
        <v>0</v>
      </c>
      <c r="H2797" s="1056">
        <v>0</v>
      </c>
      <c r="I2797" s="1056">
        <v>1346</v>
      </c>
      <c r="J2797" s="996">
        <f t="shared" si="62"/>
        <v>0</v>
      </c>
      <c r="K2797" s="1037">
        <f t="shared" si="61"/>
        <v>8</v>
      </c>
    </row>
    <row r="2798" spans="1:11" ht="13.9" customHeight="1">
      <c r="A2798" s="1054">
        <v>52959508</v>
      </c>
      <c r="B2798" s="1055" t="s">
        <v>1489</v>
      </c>
      <c r="C2798" s="1055" t="s">
        <v>549</v>
      </c>
      <c r="D2798" s="1055" t="s">
        <v>1232</v>
      </c>
      <c r="E2798" s="1055" t="s">
        <v>1233</v>
      </c>
      <c r="F2798" s="1056">
        <v>13</v>
      </c>
      <c r="G2798" s="1056">
        <v>0</v>
      </c>
      <c r="H2798" s="1056">
        <v>0</v>
      </c>
      <c r="I2798" s="1056">
        <v>13</v>
      </c>
      <c r="J2798" s="996">
        <f t="shared" si="62"/>
        <v>0</v>
      </c>
      <c r="K2798" s="1037">
        <f t="shared" ref="K2798:K2861" si="63">+LEN(A2798)</f>
        <v>8</v>
      </c>
    </row>
    <row r="2799" spans="1:11" ht="13.9" customHeight="1">
      <c r="A2799" s="1054">
        <v>52959508</v>
      </c>
      <c r="B2799" s="1055" t="s">
        <v>1489</v>
      </c>
      <c r="C2799" s="1055" t="s">
        <v>549</v>
      </c>
      <c r="D2799" s="1055" t="s">
        <v>1346</v>
      </c>
      <c r="E2799" s="1055" t="s">
        <v>1347</v>
      </c>
      <c r="F2799" s="1056">
        <v>365</v>
      </c>
      <c r="G2799" s="1056">
        <v>0</v>
      </c>
      <c r="H2799" s="1056">
        <v>0</v>
      </c>
      <c r="I2799" s="1056">
        <v>365</v>
      </c>
      <c r="J2799" s="996">
        <f t="shared" si="62"/>
        <v>0</v>
      </c>
      <c r="K2799" s="1037">
        <f t="shared" si="63"/>
        <v>8</v>
      </c>
    </row>
    <row r="2800" spans="1:11" ht="13.9" customHeight="1">
      <c r="A2800" s="1054">
        <v>52959508</v>
      </c>
      <c r="B2800" s="1055" t="s">
        <v>1489</v>
      </c>
      <c r="C2800" s="1055" t="s">
        <v>549</v>
      </c>
      <c r="D2800" s="1055" t="s">
        <v>1238</v>
      </c>
      <c r="E2800" s="1055" t="s">
        <v>1239</v>
      </c>
      <c r="F2800" s="1056">
        <v>254</v>
      </c>
      <c r="G2800" s="1056">
        <v>174</v>
      </c>
      <c r="H2800" s="1056">
        <v>0</v>
      </c>
      <c r="I2800" s="1056">
        <v>428</v>
      </c>
      <c r="J2800" s="996">
        <f t="shared" si="62"/>
        <v>-174</v>
      </c>
      <c r="K2800" s="1037">
        <f t="shared" si="63"/>
        <v>8</v>
      </c>
    </row>
    <row r="2801" spans="1:11" ht="13.9" customHeight="1">
      <c r="A2801" s="1054">
        <v>52959508</v>
      </c>
      <c r="B2801" s="1055" t="s">
        <v>1489</v>
      </c>
      <c r="C2801" s="1055" t="s">
        <v>549</v>
      </c>
      <c r="D2801" s="1055" t="s">
        <v>1839</v>
      </c>
      <c r="E2801" s="1055" t="s">
        <v>1840</v>
      </c>
      <c r="F2801" s="1056">
        <v>144</v>
      </c>
      <c r="G2801" s="1056">
        <v>0</v>
      </c>
      <c r="H2801" s="1056">
        <v>0</v>
      </c>
      <c r="I2801" s="1056">
        <v>144</v>
      </c>
      <c r="J2801" s="996">
        <f t="shared" si="62"/>
        <v>0</v>
      </c>
      <c r="K2801" s="1037">
        <f t="shared" si="63"/>
        <v>8</v>
      </c>
    </row>
    <row r="2802" spans="1:11" ht="13.9" customHeight="1">
      <c r="A2802" s="1054">
        <v>52959515</v>
      </c>
      <c r="B2802" s="1055" t="s">
        <v>893</v>
      </c>
      <c r="C2802" s="1055" t="s">
        <v>1596</v>
      </c>
      <c r="D2802" s="1055" t="s">
        <v>893</v>
      </c>
      <c r="E2802" s="1055" t="s">
        <v>893</v>
      </c>
      <c r="F2802" s="1056">
        <v>-4</v>
      </c>
      <c r="G2802" s="1056">
        <v>68</v>
      </c>
      <c r="H2802" s="1056">
        <v>0</v>
      </c>
      <c r="I2802" s="1056">
        <v>64</v>
      </c>
      <c r="J2802" s="996">
        <f t="shared" si="62"/>
        <v>-68</v>
      </c>
      <c r="K2802" s="1037">
        <f t="shared" si="63"/>
        <v>8</v>
      </c>
    </row>
    <row r="2803" spans="1:11" ht="13.9" customHeight="1">
      <c r="A2803" s="1054">
        <v>52959515</v>
      </c>
      <c r="B2803" s="1055" t="s">
        <v>893</v>
      </c>
      <c r="C2803" s="1055" t="s">
        <v>1596</v>
      </c>
      <c r="D2803" s="1055" t="s">
        <v>1184</v>
      </c>
      <c r="E2803" s="1055" t="s">
        <v>728</v>
      </c>
      <c r="F2803" s="1056">
        <v>0</v>
      </c>
      <c r="G2803" s="1056">
        <v>6</v>
      </c>
      <c r="H2803" s="1056">
        <v>0</v>
      </c>
      <c r="I2803" s="1056">
        <v>6</v>
      </c>
      <c r="J2803" s="996">
        <f t="shared" si="62"/>
        <v>-6</v>
      </c>
      <c r="K2803" s="1037">
        <f t="shared" si="63"/>
        <v>8</v>
      </c>
    </row>
    <row r="2804" spans="1:11" ht="13.9" customHeight="1">
      <c r="A2804" s="1054">
        <v>52959515</v>
      </c>
      <c r="B2804" s="1055" t="s">
        <v>893</v>
      </c>
      <c r="C2804" s="1055" t="s">
        <v>1596</v>
      </c>
      <c r="D2804" s="1055" t="s">
        <v>1340</v>
      </c>
      <c r="E2804" s="1055" t="s">
        <v>1737</v>
      </c>
      <c r="F2804" s="1056">
        <v>0</v>
      </c>
      <c r="G2804" s="1056">
        <v>4</v>
      </c>
      <c r="H2804" s="1056">
        <v>0</v>
      </c>
      <c r="I2804" s="1056">
        <v>4</v>
      </c>
      <c r="J2804" s="996">
        <f t="shared" si="62"/>
        <v>-4</v>
      </c>
      <c r="K2804" s="1037">
        <f t="shared" si="63"/>
        <v>8</v>
      </c>
    </row>
    <row r="2805" spans="1:11" ht="13.9" customHeight="1">
      <c r="A2805" s="1054">
        <v>52959515</v>
      </c>
      <c r="B2805" s="1055" t="s">
        <v>893</v>
      </c>
      <c r="C2805" s="1055" t="s">
        <v>1596</v>
      </c>
      <c r="D2805" s="1055" t="s">
        <v>1069</v>
      </c>
      <c r="E2805" s="1055" t="s">
        <v>1070</v>
      </c>
      <c r="F2805" s="1056">
        <v>0</v>
      </c>
      <c r="G2805" s="1056">
        <v>13</v>
      </c>
      <c r="H2805" s="1056">
        <v>0</v>
      </c>
      <c r="I2805" s="1056">
        <v>13</v>
      </c>
      <c r="J2805" s="996">
        <f t="shared" si="62"/>
        <v>-13</v>
      </c>
      <c r="K2805" s="1037">
        <f t="shared" si="63"/>
        <v>8</v>
      </c>
    </row>
    <row r="2806" spans="1:11" ht="13.9" customHeight="1">
      <c r="A2806" s="1054">
        <v>52959515</v>
      </c>
      <c r="B2806" s="1055" t="s">
        <v>893</v>
      </c>
      <c r="C2806" s="1055" t="s">
        <v>1596</v>
      </c>
      <c r="D2806" s="1055" t="s">
        <v>1348</v>
      </c>
      <c r="E2806" s="1055" t="s">
        <v>1349</v>
      </c>
      <c r="F2806" s="1056">
        <v>-4</v>
      </c>
      <c r="G2806" s="1056">
        <v>0</v>
      </c>
      <c r="H2806" s="1056">
        <v>0</v>
      </c>
      <c r="I2806" s="1056">
        <v>-4</v>
      </c>
      <c r="J2806" s="996">
        <f t="shared" si="62"/>
        <v>0</v>
      </c>
      <c r="K2806" s="1037">
        <f t="shared" si="63"/>
        <v>8</v>
      </c>
    </row>
    <row r="2807" spans="1:11" ht="13.9" customHeight="1">
      <c r="A2807" s="1054">
        <v>52959515</v>
      </c>
      <c r="B2807" s="1055" t="s">
        <v>893</v>
      </c>
      <c r="C2807" s="1055" t="s">
        <v>1596</v>
      </c>
      <c r="D2807" s="1055" t="s">
        <v>1036</v>
      </c>
      <c r="E2807" s="1055" t="s">
        <v>1037</v>
      </c>
      <c r="F2807" s="1056">
        <v>0</v>
      </c>
      <c r="G2807" s="1056">
        <v>24</v>
      </c>
      <c r="H2807" s="1056">
        <v>0</v>
      </c>
      <c r="I2807" s="1056">
        <v>24</v>
      </c>
      <c r="J2807" s="996">
        <f t="shared" si="62"/>
        <v>-24</v>
      </c>
      <c r="K2807" s="1037">
        <f t="shared" si="63"/>
        <v>8</v>
      </c>
    </row>
    <row r="2808" spans="1:11" ht="13.9" customHeight="1">
      <c r="A2808" s="1054">
        <v>52959515</v>
      </c>
      <c r="B2808" s="1055" t="s">
        <v>893</v>
      </c>
      <c r="C2808" s="1055" t="s">
        <v>1596</v>
      </c>
      <c r="D2808" s="1055" t="s">
        <v>1060</v>
      </c>
      <c r="E2808" s="1055" t="s">
        <v>1061</v>
      </c>
      <c r="F2808" s="1056">
        <v>0</v>
      </c>
      <c r="G2808" s="1056">
        <v>21</v>
      </c>
      <c r="H2808" s="1056">
        <v>0</v>
      </c>
      <c r="I2808" s="1056">
        <v>21</v>
      </c>
      <c r="J2808" s="996">
        <f t="shared" si="62"/>
        <v>-21</v>
      </c>
      <c r="K2808" s="1037">
        <f t="shared" si="63"/>
        <v>8</v>
      </c>
    </row>
    <row r="2809" spans="1:11" ht="13.9" customHeight="1">
      <c r="A2809" s="1054">
        <v>52959516</v>
      </c>
      <c r="B2809" s="1055" t="s">
        <v>1489</v>
      </c>
      <c r="C2809" s="1055" t="s">
        <v>784</v>
      </c>
      <c r="D2809" s="1055" t="s">
        <v>893</v>
      </c>
      <c r="E2809" s="1055" t="s">
        <v>893</v>
      </c>
      <c r="F2809" s="1056">
        <v>409</v>
      </c>
      <c r="G2809" s="1056">
        <v>58</v>
      </c>
      <c r="H2809" s="1056">
        <v>0</v>
      </c>
      <c r="I2809" s="1056">
        <v>467</v>
      </c>
      <c r="J2809" s="996">
        <f t="shared" si="62"/>
        <v>-58</v>
      </c>
      <c r="K2809" s="1037">
        <f t="shared" si="63"/>
        <v>8</v>
      </c>
    </row>
    <row r="2810" spans="1:11" ht="13.9" customHeight="1">
      <c r="A2810" s="1054">
        <v>52959516</v>
      </c>
      <c r="B2810" s="1055" t="s">
        <v>1489</v>
      </c>
      <c r="C2810" s="1055" t="s">
        <v>784</v>
      </c>
      <c r="D2810" s="1055" t="s">
        <v>1035</v>
      </c>
      <c r="E2810" s="1055" t="s">
        <v>573</v>
      </c>
      <c r="F2810" s="1056">
        <v>409</v>
      </c>
      <c r="G2810" s="1056">
        <v>58</v>
      </c>
      <c r="H2810" s="1056">
        <v>0</v>
      </c>
      <c r="I2810" s="1056">
        <v>467</v>
      </c>
      <c r="J2810" s="996">
        <f t="shared" si="62"/>
        <v>-58</v>
      </c>
      <c r="K2810" s="1037">
        <f t="shared" si="63"/>
        <v>8</v>
      </c>
    </row>
    <row r="2811" spans="1:11" ht="13.9" customHeight="1">
      <c r="A2811" s="1054">
        <v>52959595</v>
      </c>
      <c r="B2811" s="1055" t="s">
        <v>893</v>
      </c>
      <c r="C2811" s="1055" t="s">
        <v>323</v>
      </c>
      <c r="D2811" s="1055" t="s">
        <v>893</v>
      </c>
      <c r="E2811" s="1055" t="s">
        <v>893</v>
      </c>
      <c r="F2811" s="1056">
        <v>460</v>
      </c>
      <c r="G2811" s="1056">
        <v>5</v>
      </c>
      <c r="H2811" s="1056">
        <v>0</v>
      </c>
      <c r="I2811" s="1056">
        <v>465</v>
      </c>
      <c r="J2811" s="996">
        <f t="shared" si="62"/>
        <v>-5</v>
      </c>
      <c r="K2811" s="1037">
        <f t="shared" si="63"/>
        <v>8</v>
      </c>
    </row>
    <row r="2812" spans="1:11" ht="13.9" customHeight="1">
      <c r="A2812" s="1054">
        <v>52959595</v>
      </c>
      <c r="B2812" s="1055" t="s">
        <v>893</v>
      </c>
      <c r="C2812" s="1055" t="s">
        <v>323</v>
      </c>
      <c r="D2812" s="1055" t="s">
        <v>1817</v>
      </c>
      <c r="E2812" s="1055" t="s">
        <v>1818</v>
      </c>
      <c r="F2812" s="1056">
        <v>274</v>
      </c>
      <c r="G2812" s="1056">
        <v>0</v>
      </c>
      <c r="H2812" s="1056">
        <v>0</v>
      </c>
      <c r="I2812" s="1056">
        <v>274</v>
      </c>
      <c r="J2812" s="996">
        <f t="shared" si="62"/>
        <v>0</v>
      </c>
      <c r="K2812" s="1037">
        <f t="shared" si="63"/>
        <v>8</v>
      </c>
    </row>
    <row r="2813" spans="1:11" ht="13.9" customHeight="1">
      <c r="A2813" s="1054">
        <v>52959595</v>
      </c>
      <c r="B2813" s="1055" t="s">
        <v>893</v>
      </c>
      <c r="C2813" s="1055" t="s">
        <v>323</v>
      </c>
      <c r="D2813" s="1055" t="s">
        <v>1336</v>
      </c>
      <c r="E2813" s="1055" t="s">
        <v>1337</v>
      </c>
      <c r="F2813" s="1056">
        <v>2</v>
      </c>
      <c r="G2813" s="1056">
        <v>0</v>
      </c>
      <c r="H2813" s="1056">
        <v>0</v>
      </c>
      <c r="I2813" s="1056">
        <v>2</v>
      </c>
      <c r="J2813" s="996">
        <f t="shared" si="62"/>
        <v>0</v>
      </c>
      <c r="K2813" s="1037">
        <f t="shared" si="63"/>
        <v>8</v>
      </c>
    </row>
    <row r="2814" spans="1:11" ht="13.9" customHeight="1">
      <c r="A2814" s="1054">
        <v>52959595</v>
      </c>
      <c r="B2814" s="1055" t="s">
        <v>893</v>
      </c>
      <c r="C2814" s="1055" t="s">
        <v>323</v>
      </c>
      <c r="D2814" s="1055" t="s">
        <v>1290</v>
      </c>
      <c r="E2814" s="1055" t="s">
        <v>1291</v>
      </c>
      <c r="F2814" s="1056">
        <v>6</v>
      </c>
      <c r="G2814" s="1056">
        <v>0</v>
      </c>
      <c r="H2814" s="1056">
        <v>0</v>
      </c>
      <c r="I2814" s="1056">
        <v>6</v>
      </c>
      <c r="J2814" s="996">
        <f t="shared" si="62"/>
        <v>0</v>
      </c>
      <c r="K2814" s="1037">
        <f t="shared" si="63"/>
        <v>8</v>
      </c>
    </row>
    <row r="2815" spans="1:11" ht="13.9" customHeight="1">
      <c r="A2815" s="1054">
        <v>52959595</v>
      </c>
      <c r="B2815" s="1055" t="s">
        <v>893</v>
      </c>
      <c r="C2815" s="1055" t="s">
        <v>323</v>
      </c>
      <c r="D2815" s="1055" t="s">
        <v>1348</v>
      </c>
      <c r="E2815" s="1055" t="s">
        <v>1349</v>
      </c>
      <c r="F2815" s="1056">
        <v>4</v>
      </c>
      <c r="G2815" s="1056">
        <v>0</v>
      </c>
      <c r="H2815" s="1056">
        <v>0</v>
      </c>
      <c r="I2815" s="1056">
        <v>4</v>
      </c>
      <c r="J2815" s="996">
        <f t="shared" si="62"/>
        <v>0</v>
      </c>
      <c r="K2815" s="1037">
        <f t="shared" si="63"/>
        <v>8</v>
      </c>
    </row>
    <row r="2816" spans="1:11" ht="13.9" customHeight="1">
      <c r="A2816" s="1054">
        <v>52959595</v>
      </c>
      <c r="B2816" s="1055" t="s">
        <v>893</v>
      </c>
      <c r="C2816" s="1055" t="s">
        <v>323</v>
      </c>
      <c r="D2816" s="1055" t="s">
        <v>1825</v>
      </c>
      <c r="E2816" s="1055" t="s">
        <v>1826</v>
      </c>
      <c r="F2816" s="1056">
        <v>105</v>
      </c>
      <c r="G2816" s="1056">
        <v>0</v>
      </c>
      <c r="H2816" s="1056">
        <v>0</v>
      </c>
      <c r="I2816" s="1056">
        <v>105</v>
      </c>
      <c r="J2816" s="996">
        <f t="shared" si="62"/>
        <v>0</v>
      </c>
      <c r="K2816" s="1037">
        <f t="shared" si="63"/>
        <v>8</v>
      </c>
    </row>
    <row r="2817" spans="1:11" ht="13.9" customHeight="1">
      <c r="A2817" s="1054">
        <v>52959595</v>
      </c>
      <c r="B2817" s="1055" t="s">
        <v>893</v>
      </c>
      <c r="C2817" s="1055" t="s">
        <v>323</v>
      </c>
      <c r="D2817" s="1055" t="s">
        <v>1238</v>
      </c>
      <c r="E2817" s="1055" t="s">
        <v>1239</v>
      </c>
      <c r="F2817" s="1056">
        <v>70</v>
      </c>
      <c r="G2817" s="1056">
        <v>5</v>
      </c>
      <c r="H2817" s="1056">
        <v>0</v>
      </c>
      <c r="I2817" s="1056">
        <v>75</v>
      </c>
      <c r="J2817" s="996">
        <f t="shared" si="62"/>
        <v>-5</v>
      </c>
      <c r="K2817" s="1037">
        <f t="shared" si="63"/>
        <v>8</v>
      </c>
    </row>
    <row r="2818" spans="1:11" ht="13.9" customHeight="1">
      <c r="A2818" s="1054">
        <v>529596</v>
      </c>
      <c r="B2818" s="1055" t="s">
        <v>893</v>
      </c>
      <c r="C2818" s="1055" t="s">
        <v>433</v>
      </c>
      <c r="D2818" s="1055" t="s">
        <v>893</v>
      </c>
      <c r="E2818" s="1055" t="s">
        <v>893</v>
      </c>
      <c r="F2818" s="1056">
        <v>1128</v>
      </c>
      <c r="G2818" s="1056">
        <v>672</v>
      </c>
      <c r="H2818" s="1056">
        <v>0</v>
      </c>
      <c r="I2818" s="1056">
        <v>1800</v>
      </c>
      <c r="J2818" s="996">
        <f t="shared" si="62"/>
        <v>-672</v>
      </c>
      <c r="K2818" s="1037">
        <f t="shared" si="63"/>
        <v>6</v>
      </c>
    </row>
    <row r="2819" spans="1:11" ht="13.9" customHeight="1">
      <c r="A2819" s="1054">
        <v>52959601</v>
      </c>
      <c r="B2819" s="1055" t="s">
        <v>893</v>
      </c>
      <c r="C2819" s="1055" t="s">
        <v>433</v>
      </c>
      <c r="D2819" s="1055" t="s">
        <v>893</v>
      </c>
      <c r="E2819" s="1055" t="s">
        <v>893</v>
      </c>
      <c r="F2819" s="1056">
        <v>1089</v>
      </c>
      <c r="G2819" s="1056">
        <v>58</v>
      </c>
      <c r="H2819" s="1056">
        <v>0</v>
      </c>
      <c r="I2819" s="1056">
        <v>1147</v>
      </c>
      <c r="J2819" s="996">
        <f t="shared" si="62"/>
        <v>-58</v>
      </c>
      <c r="K2819" s="1037">
        <f t="shared" si="63"/>
        <v>8</v>
      </c>
    </row>
    <row r="2820" spans="1:11" ht="13.9" customHeight="1">
      <c r="A2820" s="1054">
        <v>52959601</v>
      </c>
      <c r="B2820" s="1055" t="s">
        <v>893</v>
      </c>
      <c r="C2820" s="1055" t="s">
        <v>433</v>
      </c>
      <c r="D2820" s="1055" t="s">
        <v>1329</v>
      </c>
      <c r="E2820" s="1055" t="s">
        <v>1330</v>
      </c>
      <c r="F2820" s="1056">
        <v>2</v>
      </c>
      <c r="G2820" s="1056">
        <v>0</v>
      </c>
      <c r="H2820" s="1056">
        <v>0</v>
      </c>
      <c r="I2820" s="1056">
        <v>2</v>
      </c>
      <c r="J2820" s="996">
        <f t="shared" si="62"/>
        <v>0</v>
      </c>
      <c r="K2820" s="1037">
        <f t="shared" si="63"/>
        <v>8</v>
      </c>
    </row>
    <row r="2821" spans="1:11" ht="13.9" customHeight="1">
      <c r="A2821" s="1054">
        <v>52959601</v>
      </c>
      <c r="B2821" s="1055" t="s">
        <v>893</v>
      </c>
      <c r="C2821" s="1055" t="s">
        <v>433</v>
      </c>
      <c r="D2821" s="1055" t="s">
        <v>1043</v>
      </c>
      <c r="E2821" s="1055" t="s">
        <v>318</v>
      </c>
      <c r="F2821" s="1056">
        <v>22</v>
      </c>
      <c r="G2821" s="1056">
        <v>0</v>
      </c>
      <c r="H2821" s="1056">
        <v>0</v>
      </c>
      <c r="I2821" s="1056">
        <v>22</v>
      </c>
      <c r="J2821" s="996">
        <f t="shared" si="62"/>
        <v>0</v>
      </c>
      <c r="K2821" s="1037">
        <f t="shared" si="63"/>
        <v>8</v>
      </c>
    </row>
    <row r="2822" spans="1:11" ht="13.9" customHeight="1">
      <c r="A2822" s="1054">
        <v>52959601</v>
      </c>
      <c r="B2822" s="1055" t="s">
        <v>893</v>
      </c>
      <c r="C2822" s="1055" t="s">
        <v>433</v>
      </c>
      <c r="D2822" s="1055" t="s">
        <v>1331</v>
      </c>
      <c r="E2822" s="1055" t="s">
        <v>1332</v>
      </c>
      <c r="F2822" s="1056">
        <v>83</v>
      </c>
      <c r="G2822" s="1056">
        <v>0</v>
      </c>
      <c r="H2822" s="1056">
        <v>0</v>
      </c>
      <c r="I2822" s="1056">
        <v>83</v>
      </c>
      <c r="J2822" s="996">
        <f t="shared" si="62"/>
        <v>0</v>
      </c>
      <c r="K2822" s="1037">
        <f t="shared" si="63"/>
        <v>8</v>
      </c>
    </row>
    <row r="2823" spans="1:11" ht="13.9" customHeight="1">
      <c r="A2823" s="1054">
        <v>52959601</v>
      </c>
      <c r="B2823" s="1055" t="s">
        <v>893</v>
      </c>
      <c r="C2823" s="1055" t="s">
        <v>433</v>
      </c>
      <c r="D2823" s="1055" t="s">
        <v>1529</v>
      </c>
      <c r="E2823" s="1055" t="s">
        <v>1530</v>
      </c>
      <c r="F2823" s="1056">
        <v>6</v>
      </c>
      <c r="G2823" s="1056">
        <v>0</v>
      </c>
      <c r="H2823" s="1056">
        <v>0</v>
      </c>
      <c r="I2823" s="1056">
        <v>6</v>
      </c>
      <c r="J2823" s="996">
        <f t="shared" si="62"/>
        <v>0</v>
      </c>
      <c r="K2823" s="1037">
        <f t="shared" si="63"/>
        <v>8</v>
      </c>
    </row>
    <row r="2824" spans="1:11" ht="13.9" customHeight="1">
      <c r="A2824" s="1054">
        <v>52959601</v>
      </c>
      <c r="B2824" s="1055" t="s">
        <v>893</v>
      </c>
      <c r="C2824" s="1055" t="s">
        <v>433</v>
      </c>
      <c r="D2824" s="1055" t="s">
        <v>1069</v>
      </c>
      <c r="E2824" s="1055" t="s">
        <v>1070</v>
      </c>
      <c r="F2824" s="1056">
        <v>90</v>
      </c>
      <c r="G2824" s="1056">
        <v>26</v>
      </c>
      <c r="H2824" s="1056">
        <v>0</v>
      </c>
      <c r="I2824" s="1056">
        <v>116</v>
      </c>
      <c r="J2824" s="996">
        <f t="shared" si="62"/>
        <v>-26</v>
      </c>
      <c r="K2824" s="1037">
        <f t="shared" si="63"/>
        <v>8</v>
      </c>
    </row>
    <row r="2825" spans="1:11" ht="13.9" customHeight="1">
      <c r="A2825" s="1054">
        <v>52959601</v>
      </c>
      <c r="B2825" s="1055" t="s">
        <v>893</v>
      </c>
      <c r="C2825" s="1055" t="s">
        <v>433</v>
      </c>
      <c r="D2825" s="1055" t="s">
        <v>1597</v>
      </c>
      <c r="E2825" s="1055" t="s">
        <v>1598</v>
      </c>
      <c r="F2825" s="1056">
        <v>22</v>
      </c>
      <c r="G2825" s="1056">
        <v>0</v>
      </c>
      <c r="H2825" s="1056">
        <v>0</v>
      </c>
      <c r="I2825" s="1056">
        <v>22</v>
      </c>
      <c r="J2825" s="996">
        <f t="shared" ref="J2825:J2888" si="64">+H2825-G2825</f>
        <v>0</v>
      </c>
      <c r="K2825" s="1037">
        <f t="shared" si="63"/>
        <v>8</v>
      </c>
    </row>
    <row r="2826" spans="1:11" ht="13.9" customHeight="1">
      <c r="A2826" s="1054">
        <v>52959601</v>
      </c>
      <c r="B2826" s="1055" t="s">
        <v>893</v>
      </c>
      <c r="C2826" s="1055" t="s">
        <v>433</v>
      </c>
      <c r="D2826" s="1055" t="s">
        <v>1235</v>
      </c>
      <c r="E2826" s="1055" t="s">
        <v>1236</v>
      </c>
      <c r="F2826" s="1056">
        <v>269</v>
      </c>
      <c r="G2826" s="1056">
        <v>0</v>
      </c>
      <c r="H2826" s="1056">
        <v>0</v>
      </c>
      <c r="I2826" s="1056">
        <v>269</v>
      </c>
      <c r="J2826" s="996">
        <f t="shared" si="64"/>
        <v>0</v>
      </c>
      <c r="K2826" s="1037">
        <f t="shared" si="63"/>
        <v>8</v>
      </c>
    </row>
    <row r="2827" spans="1:11" ht="13.9" customHeight="1">
      <c r="A2827" s="1054">
        <v>52959601</v>
      </c>
      <c r="B2827" s="1055" t="s">
        <v>893</v>
      </c>
      <c r="C2827" s="1055" t="s">
        <v>433</v>
      </c>
      <c r="D2827" s="1055" t="s">
        <v>1820</v>
      </c>
      <c r="E2827" s="1055" t="s">
        <v>1821</v>
      </c>
      <c r="F2827" s="1056">
        <v>5</v>
      </c>
      <c r="G2827" s="1056">
        <v>5</v>
      </c>
      <c r="H2827" s="1056">
        <v>0</v>
      </c>
      <c r="I2827" s="1056">
        <v>10</v>
      </c>
      <c r="J2827" s="996">
        <f t="shared" si="64"/>
        <v>-5</v>
      </c>
      <c r="K2827" s="1037">
        <f t="shared" si="63"/>
        <v>8</v>
      </c>
    </row>
    <row r="2828" spans="1:11" ht="13.9" customHeight="1">
      <c r="A2828" s="1054">
        <v>52959601</v>
      </c>
      <c r="B2828" s="1055" t="s">
        <v>893</v>
      </c>
      <c r="C2828" s="1055" t="s">
        <v>433</v>
      </c>
      <c r="D2828" s="1055" t="s">
        <v>1238</v>
      </c>
      <c r="E2828" s="1055" t="s">
        <v>1239</v>
      </c>
      <c r="F2828" s="1056">
        <v>18</v>
      </c>
      <c r="G2828" s="1056">
        <v>0</v>
      </c>
      <c r="H2828" s="1056">
        <v>0</v>
      </c>
      <c r="I2828" s="1056">
        <v>18</v>
      </c>
      <c r="J2828" s="996">
        <f t="shared" si="64"/>
        <v>0</v>
      </c>
      <c r="K2828" s="1037">
        <f t="shared" si="63"/>
        <v>8</v>
      </c>
    </row>
    <row r="2829" spans="1:11" ht="13.9" customHeight="1">
      <c r="A2829" s="1054">
        <v>52959601</v>
      </c>
      <c r="B2829" s="1055" t="s">
        <v>893</v>
      </c>
      <c r="C2829" s="1055" t="s">
        <v>433</v>
      </c>
      <c r="D2829" s="1055" t="s">
        <v>1413</v>
      </c>
      <c r="E2829" s="1055" t="s">
        <v>1414</v>
      </c>
      <c r="F2829" s="1056">
        <v>80</v>
      </c>
      <c r="G2829" s="1056">
        <v>0</v>
      </c>
      <c r="H2829" s="1056">
        <v>0</v>
      </c>
      <c r="I2829" s="1056">
        <v>80</v>
      </c>
      <c r="J2829" s="996">
        <f t="shared" si="64"/>
        <v>0</v>
      </c>
      <c r="K2829" s="1037">
        <f t="shared" si="63"/>
        <v>8</v>
      </c>
    </row>
    <row r="2830" spans="1:11" ht="13.9" customHeight="1">
      <c r="A2830" s="1054">
        <v>52959601</v>
      </c>
      <c r="B2830" s="1055" t="s">
        <v>893</v>
      </c>
      <c r="C2830" s="1055" t="s">
        <v>433</v>
      </c>
      <c r="D2830" s="1055" t="s">
        <v>1564</v>
      </c>
      <c r="E2830" s="1055" t="s">
        <v>1565</v>
      </c>
      <c r="F2830" s="1056">
        <v>60</v>
      </c>
      <c r="G2830" s="1056">
        <v>0</v>
      </c>
      <c r="H2830" s="1056">
        <v>0</v>
      </c>
      <c r="I2830" s="1056">
        <v>60</v>
      </c>
      <c r="J2830" s="996">
        <f t="shared" si="64"/>
        <v>0</v>
      </c>
      <c r="K2830" s="1037">
        <f t="shared" si="63"/>
        <v>8</v>
      </c>
    </row>
    <row r="2831" spans="1:11" ht="13.9" customHeight="1">
      <c r="A2831" s="1054">
        <v>52959601</v>
      </c>
      <c r="B2831" s="1055" t="s">
        <v>893</v>
      </c>
      <c r="C2831" s="1055" t="s">
        <v>433</v>
      </c>
      <c r="D2831" s="1055" t="s">
        <v>1686</v>
      </c>
      <c r="E2831" s="1055" t="s">
        <v>1687</v>
      </c>
      <c r="F2831" s="1056">
        <v>16</v>
      </c>
      <c r="G2831" s="1056">
        <v>0</v>
      </c>
      <c r="H2831" s="1056">
        <v>0</v>
      </c>
      <c r="I2831" s="1056">
        <v>16</v>
      </c>
      <c r="J2831" s="996">
        <f t="shared" si="64"/>
        <v>0</v>
      </c>
      <c r="K2831" s="1037">
        <f t="shared" si="63"/>
        <v>8</v>
      </c>
    </row>
    <row r="2832" spans="1:11" ht="13.9" customHeight="1">
      <c r="A2832" s="1054">
        <v>52959601</v>
      </c>
      <c r="B2832" s="1055" t="s">
        <v>893</v>
      </c>
      <c r="C2832" s="1055" t="s">
        <v>433</v>
      </c>
      <c r="D2832" s="1055" t="s">
        <v>1275</v>
      </c>
      <c r="E2832" s="1055" t="s">
        <v>991</v>
      </c>
      <c r="F2832" s="1056">
        <v>23</v>
      </c>
      <c r="G2832" s="1056">
        <v>0</v>
      </c>
      <c r="H2832" s="1056">
        <v>0</v>
      </c>
      <c r="I2832" s="1056">
        <v>23</v>
      </c>
      <c r="J2832" s="996">
        <f t="shared" si="64"/>
        <v>0</v>
      </c>
      <c r="K2832" s="1037">
        <f t="shared" si="63"/>
        <v>8</v>
      </c>
    </row>
    <row r="2833" spans="1:11" ht="13.9" customHeight="1">
      <c r="A2833" s="1054">
        <v>52959601</v>
      </c>
      <c r="B2833" s="1055" t="s">
        <v>893</v>
      </c>
      <c r="C2833" s="1055" t="s">
        <v>433</v>
      </c>
      <c r="D2833" s="1055" t="s">
        <v>1060</v>
      </c>
      <c r="E2833" s="1055" t="s">
        <v>1061</v>
      </c>
      <c r="F2833" s="1056">
        <v>393</v>
      </c>
      <c r="G2833" s="1056">
        <v>27</v>
      </c>
      <c r="H2833" s="1056">
        <v>0</v>
      </c>
      <c r="I2833" s="1056">
        <v>420</v>
      </c>
      <c r="J2833" s="996">
        <f t="shared" si="64"/>
        <v>-27</v>
      </c>
      <c r="K2833" s="1037">
        <f t="shared" si="63"/>
        <v>8</v>
      </c>
    </row>
    <row r="2834" spans="1:11" ht="13.9" customHeight="1">
      <c r="A2834" s="1054">
        <v>52959603</v>
      </c>
      <c r="B2834" s="1055" t="s">
        <v>893</v>
      </c>
      <c r="C2834" s="1055" t="s">
        <v>1905</v>
      </c>
      <c r="D2834" s="1055" t="s">
        <v>893</v>
      </c>
      <c r="E2834" s="1055" t="s">
        <v>893</v>
      </c>
      <c r="F2834" s="1056">
        <v>0</v>
      </c>
      <c r="G2834" s="1056">
        <v>52</v>
      </c>
      <c r="H2834" s="1056">
        <v>0</v>
      </c>
      <c r="I2834" s="1056">
        <v>52</v>
      </c>
      <c r="J2834" s="996">
        <f t="shared" si="64"/>
        <v>-52</v>
      </c>
      <c r="K2834" s="1037">
        <f t="shared" si="63"/>
        <v>8</v>
      </c>
    </row>
    <row r="2835" spans="1:11" ht="13.9" customHeight="1">
      <c r="A2835" s="1054">
        <v>52959603</v>
      </c>
      <c r="B2835" s="1055" t="s">
        <v>893</v>
      </c>
      <c r="C2835" s="1055" t="s">
        <v>1905</v>
      </c>
      <c r="D2835" s="1055" t="s">
        <v>1109</v>
      </c>
      <c r="E2835" s="1055" t="s">
        <v>1110</v>
      </c>
      <c r="F2835" s="1056">
        <v>0</v>
      </c>
      <c r="G2835" s="1056">
        <v>52</v>
      </c>
      <c r="H2835" s="1056">
        <v>0</v>
      </c>
      <c r="I2835" s="1056">
        <v>52</v>
      </c>
      <c r="J2835" s="996">
        <f t="shared" si="64"/>
        <v>-52</v>
      </c>
      <c r="K2835" s="1037">
        <f t="shared" si="63"/>
        <v>8</v>
      </c>
    </row>
    <row r="2836" spans="1:11" ht="13.9" customHeight="1">
      <c r="A2836" s="1054">
        <v>52959605</v>
      </c>
      <c r="B2836" s="1055" t="s">
        <v>893</v>
      </c>
      <c r="C2836" s="1055" t="s">
        <v>366</v>
      </c>
      <c r="D2836" s="1055" t="s">
        <v>893</v>
      </c>
      <c r="E2836" s="1055" t="s">
        <v>893</v>
      </c>
      <c r="F2836" s="1056">
        <v>0</v>
      </c>
      <c r="G2836" s="1056">
        <v>4</v>
      </c>
      <c r="H2836" s="1056">
        <v>0</v>
      </c>
      <c r="I2836" s="1056">
        <v>4</v>
      </c>
      <c r="J2836" s="996">
        <f t="shared" si="64"/>
        <v>-4</v>
      </c>
      <c r="K2836" s="1037">
        <f t="shared" si="63"/>
        <v>8</v>
      </c>
    </row>
    <row r="2837" spans="1:11" ht="13.9" customHeight="1">
      <c r="A2837" s="1054">
        <v>52959605</v>
      </c>
      <c r="B2837" s="1055" t="s">
        <v>893</v>
      </c>
      <c r="C2837" s="1055" t="s">
        <v>366</v>
      </c>
      <c r="D2837" s="1055" t="s">
        <v>1331</v>
      </c>
      <c r="E2837" s="1055" t="s">
        <v>1332</v>
      </c>
      <c r="F2837" s="1056">
        <v>0</v>
      </c>
      <c r="G2837" s="1056">
        <v>4</v>
      </c>
      <c r="H2837" s="1056">
        <v>0</v>
      </c>
      <c r="I2837" s="1056">
        <v>4</v>
      </c>
      <c r="J2837" s="996">
        <f t="shared" si="64"/>
        <v>-4</v>
      </c>
      <c r="K2837" s="1037">
        <f t="shared" si="63"/>
        <v>8</v>
      </c>
    </row>
    <row r="2838" spans="1:11" ht="13.9" customHeight="1">
      <c r="A2838" s="1054">
        <v>52959607</v>
      </c>
      <c r="B2838" s="1055" t="s">
        <v>893</v>
      </c>
      <c r="C2838" s="1055" t="s">
        <v>550</v>
      </c>
      <c r="D2838" s="1055" t="s">
        <v>893</v>
      </c>
      <c r="E2838" s="1055" t="s">
        <v>893</v>
      </c>
      <c r="F2838" s="1056">
        <v>0</v>
      </c>
      <c r="G2838" s="1056">
        <v>522</v>
      </c>
      <c r="H2838" s="1056">
        <v>0</v>
      </c>
      <c r="I2838" s="1056">
        <v>522</v>
      </c>
      <c r="J2838" s="996">
        <f t="shared" si="64"/>
        <v>-522</v>
      </c>
      <c r="K2838" s="1037">
        <f t="shared" si="63"/>
        <v>8</v>
      </c>
    </row>
    <row r="2839" spans="1:11" ht="13.9" customHeight="1">
      <c r="A2839" s="1054">
        <v>52959607</v>
      </c>
      <c r="B2839" s="1055" t="s">
        <v>893</v>
      </c>
      <c r="C2839" s="1055" t="s">
        <v>550</v>
      </c>
      <c r="D2839" s="1055" t="s">
        <v>1053</v>
      </c>
      <c r="E2839" s="1055" t="s">
        <v>1054</v>
      </c>
      <c r="F2839" s="1056">
        <v>0</v>
      </c>
      <c r="G2839" s="1056">
        <v>522</v>
      </c>
      <c r="H2839" s="1056">
        <v>0</v>
      </c>
      <c r="I2839" s="1056">
        <v>522</v>
      </c>
      <c r="J2839" s="996">
        <f t="shared" si="64"/>
        <v>-522</v>
      </c>
      <c r="K2839" s="1037">
        <f t="shared" si="63"/>
        <v>8</v>
      </c>
    </row>
    <row r="2840" spans="1:11" ht="13.9" customHeight="1">
      <c r="A2840" s="1054">
        <v>52959609</v>
      </c>
      <c r="B2840" s="1055" t="s">
        <v>893</v>
      </c>
      <c r="C2840" s="1055" t="s">
        <v>1851</v>
      </c>
      <c r="D2840" s="1055" t="s">
        <v>893</v>
      </c>
      <c r="E2840" s="1055" t="s">
        <v>893</v>
      </c>
      <c r="F2840" s="1056">
        <v>0</v>
      </c>
      <c r="G2840" s="1056">
        <v>35</v>
      </c>
      <c r="H2840" s="1056">
        <v>0</v>
      </c>
      <c r="I2840" s="1056">
        <v>35</v>
      </c>
      <c r="J2840" s="996">
        <f t="shared" si="64"/>
        <v>-35</v>
      </c>
      <c r="K2840" s="1037">
        <f t="shared" si="63"/>
        <v>8</v>
      </c>
    </row>
    <row r="2841" spans="1:11" ht="13.9" customHeight="1">
      <c r="A2841" s="1054">
        <v>52959609</v>
      </c>
      <c r="B2841" s="1055" t="s">
        <v>893</v>
      </c>
      <c r="C2841" s="1055" t="s">
        <v>1851</v>
      </c>
      <c r="D2841" s="1055" t="s">
        <v>1825</v>
      </c>
      <c r="E2841" s="1055" t="s">
        <v>1826</v>
      </c>
      <c r="F2841" s="1056">
        <v>0</v>
      </c>
      <c r="G2841" s="1056">
        <v>35</v>
      </c>
      <c r="H2841" s="1056">
        <v>0</v>
      </c>
      <c r="I2841" s="1056">
        <v>35</v>
      </c>
      <c r="J2841" s="996">
        <f t="shared" si="64"/>
        <v>-35</v>
      </c>
      <c r="K2841" s="1037">
        <f t="shared" si="63"/>
        <v>8</v>
      </c>
    </row>
    <row r="2842" spans="1:11" ht="13.9" customHeight="1">
      <c r="A2842" s="1054">
        <v>52959611</v>
      </c>
      <c r="B2842" s="1055" t="s">
        <v>893</v>
      </c>
      <c r="C2842" s="1055" t="s">
        <v>771</v>
      </c>
      <c r="D2842" s="1055" t="s">
        <v>893</v>
      </c>
      <c r="E2842" s="1055" t="s">
        <v>893</v>
      </c>
      <c r="F2842" s="1056">
        <v>39</v>
      </c>
      <c r="G2842" s="1056">
        <v>0</v>
      </c>
      <c r="H2842" s="1056">
        <v>0</v>
      </c>
      <c r="I2842" s="1056">
        <v>39</v>
      </c>
      <c r="J2842" s="996">
        <f t="shared" si="64"/>
        <v>0</v>
      </c>
      <c r="K2842" s="1037">
        <f t="shared" si="63"/>
        <v>8</v>
      </c>
    </row>
    <row r="2843" spans="1:11" ht="13.9" customHeight="1">
      <c r="A2843" s="1054">
        <v>52959611</v>
      </c>
      <c r="B2843" s="1055" t="s">
        <v>893</v>
      </c>
      <c r="C2843" s="1055" t="s">
        <v>771</v>
      </c>
      <c r="D2843" s="1055" t="s">
        <v>1060</v>
      </c>
      <c r="E2843" s="1055" t="s">
        <v>1061</v>
      </c>
      <c r="F2843" s="1056">
        <v>39</v>
      </c>
      <c r="G2843" s="1056">
        <v>0</v>
      </c>
      <c r="H2843" s="1056">
        <v>0</v>
      </c>
      <c r="I2843" s="1056">
        <v>39</v>
      </c>
      <c r="J2843" s="996">
        <f t="shared" si="64"/>
        <v>0</v>
      </c>
      <c r="K2843" s="1037">
        <f t="shared" si="63"/>
        <v>8</v>
      </c>
    </row>
    <row r="2844" spans="1:11" ht="13.9" customHeight="1">
      <c r="A2844" s="1054">
        <v>5297</v>
      </c>
      <c r="B2844" s="1055" t="s">
        <v>1489</v>
      </c>
      <c r="C2844" s="1055" t="s">
        <v>778</v>
      </c>
      <c r="D2844" s="1055" t="s">
        <v>893</v>
      </c>
      <c r="E2844" s="1055" t="s">
        <v>893</v>
      </c>
      <c r="F2844" s="1056">
        <v>2271</v>
      </c>
      <c r="G2844" s="1056">
        <v>5680</v>
      </c>
      <c r="H2844" s="1056">
        <v>179</v>
      </c>
      <c r="I2844" s="1056">
        <v>7773</v>
      </c>
      <c r="J2844" s="996">
        <f t="shared" si="64"/>
        <v>-5501</v>
      </c>
      <c r="K2844" s="1037">
        <f t="shared" si="63"/>
        <v>4</v>
      </c>
    </row>
    <row r="2845" spans="1:11" ht="13.9" customHeight="1">
      <c r="A2845" s="1054">
        <v>529705</v>
      </c>
      <c r="B2845" s="1055" t="s">
        <v>1489</v>
      </c>
      <c r="C2845" s="1055" t="s">
        <v>551</v>
      </c>
      <c r="D2845" s="1055" t="s">
        <v>893</v>
      </c>
      <c r="E2845" s="1055" t="s">
        <v>893</v>
      </c>
      <c r="F2845" s="1056">
        <v>2271</v>
      </c>
      <c r="G2845" s="1056">
        <v>5680</v>
      </c>
      <c r="H2845" s="1056">
        <v>179</v>
      </c>
      <c r="I2845" s="1056">
        <v>7773</v>
      </c>
      <c r="J2845" s="996">
        <f t="shared" si="64"/>
        <v>-5501</v>
      </c>
      <c r="K2845" s="1037">
        <f t="shared" si="63"/>
        <v>6</v>
      </c>
    </row>
    <row r="2846" spans="1:11" ht="13.9" customHeight="1">
      <c r="A2846" s="1054">
        <v>52970502</v>
      </c>
      <c r="B2846" s="1055" t="s">
        <v>1489</v>
      </c>
      <c r="C2846" s="1055" t="s">
        <v>551</v>
      </c>
      <c r="D2846" s="1055" t="s">
        <v>893</v>
      </c>
      <c r="E2846" s="1055" t="s">
        <v>893</v>
      </c>
      <c r="F2846" s="1056">
        <v>2271</v>
      </c>
      <c r="G2846" s="1056">
        <v>5680</v>
      </c>
      <c r="H2846" s="1056">
        <v>179</v>
      </c>
      <c r="I2846" s="1056">
        <v>7773</v>
      </c>
      <c r="J2846" s="996">
        <f t="shared" si="64"/>
        <v>-5501</v>
      </c>
      <c r="K2846" s="1037">
        <f t="shared" si="63"/>
        <v>8</v>
      </c>
    </row>
    <row r="2847" spans="1:11" ht="13.9" customHeight="1">
      <c r="A2847" s="1054">
        <v>52970502</v>
      </c>
      <c r="B2847" s="1055" t="s">
        <v>1489</v>
      </c>
      <c r="C2847" s="1055" t="s">
        <v>551</v>
      </c>
      <c r="D2847" s="1055" t="s">
        <v>1105</v>
      </c>
      <c r="E2847" s="1055" t="s">
        <v>1106</v>
      </c>
      <c r="F2847" s="1056">
        <v>179</v>
      </c>
      <c r="G2847" s="1056">
        <v>0</v>
      </c>
      <c r="H2847" s="1056">
        <v>179</v>
      </c>
      <c r="I2847" s="1056">
        <v>0</v>
      </c>
      <c r="J2847" s="996">
        <f t="shared" si="64"/>
        <v>179</v>
      </c>
      <c r="K2847" s="1037">
        <f t="shared" si="63"/>
        <v>8</v>
      </c>
    </row>
    <row r="2848" spans="1:11" ht="13.9" customHeight="1">
      <c r="A2848" s="1054">
        <v>52970502</v>
      </c>
      <c r="B2848" s="1055" t="s">
        <v>1489</v>
      </c>
      <c r="C2848" s="1055" t="s">
        <v>551</v>
      </c>
      <c r="D2848" s="1055" t="s">
        <v>1230</v>
      </c>
      <c r="E2848" s="1055" t="s">
        <v>1231</v>
      </c>
      <c r="F2848" s="1056">
        <v>25</v>
      </c>
      <c r="G2848" s="1056">
        <v>105</v>
      </c>
      <c r="H2848" s="1056">
        <v>0</v>
      </c>
      <c r="I2848" s="1056">
        <v>130</v>
      </c>
      <c r="J2848" s="996">
        <f t="shared" si="64"/>
        <v>-105</v>
      </c>
      <c r="K2848" s="1037">
        <f t="shared" si="63"/>
        <v>8</v>
      </c>
    </row>
    <row r="2849" spans="1:11" ht="13.9" customHeight="1">
      <c r="A2849" s="1054">
        <v>52970502</v>
      </c>
      <c r="B2849" s="1055" t="s">
        <v>1489</v>
      </c>
      <c r="C2849" s="1055" t="s">
        <v>551</v>
      </c>
      <c r="D2849" s="1055" t="s">
        <v>1326</v>
      </c>
      <c r="E2849" s="1055" t="s">
        <v>1327</v>
      </c>
      <c r="F2849" s="1056">
        <v>294</v>
      </c>
      <c r="G2849" s="1056">
        <v>0</v>
      </c>
      <c r="H2849" s="1056">
        <v>0</v>
      </c>
      <c r="I2849" s="1056">
        <v>294</v>
      </c>
      <c r="J2849" s="996">
        <f t="shared" si="64"/>
        <v>0</v>
      </c>
      <c r="K2849" s="1037">
        <f t="shared" si="63"/>
        <v>8</v>
      </c>
    </row>
    <row r="2850" spans="1:11" ht="13.9" customHeight="1">
      <c r="A2850" s="1054">
        <v>52970502</v>
      </c>
      <c r="B2850" s="1055" t="s">
        <v>1489</v>
      </c>
      <c r="C2850" s="1055" t="s">
        <v>551</v>
      </c>
      <c r="D2850" s="1055" t="s">
        <v>1232</v>
      </c>
      <c r="E2850" s="1055" t="s">
        <v>1233</v>
      </c>
      <c r="F2850" s="1056">
        <v>50</v>
      </c>
      <c r="G2850" s="1056">
        <v>0</v>
      </c>
      <c r="H2850" s="1056">
        <v>0</v>
      </c>
      <c r="I2850" s="1056">
        <v>50</v>
      </c>
      <c r="J2850" s="996">
        <f t="shared" si="64"/>
        <v>0</v>
      </c>
      <c r="K2850" s="1037">
        <f t="shared" si="63"/>
        <v>8</v>
      </c>
    </row>
    <row r="2851" spans="1:11" ht="13.9" customHeight="1">
      <c r="A2851" s="1054">
        <v>52970502</v>
      </c>
      <c r="B2851" s="1055" t="s">
        <v>1489</v>
      </c>
      <c r="C2851" s="1055" t="s">
        <v>551</v>
      </c>
      <c r="D2851" s="1055" t="s">
        <v>1109</v>
      </c>
      <c r="E2851" s="1055" t="s">
        <v>1110</v>
      </c>
      <c r="F2851" s="1056">
        <v>960</v>
      </c>
      <c r="G2851" s="1056">
        <v>3318</v>
      </c>
      <c r="H2851" s="1056">
        <v>0</v>
      </c>
      <c r="I2851" s="1056">
        <v>4277</v>
      </c>
      <c r="J2851" s="996">
        <f t="shared" si="64"/>
        <v>-3318</v>
      </c>
      <c r="K2851" s="1037">
        <f t="shared" si="63"/>
        <v>8</v>
      </c>
    </row>
    <row r="2852" spans="1:11" ht="13.9" customHeight="1">
      <c r="A2852" s="1054">
        <v>52970502</v>
      </c>
      <c r="B2852" s="1055" t="s">
        <v>1489</v>
      </c>
      <c r="C2852" s="1055" t="s">
        <v>551</v>
      </c>
      <c r="D2852" s="1055" t="s">
        <v>1619</v>
      </c>
      <c r="E2852" s="1055" t="s">
        <v>1620</v>
      </c>
      <c r="F2852" s="1056">
        <v>0</v>
      </c>
      <c r="G2852" s="1056">
        <v>73</v>
      </c>
      <c r="H2852" s="1056">
        <v>0</v>
      </c>
      <c r="I2852" s="1056">
        <v>73</v>
      </c>
      <c r="J2852" s="996">
        <f t="shared" si="64"/>
        <v>-73</v>
      </c>
      <c r="K2852" s="1037">
        <f t="shared" si="63"/>
        <v>8</v>
      </c>
    </row>
    <row r="2853" spans="1:11" ht="13.9" customHeight="1">
      <c r="A2853" s="1054">
        <v>52970502</v>
      </c>
      <c r="B2853" s="1055" t="s">
        <v>1489</v>
      </c>
      <c r="C2853" s="1055" t="s">
        <v>551</v>
      </c>
      <c r="D2853" s="1055" t="s">
        <v>1308</v>
      </c>
      <c r="E2853" s="1055" t="s">
        <v>993</v>
      </c>
      <c r="F2853" s="1056">
        <v>0</v>
      </c>
      <c r="G2853" s="1056">
        <v>2129</v>
      </c>
      <c r="H2853" s="1056">
        <v>0</v>
      </c>
      <c r="I2853" s="1056">
        <v>2129</v>
      </c>
      <c r="J2853" s="996">
        <f t="shared" si="64"/>
        <v>-2129</v>
      </c>
      <c r="K2853" s="1037">
        <f t="shared" si="63"/>
        <v>8</v>
      </c>
    </row>
    <row r="2854" spans="1:11" ht="13.9" customHeight="1">
      <c r="A2854" s="1054">
        <v>52970502</v>
      </c>
      <c r="B2854" s="1055" t="s">
        <v>1489</v>
      </c>
      <c r="C2854" s="1055" t="s">
        <v>551</v>
      </c>
      <c r="D2854" s="1055" t="s">
        <v>1238</v>
      </c>
      <c r="E2854" s="1055" t="s">
        <v>1239</v>
      </c>
      <c r="F2854" s="1056">
        <v>128</v>
      </c>
      <c r="G2854" s="1056">
        <v>55</v>
      </c>
      <c r="H2854" s="1056">
        <v>0</v>
      </c>
      <c r="I2854" s="1056">
        <v>183</v>
      </c>
      <c r="J2854" s="996">
        <f t="shared" si="64"/>
        <v>-55</v>
      </c>
      <c r="K2854" s="1037">
        <f t="shared" si="63"/>
        <v>8</v>
      </c>
    </row>
    <row r="2855" spans="1:11" ht="13.9" customHeight="1">
      <c r="A2855" s="1054">
        <v>52970502</v>
      </c>
      <c r="B2855" s="1055" t="s">
        <v>1489</v>
      </c>
      <c r="C2855" s="1055" t="s">
        <v>551</v>
      </c>
      <c r="D2855" s="1055" t="s">
        <v>1682</v>
      </c>
      <c r="E2855" s="1055" t="s">
        <v>1683</v>
      </c>
      <c r="F2855" s="1056">
        <v>58</v>
      </c>
      <c r="G2855" s="1056">
        <v>0</v>
      </c>
      <c r="H2855" s="1056">
        <v>0</v>
      </c>
      <c r="I2855" s="1056">
        <v>58</v>
      </c>
      <c r="J2855" s="996">
        <f t="shared" si="64"/>
        <v>0</v>
      </c>
      <c r="K2855" s="1037">
        <f t="shared" si="63"/>
        <v>8</v>
      </c>
    </row>
    <row r="2856" spans="1:11" ht="13.9" customHeight="1">
      <c r="A2856" s="1054">
        <v>52970502</v>
      </c>
      <c r="B2856" s="1055" t="s">
        <v>1489</v>
      </c>
      <c r="C2856" s="1055" t="s">
        <v>551</v>
      </c>
      <c r="D2856" s="1055" t="s">
        <v>1294</v>
      </c>
      <c r="E2856" s="1055" t="s">
        <v>779</v>
      </c>
      <c r="F2856" s="1056">
        <v>76</v>
      </c>
      <c r="G2856" s="1056">
        <v>0</v>
      </c>
      <c r="H2856" s="1056">
        <v>0</v>
      </c>
      <c r="I2856" s="1056">
        <v>76</v>
      </c>
      <c r="J2856" s="996">
        <f t="shared" si="64"/>
        <v>0</v>
      </c>
      <c r="K2856" s="1037">
        <f t="shared" si="63"/>
        <v>8</v>
      </c>
    </row>
    <row r="2857" spans="1:11" ht="13.9" customHeight="1">
      <c r="A2857" s="1054">
        <v>52970502</v>
      </c>
      <c r="B2857" s="1055" t="s">
        <v>1489</v>
      </c>
      <c r="C2857" s="1055" t="s">
        <v>551</v>
      </c>
      <c r="D2857" s="1055" t="s">
        <v>1467</v>
      </c>
      <c r="E2857" s="1055" t="s">
        <v>1468</v>
      </c>
      <c r="F2857" s="1056">
        <v>450</v>
      </c>
      <c r="G2857" s="1056">
        <v>0</v>
      </c>
      <c r="H2857" s="1056">
        <v>0</v>
      </c>
      <c r="I2857" s="1056">
        <v>450</v>
      </c>
      <c r="J2857" s="996">
        <f t="shared" si="64"/>
        <v>0</v>
      </c>
      <c r="K2857" s="1037">
        <f t="shared" si="63"/>
        <v>8</v>
      </c>
    </row>
    <row r="2858" spans="1:11" ht="13.9" customHeight="1">
      <c r="A2858" s="1054">
        <v>52970502</v>
      </c>
      <c r="B2858" s="1055" t="s">
        <v>1489</v>
      </c>
      <c r="C2858" s="1055" t="s">
        <v>551</v>
      </c>
      <c r="D2858" s="1055" t="s">
        <v>1684</v>
      </c>
      <c r="E2858" s="1055" t="s">
        <v>1685</v>
      </c>
      <c r="F2858" s="1056">
        <v>36</v>
      </c>
      <c r="G2858" s="1056">
        <v>0</v>
      </c>
      <c r="H2858" s="1056">
        <v>0</v>
      </c>
      <c r="I2858" s="1056">
        <v>36</v>
      </c>
      <c r="J2858" s="996">
        <f t="shared" si="64"/>
        <v>0</v>
      </c>
      <c r="K2858" s="1037">
        <f t="shared" si="63"/>
        <v>8</v>
      </c>
    </row>
    <row r="2859" spans="1:11" ht="13.9" customHeight="1">
      <c r="A2859" s="1054">
        <v>52970502</v>
      </c>
      <c r="B2859" s="1055" t="s">
        <v>1489</v>
      </c>
      <c r="C2859" s="1055" t="s">
        <v>551</v>
      </c>
      <c r="D2859" s="1055" t="s">
        <v>1757</v>
      </c>
      <c r="E2859" s="1055" t="s">
        <v>1758</v>
      </c>
      <c r="F2859" s="1056">
        <v>17</v>
      </c>
      <c r="G2859" s="1056">
        <v>0</v>
      </c>
      <c r="H2859" s="1056">
        <v>0</v>
      </c>
      <c r="I2859" s="1056">
        <v>17</v>
      </c>
      <c r="J2859" s="996">
        <f t="shared" si="64"/>
        <v>0</v>
      </c>
      <c r="K2859" s="1037">
        <f t="shared" si="63"/>
        <v>8</v>
      </c>
    </row>
    <row r="2860" spans="1:11" ht="13.9" customHeight="1">
      <c r="A2860" s="1054">
        <v>53</v>
      </c>
      <c r="B2860" s="1055" t="s">
        <v>893</v>
      </c>
      <c r="C2860" s="1055" t="s">
        <v>369</v>
      </c>
      <c r="D2860" s="1055" t="s">
        <v>893</v>
      </c>
      <c r="E2860" s="1055" t="s">
        <v>893</v>
      </c>
      <c r="F2860" s="1056">
        <v>61948</v>
      </c>
      <c r="G2860" s="1056">
        <v>12703</v>
      </c>
      <c r="H2860" s="1056">
        <v>0</v>
      </c>
      <c r="I2860" s="1056">
        <v>74651</v>
      </c>
      <c r="J2860" s="996">
        <f t="shared" si="64"/>
        <v>-12703</v>
      </c>
      <c r="K2860" s="1037">
        <f t="shared" si="63"/>
        <v>2</v>
      </c>
    </row>
    <row r="2861" spans="1:11" ht="13.9" customHeight="1">
      <c r="A2861" s="1054">
        <v>5305</v>
      </c>
      <c r="B2861" s="1055" t="s">
        <v>893</v>
      </c>
      <c r="C2861" s="1055" t="s">
        <v>375</v>
      </c>
      <c r="D2861" s="1055" t="s">
        <v>893</v>
      </c>
      <c r="E2861" s="1055" t="s">
        <v>893</v>
      </c>
      <c r="F2861" s="1056">
        <v>61948</v>
      </c>
      <c r="G2861" s="1056">
        <v>12703</v>
      </c>
      <c r="H2861" s="1056">
        <v>0</v>
      </c>
      <c r="I2861" s="1056">
        <v>74651</v>
      </c>
      <c r="J2861" s="996">
        <f t="shared" si="64"/>
        <v>-12703</v>
      </c>
      <c r="K2861" s="1037">
        <f t="shared" si="63"/>
        <v>4</v>
      </c>
    </row>
    <row r="2862" spans="1:11" ht="13.9" customHeight="1">
      <c r="A2862" s="1054">
        <v>530505</v>
      </c>
      <c r="B2862" s="1055" t="s">
        <v>893</v>
      </c>
      <c r="C2862" s="1055" t="s">
        <v>144</v>
      </c>
      <c r="D2862" s="1055" t="s">
        <v>893</v>
      </c>
      <c r="E2862" s="1055" t="s">
        <v>893</v>
      </c>
      <c r="F2862" s="1056">
        <v>4300</v>
      </c>
      <c r="G2862" s="1056">
        <v>819</v>
      </c>
      <c r="H2862" s="1056">
        <v>0</v>
      </c>
      <c r="I2862" s="1056">
        <v>5118</v>
      </c>
      <c r="J2862" s="996">
        <f t="shared" si="64"/>
        <v>-819</v>
      </c>
      <c r="K2862" s="1037">
        <f t="shared" ref="K2862:K2925" si="65">+LEN(A2862)</f>
        <v>6</v>
      </c>
    </row>
    <row r="2863" spans="1:11" ht="13.9" customHeight="1">
      <c r="A2863" s="1054">
        <v>53050501</v>
      </c>
      <c r="B2863" s="1055" t="s">
        <v>893</v>
      </c>
      <c r="C2863" s="1055" t="s">
        <v>144</v>
      </c>
      <c r="D2863" s="1055" t="s">
        <v>893</v>
      </c>
      <c r="E2863" s="1055" t="s">
        <v>893</v>
      </c>
      <c r="F2863" s="1056">
        <v>4300</v>
      </c>
      <c r="G2863" s="1056">
        <v>819</v>
      </c>
      <c r="H2863" s="1056">
        <v>0</v>
      </c>
      <c r="I2863" s="1056">
        <v>5118</v>
      </c>
      <c r="J2863" s="996">
        <f t="shared" si="64"/>
        <v>-819</v>
      </c>
      <c r="K2863" s="1037">
        <f t="shared" si="65"/>
        <v>8</v>
      </c>
    </row>
    <row r="2864" spans="1:11" ht="13.9" customHeight="1">
      <c r="A2864" s="1054">
        <v>53050501</v>
      </c>
      <c r="B2864" s="1055" t="s">
        <v>893</v>
      </c>
      <c r="C2864" s="1055" t="s">
        <v>144</v>
      </c>
      <c r="D2864" s="1055" t="s">
        <v>1171</v>
      </c>
      <c r="E2864" s="1055" t="s">
        <v>335</v>
      </c>
      <c r="F2864" s="1056">
        <v>676</v>
      </c>
      <c r="G2864" s="1056">
        <v>272</v>
      </c>
      <c r="H2864" s="1056">
        <v>0</v>
      </c>
      <c r="I2864" s="1056">
        <v>948</v>
      </c>
      <c r="J2864" s="996">
        <f t="shared" si="64"/>
        <v>-272</v>
      </c>
      <c r="K2864" s="1037">
        <f t="shared" si="65"/>
        <v>8</v>
      </c>
    </row>
    <row r="2865" spans="1:11" ht="13.9" customHeight="1">
      <c r="A2865" s="1054">
        <v>53050501</v>
      </c>
      <c r="B2865" s="1055" t="s">
        <v>893</v>
      </c>
      <c r="C2865" s="1055" t="s">
        <v>144</v>
      </c>
      <c r="D2865" s="1055" t="s">
        <v>1172</v>
      </c>
      <c r="E2865" s="1055" t="s">
        <v>1173</v>
      </c>
      <c r="F2865" s="1056">
        <v>315</v>
      </c>
      <c r="G2865" s="1056">
        <v>63</v>
      </c>
      <c r="H2865" s="1056">
        <v>0</v>
      </c>
      <c r="I2865" s="1056">
        <v>378</v>
      </c>
      <c r="J2865" s="996">
        <f t="shared" si="64"/>
        <v>-63</v>
      </c>
      <c r="K2865" s="1037">
        <f t="shared" si="65"/>
        <v>8</v>
      </c>
    </row>
    <row r="2866" spans="1:11" ht="13.9" customHeight="1">
      <c r="A2866" s="1054">
        <v>53050501</v>
      </c>
      <c r="B2866" s="1055" t="s">
        <v>893</v>
      </c>
      <c r="C2866" s="1055" t="s">
        <v>144</v>
      </c>
      <c r="D2866" s="1055" t="s">
        <v>1168</v>
      </c>
      <c r="E2866" s="1055" t="s">
        <v>1169</v>
      </c>
      <c r="F2866" s="1056">
        <v>2715</v>
      </c>
      <c r="G2866" s="1056">
        <v>370</v>
      </c>
      <c r="H2866" s="1056">
        <v>0</v>
      </c>
      <c r="I2866" s="1056">
        <v>3086</v>
      </c>
      <c r="J2866" s="996">
        <f t="shared" si="64"/>
        <v>-370</v>
      </c>
      <c r="K2866" s="1037">
        <f t="shared" si="65"/>
        <v>8</v>
      </c>
    </row>
    <row r="2867" spans="1:11" ht="13.9" customHeight="1">
      <c r="A2867" s="1054">
        <v>53050501</v>
      </c>
      <c r="B2867" s="1055" t="s">
        <v>893</v>
      </c>
      <c r="C2867" s="1055" t="s">
        <v>144</v>
      </c>
      <c r="D2867" s="1055" t="s">
        <v>1491</v>
      </c>
      <c r="E2867" s="1055" t="s">
        <v>1492</v>
      </c>
      <c r="F2867" s="1056">
        <v>189</v>
      </c>
      <c r="G2867" s="1056">
        <v>72</v>
      </c>
      <c r="H2867" s="1056">
        <v>0</v>
      </c>
      <c r="I2867" s="1056">
        <v>261</v>
      </c>
      <c r="J2867" s="996">
        <f t="shared" si="64"/>
        <v>-72</v>
      </c>
      <c r="K2867" s="1037">
        <f t="shared" si="65"/>
        <v>8</v>
      </c>
    </row>
    <row r="2868" spans="1:11" ht="13.9" customHeight="1">
      <c r="A2868" s="1054">
        <v>53050501</v>
      </c>
      <c r="B2868" s="1055" t="s">
        <v>893</v>
      </c>
      <c r="C2868" s="1055" t="s">
        <v>144</v>
      </c>
      <c r="D2868" s="1055" t="s">
        <v>1035</v>
      </c>
      <c r="E2868" s="1055" t="s">
        <v>573</v>
      </c>
      <c r="F2868" s="1056">
        <v>405</v>
      </c>
      <c r="G2868" s="1056">
        <v>41</v>
      </c>
      <c r="H2868" s="1056">
        <v>0</v>
      </c>
      <c r="I2868" s="1056">
        <v>446</v>
      </c>
      <c r="J2868" s="996">
        <f t="shared" si="64"/>
        <v>-41</v>
      </c>
      <c r="K2868" s="1037">
        <f t="shared" si="65"/>
        <v>8</v>
      </c>
    </row>
    <row r="2869" spans="1:11" ht="13.9" customHeight="1">
      <c r="A2869" s="1054">
        <v>530506</v>
      </c>
      <c r="B2869" s="1055" t="s">
        <v>893</v>
      </c>
      <c r="C2869" s="1055" t="s">
        <v>400</v>
      </c>
      <c r="D2869" s="1055" t="s">
        <v>893</v>
      </c>
      <c r="E2869" s="1055" t="s">
        <v>893</v>
      </c>
      <c r="F2869" s="1056">
        <v>12871</v>
      </c>
      <c r="G2869" s="1056">
        <v>2514</v>
      </c>
      <c r="H2869" s="1056">
        <v>0</v>
      </c>
      <c r="I2869" s="1056">
        <v>15385</v>
      </c>
      <c r="J2869" s="996">
        <f t="shared" si="64"/>
        <v>-2514</v>
      </c>
      <c r="K2869" s="1037">
        <f t="shared" si="65"/>
        <v>6</v>
      </c>
    </row>
    <row r="2870" spans="1:11" ht="13.9" customHeight="1">
      <c r="A2870" s="1054">
        <v>53050601</v>
      </c>
      <c r="B2870" s="1055" t="s">
        <v>893</v>
      </c>
      <c r="C2870" s="1055" t="s">
        <v>400</v>
      </c>
      <c r="D2870" s="1055" t="s">
        <v>893</v>
      </c>
      <c r="E2870" s="1055" t="s">
        <v>893</v>
      </c>
      <c r="F2870" s="1056">
        <v>12871</v>
      </c>
      <c r="G2870" s="1056">
        <v>2514</v>
      </c>
      <c r="H2870" s="1056">
        <v>0</v>
      </c>
      <c r="I2870" s="1056">
        <v>15385</v>
      </c>
      <c r="J2870" s="996">
        <f t="shared" si="64"/>
        <v>-2514</v>
      </c>
      <c r="K2870" s="1037">
        <f t="shared" si="65"/>
        <v>8</v>
      </c>
    </row>
    <row r="2871" spans="1:11" ht="13.9" customHeight="1">
      <c r="A2871" s="1054">
        <v>53050601</v>
      </c>
      <c r="B2871" s="1055" t="s">
        <v>893</v>
      </c>
      <c r="C2871" s="1055" t="s">
        <v>400</v>
      </c>
      <c r="D2871" s="1055" t="s">
        <v>1171</v>
      </c>
      <c r="E2871" s="1055" t="s">
        <v>335</v>
      </c>
      <c r="F2871" s="1056">
        <v>1683</v>
      </c>
      <c r="G2871" s="1056">
        <v>424</v>
      </c>
      <c r="H2871" s="1056">
        <v>0</v>
      </c>
      <c r="I2871" s="1056">
        <v>2107</v>
      </c>
      <c r="J2871" s="996">
        <f t="shared" si="64"/>
        <v>-424</v>
      </c>
      <c r="K2871" s="1037">
        <f t="shared" si="65"/>
        <v>8</v>
      </c>
    </row>
    <row r="2872" spans="1:11" ht="13.9" customHeight="1">
      <c r="A2872" s="1054">
        <v>53050601</v>
      </c>
      <c r="B2872" s="1055" t="s">
        <v>893</v>
      </c>
      <c r="C2872" s="1055" t="s">
        <v>400</v>
      </c>
      <c r="D2872" s="1055" t="s">
        <v>1172</v>
      </c>
      <c r="E2872" s="1055" t="s">
        <v>1173</v>
      </c>
      <c r="F2872" s="1056">
        <v>610</v>
      </c>
      <c r="G2872" s="1056">
        <v>106</v>
      </c>
      <c r="H2872" s="1056">
        <v>0</v>
      </c>
      <c r="I2872" s="1056">
        <v>716</v>
      </c>
      <c r="J2872" s="996">
        <f t="shared" si="64"/>
        <v>-106</v>
      </c>
      <c r="K2872" s="1037">
        <f t="shared" si="65"/>
        <v>8</v>
      </c>
    </row>
    <row r="2873" spans="1:11" ht="13.9" customHeight="1">
      <c r="A2873" s="1054">
        <v>53050601</v>
      </c>
      <c r="B2873" s="1055" t="s">
        <v>893</v>
      </c>
      <c r="C2873" s="1055" t="s">
        <v>400</v>
      </c>
      <c r="D2873" s="1055" t="s">
        <v>1168</v>
      </c>
      <c r="E2873" s="1055" t="s">
        <v>1169</v>
      </c>
      <c r="F2873" s="1056">
        <v>10579</v>
      </c>
      <c r="G2873" s="1056">
        <v>1984</v>
      </c>
      <c r="H2873" s="1056">
        <v>0</v>
      </c>
      <c r="I2873" s="1056">
        <v>12562</v>
      </c>
      <c r="J2873" s="996">
        <f t="shared" si="64"/>
        <v>-1984</v>
      </c>
      <c r="K2873" s="1037">
        <f t="shared" si="65"/>
        <v>8</v>
      </c>
    </row>
    <row r="2874" spans="1:11" ht="13.9" customHeight="1">
      <c r="A2874" s="1054">
        <v>530515</v>
      </c>
      <c r="B2874" s="1055" t="s">
        <v>893</v>
      </c>
      <c r="C2874" s="1055" t="s">
        <v>398</v>
      </c>
      <c r="D2874" s="1055" t="s">
        <v>893</v>
      </c>
      <c r="E2874" s="1055" t="s">
        <v>893</v>
      </c>
      <c r="F2874" s="1056">
        <v>24591</v>
      </c>
      <c r="G2874" s="1056">
        <v>4407</v>
      </c>
      <c r="H2874" s="1056">
        <v>0</v>
      </c>
      <c r="I2874" s="1056">
        <v>28998</v>
      </c>
      <c r="J2874" s="996">
        <f t="shared" si="64"/>
        <v>-4407</v>
      </c>
      <c r="K2874" s="1037">
        <f t="shared" si="65"/>
        <v>6</v>
      </c>
    </row>
    <row r="2875" spans="1:11" ht="13.9" customHeight="1">
      <c r="A2875" s="1054">
        <v>53051501</v>
      </c>
      <c r="B2875" s="1055" t="s">
        <v>893</v>
      </c>
      <c r="C2875" s="1055" t="s">
        <v>398</v>
      </c>
      <c r="D2875" s="1055" t="s">
        <v>893</v>
      </c>
      <c r="E2875" s="1055" t="s">
        <v>893</v>
      </c>
      <c r="F2875" s="1056">
        <v>24591</v>
      </c>
      <c r="G2875" s="1056">
        <v>4407</v>
      </c>
      <c r="H2875" s="1056">
        <v>0</v>
      </c>
      <c r="I2875" s="1056">
        <v>28998</v>
      </c>
      <c r="J2875" s="996">
        <f t="shared" si="64"/>
        <v>-4407</v>
      </c>
      <c r="K2875" s="1037">
        <f t="shared" si="65"/>
        <v>8</v>
      </c>
    </row>
    <row r="2876" spans="1:11" ht="13.9" customHeight="1">
      <c r="A2876" s="1054">
        <v>53051501</v>
      </c>
      <c r="B2876" s="1055" t="s">
        <v>893</v>
      </c>
      <c r="C2876" s="1055" t="s">
        <v>398</v>
      </c>
      <c r="D2876" s="1055" t="s">
        <v>1066</v>
      </c>
      <c r="E2876" s="1055" t="s">
        <v>662</v>
      </c>
      <c r="F2876" s="1056">
        <v>14</v>
      </c>
      <c r="G2876" s="1056">
        <v>0</v>
      </c>
      <c r="H2876" s="1056">
        <v>0</v>
      </c>
      <c r="I2876" s="1056">
        <v>14</v>
      </c>
      <c r="J2876" s="996">
        <f t="shared" si="64"/>
        <v>0</v>
      </c>
      <c r="K2876" s="1037">
        <f t="shared" si="65"/>
        <v>8</v>
      </c>
    </row>
    <row r="2877" spans="1:11" ht="13.9" customHeight="1">
      <c r="A2877" s="1054">
        <v>53051501</v>
      </c>
      <c r="B2877" s="1055" t="s">
        <v>893</v>
      </c>
      <c r="C2877" s="1055" t="s">
        <v>398</v>
      </c>
      <c r="D2877" s="1055" t="s">
        <v>1171</v>
      </c>
      <c r="E2877" s="1055" t="s">
        <v>335</v>
      </c>
      <c r="F2877" s="1056">
        <v>0</v>
      </c>
      <c r="G2877" s="1056">
        <v>0</v>
      </c>
      <c r="H2877" s="1056">
        <v>0</v>
      </c>
      <c r="I2877" s="1056">
        <v>0</v>
      </c>
      <c r="J2877" s="996">
        <f t="shared" si="64"/>
        <v>0</v>
      </c>
      <c r="K2877" s="1037">
        <f t="shared" si="65"/>
        <v>8</v>
      </c>
    </row>
    <row r="2878" spans="1:11" ht="13.9" customHeight="1">
      <c r="A2878" s="1054">
        <v>53051501</v>
      </c>
      <c r="B2878" s="1055" t="s">
        <v>893</v>
      </c>
      <c r="C2878" s="1055" t="s">
        <v>398</v>
      </c>
      <c r="D2878" s="1055" t="s">
        <v>1172</v>
      </c>
      <c r="E2878" s="1055" t="s">
        <v>1173</v>
      </c>
      <c r="F2878" s="1056">
        <v>8</v>
      </c>
      <c r="G2878" s="1056">
        <v>2</v>
      </c>
      <c r="H2878" s="1056">
        <v>0</v>
      </c>
      <c r="I2878" s="1056">
        <v>10</v>
      </c>
      <c r="J2878" s="996">
        <f t="shared" si="64"/>
        <v>-2</v>
      </c>
      <c r="K2878" s="1037">
        <f t="shared" si="65"/>
        <v>8</v>
      </c>
    </row>
    <row r="2879" spans="1:11" ht="13.9" customHeight="1">
      <c r="A2879" s="1054">
        <v>53051501</v>
      </c>
      <c r="B2879" s="1055" t="s">
        <v>893</v>
      </c>
      <c r="C2879" s="1055" t="s">
        <v>398</v>
      </c>
      <c r="D2879" s="1055" t="s">
        <v>1168</v>
      </c>
      <c r="E2879" s="1055" t="s">
        <v>1169</v>
      </c>
      <c r="F2879" s="1056">
        <v>24334</v>
      </c>
      <c r="G2879" s="1056">
        <v>4383</v>
      </c>
      <c r="H2879" s="1056">
        <v>0</v>
      </c>
      <c r="I2879" s="1056">
        <v>28717</v>
      </c>
      <c r="J2879" s="996">
        <f t="shared" si="64"/>
        <v>-4383</v>
      </c>
      <c r="K2879" s="1037">
        <f t="shared" si="65"/>
        <v>8</v>
      </c>
    </row>
    <row r="2880" spans="1:11" ht="13.9" customHeight="1">
      <c r="A2880" s="1054">
        <v>53051501</v>
      </c>
      <c r="B2880" s="1055" t="s">
        <v>893</v>
      </c>
      <c r="C2880" s="1055" t="s">
        <v>398</v>
      </c>
      <c r="D2880" s="1055" t="s">
        <v>1035</v>
      </c>
      <c r="E2880" s="1055" t="s">
        <v>573</v>
      </c>
      <c r="F2880" s="1056">
        <v>63</v>
      </c>
      <c r="G2880" s="1056">
        <v>0</v>
      </c>
      <c r="H2880" s="1056">
        <v>0</v>
      </c>
      <c r="I2880" s="1056">
        <v>63</v>
      </c>
      <c r="J2880" s="996">
        <f t="shared" si="64"/>
        <v>0</v>
      </c>
      <c r="K2880" s="1037">
        <f t="shared" si="65"/>
        <v>8</v>
      </c>
    </row>
    <row r="2881" spans="1:11" ht="13.9" customHeight="1">
      <c r="A2881" s="1054">
        <v>53051501</v>
      </c>
      <c r="B2881" s="1055" t="s">
        <v>893</v>
      </c>
      <c r="C2881" s="1055" t="s">
        <v>398</v>
      </c>
      <c r="D2881" s="1055" t="s">
        <v>1038</v>
      </c>
      <c r="E2881" s="1055" t="s">
        <v>505</v>
      </c>
      <c r="F2881" s="1056">
        <v>171</v>
      </c>
      <c r="G2881" s="1056">
        <v>22</v>
      </c>
      <c r="H2881" s="1056">
        <v>0</v>
      </c>
      <c r="I2881" s="1056">
        <v>193</v>
      </c>
      <c r="J2881" s="996">
        <f t="shared" si="64"/>
        <v>-22</v>
      </c>
      <c r="K2881" s="1037">
        <f t="shared" si="65"/>
        <v>8</v>
      </c>
    </row>
    <row r="2882" spans="1:11" ht="13.9" customHeight="1">
      <c r="A2882" s="1054">
        <v>530516</v>
      </c>
      <c r="B2882" s="1055" t="s">
        <v>893</v>
      </c>
      <c r="C2882" s="1055" t="s">
        <v>1852</v>
      </c>
      <c r="D2882" s="1055" t="s">
        <v>893</v>
      </c>
      <c r="E2882" s="1055" t="s">
        <v>893</v>
      </c>
      <c r="F2882" s="1056">
        <v>1142</v>
      </c>
      <c r="G2882" s="1056">
        <v>0</v>
      </c>
      <c r="H2882" s="1056">
        <v>0</v>
      </c>
      <c r="I2882" s="1056">
        <v>1142</v>
      </c>
      <c r="J2882" s="996">
        <f t="shared" si="64"/>
        <v>0</v>
      </c>
      <c r="K2882" s="1037">
        <f t="shared" si="65"/>
        <v>6</v>
      </c>
    </row>
    <row r="2883" spans="1:11" ht="13.9" customHeight="1">
      <c r="A2883" s="1054">
        <v>53051601</v>
      </c>
      <c r="B2883" s="1055" t="s">
        <v>893</v>
      </c>
      <c r="C2883" s="1055" t="s">
        <v>1852</v>
      </c>
      <c r="D2883" s="1055" t="s">
        <v>893</v>
      </c>
      <c r="E2883" s="1055" t="s">
        <v>893</v>
      </c>
      <c r="F2883" s="1056">
        <v>1142</v>
      </c>
      <c r="G2883" s="1056">
        <v>0</v>
      </c>
      <c r="H2883" s="1056">
        <v>0</v>
      </c>
      <c r="I2883" s="1056">
        <v>1142</v>
      </c>
      <c r="J2883" s="996">
        <f t="shared" si="64"/>
        <v>0</v>
      </c>
      <c r="K2883" s="1037">
        <f t="shared" si="65"/>
        <v>8</v>
      </c>
    </row>
    <row r="2884" spans="1:11" ht="13.9" customHeight="1">
      <c r="A2884" s="1054">
        <v>53051601</v>
      </c>
      <c r="B2884" s="1055" t="s">
        <v>893</v>
      </c>
      <c r="C2884" s="1055" t="s">
        <v>1852</v>
      </c>
      <c r="D2884" s="1055" t="s">
        <v>1172</v>
      </c>
      <c r="E2884" s="1055" t="s">
        <v>1173</v>
      </c>
      <c r="F2884" s="1056">
        <v>1142</v>
      </c>
      <c r="G2884" s="1056">
        <v>0</v>
      </c>
      <c r="H2884" s="1056">
        <v>0</v>
      </c>
      <c r="I2884" s="1056">
        <v>1142</v>
      </c>
      <c r="J2884" s="996">
        <f t="shared" si="64"/>
        <v>0</v>
      </c>
      <c r="K2884" s="1037">
        <f t="shared" si="65"/>
        <v>8</v>
      </c>
    </row>
    <row r="2885" spans="1:11" ht="13.9" customHeight="1">
      <c r="A2885" s="1054">
        <v>530520</v>
      </c>
      <c r="B2885" s="1055" t="s">
        <v>893</v>
      </c>
      <c r="C2885" s="1055" t="s">
        <v>130</v>
      </c>
      <c r="D2885" s="1055" t="s">
        <v>893</v>
      </c>
      <c r="E2885" s="1055" t="s">
        <v>893</v>
      </c>
      <c r="F2885" s="1056">
        <v>18539</v>
      </c>
      <c r="G2885" s="1056">
        <v>4832</v>
      </c>
      <c r="H2885" s="1056">
        <v>0</v>
      </c>
      <c r="I2885" s="1056">
        <v>23371</v>
      </c>
      <c r="J2885" s="996">
        <f t="shared" si="64"/>
        <v>-4832</v>
      </c>
      <c r="K2885" s="1037">
        <f t="shared" si="65"/>
        <v>6</v>
      </c>
    </row>
    <row r="2886" spans="1:11" ht="13.9" customHeight="1">
      <c r="A2886" s="1054">
        <v>53052001</v>
      </c>
      <c r="B2886" s="1055" t="s">
        <v>893</v>
      </c>
      <c r="C2886" s="1055" t="s">
        <v>130</v>
      </c>
      <c r="D2886" s="1055" t="s">
        <v>893</v>
      </c>
      <c r="E2886" s="1055" t="s">
        <v>893</v>
      </c>
      <c r="F2886" s="1056">
        <v>18539</v>
      </c>
      <c r="G2886" s="1056">
        <v>4832</v>
      </c>
      <c r="H2886" s="1056">
        <v>0</v>
      </c>
      <c r="I2886" s="1056">
        <v>23371</v>
      </c>
      <c r="J2886" s="996">
        <f t="shared" si="64"/>
        <v>-4832</v>
      </c>
      <c r="K2886" s="1037">
        <f t="shared" si="65"/>
        <v>8</v>
      </c>
    </row>
    <row r="2887" spans="1:11" ht="13.9" customHeight="1">
      <c r="A2887" s="1054">
        <v>53052001</v>
      </c>
      <c r="B2887" s="1055" t="s">
        <v>893</v>
      </c>
      <c r="C2887" s="1055" t="s">
        <v>130</v>
      </c>
      <c r="D2887" s="1055" t="s">
        <v>1177</v>
      </c>
      <c r="E2887" s="1055" t="s">
        <v>1011</v>
      </c>
      <c r="F2887" s="1056">
        <v>1183</v>
      </c>
      <c r="G2887" s="1056">
        <v>296</v>
      </c>
      <c r="H2887" s="1056">
        <v>0</v>
      </c>
      <c r="I2887" s="1056">
        <v>1478</v>
      </c>
      <c r="J2887" s="996">
        <f t="shared" si="64"/>
        <v>-296</v>
      </c>
      <c r="K2887" s="1037">
        <f t="shared" si="65"/>
        <v>8</v>
      </c>
    </row>
    <row r="2888" spans="1:11" ht="13.9" customHeight="1">
      <c r="A2888" s="1054">
        <v>53052001</v>
      </c>
      <c r="B2888" s="1055" t="s">
        <v>893</v>
      </c>
      <c r="C2888" s="1055" t="s">
        <v>130</v>
      </c>
      <c r="D2888" s="1055" t="s">
        <v>1178</v>
      </c>
      <c r="E2888" s="1055" t="s">
        <v>1012</v>
      </c>
      <c r="F2888" s="1056">
        <v>3226</v>
      </c>
      <c r="G2888" s="1056">
        <v>645</v>
      </c>
      <c r="H2888" s="1056">
        <v>0</v>
      </c>
      <c r="I2888" s="1056">
        <v>3871</v>
      </c>
      <c r="J2888" s="996">
        <f t="shared" si="64"/>
        <v>-645</v>
      </c>
      <c r="K2888" s="1037">
        <f t="shared" si="65"/>
        <v>8</v>
      </c>
    </row>
    <row r="2889" spans="1:11" ht="13.9" customHeight="1">
      <c r="A2889" s="1054">
        <v>53052001</v>
      </c>
      <c r="B2889" s="1055" t="s">
        <v>893</v>
      </c>
      <c r="C2889" s="1055" t="s">
        <v>130</v>
      </c>
      <c r="D2889" s="1055" t="s">
        <v>1171</v>
      </c>
      <c r="E2889" s="1055" t="s">
        <v>335</v>
      </c>
      <c r="F2889" s="1056">
        <v>5654</v>
      </c>
      <c r="G2889" s="1056">
        <v>1819</v>
      </c>
      <c r="H2889" s="1056">
        <v>0</v>
      </c>
      <c r="I2889" s="1056">
        <v>7473</v>
      </c>
      <c r="J2889" s="996">
        <f t="shared" ref="J2889:J2952" si="66">+H2889-G2889</f>
        <v>-1819</v>
      </c>
      <c r="K2889" s="1037">
        <f t="shared" si="65"/>
        <v>8</v>
      </c>
    </row>
    <row r="2890" spans="1:11" ht="13.9" customHeight="1">
      <c r="A2890" s="1054">
        <v>53052001</v>
      </c>
      <c r="B2890" s="1055" t="s">
        <v>893</v>
      </c>
      <c r="C2890" s="1055" t="s">
        <v>130</v>
      </c>
      <c r="D2890" s="1055" t="s">
        <v>1172</v>
      </c>
      <c r="E2890" s="1055" t="s">
        <v>1173</v>
      </c>
      <c r="F2890" s="1056">
        <v>6035</v>
      </c>
      <c r="G2890" s="1056">
        <v>1441</v>
      </c>
      <c r="H2890" s="1056">
        <v>0</v>
      </c>
      <c r="I2890" s="1056">
        <v>7476</v>
      </c>
      <c r="J2890" s="996">
        <f t="shared" si="66"/>
        <v>-1441</v>
      </c>
      <c r="K2890" s="1037">
        <f t="shared" si="65"/>
        <v>8</v>
      </c>
    </row>
    <row r="2891" spans="1:11" ht="13.9" customHeight="1">
      <c r="A2891" s="1054">
        <v>53052001</v>
      </c>
      <c r="B2891" s="1055" t="s">
        <v>893</v>
      </c>
      <c r="C2891" s="1055" t="s">
        <v>130</v>
      </c>
      <c r="D2891" s="1055" t="s">
        <v>1168</v>
      </c>
      <c r="E2891" s="1055" t="s">
        <v>1169</v>
      </c>
      <c r="F2891" s="1056">
        <v>2087</v>
      </c>
      <c r="G2891" s="1056">
        <v>631</v>
      </c>
      <c r="H2891" s="1056">
        <v>0</v>
      </c>
      <c r="I2891" s="1056">
        <v>2718</v>
      </c>
      <c r="J2891" s="996">
        <f t="shared" si="66"/>
        <v>-631</v>
      </c>
      <c r="K2891" s="1037">
        <f t="shared" si="65"/>
        <v>8</v>
      </c>
    </row>
    <row r="2892" spans="1:11" ht="13.9" customHeight="1">
      <c r="A2892" s="1054">
        <v>53052001</v>
      </c>
      <c r="B2892" s="1055" t="s">
        <v>893</v>
      </c>
      <c r="C2892" s="1055" t="s">
        <v>130</v>
      </c>
      <c r="D2892" s="1055" t="s">
        <v>1194</v>
      </c>
      <c r="E2892" s="1055" t="s">
        <v>678</v>
      </c>
      <c r="F2892" s="1056">
        <v>355</v>
      </c>
      <c r="G2892" s="1056">
        <v>0</v>
      </c>
      <c r="H2892" s="1056">
        <v>0</v>
      </c>
      <c r="I2892" s="1056">
        <v>355</v>
      </c>
      <c r="J2892" s="996">
        <f t="shared" si="66"/>
        <v>0</v>
      </c>
      <c r="K2892" s="1037">
        <f t="shared" si="65"/>
        <v>8</v>
      </c>
    </row>
    <row r="2893" spans="1:11" ht="13.9" customHeight="1">
      <c r="A2893" s="1054">
        <v>530521</v>
      </c>
      <c r="B2893" s="1055" t="s">
        <v>893</v>
      </c>
      <c r="C2893" s="1055" t="s">
        <v>376</v>
      </c>
      <c r="D2893" s="1055" t="s">
        <v>893</v>
      </c>
      <c r="E2893" s="1055" t="s">
        <v>893</v>
      </c>
      <c r="F2893" s="1056">
        <v>38</v>
      </c>
      <c r="G2893" s="1056">
        <v>0</v>
      </c>
      <c r="H2893" s="1056">
        <v>0</v>
      </c>
      <c r="I2893" s="1056">
        <v>38</v>
      </c>
      <c r="J2893" s="996">
        <f t="shared" si="66"/>
        <v>0</v>
      </c>
      <c r="K2893" s="1037">
        <f t="shared" si="65"/>
        <v>6</v>
      </c>
    </row>
    <row r="2894" spans="1:11" ht="13.9" customHeight="1">
      <c r="A2894" s="1054">
        <v>53052101</v>
      </c>
      <c r="B2894" s="1055" t="s">
        <v>893</v>
      </c>
      <c r="C2894" s="1055" t="s">
        <v>376</v>
      </c>
      <c r="D2894" s="1055" t="s">
        <v>893</v>
      </c>
      <c r="E2894" s="1055" t="s">
        <v>893</v>
      </c>
      <c r="F2894" s="1056">
        <v>38</v>
      </c>
      <c r="G2894" s="1056">
        <v>0</v>
      </c>
      <c r="H2894" s="1056">
        <v>0</v>
      </c>
      <c r="I2894" s="1056">
        <v>38</v>
      </c>
      <c r="J2894" s="996">
        <f t="shared" si="66"/>
        <v>0</v>
      </c>
      <c r="K2894" s="1037">
        <f t="shared" si="65"/>
        <v>8</v>
      </c>
    </row>
    <row r="2895" spans="1:11" ht="13.9" customHeight="1">
      <c r="A2895" s="1054">
        <v>53052101</v>
      </c>
      <c r="B2895" s="1055" t="s">
        <v>893</v>
      </c>
      <c r="C2895" s="1055" t="s">
        <v>376</v>
      </c>
      <c r="D2895" s="1055" t="s">
        <v>1575</v>
      </c>
      <c r="E2895" s="1055" t="s">
        <v>1576</v>
      </c>
      <c r="F2895" s="1056">
        <v>0</v>
      </c>
      <c r="G2895" s="1056">
        <v>0</v>
      </c>
      <c r="H2895" s="1056">
        <v>0</v>
      </c>
      <c r="I2895" s="1056">
        <v>0</v>
      </c>
      <c r="J2895" s="996">
        <f t="shared" si="66"/>
        <v>0</v>
      </c>
      <c r="K2895" s="1037">
        <f t="shared" si="65"/>
        <v>8</v>
      </c>
    </row>
    <row r="2896" spans="1:11" ht="13.9" customHeight="1">
      <c r="A2896" s="1054">
        <v>53052101</v>
      </c>
      <c r="B2896" s="1055" t="s">
        <v>893</v>
      </c>
      <c r="C2896" s="1055" t="s">
        <v>376</v>
      </c>
      <c r="D2896" s="1055" t="s">
        <v>1298</v>
      </c>
      <c r="E2896" s="1055" t="s">
        <v>987</v>
      </c>
      <c r="F2896" s="1056">
        <v>0</v>
      </c>
      <c r="G2896" s="1056">
        <v>0</v>
      </c>
      <c r="H2896" s="1056">
        <v>0</v>
      </c>
      <c r="I2896" s="1056">
        <v>0</v>
      </c>
      <c r="J2896" s="996">
        <f t="shared" si="66"/>
        <v>0</v>
      </c>
      <c r="K2896" s="1037">
        <f t="shared" si="65"/>
        <v>8</v>
      </c>
    </row>
    <row r="2897" spans="1:11" ht="13.9" customHeight="1">
      <c r="A2897" s="1054">
        <v>53052101</v>
      </c>
      <c r="B2897" s="1055" t="s">
        <v>893</v>
      </c>
      <c r="C2897" s="1055" t="s">
        <v>376</v>
      </c>
      <c r="D2897" s="1055" t="s">
        <v>1362</v>
      </c>
      <c r="E2897" s="1055" t="s">
        <v>1363</v>
      </c>
      <c r="F2897" s="1056">
        <v>6</v>
      </c>
      <c r="G2897" s="1056">
        <v>0</v>
      </c>
      <c r="H2897" s="1056">
        <v>0</v>
      </c>
      <c r="I2897" s="1056">
        <v>6</v>
      </c>
      <c r="J2897" s="996">
        <f t="shared" si="66"/>
        <v>0</v>
      </c>
      <c r="K2897" s="1037">
        <f t="shared" si="65"/>
        <v>8</v>
      </c>
    </row>
    <row r="2898" spans="1:11" ht="13.9" customHeight="1">
      <c r="A2898" s="1054">
        <v>53052101</v>
      </c>
      <c r="B2898" s="1055" t="s">
        <v>893</v>
      </c>
      <c r="C2898" s="1055" t="s">
        <v>376</v>
      </c>
      <c r="D2898" s="1055" t="s">
        <v>1255</v>
      </c>
      <c r="E2898" s="1055" t="s">
        <v>1256</v>
      </c>
      <c r="F2898" s="1056">
        <v>1</v>
      </c>
      <c r="G2898" s="1056">
        <v>0</v>
      </c>
      <c r="H2898" s="1056">
        <v>0</v>
      </c>
      <c r="I2898" s="1056">
        <v>1</v>
      </c>
      <c r="J2898" s="996">
        <f t="shared" si="66"/>
        <v>0</v>
      </c>
      <c r="K2898" s="1037">
        <f t="shared" si="65"/>
        <v>8</v>
      </c>
    </row>
    <row r="2899" spans="1:11" ht="13.9" customHeight="1">
      <c r="A2899" s="1054">
        <v>53052101</v>
      </c>
      <c r="B2899" s="1055" t="s">
        <v>893</v>
      </c>
      <c r="C2899" s="1055" t="s">
        <v>376</v>
      </c>
      <c r="D2899" s="1055" t="s">
        <v>1187</v>
      </c>
      <c r="E2899" s="1055" t="s">
        <v>1019</v>
      </c>
      <c r="F2899" s="1056">
        <v>7</v>
      </c>
      <c r="G2899" s="1056">
        <v>0</v>
      </c>
      <c r="H2899" s="1056">
        <v>0</v>
      </c>
      <c r="I2899" s="1056">
        <v>7</v>
      </c>
      <c r="J2899" s="996">
        <f t="shared" si="66"/>
        <v>0</v>
      </c>
      <c r="K2899" s="1037">
        <f t="shared" si="65"/>
        <v>8</v>
      </c>
    </row>
    <row r="2900" spans="1:11" ht="13.9" customHeight="1">
      <c r="A2900" s="1054">
        <v>53052101</v>
      </c>
      <c r="B2900" s="1055" t="s">
        <v>893</v>
      </c>
      <c r="C2900" s="1055" t="s">
        <v>376</v>
      </c>
      <c r="D2900" s="1055" t="s">
        <v>1265</v>
      </c>
      <c r="E2900" s="1055" t="s">
        <v>1266</v>
      </c>
      <c r="F2900" s="1056">
        <v>1</v>
      </c>
      <c r="G2900" s="1056">
        <v>0</v>
      </c>
      <c r="H2900" s="1056">
        <v>0</v>
      </c>
      <c r="I2900" s="1056">
        <v>1</v>
      </c>
      <c r="J2900" s="996">
        <f t="shared" si="66"/>
        <v>0</v>
      </c>
      <c r="K2900" s="1037">
        <f t="shared" si="65"/>
        <v>8</v>
      </c>
    </row>
    <row r="2901" spans="1:11" ht="13.9" customHeight="1">
      <c r="A2901" s="1054">
        <v>53052101</v>
      </c>
      <c r="B2901" s="1055" t="s">
        <v>893</v>
      </c>
      <c r="C2901" s="1055" t="s">
        <v>376</v>
      </c>
      <c r="D2901" s="1055" t="s">
        <v>1282</v>
      </c>
      <c r="E2901" s="1055" t="s">
        <v>1281</v>
      </c>
      <c r="F2901" s="1056">
        <v>1</v>
      </c>
      <c r="G2901" s="1056">
        <v>0</v>
      </c>
      <c r="H2901" s="1056">
        <v>0</v>
      </c>
      <c r="I2901" s="1056">
        <v>1</v>
      </c>
      <c r="J2901" s="996">
        <f t="shared" si="66"/>
        <v>0</v>
      </c>
      <c r="K2901" s="1037">
        <f t="shared" si="65"/>
        <v>8</v>
      </c>
    </row>
    <row r="2902" spans="1:11" ht="13.9" customHeight="1">
      <c r="A2902" s="1054">
        <v>53052101</v>
      </c>
      <c r="B2902" s="1055" t="s">
        <v>893</v>
      </c>
      <c r="C2902" s="1055" t="s">
        <v>376</v>
      </c>
      <c r="D2902" s="1055" t="s">
        <v>1267</v>
      </c>
      <c r="E2902" s="1055" t="s">
        <v>336</v>
      </c>
      <c r="F2902" s="1056">
        <v>3</v>
      </c>
      <c r="G2902" s="1056">
        <v>0</v>
      </c>
      <c r="H2902" s="1056">
        <v>0</v>
      </c>
      <c r="I2902" s="1056">
        <v>3</v>
      </c>
      <c r="J2902" s="996">
        <f t="shared" si="66"/>
        <v>0</v>
      </c>
      <c r="K2902" s="1037">
        <f t="shared" si="65"/>
        <v>8</v>
      </c>
    </row>
    <row r="2903" spans="1:11" ht="13.9" customHeight="1">
      <c r="A2903" s="1054">
        <v>53052101</v>
      </c>
      <c r="B2903" s="1055" t="s">
        <v>893</v>
      </c>
      <c r="C2903" s="1055" t="s">
        <v>376</v>
      </c>
      <c r="D2903" s="1055" t="s">
        <v>1195</v>
      </c>
      <c r="E2903" s="1055" t="s">
        <v>1022</v>
      </c>
      <c r="F2903" s="1056">
        <v>11</v>
      </c>
      <c r="G2903" s="1056">
        <v>0</v>
      </c>
      <c r="H2903" s="1056">
        <v>0</v>
      </c>
      <c r="I2903" s="1056">
        <v>11</v>
      </c>
      <c r="J2903" s="996">
        <f t="shared" si="66"/>
        <v>0</v>
      </c>
      <c r="K2903" s="1037">
        <f t="shared" si="65"/>
        <v>8</v>
      </c>
    </row>
    <row r="2904" spans="1:11" ht="13.9" customHeight="1">
      <c r="A2904" s="1054">
        <v>53052101</v>
      </c>
      <c r="B2904" s="1055" t="s">
        <v>893</v>
      </c>
      <c r="C2904" s="1055" t="s">
        <v>376</v>
      </c>
      <c r="D2904" s="1055" t="s">
        <v>1268</v>
      </c>
      <c r="E2904" s="1055" t="s">
        <v>1269</v>
      </c>
      <c r="F2904" s="1056">
        <v>2</v>
      </c>
      <c r="G2904" s="1056">
        <v>0</v>
      </c>
      <c r="H2904" s="1056">
        <v>0</v>
      </c>
      <c r="I2904" s="1056">
        <v>2</v>
      </c>
      <c r="J2904" s="996">
        <f t="shared" si="66"/>
        <v>0</v>
      </c>
      <c r="K2904" s="1037">
        <f t="shared" si="65"/>
        <v>8</v>
      </c>
    </row>
    <row r="2905" spans="1:11" ht="13.9" customHeight="1">
      <c r="A2905" s="1054">
        <v>53052101</v>
      </c>
      <c r="B2905" s="1055" t="s">
        <v>893</v>
      </c>
      <c r="C2905" s="1055" t="s">
        <v>376</v>
      </c>
      <c r="D2905" s="1055" t="s">
        <v>1170</v>
      </c>
      <c r="E2905" s="1055" t="s">
        <v>696</v>
      </c>
      <c r="F2905" s="1056">
        <v>4</v>
      </c>
      <c r="G2905" s="1056">
        <v>0</v>
      </c>
      <c r="H2905" s="1056">
        <v>0</v>
      </c>
      <c r="I2905" s="1056">
        <v>4</v>
      </c>
      <c r="J2905" s="996">
        <f t="shared" si="66"/>
        <v>0</v>
      </c>
      <c r="K2905" s="1037">
        <f t="shared" si="65"/>
        <v>8</v>
      </c>
    </row>
    <row r="2906" spans="1:11" ht="13.9" customHeight="1">
      <c r="A2906" s="1054">
        <v>53052101</v>
      </c>
      <c r="B2906" s="1055" t="s">
        <v>893</v>
      </c>
      <c r="C2906" s="1055" t="s">
        <v>376</v>
      </c>
      <c r="D2906" s="1055" t="s">
        <v>1759</v>
      </c>
      <c r="E2906" s="1055" t="s">
        <v>1760</v>
      </c>
      <c r="F2906" s="1056">
        <v>0</v>
      </c>
      <c r="G2906" s="1056">
        <v>0</v>
      </c>
      <c r="H2906" s="1056">
        <v>0</v>
      </c>
      <c r="I2906" s="1056">
        <v>0</v>
      </c>
      <c r="J2906" s="996">
        <f t="shared" si="66"/>
        <v>0</v>
      </c>
      <c r="K2906" s="1037">
        <f t="shared" si="65"/>
        <v>8</v>
      </c>
    </row>
    <row r="2907" spans="1:11" ht="13.9" customHeight="1">
      <c r="A2907" s="1054">
        <v>530535</v>
      </c>
      <c r="B2907" s="1055" t="s">
        <v>893</v>
      </c>
      <c r="C2907" s="1055" t="s">
        <v>401</v>
      </c>
      <c r="D2907" s="1055" t="s">
        <v>893</v>
      </c>
      <c r="E2907" s="1055" t="s">
        <v>893</v>
      </c>
      <c r="F2907" s="1056">
        <v>466</v>
      </c>
      <c r="G2907" s="1056">
        <v>131</v>
      </c>
      <c r="H2907" s="1056">
        <v>0</v>
      </c>
      <c r="I2907" s="1056">
        <v>598</v>
      </c>
      <c r="J2907" s="996">
        <f t="shared" si="66"/>
        <v>-131</v>
      </c>
      <c r="K2907" s="1037">
        <f t="shared" si="65"/>
        <v>6</v>
      </c>
    </row>
    <row r="2908" spans="1:11" ht="13.9" customHeight="1">
      <c r="A2908" s="1054">
        <v>53053501</v>
      </c>
      <c r="B2908" s="1055" t="s">
        <v>893</v>
      </c>
      <c r="C2908" s="1055" t="s">
        <v>401</v>
      </c>
      <c r="D2908" s="1055" t="s">
        <v>893</v>
      </c>
      <c r="E2908" s="1055" t="s">
        <v>893</v>
      </c>
      <c r="F2908" s="1056">
        <v>426</v>
      </c>
      <c r="G2908" s="1056">
        <v>131</v>
      </c>
      <c r="H2908" s="1056">
        <v>0</v>
      </c>
      <c r="I2908" s="1056">
        <v>558</v>
      </c>
      <c r="J2908" s="996">
        <f t="shared" si="66"/>
        <v>-131</v>
      </c>
      <c r="K2908" s="1037">
        <f t="shared" si="65"/>
        <v>8</v>
      </c>
    </row>
    <row r="2909" spans="1:11" ht="13.9" customHeight="1">
      <c r="A2909" s="1054">
        <v>53053501</v>
      </c>
      <c r="B2909" s="1055" t="s">
        <v>893</v>
      </c>
      <c r="C2909" s="1055" t="s">
        <v>401</v>
      </c>
      <c r="D2909" s="1055" t="s">
        <v>1168</v>
      </c>
      <c r="E2909" s="1055" t="s">
        <v>1169</v>
      </c>
      <c r="F2909" s="1056">
        <v>-76</v>
      </c>
      <c r="G2909" s="1056">
        <v>0</v>
      </c>
      <c r="H2909" s="1056">
        <v>0</v>
      </c>
      <c r="I2909" s="1056">
        <v>-76</v>
      </c>
      <c r="J2909" s="996">
        <f t="shared" si="66"/>
        <v>0</v>
      </c>
      <c r="K2909" s="1037">
        <f t="shared" si="65"/>
        <v>8</v>
      </c>
    </row>
    <row r="2910" spans="1:11" ht="13.9" customHeight="1">
      <c r="A2910" s="1054">
        <v>53053501</v>
      </c>
      <c r="B2910" s="1055" t="s">
        <v>893</v>
      </c>
      <c r="C2910" s="1055" t="s">
        <v>401</v>
      </c>
      <c r="D2910" s="1055" t="s">
        <v>1035</v>
      </c>
      <c r="E2910" s="1055" t="s">
        <v>573</v>
      </c>
      <c r="F2910" s="1056">
        <v>454</v>
      </c>
      <c r="G2910" s="1056">
        <v>131</v>
      </c>
      <c r="H2910" s="1056">
        <v>0</v>
      </c>
      <c r="I2910" s="1056">
        <v>586</v>
      </c>
      <c r="J2910" s="996">
        <f t="shared" si="66"/>
        <v>-131</v>
      </c>
      <c r="K2910" s="1037">
        <f t="shared" si="65"/>
        <v>8</v>
      </c>
    </row>
    <row r="2911" spans="1:11" ht="13.9" customHeight="1">
      <c r="A2911" s="1054">
        <v>53053501</v>
      </c>
      <c r="B2911" s="1055" t="s">
        <v>893</v>
      </c>
      <c r="C2911" s="1055" t="s">
        <v>401</v>
      </c>
      <c r="D2911" s="1055" t="s">
        <v>1038</v>
      </c>
      <c r="E2911" s="1055" t="s">
        <v>505</v>
      </c>
      <c r="F2911" s="1056">
        <v>48</v>
      </c>
      <c r="G2911" s="1056">
        <v>0</v>
      </c>
      <c r="H2911" s="1056">
        <v>0</v>
      </c>
      <c r="I2911" s="1056">
        <v>48</v>
      </c>
      <c r="J2911" s="996">
        <f t="shared" si="66"/>
        <v>0</v>
      </c>
      <c r="K2911" s="1037">
        <f t="shared" si="65"/>
        <v>8</v>
      </c>
    </row>
    <row r="2912" spans="1:11" ht="13.9" customHeight="1">
      <c r="A2912" s="1054">
        <v>53053503</v>
      </c>
      <c r="B2912" s="1055" t="s">
        <v>1489</v>
      </c>
      <c r="C2912" s="1055" t="s">
        <v>1853</v>
      </c>
      <c r="D2912" s="1055" t="s">
        <v>893</v>
      </c>
      <c r="E2912" s="1055" t="s">
        <v>893</v>
      </c>
      <c r="F2912" s="1056">
        <v>40</v>
      </c>
      <c r="G2912" s="1056">
        <v>0</v>
      </c>
      <c r="H2912" s="1056">
        <v>0</v>
      </c>
      <c r="I2912" s="1056">
        <v>40</v>
      </c>
      <c r="J2912" s="996">
        <f t="shared" si="66"/>
        <v>0</v>
      </c>
      <c r="K2912" s="1037">
        <f t="shared" si="65"/>
        <v>8</v>
      </c>
    </row>
    <row r="2913" spans="1:11" ht="13.9" customHeight="1">
      <c r="A2913" s="1054">
        <v>53053503</v>
      </c>
      <c r="B2913" s="1055" t="s">
        <v>1489</v>
      </c>
      <c r="C2913" s="1055" t="s">
        <v>1853</v>
      </c>
      <c r="D2913" s="1055" t="s">
        <v>1035</v>
      </c>
      <c r="E2913" s="1055" t="s">
        <v>573</v>
      </c>
      <c r="F2913" s="1056">
        <v>40</v>
      </c>
      <c r="G2913" s="1056">
        <v>0</v>
      </c>
      <c r="H2913" s="1056">
        <v>0</v>
      </c>
      <c r="I2913" s="1056">
        <v>40</v>
      </c>
      <c r="J2913" s="996">
        <f t="shared" si="66"/>
        <v>0</v>
      </c>
      <c r="K2913" s="1037">
        <f t="shared" si="65"/>
        <v>8</v>
      </c>
    </row>
    <row r="2914" spans="1:11" ht="13.9" customHeight="1">
      <c r="A2914" s="1054">
        <v>54</v>
      </c>
      <c r="B2914" s="1055" t="s">
        <v>893</v>
      </c>
      <c r="C2914" s="1055" t="s">
        <v>920</v>
      </c>
      <c r="D2914" s="1055" t="s">
        <v>893</v>
      </c>
      <c r="E2914" s="1055" t="s">
        <v>893</v>
      </c>
      <c r="F2914" s="1056">
        <v>17704</v>
      </c>
      <c r="G2914" s="1056">
        <v>0</v>
      </c>
      <c r="H2914" s="1056">
        <v>1021</v>
      </c>
      <c r="I2914" s="1056">
        <v>16683</v>
      </c>
      <c r="J2914" s="996">
        <f t="shared" si="66"/>
        <v>1021</v>
      </c>
      <c r="K2914" s="1037">
        <f t="shared" si="65"/>
        <v>2</v>
      </c>
    </row>
    <row r="2915" spans="1:11" ht="13.9" customHeight="1">
      <c r="A2915" s="1054">
        <v>5405</v>
      </c>
      <c r="B2915" s="1055" t="s">
        <v>893</v>
      </c>
      <c r="C2915" s="1055" t="s">
        <v>920</v>
      </c>
      <c r="D2915" s="1055" t="s">
        <v>893</v>
      </c>
      <c r="E2915" s="1055" t="s">
        <v>893</v>
      </c>
      <c r="F2915" s="1056">
        <v>17704</v>
      </c>
      <c r="G2915" s="1056">
        <v>0</v>
      </c>
      <c r="H2915" s="1056">
        <v>1021</v>
      </c>
      <c r="I2915" s="1056">
        <v>16683</v>
      </c>
      <c r="J2915" s="996">
        <f t="shared" si="66"/>
        <v>1021</v>
      </c>
      <c r="K2915" s="1037">
        <f t="shared" si="65"/>
        <v>4</v>
      </c>
    </row>
    <row r="2916" spans="1:11" ht="13.9" customHeight="1">
      <c r="A2916" s="1054">
        <v>540505</v>
      </c>
      <c r="B2916" s="1055" t="s">
        <v>893</v>
      </c>
      <c r="C2916" s="1055" t="s">
        <v>920</v>
      </c>
      <c r="D2916" s="1055" t="s">
        <v>893</v>
      </c>
      <c r="E2916" s="1055" t="s">
        <v>893</v>
      </c>
      <c r="F2916" s="1056">
        <v>17704</v>
      </c>
      <c r="G2916" s="1056">
        <v>0</v>
      </c>
      <c r="H2916" s="1056">
        <v>1021</v>
      </c>
      <c r="I2916" s="1056">
        <v>16683</v>
      </c>
      <c r="J2916" s="996">
        <f t="shared" si="66"/>
        <v>1021</v>
      </c>
      <c r="K2916" s="1037">
        <f t="shared" si="65"/>
        <v>6</v>
      </c>
    </row>
    <row r="2917" spans="1:11" ht="13.9" customHeight="1">
      <c r="A2917" s="1054">
        <v>54050501</v>
      </c>
      <c r="B2917" s="1055" t="s">
        <v>893</v>
      </c>
      <c r="C2917" s="1055" t="s">
        <v>920</v>
      </c>
      <c r="D2917" s="1055" t="s">
        <v>893</v>
      </c>
      <c r="E2917" s="1055" t="s">
        <v>893</v>
      </c>
      <c r="F2917" s="1056">
        <v>17704</v>
      </c>
      <c r="G2917" s="1056">
        <v>0</v>
      </c>
      <c r="H2917" s="1056">
        <v>1021</v>
      </c>
      <c r="I2917" s="1056">
        <v>16683</v>
      </c>
      <c r="J2917" s="996">
        <f t="shared" si="66"/>
        <v>1021</v>
      </c>
      <c r="K2917" s="1037">
        <f t="shared" si="65"/>
        <v>8</v>
      </c>
    </row>
    <row r="2918" spans="1:11" ht="13.9" customHeight="1">
      <c r="A2918" s="1054">
        <v>55</v>
      </c>
      <c r="B2918" s="1055" t="s">
        <v>893</v>
      </c>
      <c r="C2918" s="1055" t="s">
        <v>142</v>
      </c>
      <c r="D2918" s="1055" t="s">
        <v>893</v>
      </c>
      <c r="E2918" s="1055" t="s">
        <v>893</v>
      </c>
      <c r="F2918" s="1056">
        <v>761</v>
      </c>
      <c r="G2918" s="1056">
        <v>2999</v>
      </c>
      <c r="H2918" s="1056">
        <v>2856</v>
      </c>
      <c r="I2918" s="1056">
        <v>904</v>
      </c>
      <c r="J2918" s="996">
        <f t="shared" si="66"/>
        <v>-143</v>
      </c>
      <c r="K2918" s="1037">
        <f t="shared" si="65"/>
        <v>2</v>
      </c>
    </row>
    <row r="2919" spans="1:11" ht="13.9" customHeight="1">
      <c r="A2919" s="1054">
        <v>5515</v>
      </c>
      <c r="B2919" s="1055" t="s">
        <v>893</v>
      </c>
      <c r="C2919" s="1055" t="s">
        <v>1633</v>
      </c>
      <c r="D2919" s="1055" t="s">
        <v>893</v>
      </c>
      <c r="E2919" s="1055" t="s">
        <v>893</v>
      </c>
      <c r="F2919" s="1056">
        <v>34</v>
      </c>
      <c r="G2919" s="1056">
        <v>84</v>
      </c>
      <c r="H2919" s="1056">
        <v>0</v>
      </c>
      <c r="I2919" s="1056">
        <v>118</v>
      </c>
      <c r="J2919" s="996">
        <f t="shared" si="66"/>
        <v>-84</v>
      </c>
      <c r="K2919" s="1037">
        <f t="shared" si="65"/>
        <v>4</v>
      </c>
    </row>
    <row r="2920" spans="1:11" ht="13.9" customHeight="1">
      <c r="A2920" s="1054">
        <v>551525</v>
      </c>
      <c r="B2920" s="1055" t="s">
        <v>893</v>
      </c>
      <c r="C2920" s="1055" t="s">
        <v>1854</v>
      </c>
      <c r="D2920" s="1055" t="s">
        <v>893</v>
      </c>
      <c r="E2920" s="1055" t="s">
        <v>893</v>
      </c>
      <c r="F2920" s="1056">
        <v>34</v>
      </c>
      <c r="G2920" s="1056">
        <v>84</v>
      </c>
      <c r="H2920" s="1056">
        <v>0</v>
      </c>
      <c r="I2920" s="1056">
        <v>118</v>
      </c>
      <c r="J2920" s="996">
        <f t="shared" si="66"/>
        <v>-84</v>
      </c>
      <c r="K2920" s="1037">
        <f t="shared" si="65"/>
        <v>6</v>
      </c>
    </row>
    <row r="2921" spans="1:11" ht="13.9" customHeight="1">
      <c r="A2921" s="1054">
        <v>55152501</v>
      </c>
      <c r="B2921" s="1055" t="s">
        <v>893</v>
      </c>
      <c r="C2921" s="1055" t="s">
        <v>1854</v>
      </c>
      <c r="D2921" s="1055" t="s">
        <v>893</v>
      </c>
      <c r="E2921" s="1055" t="s">
        <v>893</v>
      </c>
      <c r="F2921" s="1056">
        <v>34</v>
      </c>
      <c r="G2921" s="1056">
        <v>84</v>
      </c>
      <c r="H2921" s="1056">
        <v>0</v>
      </c>
      <c r="I2921" s="1056">
        <v>118</v>
      </c>
      <c r="J2921" s="996">
        <f t="shared" si="66"/>
        <v>-84</v>
      </c>
      <c r="K2921" s="1037">
        <f t="shared" si="65"/>
        <v>8</v>
      </c>
    </row>
    <row r="2922" spans="1:11" ht="13.9" customHeight="1">
      <c r="A2922" s="1054">
        <v>55152501</v>
      </c>
      <c r="B2922" s="1055" t="s">
        <v>893</v>
      </c>
      <c r="C2922" s="1055" t="s">
        <v>1854</v>
      </c>
      <c r="D2922" s="1055" t="s">
        <v>1060</v>
      </c>
      <c r="E2922" s="1055" t="s">
        <v>1061</v>
      </c>
      <c r="F2922" s="1056">
        <v>34</v>
      </c>
      <c r="G2922" s="1056">
        <v>84</v>
      </c>
      <c r="H2922" s="1056">
        <v>0</v>
      </c>
      <c r="I2922" s="1056">
        <v>118</v>
      </c>
      <c r="J2922" s="996">
        <f t="shared" si="66"/>
        <v>-84</v>
      </c>
      <c r="K2922" s="1037">
        <f t="shared" si="65"/>
        <v>8</v>
      </c>
    </row>
    <row r="2923" spans="1:11" ht="13.9" customHeight="1">
      <c r="A2923" s="1054">
        <v>5595</v>
      </c>
      <c r="B2923" s="1055" t="s">
        <v>893</v>
      </c>
      <c r="C2923" s="1055" t="s">
        <v>141</v>
      </c>
      <c r="D2923" s="1055" t="s">
        <v>893</v>
      </c>
      <c r="E2923" s="1055" t="s">
        <v>893</v>
      </c>
      <c r="F2923" s="1056">
        <v>727</v>
      </c>
      <c r="G2923" s="1056">
        <v>2914</v>
      </c>
      <c r="H2923" s="1056">
        <v>2856</v>
      </c>
      <c r="I2923" s="1056">
        <v>786</v>
      </c>
      <c r="J2923" s="996">
        <f t="shared" si="66"/>
        <v>-58</v>
      </c>
      <c r="K2923" s="1037">
        <f t="shared" si="65"/>
        <v>4</v>
      </c>
    </row>
    <row r="2924" spans="1:11" ht="13.9" customHeight="1">
      <c r="A2924" s="1054">
        <v>559520</v>
      </c>
      <c r="B2924" s="1055" t="s">
        <v>893</v>
      </c>
      <c r="C2924" s="1055" t="s">
        <v>430</v>
      </c>
      <c r="D2924" s="1055" t="s">
        <v>893</v>
      </c>
      <c r="E2924" s="1055" t="s">
        <v>893</v>
      </c>
      <c r="F2924" s="1056">
        <v>350</v>
      </c>
      <c r="G2924" s="1056">
        <v>27</v>
      </c>
      <c r="H2924" s="1056">
        <v>0</v>
      </c>
      <c r="I2924" s="1056">
        <v>377</v>
      </c>
      <c r="J2924" s="996">
        <f t="shared" si="66"/>
        <v>-27</v>
      </c>
      <c r="K2924" s="1037">
        <f t="shared" si="65"/>
        <v>6</v>
      </c>
    </row>
    <row r="2925" spans="1:11" ht="13.9" customHeight="1">
      <c r="A2925" s="1054">
        <v>55952001</v>
      </c>
      <c r="B2925" s="1055" t="s">
        <v>893</v>
      </c>
      <c r="C2925" s="1055" t="s">
        <v>430</v>
      </c>
      <c r="D2925" s="1055" t="s">
        <v>893</v>
      </c>
      <c r="E2925" s="1055" t="s">
        <v>893</v>
      </c>
      <c r="F2925" s="1056">
        <v>350</v>
      </c>
      <c r="G2925" s="1056">
        <v>27</v>
      </c>
      <c r="H2925" s="1056">
        <v>0</v>
      </c>
      <c r="I2925" s="1056">
        <v>377</v>
      </c>
      <c r="J2925" s="996">
        <f t="shared" si="66"/>
        <v>-27</v>
      </c>
      <c r="K2925" s="1037">
        <f t="shared" si="65"/>
        <v>8</v>
      </c>
    </row>
    <row r="2926" spans="1:11" ht="13.9" customHeight="1">
      <c r="A2926" s="1054">
        <v>55952001</v>
      </c>
      <c r="B2926" s="1055" t="s">
        <v>893</v>
      </c>
      <c r="C2926" s="1055" t="s">
        <v>430</v>
      </c>
      <c r="D2926" s="1055" t="s">
        <v>1194</v>
      </c>
      <c r="E2926" s="1055" t="s">
        <v>678</v>
      </c>
      <c r="F2926" s="1056">
        <v>171</v>
      </c>
      <c r="G2926" s="1056">
        <v>0</v>
      </c>
      <c r="H2926" s="1056">
        <v>0</v>
      </c>
      <c r="I2926" s="1056">
        <v>171</v>
      </c>
      <c r="J2926" s="996">
        <f t="shared" si="66"/>
        <v>0</v>
      </c>
      <c r="K2926" s="1037">
        <f t="shared" ref="K2926:K2989" si="67">+LEN(A2926)</f>
        <v>8</v>
      </c>
    </row>
    <row r="2927" spans="1:11" ht="13.9" customHeight="1">
      <c r="A2927" s="1054">
        <v>55952001</v>
      </c>
      <c r="B2927" s="1055" t="s">
        <v>893</v>
      </c>
      <c r="C2927" s="1055" t="s">
        <v>430</v>
      </c>
      <c r="D2927" s="1055" t="s">
        <v>1035</v>
      </c>
      <c r="E2927" s="1055" t="s">
        <v>573</v>
      </c>
      <c r="F2927" s="1056">
        <v>179</v>
      </c>
      <c r="G2927" s="1056">
        <v>27</v>
      </c>
      <c r="H2927" s="1056">
        <v>0</v>
      </c>
      <c r="I2927" s="1056">
        <v>206</v>
      </c>
      <c r="J2927" s="996">
        <f t="shared" si="66"/>
        <v>-27</v>
      </c>
      <c r="K2927" s="1037">
        <f t="shared" si="67"/>
        <v>8</v>
      </c>
    </row>
    <row r="2928" spans="1:11" ht="13.9" customHeight="1">
      <c r="A2928" s="1054">
        <v>559525</v>
      </c>
      <c r="B2928" s="1055" t="s">
        <v>893</v>
      </c>
      <c r="C2928" s="1055" t="s">
        <v>1772</v>
      </c>
      <c r="D2928" s="1055" t="s">
        <v>893</v>
      </c>
      <c r="E2928" s="1055" t="s">
        <v>893</v>
      </c>
      <c r="F2928" s="1056">
        <v>200</v>
      </c>
      <c r="G2928" s="1056">
        <v>0</v>
      </c>
      <c r="H2928" s="1056">
        <v>0</v>
      </c>
      <c r="I2928" s="1056">
        <v>200</v>
      </c>
      <c r="J2928" s="996">
        <f t="shared" si="66"/>
        <v>0</v>
      </c>
      <c r="K2928" s="1037">
        <f t="shared" si="67"/>
        <v>6</v>
      </c>
    </row>
    <row r="2929" spans="1:11" ht="13.9" customHeight="1">
      <c r="A2929" s="1054">
        <v>55952501</v>
      </c>
      <c r="B2929" s="1055" t="s">
        <v>893</v>
      </c>
      <c r="C2929" s="1055" t="s">
        <v>1772</v>
      </c>
      <c r="D2929" s="1055" t="s">
        <v>893</v>
      </c>
      <c r="E2929" s="1055" t="s">
        <v>893</v>
      </c>
      <c r="F2929" s="1056">
        <v>200</v>
      </c>
      <c r="G2929" s="1056">
        <v>0</v>
      </c>
      <c r="H2929" s="1056">
        <v>0</v>
      </c>
      <c r="I2929" s="1056">
        <v>200</v>
      </c>
      <c r="J2929" s="996">
        <f t="shared" si="66"/>
        <v>0</v>
      </c>
      <c r="K2929" s="1037">
        <f t="shared" si="67"/>
        <v>8</v>
      </c>
    </row>
    <row r="2930" spans="1:11" ht="13.9" customHeight="1">
      <c r="A2930" s="1054">
        <v>55952501</v>
      </c>
      <c r="B2930" s="1055" t="s">
        <v>893</v>
      </c>
      <c r="C2930" s="1055" t="s">
        <v>1772</v>
      </c>
      <c r="D2930" s="1055" t="s">
        <v>1767</v>
      </c>
      <c r="E2930" s="1055" t="s">
        <v>1768</v>
      </c>
      <c r="F2930" s="1056">
        <v>200</v>
      </c>
      <c r="G2930" s="1056">
        <v>0</v>
      </c>
      <c r="H2930" s="1056">
        <v>0</v>
      </c>
      <c r="I2930" s="1056">
        <v>200</v>
      </c>
      <c r="J2930" s="996">
        <f t="shared" si="66"/>
        <v>0</v>
      </c>
      <c r="K2930" s="1037">
        <f t="shared" si="67"/>
        <v>8</v>
      </c>
    </row>
    <row r="2931" spans="1:11" ht="13.9" customHeight="1">
      <c r="A2931" s="1054">
        <v>559581</v>
      </c>
      <c r="B2931" s="1055" t="s">
        <v>893</v>
      </c>
      <c r="C2931" s="1055" t="s">
        <v>374</v>
      </c>
      <c r="D2931" s="1055" t="s">
        <v>893</v>
      </c>
      <c r="E2931" s="1055" t="s">
        <v>893</v>
      </c>
      <c r="F2931" s="1056">
        <v>176</v>
      </c>
      <c r="G2931" s="1056">
        <v>33</v>
      </c>
      <c r="H2931" s="1056">
        <v>1</v>
      </c>
      <c r="I2931" s="1056">
        <v>208</v>
      </c>
      <c r="J2931" s="996">
        <f t="shared" si="66"/>
        <v>-32</v>
      </c>
      <c r="K2931" s="1037">
        <f t="shared" si="67"/>
        <v>6</v>
      </c>
    </row>
    <row r="2932" spans="1:11" ht="13.9" customHeight="1">
      <c r="A2932" s="1054">
        <v>55958101</v>
      </c>
      <c r="B2932" s="1055" t="s">
        <v>893</v>
      </c>
      <c r="C2932" s="1055" t="s">
        <v>374</v>
      </c>
      <c r="D2932" s="1055" t="s">
        <v>893</v>
      </c>
      <c r="E2932" s="1055" t="s">
        <v>893</v>
      </c>
      <c r="F2932" s="1056">
        <v>176</v>
      </c>
      <c r="G2932" s="1056">
        <v>33</v>
      </c>
      <c r="H2932" s="1056">
        <v>1</v>
      </c>
      <c r="I2932" s="1056">
        <v>208</v>
      </c>
      <c r="J2932" s="996">
        <f t="shared" si="66"/>
        <v>-32</v>
      </c>
      <c r="K2932" s="1037">
        <f t="shared" si="67"/>
        <v>8</v>
      </c>
    </row>
    <row r="2933" spans="1:11" ht="13.9" customHeight="1">
      <c r="A2933" s="1054">
        <v>55958101</v>
      </c>
      <c r="B2933" s="1055" t="s">
        <v>893</v>
      </c>
      <c r="C2933" s="1055" t="s">
        <v>374</v>
      </c>
      <c r="D2933" s="1055" t="s">
        <v>1575</v>
      </c>
      <c r="E2933" s="1055" t="s">
        <v>1576</v>
      </c>
      <c r="F2933" s="1056">
        <v>0</v>
      </c>
      <c r="G2933" s="1056">
        <v>0</v>
      </c>
      <c r="H2933" s="1056">
        <v>0</v>
      </c>
      <c r="I2933" s="1056">
        <v>0</v>
      </c>
      <c r="J2933" s="996">
        <f t="shared" si="66"/>
        <v>0</v>
      </c>
      <c r="K2933" s="1037">
        <f t="shared" si="67"/>
        <v>8</v>
      </c>
    </row>
    <row r="2934" spans="1:11" ht="13.9" customHeight="1">
      <c r="A2934" s="1054">
        <v>55958101</v>
      </c>
      <c r="B2934" s="1055" t="s">
        <v>893</v>
      </c>
      <c r="C2934" s="1055" t="s">
        <v>374</v>
      </c>
      <c r="D2934" s="1055" t="s">
        <v>1891</v>
      </c>
      <c r="E2934" s="1055" t="s">
        <v>1892</v>
      </c>
      <c r="F2934" s="1056">
        <v>0</v>
      </c>
      <c r="G2934" s="1056">
        <v>0</v>
      </c>
      <c r="H2934" s="1056">
        <v>0</v>
      </c>
      <c r="I2934" s="1056">
        <v>0</v>
      </c>
      <c r="J2934" s="996">
        <f t="shared" si="66"/>
        <v>0</v>
      </c>
      <c r="K2934" s="1037">
        <f t="shared" si="67"/>
        <v>8</v>
      </c>
    </row>
    <row r="2935" spans="1:11" ht="13.9" customHeight="1">
      <c r="A2935" s="1054">
        <v>55958101</v>
      </c>
      <c r="B2935" s="1055" t="s">
        <v>893</v>
      </c>
      <c r="C2935" s="1055" t="s">
        <v>374</v>
      </c>
      <c r="D2935" s="1055" t="s">
        <v>1577</v>
      </c>
      <c r="E2935" s="1055" t="s">
        <v>1578</v>
      </c>
      <c r="F2935" s="1056">
        <v>0</v>
      </c>
      <c r="G2935" s="1056">
        <v>0</v>
      </c>
      <c r="H2935" s="1056">
        <v>0</v>
      </c>
      <c r="I2935" s="1056">
        <v>0</v>
      </c>
      <c r="J2935" s="996">
        <f t="shared" si="66"/>
        <v>0</v>
      </c>
      <c r="K2935" s="1037">
        <f t="shared" si="67"/>
        <v>8</v>
      </c>
    </row>
    <row r="2936" spans="1:11" ht="13.9" customHeight="1">
      <c r="A2936" s="1054">
        <v>55958101</v>
      </c>
      <c r="B2936" s="1055" t="s">
        <v>893</v>
      </c>
      <c r="C2936" s="1055" t="s">
        <v>374</v>
      </c>
      <c r="D2936" s="1055" t="s">
        <v>1360</v>
      </c>
      <c r="E2936" s="1055" t="s">
        <v>1361</v>
      </c>
      <c r="F2936" s="1056">
        <v>0</v>
      </c>
      <c r="G2936" s="1056">
        <v>0</v>
      </c>
      <c r="H2936" s="1056">
        <v>0</v>
      </c>
      <c r="I2936" s="1056">
        <v>0</v>
      </c>
      <c r="J2936" s="996">
        <f t="shared" si="66"/>
        <v>0</v>
      </c>
      <c r="K2936" s="1037">
        <f t="shared" si="67"/>
        <v>8</v>
      </c>
    </row>
    <row r="2937" spans="1:11" ht="13.9" customHeight="1">
      <c r="A2937" s="1054">
        <v>55958101</v>
      </c>
      <c r="B2937" s="1055" t="s">
        <v>893</v>
      </c>
      <c r="C2937" s="1055" t="s">
        <v>374</v>
      </c>
      <c r="D2937" s="1055" t="s">
        <v>1893</v>
      </c>
      <c r="E2937" s="1055" t="s">
        <v>1894</v>
      </c>
      <c r="F2937" s="1056">
        <v>0</v>
      </c>
      <c r="G2937" s="1056">
        <v>0</v>
      </c>
      <c r="H2937" s="1056">
        <v>0</v>
      </c>
      <c r="I2937" s="1056">
        <v>0</v>
      </c>
      <c r="J2937" s="996">
        <f t="shared" si="66"/>
        <v>0</v>
      </c>
      <c r="K2937" s="1037">
        <f t="shared" si="67"/>
        <v>8</v>
      </c>
    </row>
    <row r="2938" spans="1:11" ht="13.9" customHeight="1">
      <c r="A2938" s="1054">
        <v>55958101</v>
      </c>
      <c r="B2938" s="1055" t="s">
        <v>893</v>
      </c>
      <c r="C2938" s="1055" t="s">
        <v>374</v>
      </c>
      <c r="D2938" s="1055" t="s">
        <v>1298</v>
      </c>
      <c r="E2938" s="1055" t="s">
        <v>987</v>
      </c>
      <c r="F2938" s="1056">
        <v>32</v>
      </c>
      <c r="G2938" s="1056">
        <v>5</v>
      </c>
      <c r="H2938" s="1056">
        <v>0</v>
      </c>
      <c r="I2938" s="1056">
        <v>37</v>
      </c>
      <c r="J2938" s="996">
        <f t="shared" si="66"/>
        <v>-5</v>
      </c>
      <c r="K2938" s="1037">
        <f t="shared" si="67"/>
        <v>8</v>
      </c>
    </row>
    <row r="2939" spans="1:11" ht="13.9" customHeight="1">
      <c r="A2939" s="1054">
        <v>55958101</v>
      </c>
      <c r="B2939" s="1055" t="s">
        <v>893</v>
      </c>
      <c r="C2939" s="1055" t="s">
        <v>374</v>
      </c>
      <c r="D2939" s="1055" t="s">
        <v>1484</v>
      </c>
      <c r="E2939" s="1055" t="s">
        <v>1485</v>
      </c>
      <c r="F2939" s="1056">
        <v>0</v>
      </c>
      <c r="G2939" s="1056">
        <v>0</v>
      </c>
      <c r="H2939" s="1056">
        <v>0</v>
      </c>
      <c r="I2939" s="1056">
        <v>0</v>
      </c>
      <c r="J2939" s="996">
        <f t="shared" si="66"/>
        <v>0</v>
      </c>
      <c r="K2939" s="1037">
        <f t="shared" si="67"/>
        <v>8</v>
      </c>
    </row>
    <row r="2940" spans="1:11" ht="13.9" customHeight="1">
      <c r="A2940" s="1054">
        <v>55958101</v>
      </c>
      <c r="B2940" s="1055" t="s">
        <v>893</v>
      </c>
      <c r="C2940" s="1055" t="s">
        <v>374</v>
      </c>
      <c r="D2940" s="1055" t="s">
        <v>1579</v>
      </c>
      <c r="E2940" s="1055" t="s">
        <v>1580</v>
      </c>
      <c r="F2940" s="1056">
        <v>0</v>
      </c>
      <c r="G2940" s="1056">
        <v>0</v>
      </c>
      <c r="H2940" s="1056">
        <v>0</v>
      </c>
      <c r="I2940" s="1056">
        <v>0</v>
      </c>
      <c r="J2940" s="996">
        <f t="shared" si="66"/>
        <v>0</v>
      </c>
      <c r="K2940" s="1037">
        <f t="shared" si="67"/>
        <v>8</v>
      </c>
    </row>
    <row r="2941" spans="1:11" ht="13.9" customHeight="1">
      <c r="A2941" s="1054">
        <v>55958101</v>
      </c>
      <c r="B2941" s="1055" t="s">
        <v>893</v>
      </c>
      <c r="C2941" s="1055" t="s">
        <v>374</v>
      </c>
      <c r="D2941" s="1055" t="s">
        <v>1270</v>
      </c>
      <c r="E2941" s="1055" t="s">
        <v>988</v>
      </c>
      <c r="F2941" s="1056">
        <v>17</v>
      </c>
      <c r="G2941" s="1056">
        <v>2</v>
      </c>
      <c r="H2941" s="1056">
        <v>0</v>
      </c>
      <c r="I2941" s="1056">
        <v>19</v>
      </c>
      <c r="J2941" s="996">
        <f t="shared" si="66"/>
        <v>-2</v>
      </c>
      <c r="K2941" s="1037">
        <f t="shared" si="67"/>
        <v>8</v>
      </c>
    </row>
    <row r="2942" spans="1:11" ht="13.9" customHeight="1">
      <c r="A2942" s="1054">
        <v>55958101</v>
      </c>
      <c r="B2942" s="1055" t="s">
        <v>893</v>
      </c>
      <c r="C2942" s="1055" t="s">
        <v>374</v>
      </c>
      <c r="D2942" s="1055" t="s">
        <v>1271</v>
      </c>
      <c r="E2942" s="1055" t="s">
        <v>782</v>
      </c>
      <c r="F2942" s="1056">
        <v>17</v>
      </c>
      <c r="G2942" s="1056">
        <v>5</v>
      </c>
      <c r="H2942" s="1056">
        <v>0</v>
      </c>
      <c r="I2942" s="1056">
        <v>22</v>
      </c>
      <c r="J2942" s="996">
        <f t="shared" si="66"/>
        <v>-5</v>
      </c>
      <c r="K2942" s="1037">
        <f t="shared" si="67"/>
        <v>8</v>
      </c>
    </row>
    <row r="2943" spans="1:11" ht="13.9" customHeight="1">
      <c r="A2943" s="1054">
        <v>55958101</v>
      </c>
      <c r="B2943" s="1055" t="s">
        <v>893</v>
      </c>
      <c r="C2943" s="1055" t="s">
        <v>374</v>
      </c>
      <c r="D2943" s="1055" t="s">
        <v>1272</v>
      </c>
      <c r="E2943" s="1055" t="s">
        <v>1273</v>
      </c>
      <c r="F2943" s="1056">
        <v>0</v>
      </c>
      <c r="G2943" s="1056">
        <v>0</v>
      </c>
      <c r="H2943" s="1056">
        <v>0</v>
      </c>
      <c r="I2943" s="1056">
        <v>0</v>
      </c>
      <c r="J2943" s="996">
        <f t="shared" si="66"/>
        <v>0</v>
      </c>
      <c r="K2943" s="1037">
        <f t="shared" si="67"/>
        <v>8</v>
      </c>
    </row>
    <row r="2944" spans="1:11" ht="13.9" customHeight="1">
      <c r="A2944" s="1054">
        <v>55958101</v>
      </c>
      <c r="B2944" s="1055" t="s">
        <v>893</v>
      </c>
      <c r="C2944" s="1055" t="s">
        <v>374</v>
      </c>
      <c r="D2944" s="1055" t="s">
        <v>1420</v>
      </c>
      <c r="E2944" s="1055" t="s">
        <v>1421</v>
      </c>
      <c r="F2944" s="1056">
        <v>1</v>
      </c>
      <c r="G2944" s="1056">
        <v>0</v>
      </c>
      <c r="H2944" s="1056">
        <v>0</v>
      </c>
      <c r="I2944" s="1056">
        <v>1</v>
      </c>
      <c r="J2944" s="996">
        <f t="shared" si="66"/>
        <v>0</v>
      </c>
      <c r="K2944" s="1037">
        <f t="shared" si="67"/>
        <v>8</v>
      </c>
    </row>
    <row r="2945" spans="1:11" ht="13.9" customHeight="1">
      <c r="A2945" s="1054">
        <v>55958101</v>
      </c>
      <c r="B2945" s="1055" t="s">
        <v>893</v>
      </c>
      <c r="C2945" s="1055" t="s">
        <v>374</v>
      </c>
      <c r="D2945" s="1055" t="s">
        <v>1493</v>
      </c>
      <c r="E2945" s="1055" t="s">
        <v>1494</v>
      </c>
      <c r="F2945" s="1056">
        <v>0</v>
      </c>
      <c r="G2945" s="1056">
        <v>0</v>
      </c>
      <c r="H2945" s="1056">
        <v>0</v>
      </c>
      <c r="I2945" s="1056">
        <v>0</v>
      </c>
      <c r="J2945" s="996">
        <f t="shared" si="66"/>
        <v>0</v>
      </c>
      <c r="K2945" s="1037">
        <f t="shared" si="67"/>
        <v>8</v>
      </c>
    </row>
    <row r="2946" spans="1:11" ht="13.9" customHeight="1">
      <c r="A2946" s="1054">
        <v>55958101</v>
      </c>
      <c r="B2946" s="1055" t="s">
        <v>893</v>
      </c>
      <c r="C2946" s="1055" t="s">
        <v>374</v>
      </c>
      <c r="D2946" s="1055" t="s">
        <v>1841</v>
      </c>
      <c r="E2946" s="1055" t="s">
        <v>1842</v>
      </c>
      <c r="F2946" s="1056">
        <v>0</v>
      </c>
      <c r="G2946" s="1056">
        <v>0</v>
      </c>
      <c r="H2946" s="1056">
        <v>0</v>
      </c>
      <c r="I2946" s="1056">
        <v>0</v>
      </c>
      <c r="J2946" s="996">
        <f t="shared" si="66"/>
        <v>0</v>
      </c>
      <c r="K2946" s="1037">
        <f t="shared" si="67"/>
        <v>8</v>
      </c>
    </row>
    <row r="2947" spans="1:11" ht="13.9" customHeight="1">
      <c r="A2947" s="1054">
        <v>55958101</v>
      </c>
      <c r="B2947" s="1055" t="s">
        <v>893</v>
      </c>
      <c r="C2947" s="1055" t="s">
        <v>374</v>
      </c>
      <c r="D2947" s="1055" t="s">
        <v>1519</v>
      </c>
      <c r="E2947" s="1055" t="s">
        <v>1520</v>
      </c>
      <c r="F2947" s="1056">
        <v>0</v>
      </c>
      <c r="G2947" s="1056">
        <v>0</v>
      </c>
      <c r="H2947" s="1056">
        <v>0</v>
      </c>
      <c r="I2947" s="1056">
        <v>0</v>
      </c>
      <c r="J2947" s="996">
        <f t="shared" si="66"/>
        <v>0</v>
      </c>
      <c r="K2947" s="1037">
        <f t="shared" si="67"/>
        <v>8</v>
      </c>
    </row>
    <row r="2948" spans="1:11" ht="13.9" customHeight="1">
      <c r="A2948" s="1054">
        <v>55958101</v>
      </c>
      <c r="B2948" s="1055" t="s">
        <v>893</v>
      </c>
      <c r="C2948" s="1055" t="s">
        <v>374</v>
      </c>
      <c r="D2948" s="1055" t="s">
        <v>1368</v>
      </c>
      <c r="E2948" s="1055" t="s">
        <v>1369</v>
      </c>
      <c r="F2948" s="1056">
        <v>0</v>
      </c>
      <c r="G2948" s="1056">
        <v>0</v>
      </c>
      <c r="H2948" s="1056">
        <v>0</v>
      </c>
      <c r="I2948" s="1056">
        <v>0</v>
      </c>
      <c r="J2948" s="996">
        <f t="shared" si="66"/>
        <v>0</v>
      </c>
      <c r="K2948" s="1037">
        <f t="shared" si="67"/>
        <v>8</v>
      </c>
    </row>
    <row r="2949" spans="1:11" ht="13.9" customHeight="1">
      <c r="A2949" s="1054">
        <v>55958101</v>
      </c>
      <c r="B2949" s="1055" t="s">
        <v>893</v>
      </c>
      <c r="C2949" s="1055" t="s">
        <v>374</v>
      </c>
      <c r="D2949" s="1055" t="s">
        <v>1895</v>
      </c>
      <c r="E2949" s="1055" t="s">
        <v>1896</v>
      </c>
      <c r="F2949" s="1056">
        <v>0</v>
      </c>
      <c r="G2949" s="1056">
        <v>0</v>
      </c>
      <c r="H2949" s="1056">
        <v>0</v>
      </c>
      <c r="I2949" s="1056">
        <v>0</v>
      </c>
      <c r="J2949" s="996">
        <f t="shared" si="66"/>
        <v>0</v>
      </c>
      <c r="K2949" s="1037">
        <f t="shared" si="67"/>
        <v>8</v>
      </c>
    </row>
    <row r="2950" spans="1:11" ht="13.9" customHeight="1">
      <c r="A2950" s="1054">
        <v>55958101</v>
      </c>
      <c r="B2950" s="1055" t="s">
        <v>893</v>
      </c>
      <c r="C2950" s="1055" t="s">
        <v>374</v>
      </c>
      <c r="D2950" s="1055" t="s">
        <v>1495</v>
      </c>
      <c r="E2950" s="1055" t="s">
        <v>1496</v>
      </c>
      <c r="F2950" s="1056">
        <v>0</v>
      </c>
      <c r="G2950" s="1056">
        <v>0</v>
      </c>
      <c r="H2950" s="1056">
        <v>0</v>
      </c>
      <c r="I2950" s="1056">
        <v>0</v>
      </c>
      <c r="J2950" s="996">
        <f t="shared" si="66"/>
        <v>0</v>
      </c>
      <c r="K2950" s="1037">
        <f t="shared" si="67"/>
        <v>8</v>
      </c>
    </row>
    <row r="2951" spans="1:11" ht="13.9" customHeight="1">
      <c r="A2951" s="1054">
        <v>55958101</v>
      </c>
      <c r="B2951" s="1055" t="s">
        <v>893</v>
      </c>
      <c r="C2951" s="1055" t="s">
        <v>374</v>
      </c>
      <c r="D2951" s="1055" t="s">
        <v>1304</v>
      </c>
      <c r="E2951" s="1055" t="s">
        <v>1819</v>
      </c>
      <c r="F2951" s="1056">
        <v>17</v>
      </c>
      <c r="G2951" s="1056">
        <v>1</v>
      </c>
      <c r="H2951" s="1056">
        <v>0</v>
      </c>
      <c r="I2951" s="1056">
        <v>18</v>
      </c>
      <c r="J2951" s="996">
        <f t="shared" si="66"/>
        <v>-1</v>
      </c>
      <c r="K2951" s="1037">
        <f t="shared" si="67"/>
        <v>8</v>
      </c>
    </row>
    <row r="2952" spans="1:11" ht="13.9" customHeight="1">
      <c r="A2952" s="1054">
        <v>55958101</v>
      </c>
      <c r="B2952" s="1055" t="s">
        <v>893</v>
      </c>
      <c r="C2952" s="1055" t="s">
        <v>374</v>
      </c>
      <c r="D2952" s="1055" t="s">
        <v>1320</v>
      </c>
      <c r="E2952" s="1055" t="s">
        <v>1321</v>
      </c>
      <c r="F2952" s="1056">
        <v>0</v>
      </c>
      <c r="G2952" s="1056">
        <v>0</v>
      </c>
      <c r="H2952" s="1056">
        <v>0</v>
      </c>
      <c r="I2952" s="1056">
        <v>0</v>
      </c>
      <c r="J2952" s="996">
        <f t="shared" si="66"/>
        <v>0</v>
      </c>
      <c r="K2952" s="1037">
        <f t="shared" si="67"/>
        <v>8</v>
      </c>
    </row>
    <row r="2953" spans="1:11" ht="13.9" customHeight="1">
      <c r="A2953" s="1054">
        <v>55958101</v>
      </c>
      <c r="B2953" s="1055" t="s">
        <v>893</v>
      </c>
      <c r="C2953" s="1055" t="s">
        <v>374</v>
      </c>
      <c r="D2953" s="1055" t="s">
        <v>1274</v>
      </c>
      <c r="E2953" s="1055" t="s">
        <v>989</v>
      </c>
      <c r="F2953" s="1056">
        <v>23</v>
      </c>
      <c r="G2953" s="1056">
        <v>4</v>
      </c>
      <c r="H2953" s="1056">
        <v>0</v>
      </c>
      <c r="I2953" s="1056">
        <v>26</v>
      </c>
      <c r="J2953" s="996">
        <f t="shared" ref="J2953:J3002" si="68">+H2953-G2953</f>
        <v>-4</v>
      </c>
      <c r="K2953" s="1037">
        <f t="shared" si="67"/>
        <v>8</v>
      </c>
    </row>
    <row r="2954" spans="1:11" ht="13.9" customHeight="1">
      <c r="A2954" s="1054">
        <v>55958101</v>
      </c>
      <c r="B2954" s="1055" t="s">
        <v>893</v>
      </c>
      <c r="C2954" s="1055" t="s">
        <v>374</v>
      </c>
      <c r="D2954" s="1055" t="s">
        <v>1497</v>
      </c>
      <c r="E2954" s="1055" t="s">
        <v>1498</v>
      </c>
      <c r="F2954" s="1056">
        <v>0</v>
      </c>
      <c r="G2954" s="1056">
        <v>0</v>
      </c>
      <c r="H2954" s="1056">
        <v>0</v>
      </c>
      <c r="I2954" s="1056">
        <v>0</v>
      </c>
      <c r="J2954" s="996">
        <f t="shared" si="68"/>
        <v>0</v>
      </c>
      <c r="K2954" s="1037">
        <f t="shared" si="67"/>
        <v>8</v>
      </c>
    </row>
    <row r="2955" spans="1:11" ht="13.9" customHeight="1">
      <c r="A2955" s="1054">
        <v>55958101</v>
      </c>
      <c r="B2955" s="1055" t="s">
        <v>893</v>
      </c>
      <c r="C2955" s="1055" t="s">
        <v>374</v>
      </c>
      <c r="D2955" s="1055" t="s">
        <v>1043</v>
      </c>
      <c r="E2955" s="1055" t="s">
        <v>318</v>
      </c>
      <c r="F2955" s="1056">
        <v>0</v>
      </c>
      <c r="G2955" s="1056">
        <v>0</v>
      </c>
      <c r="H2955" s="1056">
        <v>0</v>
      </c>
      <c r="I2955" s="1056">
        <v>0</v>
      </c>
      <c r="J2955" s="996">
        <f t="shared" si="68"/>
        <v>0</v>
      </c>
      <c r="K2955" s="1037">
        <f t="shared" si="67"/>
        <v>8</v>
      </c>
    </row>
    <row r="2956" spans="1:11" ht="13.9" customHeight="1">
      <c r="A2956" s="1054">
        <v>55958101</v>
      </c>
      <c r="B2956" s="1055" t="s">
        <v>893</v>
      </c>
      <c r="C2956" s="1055" t="s">
        <v>374</v>
      </c>
      <c r="D2956" s="1055" t="s">
        <v>1370</v>
      </c>
      <c r="E2956" s="1055" t="s">
        <v>1371</v>
      </c>
      <c r="F2956" s="1056">
        <v>0</v>
      </c>
      <c r="G2956" s="1056">
        <v>0</v>
      </c>
      <c r="H2956" s="1056">
        <v>0</v>
      </c>
      <c r="I2956" s="1056">
        <v>0</v>
      </c>
      <c r="J2956" s="996">
        <f t="shared" si="68"/>
        <v>0</v>
      </c>
      <c r="K2956" s="1037">
        <f t="shared" si="67"/>
        <v>8</v>
      </c>
    </row>
    <row r="2957" spans="1:11" ht="13.9" customHeight="1">
      <c r="A2957" s="1054">
        <v>55958101</v>
      </c>
      <c r="B2957" s="1055" t="s">
        <v>893</v>
      </c>
      <c r="C2957" s="1055" t="s">
        <v>374</v>
      </c>
      <c r="D2957" s="1055" t="s">
        <v>1843</v>
      </c>
      <c r="E2957" s="1055" t="s">
        <v>1844</v>
      </c>
      <c r="F2957" s="1056">
        <v>0</v>
      </c>
      <c r="G2957" s="1056">
        <v>0</v>
      </c>
      <c r="H2957" s="1056">
        <v>0</v>
      </c>
      <c r="I2957" s="1056">
        <v>0</v>
      </c>
      <c r="J2957" s="996">
        <f t="shared" si="68"/>
        <v>0</v>
      </c>
      <c r="K2957" s="1037">
        <f t="shared" si="67"/>
        <v>8</v>
      </c>
    </row>
    <row r="2958" spans="1:11" ht="13.9" customHeight="1">
      <c r="A2958" s="1054">
        <v>55958101</v>
      </c>
      <c r="B2958" s="1055" t="s">
        <v>893</v>
      </c>
      <c r="C2958" s="1055" t="s">
        <v>374</v>
      </c>
      <c r="D2958" s="1055" t="s">
        <v>1222</v>
      </c>
      <c r="E2958" s="1055" t="s">
        <v>332</v>
      </c>
      <c r="F2958" s="1056">
        <v>2</v>
      </c>
      <c r="G2958" s="1056">
        <v>0</v>
      </c>
      <c r="H2958" s="1056">
        <v>0</v>
      </c>
      <c r="I2958" s="1056">
        <v>2</v>
      </c>
      <c r="J2958" s="996">
        <f t="shared" si="68"/>
        <v>0</v>
      </c>
      <c r="K2958" s="1037">
        <f t="shared" si="67"/>
        <v>8</v>
      </c>
    </row>
    <row r="2959" spans="1:11" ht="13.9" customHeight="1">
      <c r="A2959" s="1054">
        <v>55958101</v>
      </c>
      <c r="B2959" s="1055" t="s">
        <v>893</v>
      </c>
      <c r="C2959" s="1055" t="s">
        <v>374</v>
      </c>
      <c r="D2959" s="1055" t="s">
        <v>1069</v>
      </c>
      <c r="E2959" s="1055" t="s">
        <v>1070</v>
      </c>
      <c r="F2959" s="1056">
        <v>0</v>
      </c>
      <c r="G2959" s="1056">
        <v>0</v>
      </c>
      <c r="H2959" s="1056">
        <v>1</v>
      </c>
      <c r="I2959" s="1056">
        <v>-1</v>
      </c>
      <c r="J2959" s="996">
        <f t="shared" si="68"/>
        <v>1</v>
      </c>
      <c r="K2959" s="1037">
        <f t="shared" si="67"/>
        <v>8</v>
      </c>
    </row>
    <row r="2960" spans="1:11" ht="13.9" customHeight="1">
      <c r="A2960" s="1054">
        <v>55958101</v>
      </c>
      <c r="B2960" s="1055" t="s">
        <v>893</v>
      </c>
      <c r="C2960" s="1055" t="s">
        <v>374</v>
      </c>
      <c r="D2960" s="1055" t="s">
        <v>1035</v>
      </c>
      <c r="E2960" s="1055" t="s">
        <v>573</v>
      </c>
      <c r="F2960" s="1056">
        <v>2</v>
      </c>
      <c r="G2960" s="1056">
        <v>0</v>
      </c>
      <c r="H2960" s="1056">
        <v>0</v>
      </c>
      <c r="I2960" s="1056">
        <v>2</v>
      </c>
      <c r="J2960" s="996">
        <f t="shared" si="68"/>
        <v>0</v>
      </c>
      <c r="K2960" s="1037">
        <f t="shared" si="67"/>
        <v>8</v>
      </c>
    </row>
    <row r="2961" spans="1:11" ht="13.9" customHeight="1">
      <c r="A2961" s="1054">
        <v>55958101</v>
      </c>
      <c r="B2961" s="1055" t="s">
        <v>893</v>
      </c>
      <c r="C2961" s="1055" t="s">
        <v>374</v>
      </c>
      <c r="D2961" s="1055" t="s">
        <v>1038</v>
      </c>
      <c r="E2961" s="1055" t="s">
        <v>505</v>
      </c>
      <c r="F2961" s="1056">
        <v>1</v>
      </c>
      <c r="G2961" s="1056">
        <v>0</v>
      </c>
      <c r="H2961" s="1056">
        <v>0</v>
      </c>
      <c r="I2961" s="1056">
        <v>1</v>
      </c>
      <c r="J2961" s="996">
        <f t="shared" si="68"/>
        <v>0</v>
      </c>
      <c r="K2961" s="1037">
        <f t="shared" si="67"/>
        <v>8</v>
      </c>
    </row>
    <row r="2962" spans="1:11" ht="13.9" customHeight="1">
      <c r="A2962" s="1054">
        <v>55958101</v>
      </c>
      <c r="B2962" s="1055" t="s">
        <v>893</v>
      </c>
      <c r="C2962" s="1055" t="s">
        <v>374</v>
      </c>
      <c r="D2962" s="1055" t="s">
        <v>1759</v>
      </c>
      <c r="E2962" s="1055" t="s">
        <v>1760</v>
      </c>
      <c r="F2962" s="1056">
        <v>0</v>
      </c>
      <c r="G2962" s="1056">
        <v>0</v>
      </c>
      <c r="H2962" s="1056">
        <v>0</v>
      </c>
      <c r="I2962" s="1056">
        <v>0</v>
      </c>
      <c r="J2962" s="996">
        <f t="shared" si="68"/>
        <v>0</v>
      </c>
      <c r="K2962" s="1037">
        <f t="shared" si="67"/>
        <v>8</v>
      </c>
    </row>
    <row r="2963" spans="1:11" ht="13.9" customHeight="1">
      <c r="A2963" s="1054">
        <v>55958101</v>
      </c>
      <c r="B2963" s="1055" t="s">
        <v>893</v>
      </c>
      <c r="C2963" s="1055" t="s">
        <v>374</v>
      </c>
      <c r="D2963" s="1055" t="s">
        <v>1581</v>
      </c>
      <c r="E2963" s="1055" t="s">
        <v>1582</v>
      </c>
      <c r="F2963" s="1056">
        <v>0</v>
      </c>
      <c r="G2963" s="1056">
        <v>0</v>
      </c>
      <c r="H2963" s="1056">
        <v>0</v>
      </c>
      <c r="I2963" s="1056">
        <v>0</v>
      </c>
      <c r="J2963" s="996">
        <f t="shared" si="68"/>
        <v>0</v>
      </c>
      <c r="K2963" s="1037">
        <f t="shared" si="67"/>
        <v>8</v>
      </c>
    </row>
    <row r="2964" spans="1:11" ht="13.9" customHeight="1">
      <c r="A2964" s="1054">
        <v>55958101</v>
      </c>
      <c r="B2964" s="1055" t="s">
        <v>893</v>
      </c>
      <c r="C2964" s="1055" t="s">
        <v>374</v>
      </c>
      <c r="D2964" s="1055" t="s">
        <v>1521</v>
      </c>
      <c r="E2964" s="1055" t="s">
        <v>1522</v>
      </c>
      <c r="F2964" s="1056">
        <v>0</v>
      </c>
      <c r="G2964" s="1056">
        <v>0</v>
      </c>
      <c r="H2964" s="1056">
        <v>0</v>
      </c>
      <c r="I2964" s="1056">
        <v>0</v>
      </c>
      <c r="J2964" s="996">
        <f t="shared" si="68"/>
        <v>0</v>
      </c>
      <c r="K2964" s="1037">
        <f t="shared" si="67"/>
        <v>8</v>
      </c>
    </row>
    <row r="2965" spans="1:11" ht="13.9" customHeight="1">
      <c r="A2965" s="1054">
        <v>55958101</v>
      </c>
      <c r="B2965" s="1055" t="s">
        <v>893</v>
      </c>
      <c r="C2965" s="1055" t="s">
        <v>374</v>
      </c>
      <c r="D2965" s="1055" t="s">
        <v>1426</v>
      </c>
      <c r="E2965" s="1055" t="s">
        <v>1427</v>
      </c>
      <c r="F2965" s="1056">
        <v>0</v>
      </c>
      <c r="G2965" s="1056">
        <v>0</v>
      </c>
      <c r="H2965" s="1056">
        <v>0</v>
      </c>
      <c r="I2965" s="1056">
        <v>0</v>
      </c>
      <c r="J2965" s="996">
        <f t="shared" si="68"/>
        <v>0</v>
      </c>
      <c r="K2965" s="1037">
        <f t="shared" si="67"/>
        <v>8</v>
      </c>
    </row>
    <row r="2966" spans="1:11" ht="13.9" customHeight="1">
      <c r="A2966" s="1054">
        <v>55958101</v>
      </c>
      <c r="B2966" s="1055" t="s">
        <v>893</v>
      </c>
      <c r="C2966" s="1055" t="s">
        <v>374</v>
      </c>
      <c r="D2966" s="1055" t="s">
        <v>1374</v>
      </c>
      <c r="E2966" s="1055" t="s">
        <v>1375</v>
      </c>
      <c r="F2966" s="1056">
        <v>0</v>
      </c>
      <c r="G2966" s="1056">
        <v>0</v>
      </c>
      <c r="H2966" s="1056">
        <v>0</v>
      </c>
      <c r="I2966" s="1056">
        <v>0</v>
      </c>
      <c r="J2966" s="996">
        <f t="shared" si="68"/>
        <v>0</v>
      </c>
      <c r="K2966" s="1037">
        <f t="shared" si="67"/>
        <v>8</v>
      </c>
    </row>
    <row r="2967" spans="1:11" ht="13.9" customHeight="1">
      <c r="A2967" s="1054">
        <v>55958101</v>
      </c>
      <c r="B2967" s="1055" t="s">
        <v>893</v>
      </c>
      <c r="C2967" s="1055" t="s">
        <v>374</v>
      </c>
      <c r="D2967" s="1055" t="s">
        <v>1249</v>
      </c>
      <c r="E2967" s="1055" t="s">
        <v>583</v>
      </c>
      <c r="F2967" s="1056">
        <v>31</v>
      </c>
      <c r="G2967" s="1056">
        <v>11</v>
      </c>
      <c r="H2967" s="1056">
        <v>0</v>
      </c>
      <c r="I2967" s="1056">
        <v>42</v>
      </c>
      <c r="J2967" s="996">
        <f t="shared" si="68"/>
        <v>-11</v>
      </c>
      <c r="K2967" s="1037">
        <f t="shared" si="67"/>
        <v>8</v>
      </c>
    </row>
    <row r="2968" spans="1:11" ht="13.9" customHeight="1">
      <c r="A2968" s="1054">
        <v>55958101</v>
      </c>
      <c r="B2968" s="1055" t="s">
        <v>893</v>
      </c>
      <c r="C2968" s="1055" t="s">
        <v>374</v>
      </c>
      <c r="D2968" s="1055" t="s">
        <v>1376</v>
      </c>
      <c r="E2968" s="1055" t="s">
        <v>1377</v>
      </c>
      <c r="F2968" s="1056">
        <v>0</v>
      </c>
      <c r="G2968" s="1056">
        <v>0</v>
      </c>
      <c r="H2968" s="1056">
        <v>0</v>
      </c>
      <c r="I2968" s="1056">
        <v>0</v>
      </c>
      <c r="J2968" s="996">
        <f t="shared" si="68"/>
        <v>0</v>
      </c>
      <c r="K2968" s="1037">
        <f t="shared" si="67"/>
        <v>8</v>
      </c>
    </row>
    <row r="2969" spans="1:11" ht="13.9" customHeight="1">
      <c r="A2969" s="1054">
        <v>55958101</v>
      </c>
      <c r="B2969" s="1055" t="s">
        <v>893</v>
      </c>
      <c r="C2969" s="1055" t="s">
        <v>374</v>
      </c>
      <c r="D2969" s="1055" t="s">
        <v>1845</v>
      </c>
      <c r="E2969" s="1055" t="s">
        <v>1846</v>
      </c>
      <c r="F2969" s="1056">
        <v>0</v>
      </c>
      <c r="G2969" s="1056">
        <v>0</v>
      </c>
      <c r="H2969" s="1056">
        <v>0</v>
      </c>
      <c r="I2969" s="1056">
        <v>0</v>
      </c>
      <c r="J2969" s="996">
        <f t="shared" si="68"/>
        <v>0</v>
      </c>
      <c r="K2969" s="1037">
        <f t="shared" si="67"/>
        <v>8</v>
      </c>
    </row>
    <row r="2970" spans="1:11" ht="13.9" customHeight="1">
      <c r="A2970" s="1054">
        <v>55958101</v>
      </c>
      <c r="B2970" s="1055" t="s">
        <v>893</v>
      </c>
      <c r="C2970" s="1055" t="s">
        <v>374</v>
      </c>
      <c r="D2970" s="1055" t="s">
        <v>1306</v>
      </c>
      <c r="E2970" s="1055" t="s">
        <v>997</v>
      </c>
      <c r="F2970" s="1056">
        <v>0</v>
      </c>
      <c r="G2970" s="1056">
        <v>0</v>
      </c>
      <c r="H2970" s="1056">
        <v>0</v>
      </c>
      <c r="I2970" s="1056">
        <v>0</v>
      </c>
      <c r="J2970" s="996">
        <f t="shared" si="68"/>
        <v>0</v>
      </c>
      <c r="K2970" s="1037">
        <f t="shared" si="67"/>
        <v>8</v>
      </c>
    </row>
    <row r="2971" spans="1:11" ht="13.9" customHeight="1">
      <c r="A2971" s="1054">
        <v>55958101</v>
      </c>
      <c r="B2971" s="1055" t="s">
        <v>893</v>
      </c>
      <c r="C2971" s="1055" t="s">
        <v>374</v>
      </c>
      <c r="D2971" s="1055" t="s">
        <v>1897</v>
      </c>
      <c r="E2971" s="1055" t="s">
        <v>1898</v>
      </c>
      <c r="F2971" s="1056">
        <v>0</v>
      </c>
      <c r="G2971" s="1056">
        <v>0</v>
      </c>
      <c r="H2971" s="1056">
        <v>0</v>
      </c>
      <c r="I2971" s="1056">
        <v>0</v>
      </c>
      <c r="J2971" s="996">
        <f t="shared" si="68"/>
        <v>0</v>
      </c>
      <c r="K2971" s="1037">
        <f t="shared" si="67"/>
        <v>8</v>
      </c>
    </row>
    <row r="2972" spans="1:11" ht="13.9" customHeight="1">
      <c r="A2972" s="1054">
        <v>55958101</v>
      </c>
      <c r="B2972" s="1055" t="s">
        <v>893</v>
      </c>
      <c r="C2972" s="1055" t="s">
        <v>374</v>
      </c>
      <c r="D2972" s="1055" t="s">
        <v>1250</v>
      </c>
      <c r="E2972" s="1055" t="s">
        <v>1251</v>
      </c>
      <c r="F2972" s="1056">
        <v>0</v>
      </c>
      <c r="G2972" s="1056">
        <v>0</v>
      </c>
      <c r="H2972" s="1056">
        <v>0</v>
      </c>
      <c r="I2972" s="1056">
        <v>0</v>
      </c>
      <c r="J2972" s="996">
        <f t="shared" si="68"/>
        <v>0</v>
      </c>
      <c r="K2972" s="1037">
        <f t="shared" si="67"/>
        <v>8</v>
      </c>
    </row>
    <row r="2973" spans="1:11" ht="13.9" customHeight="1">
      <c r="A2973" s="1054">
        <v>55958101</v>
      </c>
      <c r="B2973" s="1055" t="s">
        <v>893</v>
      </c>
      <c r="C2973" s="1055" t="s">
        <v>374</v>
      </c>
      <c r="D2973" s="1055" t="s">
        <v>1899</v>
      </c>
      <c r="E2973" s="1055" t="s">
        <v>1900</v>
      </c>
      <c r="F2973" s="1056">
        <v>0</v>
      </c>
      <c r="G2973" s="1056">
        <v>0</v>
      </c>
      <c r="H2973" s="1056">
        <v>0</v>
      </c>
      <c r="I2973" s="1056">
        <v>0</v>
      </c>
      <c r="J2973" s="996">
        <f t="shared" si="68"/>
        <v>0</v>
      </c>
      <c r="K2973" s="1037">
        <f t="shared" si="67"/>
        <v>8</v>
      </c>
    </row>
    <row r="2974" spans="1:11" ht="13.9" customHeight="1">
      <c r="A2974" s="1054">
        <v>55958101</v>
      </c>
      <c r="B2974" s="1055" t="s">
        <v>893</v>
      </c>
      <c r="C2974" s="1055" t="s">
        <v>374</v>
      </c>
      <c r="D2974" s="1055" t="s">
        <v>1901</v>
      </c>
      <c r="E2974" s="1055" t="s">
        <v>1902</v>
      </c>
      <c r="F2974" s="1056">
        <v>0</v>
      </c>
      <c r="G2974" s="1056">
        <v>0</v>
      </c>
      <c r="H2974" s="1056">
        <v>0</v>
      </c>
      <c r="I2974" s="1056">
        <v>0</v>
      </c>
      <c r="J2974" s="996">
        <f t="shared" si="68"/>
        <v>0</v>
      </c>
      <c r="K2974" s="1037">
        <f t="shared" si="67"/>
        <v>8</v>
      </c>
    </row>
    <row r="2975" spans="1:11" ht="13.9" customHeight="1">
      <c r="A2975" s="1054">
        <v>55958101</v>
      </c>
      <c r="B2975" s="1055" t="s">
        <v>893</v>
      </c>
      <c r="C2975" s="1055" t="s">
        <v>374</v>
      </c>
      <c r="D2975" s="1055" t="s">
        <v>1686</v>
      </c>
      <c r="E2975" s="1055" t="s">
        <v>1687</v>
      </c>
      <c r="F2975" s="1056">
        <v>0</v>
      </c>
      <c r="G2975" s="1056">
        <v>0</v>
      </c>
      <c r="H2975" s="1056">
        <v>0</v>
      </c>
      <c r="I2975" s="1056">
        <v>0</v>
      </c>
      <c r="J2975" s="996">
        <f t="shared" si="68"/>
        <v>0</v>
      </c>
      <c r="K2975" s="1037">
        <f t="shared" si="67"/>
        <v>8</v>
      </c>
    </row>
    <row r="2976" spans="1:11" ht="13.9" customHeight="1">
      <c r="A2976" s="1054">
        <v>55958101</v>
      </c>
      <c r="B2976" s="1055" t="s">
        <v>893</v>
      </c>
      <c r="C2976" s="1055" t="s">
        <v>374</v>
      </c>
      <c r="D2976" s="1055" t="s">
        <v>1523</v>
      </c>
      <c r="E2976" s="1055" t="s">
        <v>1524</v>
      </c>
      <c r="F2976" s="1056">
        <v>0</v>
      </c>
      <c r="G2976" s="1056">
        <v>0</v>
      </c>
      <c r="H2976" s="1056">
        <v>0</v>
      </c>
      <c r="I2976" s="1056">
        <v>0</v>
      </c>
      <c r="J2976" s="996">
        <f t="shared" si="68"/>
        <v>0</v>
      </c>
      <c r="K2976" s="1037">
        <f t="shared" si="67"/>
        <v>8</v>
      </c>
    </row>
    <row r="2977" spans="1:11" ht="13.9" customHeight="1">
      <c r="A2977" s="1054">
        <v>55958101</v>
      </c>
      <c r="B2977" s="1055" t="s">
        <v>893</v>
      </c>
      <c r="C2977" s="1055" t="s">
        <v>374</v>
      </c>
      <c r="D2977" s="1055" t="s">
        <v>1480</v>
      </c>
      <c r="E2977" s="1055" t="s">
        <v>1481</v>
      </c>
      <c r="F2977" s="1056">
        <v>0</v>
      </c>
      <c r="G2977" s="1056">
        <v>0</v>
      </c>
      <c r="H2977" s="1056">
        <v>0</v>
      </c>
      <c r="I2977" s="1056">
        <v>0</v>
      </c>
      <c r="J2977" s="996">
        <f t="shared" si="68"/>
        <v>0</v>
      </c>
      <c r="K2977" s="1037">
        <f t="shared" si="67"/>
        <v>8</v>
      </c>
    </row>
    <row r="2978" spans="1:11" ht="13.9" customHeight="1">
      <c r="A2978" s="1054">
        <v>55958101</v>
      </c>
      <c r="B2978" s="1055" t="s">
        <v>893</v>
      </c>
      <c r="C2978" s="1055" t="s">
        <v>374</v>
      </c>
      <c r="D2978" s="1055" t="s">
        <v>1847</v>
      </c>
      <c r="E2978" s="1055" t="s">
        <v>1848</v>
      </c>
      <c r="F2978" s="1056">
        <v>0</v>
      </c>
      <c r="G2978" s="1056">
        <v>0</v>
      </c>
      <c r="H2978" s="1056">
        <v>0</v>
      </c>
      <c r="I2978" s="1056">
        <v>0</v>
      </c>
      <c r="J2978" s="996">
        <f t="shared" si="68"/>
        <v>0</v>
      </c>
      <c r="K2978" s="1037">
        <f t="shared" si="67"/>
        <v>8</v>
      </c>
    </row>
    <row r="2979" spans="1:11" ht="13.9" customHeight="1">
      <c r="A2979" s="1054">
        <v>55958101</v>
      </c>
      <c r="B2979" s="1055" t="s">
        <v>893</v>
      </c>
      <c r="C2979" s="1055" t="s">
        <v>374</v>
      </c>
      <c r="D2979" s="1055" t="s">
        <v>1254</v>
      </c>
      <c r="E2979" s="1055" t="s">
        <v>744</v>
      </c>
      <c r="F2979" s="1056">
        <v>0</v>
      </c>
      <c r="G2979" s="1056">
        <v>1</v>
      </c>
      <c r="H2979" s="1056">
        <v>0</v>
      </c>
      <c r="I2979" s="1056">
        <v>1</v>
      </c>
      <c r="J2979" s="996">
        <f t="shared" si="68"/>
        <v>-1</v>
      </c>
      <c r="K2979" s="1037">
        <f t="shared" si="67"/>
        <v>8</v>
      </c>
    </row>
    <row r="2980" spans="1:11" ht="13.9" customHeight="1">
      <c r="A2980" s="1054">
        <v>55958101</v>
      </c>
      <c r="B2980" s="1055" t="s">
        <v>893</v>
      </c>
      <c r="C2980" s="1055" t="s">
        <v>374</v>
      </c>
      <c r="D2980" s="1055" t="s">
        <v>1761</v>
      </c>
      <c r="E2980" s="1055" t="s">
        <v>1762</v>
      </c>
      <c r="F2980" s="1056">
        <v>0</v>
      </c>
      <c r="G2980" s="1056">
        <v>0</v>
      </c>
      <c r="H2980" s="1056">
        <v>0</v>
      </c>
      <c r="I2980" s="1056">
        <v>0</v>
      </c>
      <c r="J2980" s="996">
        <f t="shared" si="68"/>
        <v>0</v>
      </c>
      <c r="K2980" s="1037">
        <f t="shared" si="67"/>
        <v>8</v>
      </c>
    </row>
    <row r="2981" spans="1:11" ht="13.9" customHeight="1">
      <c r="A2981" s="1054">
        <v>55958101</v>
      </c>
      <c r="B2981" s="1055" t="s">
        <v>893</v>
      </c>
      <c r="C2981" s="1055" t="s">
        <v>374</v>
      </c>
      <c r="D2981" s="1055" t="s">
        <v>1428</v>
      </c>
      <c r="E2981" s="1055" t="s">
        <v>1429</v>
      </c>
      <c r="F2981" s="1056">
        <v>0</v>
      </c>
      <c r="G2981" s="1056">
        <v>0</v>
      </c>
      <c r="H2981" s="1056">
        <v>0</v>
      </c>
      <c r="I2981" s="1056">
        <v>0</v>
      </c>
      <c r="J2981" s="996">
        <f t="shared" si="68"/>
        <v>0</v>
      </c>
      <c r="K2981" s="1037">
        <f t="shared" si="67"/>
        <v>8</v>
      </c>
    </row>
    <row r="2982" spans="1:11" ht="13.9" customHeight="1">
      <c r="A2982" s="1054">
        <v>55958101</v>
      </c>
      <c r="B2982" s="1055" t="s">
        <v>893</v>
      </c>
      <c r="C2982" s="1055" t="s">
        <v>374</v>
      </c>
      <c r="D2982" s="1055" t="s">
        <v>1849</v>
      </c>
      <c r="E2982" s="1055" t="s">
        <v>1850</v>
      </c>
      <c r="F2982" s="1056">
        <v>0</v>
      </c>
      <c r="G2982" s="1056">
        <v>0</v>
      </c>
      <c r="H2982" s="1056">
        <v>0</v>
      </c>
      <c r="I2982" s="1056">
        <v>0</v>
      </c>
      <c r="J2982" s="996">
        <f t="shared" si="68"/>
        <v>0</v>
      </c>
      <c r="K2982" s="1037">
        <f t="shared" si="67"/>
        <v>8</v>
      </c>
    </row>
    <row r="2983" spans="1:11" ht="13.9" customHeight="1">
      <c r="A2983" s="1054">
        <v>55958101</v>
      </c>
      <c r="B2983" s="1055" t="s">
        <v>893</v>
      </c>
      <c r="C2983" s="1055" t="s">
        <v>374</v>
      </c>
      <c r="D2983" s="1055" t="s">
        <v>1275</v>
      </c>
      <c r="E2983" s="1055" t="s">
        <v>991</v>
      </c>
      <c r="F2983" s="1056">
        <v>30</v>
      </c>
      <c r="G2983" s="1056">
        <v>3</v>
      </c>
      <c r="H2983" s="1056">
        <v>0</v>
      </c>
      <c r="I2983" s="1056">
        <v>33</v>
      </c>
      <c r="J2983" s="996">
        <f t="shared" si="68"/>
        <v>-3</v>
      </c>
      <c r="K2983" s="1037">
        <f t="shared" si="67"/>
        <v>8</v>
      </c>
    </row>
    <row r="2984" spans="1:11" ht="13.9" customHeight="1">
      <c r="A2984" s="1054">
        <v>55958101</v>
      </c>
      <c r="B2984" s="1055" t="s">
        <v>893</v>
      </c>
      <c r="C2984" s="1055" t="s">
        <v>374</v>
      </c>
      <c r="D2984" s="1055" t="s">
        <v>1380</v>
      </c>
      <c r="E2984" s="1055" t="s">
        <v>1381</v>
      </c>
      <c r="F2984" s="1056">
        <v>0</v>
      </c>
      <c r="G2984" s="1056">
        <v>0</v>
      </c>
      <c r="H2984" s="1056">
        <v>0</v>
      </c>
      <c r="I2984" s="1056">
        <v>0</v>
      </c>
      <c r="J2984" s="996">
        <f t="shared" si="68"/>
        <v>0</v>
      </c>
      <c r="K2984" s="1037">
        <f t="shared" si="67"/>
        <v>8</v>
      </c>
    </row>
    <row r="2985" spans="1:11" ht="13.9" customHeight="1">
      <c r="A2985" s="1054">
        <v>55958101</v>
      </c>
      <c r="B2985" s="1055" t="s">
        <v>893</v>
      </c>
      <c r="C2985" s="1055" t="s">
        <v>374</v>
      </c>
      <c r="D2985" s="1055" t="s">
        <v>1585</v>
      </c>
      <c r="E2985" s="1055" t="s">
        <v>1586</v>
      </c>
      <c r="F2985" s="1056">
        <v>0</v>
      </c>
      <c r="G2985" s="1056">
        <v>0</v>
      </c>
      <c r="H2985" s="1056">
        <v>0</v>
      </c>
      <c r="I2985" s="1056">
        <v>0</v>
      </c>
      <c r="J2985" s="996">
        <f t="shared" si="68"/>
        <v>0</v>
      </c>
      <c r="K2985" s="1037">
        <f t="shared" si="67"/>
        <v>8</v>
      </c>
    </row>
    <row r="2986" spans="1:11" ht="13.9" customHeight="1">
      <c r="A2986" s="1054">
        <v>55958101</v>
      </c>
      <c r="B2986" s="1055" t="s">
        <v>893</v>
      </c>
      <c r="C2986" s="1055" t="s">
        <v>374</v>
      </c>
      <c r="D2986" s="1055" t="s">
        <v>1382</v>
      </c>
      <c r="E2986" s="1055" t="s">
        <v>1763</v>
      </c>
      <c r="F2986" s="1056">
        <v>0</v>
      </c>
      <c r="G2986" s="1056">
        <v>0</v>
      </c>
      <c r="H2986" s="1056">
        <v>0</v>
      </c>
      <c r="I2986" s="1056">
        <v>0</v>
      </c>
      <c r="J2986" s="996">
        <f t="shared" si="68"/>
        <v>0</v>
      </c>
      <c r="K2986" s="1037">
        <f t="shared" si="67"/>
        <v>8</v>
      </c>
    </row>
    <row r="2987" spans="1:11" ht="13.9" customHeight="1">
      <c r="A2987" s="1054">
        <v>55958101</v>
      </c>
      <c r="B2987" s="1055" t="s">
        <v>893</v>
      </c>
      <c r="C2987" s="1055" t="s">
        <v>374</v>
      </c>
      <c r="D2987" s="1055" t="s">
        <v>1440</v>
      </c>
      <c r="E2987" s="1055" t="s">
        <v>1441</v>
      </c>
      <c r="F2987" s="1056">
        <v>0</v>
      </c>
      <c r="G2987" s="1056">
        <v>0</v>
      </c>
      <c r="H2987" s="1056">
        <v>0</v>
      </c>
      <c r="I2987" s="1056">
        <v>0</v>
      </c>
      <c r="J2987" s="996">
        <f t="shared" si="68"/>
        <v>0</v>
      </c>
      <c r="K2987" s="1037">
        <f t="shared" si="67"/>
        <v>8</v>
      </c>
    </row>
    <row r="2988" spans="1:11" ht="13.9" customHeight="1">
      <c r="A2988" s="1054">
        <v>55958101</v>
      </c>
      <c r="B2988" s="1055" t="s">
        <v>893</v>
      </c>
      <c r="C2988" s="1055" t="s">
        <v>374</v>
      </c>
      <c r="D2988" s="1055" t="s">
        <v>1383</v>
      </c>
      <c r="E2988" s="1055" t="s">
        <v>1384</v>
      </c>
      <c r="F2988" s="1056">
        <v>0</v>
      </c>
      <c r="G2988" s="1056">
        <v>0</v>
      </c>
      <c r="H2988" s="1056">
        <v>0</v>
      </c>
      <c r="I2988" s="1056">
        <v>0</v>
      </c>
      <c r="J2988" s="996">
        <f t="shared" si="68"/>
        <v>0</v>
      </c>
      <c r="K2988" s="1037">
        <f t="shared" si="67"/>
        <v>8</v>
      </c>
    </row>
    <row r="2989" spans="1:11" ht="13.9" customHeight="1">
      <c r="A2989" s="1054">
        <v>55958101</v>
      </c>
      <c r="B2989" s="1055" t="s">
        <v>893</v>
      </c>
      <c r="C2989" s="1055" t="s">
        <v>374</v>
      </c>
      <c r="D2989" s="1055" t="s">
        <v>1430</v>
      </c>
      <c r="E2989" s="1055" t="s">
        <v>1431</v>
      </c>
      <c r="F2989" s="1056">
        <v>0</v>
      </c>
      <c r="G2989" s="1056">
        <v>0</v>
      </c>
      <c r="H2989" s="1056">
        <v>0</v>
      </c>
      <c r="I2989" s="1056">
        <v>0</v>
      </c>
      <c r="J2989" s="996">
        <f t="shared" si="68"/>
        <v>0</v>
      </c>
      <c r="K2989" s="1037">
        <f t="shared" si="67"/>
        <v>8</v>
      </c>
    </row>
    <row r="2990" spans="1:11" ht="13.9" customHeight="1">
      <c r="A2990" s="1054">
        <v>55958101</v>
      </c>
      <c r="B2990" s="1055" t="s">
        <v>893</v>
      </c>
      <c r="C2990" s="1055" t="s">
        <v>374</v>
      </c>
      <c r="D2990" s="1055" t="s">
        <v>1587</v>
      </c>
      <c r="E2990" s="1055" t="s">
        <v>1588</v>
      </c>
      <c r="F2990" s="1056">
        <v>0</v>
      </c>
      <c r="G2990" s="1056">
        <v>0</v>
      </c>
      <c r="H2990" s="1056">
        <v>0</v>
      </c>
      <c r="I2990" s="1056">
        <v>0</v>
      </c>
      <c r="J2990" s="996">
        <f t="shared" si="68"/>
        <v>0</v>
      </c>
      <c r="K2990" s="1037">
        <f t="shared" ref="K2990:K3002" si="69">+LEN(A2990)</f>
        <v>8</v>
      </c>
    </row>
    <row r="2991" spans="1:11" ht="13.9" customHeight="1">
      <c r="A2991" s="1054">
        <v>559595</v>
      </c>
      <c r="B2991" s="1055" t="s">
        <v>893</v>
      </c>
      <c r="C2991" s="1055" t="s">
        <v>323</v>
      </c>
      <c r="D2991" s="1055" t="s">
        <v>893</v>
      </c>
      <c r="E2991" s="1055" t="s">
        <v>893</v>
      </c>
      <c r="F2991" s="1056">
        <v>1</v>
      </c>
      <c r="G2991" s="1056">
        <v>2855</v>
      </c>
      <c r="H2991" s="1056">
        <v>2855</v>
      </c>
      <c r="I2991" s="1056">
        <v>1</v>
      </c>
      <c r="J2991" s="996">
        <f t="shared" si="68"/>
        <v>0</v>
      </c>
      <c r="K2991" s="1037">
        <f t="shared" si="69"/>
        <v>6</v>
      </c>
    </row>
    <row r="2992" spans="1:11" ht="13.9" customHeight="1">
      <c r="A2992" s="1054">
        <v>55959501</v>
      </c>
      <c r="B2992" s="1055" t="s">
        <v>893</v>
      </c>
      <c r="C2992" s="1055" t="s">
        <v>323</v>
      </c>
      <c r="D2992" s="1055" t="s">
        <v>893</v>
      </c>
      <c r="E2992" s="1055" t="s">
        <v>893</v>
      </c>
      <c r="F2992" s="1056">
        <v>1</v>
      </c>
      <c r="G2992" s="1056">
        <v>2855</v>
      </c>
      <c r="H2992" s="1056">
        <v>2855</v>
      </c>
      <c r="I2992" s="1056">
        <v>1</v>
      </c>
      <c r="J2992" s="996">
        <f t="shared" si="68"/>
        <v>0</v>
      </c>
      <c r="K2992" s="1037">
        <f t="shared" si="69"/>
        <v>8</v>
      </c>
    </row>
    <row r="2993" spans="1:11" ht="13.9" customHeight="1">
      <c r="A2993" s="1054">
        <v>55959501</v>
      </c>
      <c r="B2993" s="1055" t="s">
        <v>893</v>
      </c>
      <c r="C2993" s="1055" t="s">
        <v>323</v>
      </c>
      <c r="D2993" s="1055" t="s">
        <v>1171</v>
      </c>
      <c r="E2993" s="1055" t="s">
        <v>335</v>
      </c>
      <c r="F2993" s="1056">
        <v>1</v>
      </c>
      <c r="G2993" s="1056">
        <v>0</v>
      </c>
      <c r="H2993" s="1056">
        <v>0</v>
      </c>
      <c r="I2993" s="1056">
        <v>1</v>
      </c>
      <c r="J2993" s="996">
        <f t="shared" si="68"/>
        <v>0</v>
      </c>
      <c r="K2993" s="1037">
        <f t="shared" si="69"/>
        <v>8</v>
      </c>
    </row>
    <row r="2994" spans="1:11" ht="13.9" customHeight="1">
      <c r="A2994" s="1054">
        <v>55959501</v>
      </c>
      <c r="B2994" s="1055" t="s">
        <v>893</v>
      </c>
      <c r="C2994" s="1055" t="s">
        <v>323</v>
      </c>
      <c r="D2994" s="1055" t="s">
        <v>1035</v>
      </c>
      <c r="E2994" s="1055" t="s">
        <v>573</v>
      </c>
      <c r="F2994" s="1056">
        <v>0</v>
      </c>
      <c r="G2994" s="1056">
        <v>2698</v>
      </c>
      <c r="H2994" s="1056">
        <v>2698</v>
      </c>
      <c r="I2994" s="1056">
        <v>0</v>
      </c>
      <c r="J2994" s="996">
        <f t="shared" si="68"/>
        <v>0</v>
      </c>
      <c r="K2994" s="1037">
        <f t="shared" si="69"/>
        <v>8</v>
      </c>
    </row>
    <row r="2995" spans="1:11" ht="13.9" customHeight="1">
      <c r="A2995" s="1054">
        <v>55959501</v>
      </c>
      <c r="B2995" s="1055" t="s">
        <v>893</v>
      </c>
      <c r="C2995" s="1055" t="s">
        <v>323</v>
      </c>
      <c r="D2995" s="1055" t="s">
        <v>1296</v>
      </c>
      <c r="E2995" s="1055" t="s">
        <v>1297</v>
      </c>
      <c r="F2995" s="1056">
        <v>0</v>
      </c>
      <c r="G2995" s="1056">
        <v>45</v>
      </c>
      <c r="H2995" s="1056">
        <v>45</v>
      </c>
      <c r="I2995" s="1056">
        <v>0</v>
      </c>
      <c r="J2995" s="996">
        <f t="shared" si="68"/>
        <v>0</v>
      </c>
      <c r="K2995" s="1037">
        <f t="shared" si="69"/>
        <v>8</v>
      </c>
    </row>
    <row r="2996" spans="1:11" ht="13.9" customHeight="1">
      <c r="A2996" s="1054">
        <v>55959501</v>
      </c>
      <c r="B2996" s="1055" t="s">
        <v>893</v>
      </c>
      <c r="C2996" s="1055" t="s">
        <v>323</v>
      </c>
      <c r="D2996" s="1055" t="s">
        <v>1038</v>
      </c>
      <c r="E2996" s="1055" t="s">
        <v>505</v>
      </c>
      <c r="F2996" s="1056">
        <v>0</v>
      </c>
      <c r="G2996" s="1056">
        <v>111</v>
      </c>
      <c r="H2996" s="1056">
        <v>111</v>
      </c>
      <c r="I2996" s="1056">
        <v>0</v>
      </c>
      <c r="J2996" s="996">
        <f t="shared" si="68"/>
        <v>0</v>
      </c>
      <c r="K2996" s="1037">
        <f t="shared" si="69"/>
        <v>8</v>
      </c>
    </row>
    <row r="2997" spans="1:11" ht="13.9" customHeight="1">
      <c r="A2997" s="1054">
        <v>6</v>
      </c>
      <c r="B2997" s="1055" t="s">
        <v>893</v>
      </c>
      <c r="C2997" s="1055" t="s">
        <v>145</v>
      </c>
      <c r="D2997" s="1055" t="s">
        <v>893</v>
      </c>
      <c r="E2997" s="1055" t="s">
        <v>893</v>
      </c>
      <c r="F2997" s="1056">
        <v>1079275</v>
      </c>
      <c r="G2997" s="1056">
        <v>199860</v>
      </c>
      <c r="H2997" s="1056">
        <v>0</v>
      </c>
      <c r="I2997" s="1056">
        <v>1279136</v>
      </c>
      <c r="J2997" s="996">
        <f t="shared" si="68"/>
        <v>-199860</v>
      </c>
      <c r="K2997" s="1037">
        <f t="shared" si="69"/>
        <v>1</v>
      </c>
    </row>
    <row r="2998" spans="1:11" ht="13.9" customHeight="1">
      <c r="A2998" s="1054">
        <v>61</v>
      </c>
      <c r="B2998" s="1055" t="s">
        <v>893</v>
      </c>
      <c r="C2998" s="1055" t="s">
        <v>402</v>
      </c>
      <c r="D2998" s="1055" t="s">
        <v>893</v>
      </c>
      <c r="E2998" s="1055" t="s">
        <v>893</v>
      </c>
      <c r="F2998" s="1056">
        <v>1079275</v>
      </c>
      <c r="G2998" s="1056">
        <v>199860</v>
      </c>
      <c r="H2998" s="1056">
        <v>0</v>
      </c>
      <c r="I2998" s="1056">
        <v>1279136</v>
      </c>
      <c r="J2998" s="996">
        <f t="shared" si="68"/>
        <v>-199860</v>
      </c>
      <c r="K2998" s="1037">
        <f t="shared" si="69"/>
        <v>2</v>
      </c>
    </row>
    <row r="2999" spans="1:11" ht="13.9" customHeight="1">
      <c r="A2999" s="1054">
        <v>6135</v>
      </c>
      <c r="B2999" s="1055" t="s">
        <v>893</v>
      </c>
      <c r="C2999" s="1055" t="s">
        <v>553</v>
      </c>
      <c r="D2999" s="1055" t="s">
        <v>893</v>
      </c>
      <c r="E2999" s="1055" t="s">
        <v>893</v>
      </c>
      <c r="F2999" s="1056">
        <v>1079275</v>
      </c>
      <c r="G2999" s="1056">
        <v>199860</v>
      </c>
      <c r="H2999" s="1056">
        <v>0</v>
      </c>
      <c r="I2999" s="1056">
        <v>1279136</v>
      </c>
      <c r="J2999" s="996">
        <f t="shared" si="68"/>
        <v>-199860</v>
      </c>
      <c r="K2999" s="1037">
        <f t="shared" si="69"/>
        <v>4</v>
      </c>
    </row>
    <row r="3000" spans="1:11" ht="13.9" customHeight="1">
      <c r="A3000" s="1054">
        <v>613599</v>
      </c>
      <c r="B3000" s="1055" t="s">
        <v>1489</v>
      </c>
      <c r="C3000" s="1055" t="s">
        <v>584</v>
      </c>
      <c r="D3000" s="1055" t="s">
        <v>893</v>
      </c>
      <c r="E3000" s="1055" t="s">
        <v>893</v>
      </c>
      <c r="F3000" s="1056">
        <v>1079275</v>
      </c>
      <c r="G3000" s="1056">
        <v>199860</v>
      </c>
      <c r="H3000" s="1056">
        <v>0</v>
      </c>
      <c r="I3000" s="1056">
        <v>1279136</v>
      </c>
      <c r="J3000" s="996">
        <f t="shared" si="68"/>
        <v>-199860</v>
      </c>
      <c r="K3000" s="1037">
        <f t="shared" si="69"/>
        <v>6</v>
      </c>
    </row>
    <row r="3001" spans="1:11" ht="13.9" customHeight="1">
      <c r="A3001" s="1054">
        <v>613599</v>
      </c>
      <c r="B3001" s="1055" t="s">
        <v>1489</v>
      </c>
      <c r="C3001" s="1055" t="s">
        <v>584</v>
      </c>
      <c r="D3001" s="1055" t="s">
        <v>1101</v>
      </c>
      <c r="E3001" s="1055" t="s">
        <v>1102</v>
      </c>
      <c r="F3001" s="1056">
        <v>1079275</v>
      </c>
      <c r="G3001" s="1056">
        <v>199860</v>
      </c>
      <c r="H3001" s="1056">
        <v>0</v>
      </c>
      <c r="I3001" s="1056">
        <v>1279136</v>
      </c>
      <c r="J3001" s="996">
        <f t="shared" si="68"/>
        <v>-199860</v>
      </c>
      <c r="K3001" s="1037">
        <f t="shared" si="69"/>
        <v>6</v>
      </c>
    </row>
    <row r="3002" spans="1:11" ht="13.9" customHeight="1">
      <c r="A3002" s="1055"/>
      <c r="B3002" s="1055"/>
      <c r="C3002" s="1055"/>
      <c r="D3002" s="1055"/>
      <c r="E3002" s="1055"/>
      <c r="F3002" s="1056"/>
      <c r="G3002" s="1056"/>
      <c r="H3002" s="1056"/>
      <c r="I3002" s="1056"/>
      <c r="J3002" s="996">
        <f t="shared" si="68"/>
        <v>0</v>
      </c>
      <c r="K3002" s="1037">
        <f t="shared" si="69"/>
        <v>0</v>
      </c>
    </row>
    <row r="3003" spans="1:11" ht="13.9" customHeight="1">
      <c r="A3003" s="1055"/>
      <c r="B3003" s="1055"/>
      <c r="C3003" s="1055"/>
      <c r="D3003" s="1055"/>
      <c r="E3003" s="1055"/>
      <c r="F3003" s="1056"/>
      <c r="G3003" s="1056"/>
      <c r="H3003" s="1056"/>
      <c r="I3003" s="1056"/>
    </row>
    <row r="3004" spans="1:11" ht="13.9" customHeight="1">
      <c r="A3004" s="1055"/>
      <c r="B3004" s="1055"/>
      <c r="C3004" s="1055"/>
      <c r="D3004" s="1055"/>
      <c r="E3004" s="1055"/>
      <c r="F3004" s="1056"/>
      <c r="G3004" s="1056"/>
      <c r="H3004" s="1056"/>
      <c r="I3004" s="1056"/>
    </row>
    <row r="3005" spans="1:11" ht="13.9" customHeight="1">
      <c r="A3005" s="1055"/>
      <c r="B3005" s="1055"/>
      <c r="C3005" s="1055"/>
      <c r="D3005" s="1055"/>
      <c r="E3005" s="1055"/>
      <c r="F3005" s="1056"/>
      <c r="G3005" s="1056"/>
      <c r="H3005" s="1056"/>
      <c r="I3005" s="1056"/>
    </row>
    <row r="3006" spans="1:11" ht="13.9" customHeight="1">
      <c r="A3006" s="1055"/>
      <c r="B3006" s="1055"/>
      <c r="C3006" s="1055"/>
      <c r="D3006" s="1055"/>
      <c r="E3006" s="1055"/>
      <c r="F3006" s="1056"/>
      <c r="G3006" s="1056"/>
      <c r="H3006" s="1056"/>
      <c r="I3006" s="1056"/>
    </row>
    <row r="3007" spans="1:11" ht="13.9" customHeight="1">
      <c r="A3007" s="1055"/>
      <c r="B3007" s="1055"/>
      <c r="C3007" s="1055"/>
      <c r="D3007" s="1055"/>
      <c r="E3007" s="1055"/>
      <c r="F3007" s="1056"/>
      <c r="G3007" s="1056"/>
      <c r="H3007" s="1056"/>
      <c r="I3007" s="1056"/>
    </row>
    <row r="3008" spans="1:11" ht="13.9" customHeight="1">
      <c r="A3008" s="1055"/>
      <c r="B3008" s="1055"/>
      <c r="C3008" s="1055"/>
      <c r="D3008" s="1055"/>
      <c r="E3008" s="1055"/>
      <c r="F3008" s="1056"/>
      <c r="G3008" s="1056"/>
      <c r="H3008" s="1056"/>
      <c r="I3008" s="1056"/>
    </row>
    <row r="3009" spans="1:9" ht="13.9" customHeight="1">
      <c r="A3009" s="1055"/>
      <c r="B3009" s="1055"/>
      <c r="C3009" s="1055"/>
      <c r="D3009" s="1055"/>
      <c r="E3009" s="1055"/>
      <c r="F3009" s="1056"/>
      <c r="G3009" s="1056"/>
      <c r="H3009" s="1056"/>
      <c r="I3009" s="1056"/>
    </row>
    <row r="3010" spans="1:9" ht="13.9" customHeight="1">
      <c r="A3010" s="1055"/>
      <c r="B3010" s="1055"/>
      <c r="C3010" s="1055"/>
      <c r="D3010" s="1055"/>
      <c r="E3010" s="1055"/>
      <c r="F3010" s="1056"/>
      <c r="G3010" s="1056"/>
      <c r="H3010" s="1056"/>
      <c r="I3010" s="1056"/>
    </row>
    <row r="3011" spans="1:9" ht="13.9" customHeight="1">
      <c r="A3011" s="1055"/>
      <c r="B3011" s="1055"/>
      <c r="C3011" s="1055"/>
      <c r="D3011" s="1055"/>
      <c r="E3011" s="1055"/>
      <c r="F3011" s="1056"/>
      <c r="G3011" s="1056"/>
      <c r="H3011" s="1056"/>
      <c r="I3011" s="1056"/>
    </row>
    <row r="3012" spans="1:9" ht="13.9" customHeight="1">
      <c r="A3012" s="1055"/>
      <c r="B3012" s="1055"/>
      <c r="C3012" s="1055"/>
      <c r="D3012" s="1055"/>
      <c r="E3012" s="1055"/>
      <c r="F3012" s="1056"/>
      <c r="G3012" s="1056"/>
      <c r="H3012" s="1056"/>
      <c r="I3012" s="1056"/>
    </row>
    <row r="3013" spans="1:9" ht="13.9" customHeight="1">
      <c r="A3013" s="1055"/>
      <c r="B3013" s="1055"/>
      <c r="C3013" s="1055"/>
      <c r="D3013" s="1055"/>
      <c r="E3013" s="1055"/>
      <c r="F3013" s="1056"/>
      <c r="G3013" s="1056"/>
      <c r="H3013" s="1056"/>
      <c r="I3013" s="1056"/>
    </row>
    <row r="3014" spans="1:9" ht="13.9" customHeight="1">
      <c r="A3014" s="1055"/>
      <c r="B3014" s="1055"/>
      <c r="C3014" s="1055"/>
      <c r="D3014" s="1055"/>
      <c r="E3014" s="1055"/>
      <c r="F3014" s="1056"/>
      <c r="G3014" s="1056"/>
      <c r="H3014" s="1056"/>
      <c r="I3014" s="1056"/>
    </row>
    <row r="3015" spans="1:9" ht="13.9" customHeight="1">
      <c r="A3015" s="1055"/>
      <c r="B3015" s="1055"/>
      <c r="C3015" s="1055"/>
      <c r="D3015" s="1055"/>
      <c r="E3015" s="1055"/>
      <c r="F3015" s="1056"/>
      <c r="G3015" s="1056"/>
      <c r="H3015" s="1056"/>
      <c r="I3015" s="1056"/>
    </row>
    <row r="3016" spans="1:9" ht="13.9" customHeight="1">
      <c r="A3016" s="1055"/>
      <c r="B3016" s="1055"/>
      <c r="C3016" s="1055"/>
      <c r="D3016" s="1055"/>
      <c r="E3016" s="1055"/>
      <c r="F3016" s="1056"/>
      <c r="G3016" s="1056"/>
      <c r="H3016" s="1056"/>
      <c r="I3016" s="1056"/>
    </row>
    <row r="3017" spans="1:9" ht="13.9" customHeight="1">
      <c r="A3017" s="1055"/>
      <c r="B3017" s="1055"/>
      <c r="C3017" s="1055"/>
      <c r="D3017" s="1055"/>
      <c r="E3017" s="1055"/>
      <c r="F3017" s="1056"/>
      <c r="G3017" s="1056"/>
      <c r="H3017" s="1056"/>
      <c r="I3017" s="1056"/>
    </row>
    <row r="3018" spans="1:9" ht="13.9" customHeight="1">
      <c r="A3018" s="1055"/>
      <c r="B3018" s="1055"/>
      <c r="C3018" s="1055"/>
      <c r="D3018" s="1055"/>
      <c r="E3018" s="1055"/>
      <c r="F3018" s="1056"/>
      <c r="G3018" s="1056"/>
      <c r="H3018" s="1056"/>
      <c r="I3018" s="1056"/>
    </row>
    <row r="3019" spans="1:9" ht="13.9" customHeight="1">
      <c r="A3019" s="1055"/>
      <c r="B3019" s="1055"/>
      <c r="C3019" s="1055"/>
      <c r="D3019" s="1055"/>
      <c r="E3019" s="1055"/>
      <c r="F3019" s="1056"/>
      <c r="G3019" s="1056"/>
      <c r="H3019" s="1056"/>
      <c r="I3019" s="1056"/>
    </row>
    <row r="3020" spans="1:9" ht="13.9" customHeight="1">
      <c r="A3020" s="1055"/>
      <c r="B3020" s="1055"/>
      <c r="C3020" s="1055"/>
      <c r="D3020" s="1055"/>
      <c r="E3020" s="1055"/>
      <c r="F3020" s="1056"/>
      <c r="G3020" s="1056"/>
      <c r="H3020" s="1056"/>
      <c r="I3020" s="1056"/>
    </row>
    <row r="3021" spans="1:9" ht="13.9" customHeight="1">
      <c r="A3021" s="1055"/>
      <c r="B3021" s="1055"/>
      <c r="C3021" s="1055"/>
      <c r="D3021" s="1055"/>
      <c r="E3021" s="1055"/>
      <c r="F3021" s="1056"/>
      <c r="G3021" s="1056"/>
      <c r="H3021" s="1056"/>
      <c r="I3021" s="1056"/>
    </row>
    <row r="3022" spans="1:9" ht="13.9" customHeight="1">
      <c r="A3022" s="1055"/>
      <c r="B3022" s="1055"/>
      <c r="C3022" s="1055"/>
      <c r="D3022" s="1055"/>
      <c r="E3022" s="1055"/>
      <c r="F3022" s="1056"/>
      <c r="G3022" s="1056"/>
      <c r="H3022" s="1056"/>
      <c r="I3022" s="1056"/>
    </row>
    <row r="3023" spans="1:9" ht="13.9" customHeight="1">
      <c r="A3023" s="1055"/>
      <c r="B3023" s="1055"/>
      <c r="C3023" s="1055"/>
      <c r="D3023" s="1055"/>
      <c r="E3023" s="1055"/>
      <c r="F3023" s="1056"/>
      <c r="G3023" s="1056"/>
      <c r="H3023" s="1056"/>
      <c r="I3023" s="1056"/>
    </row>
    <row r="3024" spans="1:9" ht="13.9" customHeight="1">
      <c r="A3024" s="1055"/>
      <c r="B3024" s="1055"/>
      <c r="C3024" s="1055"/>
      <c r="D3024" s="1055"/>
      <c r="E3024" s="1055"/>
      <c r="F3024" s="1056"/>
      <c r="G3024" s="1056"/>
      <c r="H3024" s="1056"/>
      <c r="I3024" s="1056"/>
    </row>
    <row r="3025" spans="1:9" ht="13.9" customHeight="1">
      <c r="A3025" s="1055"/>
      <c r="B3025" s="1055"/>
      <c r="C3025" s="1055"/>
      <c r="D3025" s="1055"/>
      <c r="E3025" s="1055"/>
      <c r="F3025" s="1056"/>
      <c r="G3025" s="1056"/>
      <c r="H3025" s="1056"/>
      <c r="I3025" s="1056"/>
    </row>
    <row r="3026" spans="1:9" ht="13.9" customHeight="1">
      <c r="A3026" s="1055"/>
      <c r="B3026" s="1055"/>
      <c r="C3026" s="1055"/>
      <c r="D3026" s="1055"/>
      <c r="E3026" s="1055"/>
      <c r="F3026" s="1056"/>
      <c r="G3026" s="1056"/>
      <c r="H3026" s="1056"/>
      <c r="I3026" s="1056"/>
    </row>
    <row r="3027" spans="1:9" ht="13.9" customHeight="1">
      <c r="A3027" s="1055"/>
      <c r="B3027" s="1055"/>
      <c r="C3027" s="1055"/>
      <c r="D3027" s="1055"/>
      <c r="E3027" s="1055"/>
      <c r="F3027" s="1056"/>
      <c r="G3027" s="1056"/>
      <c r="H3027" s="1056"/>
      <c r="I3027" s="1056"/>
    </row>
    <row r="3028" spans="1:9" ht="13.9" customHeight="1">
      <c r="A3028" s="1055"/>
      <c r="B3028" s="1055"/>
      <c r="C3028" s="1055"/>
      <c r="D3028" s="1055"/>
      <c r="E3028" s="1055"/>
      <c r="F3028" s="1056"/>
      <c r="G3028" s="1056"/>
      <c r="H3028" s="1056"/>
      <c r="I3028" s="1056"/>
    </row>
    <row r="3029" spans="1:9" ht="13.9" customHeight="1">
      <c r="A3029" s="1055"/>
      <c r="B3029" s="1055"/>
      <c r="C3029" s="1055"/>
      <c r="D3029" s="1055"/>
      <c r="E3029" s="1055"/>
      <c r="F3029" s="1056"/>
      <c r="G3029" s="1056"/>
      <c r="H3029" s="1056"/>
      <c r="I3029" s="1056"/>
    </row>
    <row r="3030" spans="1:9" ht="13.9" customHeight="1">
      <c r="A3030" s="1055"/>
      <c r="B3030" s="1055"/>
      <c r="C3030" s="1055"/>
      <c r="D3030" s="1055"/>
      <c r="E3030" s="1055"/>
      <c r="F3030" s="1056"/>
      <c r="G3030" s="1056"/>
      <c r="H3030" s="1056"/>
      <c r="I3030" s="1056"/>
    </row>
    <row r="3031" spans="1:9" ht="13.9" customHeight="1">
      <c r="A3031" s="1055"/>
      <c r="B3031" s="1055"/>
      <c r="C3031" s="1055"/>
      <c r="D3031" s="1055"/>
      <c r="E3031" s="1055"/>
      <c r="F3031" s="1056"/>
      <c r="G3031" s="1056"/>
      <c r="H3031" s="1056"/>
      <c r="I3031" s="1056"/>
    </row>
    <row r="3032" spans="1:9" ht="13.9" customHeight="1">
      <c r="A3032" s="1055"/>
      <c r="B3032" s="1055"/>
      <c r="C3032" s="1055"/>
      <c r="D3032" s="1055"/>
      <c r="E3032" s="1055"/>
      <c r="F3032" s="1056"/>
      <c r="G3032" s="1056"/>
      <c r="H3032" s="1056"/>
      <c r="I3032" s="1056"/>
    </row>
    <row r="3033" spans="1:9" ht="13.9" customHeight="1">
      <c r="A3033" s="1055"/>
      <c r="B3033" s="1055"/>
      <c r="C3033" s="1055"/>
      <c r="D3033" s="1055"/>
      <c r="E3033" s="1055"/>
      <c r="F3033" s="1056"/>
      <c r="G3033" s="1056"/>
      <c r="H3033" s="1056"/>
      <c r="I3033" s="1056"/>
    </row>
    <row r="3034" spans="1:9" ht="13.9" customHeight="1">
      <c r="A3034" s="1055"/>
      <c r="B3034" s="1055"/>
      <c r="C3034" s="1055"/>
      <c r="D3034" s="1055"/>
      <c r="E3034" s="1055"/>
      <c r="F3034" s="1056"/>
      <c r="G3034" s="1056"/>
      <c r="H3034" s="1056"/>
      <c r="I3034" s="1056"/>
    </row>
    <row r="3035" spans="1:9" ht="13.9" customHeight="1">
      <c r="A3035" s="1055"/>
      <c r="B3035" s="1055"/>
      <c r="C3035" s="1055"/>
      <c r="D3035" s="1055"/>
      <c r="E3035" s="1055"/>
      <c r="F3035" s="1056"/>
      <c r="G3035" s="1056"/>
      <c r="H3035" s="1056"/>
      <c r="I3035" s="1056"/>
    </row>
    <row r="3036" spans="1:9" ht="13.9" customHeight="1">
      <c r="A3036" s="1055"/>
      <c r="B3036" s="1055"/>
      <c r="C3036" s="1055"/>
      <c r="D3036" s="1055"/>
      <c r="E3036" s="1055"/>
      <c r="F3036" s="1056"/>
      <c r="G3036" s="1056"/>
      <c r="H3036" s="1056"/>
      <c r="I3036" s="1056"/>
    </row>
    <row r="3037" spans="1:9" ht="13.9" customHeight="1">
      <c r="A3037" s="1055"/>
      <c r="B3037" s="1055"/>
      <c r="C3037" s="1055"/>
      <c r="D3037" s="1055"/>
      <c r="E3037" s="1055"/>
      <c r="F3037" s="1056"/>
      <c r="G3037" s="1056"/>
      <c r="H3037" s="1056"/>
      <c r="I3037" s="1056"/>
    </row>
    <row r="3038" spans="1:9" ht="13.9" customHeight="1">
      <c r="A3038" s="1055"/>
      <c r="B3038" s="1055"/>
      <c r="C3038" s="1055"/>
      <c r="D3038" s="1055"/>
      <c r="E3038" s="1055"/>
      <c r="F3038" s="1056"/>
      <c r="G3038" s="1056"/>
      <c r="H3038" s="1056"/>
      <c r="I3038" s="1056"/>
    </row>
    <row r="3039" spans="1:9" ht="13.9" customHeight="1">
      <c r="A3039" s="1055"/>
      <c r="B3039" s="1055"/>
      <c r="C3039" s="1055"/>
      <c r="D3039" s="1055"/>
      <c r="E3039" s="1055"/>
      <c r="F3039" s="1056"/>
      <c r="G3039" s="1056"/>
      <c r="H3039" s="1056"/>
      <c r="I3039" s="1056"/>
    </row>
    <row r="3040" spans="1:9" ht="13.9" customHeight="1">
      <c r="A3040" s="1055"/>
      <c r="B3040" s="1055"/>
      <c r="C3040" s="1055"/>
      <c r="D3040" s="1055"/>
      <c r="E3040" s="1055"/>
      <c r="F3040" s="1056"/>
      <c r="G3040" s="1056"/>
      <c r="H3040" s="1056"/>
      <c r="I3040" s="1056"/>
    </row>
    <row r="3041" spans="1:9" ht="13.9" customHeight="1">
      <c r="A3041" s="1055"/>
      <c r="B3041" s="1055"/>
      <c r="C3041" s="1055"/>
      <c r="D3041" s="1055"/>
      <c r="E3041" s="1055"/>
      <c r="F3041" s="1056"/>
      <c r="G3041" s="1056"/>
      <c r="H3041" s="1056"/>
      <c r="I3041" s="1056"/>
    </row>
    <row r="3042" spans="1:9" ht="13.9" customHeight="1">
      <c r="A3042" s="1055"/>
      <c r="B3042" s="1055"/>
      <c r="C3042" s="1055"/>
      <c r="D3042" s="1055"/>
      <c r="E3042" s="1055"/>
      <c r="F3042" s="1056"/>
      <c r="G3042" s="1056"/>
      <c r="H3042" s="1056"/>
      <c r="I3042" s="1056"/>
    </row>
    <row r="3043" spans="1:9" ht="13.9" customHeight="1">
      <c r="A3043" s="1055"/>
      <c r="B3043" s="1055"/>
      <c r="C3043" s="1055"/>
      <c r="D3043" s="1055"/>
      <c r="E3043" s="1055"/>
      <c r="F3043" s="1056"/>
      <c r="G3043" s="1056"/>
      <c r="H3043" s="1056"/>
      <c r="I3043" s="1056"/>
    </row>
    <row r="3044" spans="1:9" ht="13.9" customHeight="1">
      <c r="A3044" s="1055"/>
      <c r="B3044" s="1055"/>
      <c r="C3044" s="1055"/>
      <c r="D3044" s="1055"/>
      <c r="E3044" s="1055"/>
      <c r="F3044" s="1056"/>
      <c r="G3044" s="1056"/>
      <c r="H3044" s="1056"/>
      <c r="I3044" s="1056"/>
    </row>
    <row r="3045" spans="1:9" ht="13.9" customHeight="1">
      <c r="A3045" s="1055"/>
      <c r="B3045" s="1055"/>
      <c r="C3045" s="1055"/>
      <c r="D3045" s="1055"/>
      <c r="E3045" s="1055"/>
      <c r="F3045" s="1056"/>
      <c r="G3045" s="1056"/>
      <c r="H3045" s="1056"/>
      <c r="I3045" s="1056"/>
    </row>
    <row r="3046" spans="1:9" ht="13.9" customHeight="1">
      <c r="A3046" s="1055"/>
      <c r="B3046" s="1055"/>
      <c r="C3046" s="1055"/>
      <c r="D3046" s="1055"/>
      <c r="E3046" s="1055"/>
      <c r="F3046" s="1056"/>
      <c r="G3046" s="1056"/>
      <c r="H3046" s="1056"/>
      <c r="I3046" s="1056"/>
    </row>
    <row r="3047" spans="1:9" ht="13.9" customHeight="1">
      <c r="A3047" s="1055"/>
      <c r="B3047" s="1055"/>
      <c r="C3047" s="1055"/>
      <c r="D3047" s="1055"/>
      <c r="E3047" s="1055"/>
      <c r="F3047" s="1056"/>
      <c r="G3047" s="1056"/>
      <c r="H3047" s="1056"/>
      <c r="I3047" s="1056"/>
    </row>
    <row r="3048" spans="1:9" ht="13.9" customHeight="1">
      <c r="A3048" s="1055"/>
      <c r="B3048" s="1055"/>
      <c r="C3048" s="1055"/>
      <c r="D3048" s="1055"/>
      <c r="E3048" s="1055"/>
      <c r="F3048" s="1056"/>
      <c r="G3048" s="1056"/>
      <c r="H3048" s="1056"/>
      <c r="I3048" s="1056"/>
    </row>
    <row r="3049" spans="1:9" ht="13.9" customHeight="1">
      <c r="A3049" s="1055"/>
      <c r="B3049" s="1055"/>
      <c r="C3049" s="1055"/>
      <c r="D3049" s="1055"/>
      <c r="E3049" s="1055"/>
      <c r="F3049" s="1056"/>
      <c r="G3049" s="1056"/>
      <c r="H3049" s="1056"/>
      <c r="I3049" s="1056"/>
    </row>
    <row r="3050" spans="1:9" ht="13.9" customHeight="1">
      <c r="A3050" s="1055"/>
      <c r="B3050" s="1055"/>
      <c r="C3050" s="1055"/>
      <c r="D3050" s="1055"/>
      <c r="E3050" s="1055"/>
      <c r="F3050" s="1056"/>
      <c r="G3050" s="1056"/>
      <c r="H3050" s="1056"/>
      <c r="I3050" s="1056"/>
    </row>
    <row r="3051" spans="1:9" ht="13.9" customHeight="1">
      <c r="A3051" s="1055"/>
      <c r="B3051" s="1055"/>
      <c r="C3051" s="1055"/>
      <c r="D3051" s="1055"/>
      <c r="E3051" s="1055"/>
      <c r="F3051" s="1056"/>
      <c r="G3051" s="1056"/>
      <c r="H3051" s="1056"/>
      <c r="I3051" s="1056"/>
    </row>
    <row r="3052" spans="1:9" ht="13.9" customHeight="1">
      <c r="A3052" s="1055"/>
      <c r="B3052" s="1055"/>
      <c r="C3052" s="1055"/>
      <c r="D3052" s="1055"/>
      <c r="E3052" s="1055"/>
      <c r="F3052" s="1056"/>
      <c r="G3052" s="1056"/>
      <c r="H3052" s="1056"/>
      <c r="I3052" s="1056"/>
    </row>
    <row r="3053" spans="1:9" ht="13.9" customHeight="1">
      <c r="A3053" s="1055"/>
      <c r="B3053" s="1055"/>
      <c r="C3053" s="1055"/>
      <c r="D3053" s="1055"/>
      <c r="E3053" s="1055"/>
      <c r="F3053" s="1056"/>
      <c r="G3053" s="1056"/>
      <c r="H3053" s="1056"/>
      <c r="I3053" s="1056"/>
    </row>
    <row r="3054" spans="1:9" ht="13.9" customHeight="1">
      <c r="A3054" s="1055"/>
      <c r="B3054" s="1055"/>
      <c r="C3054" s="1055"/>
      <c r="D3054" s="1055"/>
      <c r="E3054" s="1055"/>
      <c r="F3054" s="1056"/>
      <c r="G3054" s="1056"/>
      <c r="H3054" s="1056"/>
      <c r="I3054" s="1056"/>
    </row>
    <row r="3055" spans="1:9" ht="13.9" customHeight="1">
      <c r="A3055" s="1055"/>
      <c r="B3055" s="1055"/>
      <c r="C3055" s="1055"/>
      <c r="D3055" s="1055"/>
      <c r="E3055" s="1055"/>
      <c r="F3055" s="1056"/>
      <c r="G3055" s="1056"/>
      <c r="H3055" s="1056"/>
      <c r="I3055" s="1056"/>
    </row>
    <row r="3056" spans="1:9" ht="13.9" customHeight="1">
      <c r="A3056" s="1055"/>
      <c r="B3056" s="1055"/>
      <c r="C3056" s="1055"/>
      <c r="D3056" s="1055"/>
      <c r="E3056" s="1055"/>
      <c r="F3056" s="1056"/>
      <c r="G3056" s="1056"/>
      <c r="H3056" s="1056"/>
      <c r="I3056" s="1056"/>
    </row>
    <row r="3057" spans="1:9" ht="13.9" customHeight="1">
      <c r="A3057" s="1055"/>
      <c r="B3057" s="1055"/>
      <c r="C3057" s="1055"/>
      <c r="D3057" s="1055"/>
      <c r="E3057" s="1055"/>
      <c r="F3057" s="1056"/>
      <c r="G3057" s="1056"/>
      <c r="H3057" s="1056"/>
      <c r="I3057" s="1056"/>
    </row>
    <row r="3058" spans="1:9" ht="13.9" customHeight="1">
      <c r="A3058" s="1055"/>
      <c r="B3058" s="1055"/>
      <c r="C3058" s="1055"/>
      <c r="D3058" s="1055"/>
      <c r="E3058" s="1055"/>
      <c r="F3058" s="1056"/>
      <c r="G3058" s="1056"/>
      <c r="H3058" s="1056"/>
      <c r="I3058" s="1056"/>
    </row>
    <row r="3059" spans="1:9" ht="13.9" customHeight="1">
      <c r="A3059" s="1055"/>
      <c r="B3059" s="1055"/>
      <c r="C3059" s="1055"/>
      <c r="D3059" s="1055"/>
      <c r="E3059" s="1055"/>
      <c r="F3059" s="1056"/>
      <c r="G3059" s="1056"/>
      <c r="H3059" s="1056"/>
      <c r="I3059" s="1056"/>
    </row>
    <row r="3060" spans="1:9" ht="13.9" customHeight="1">
      <c r="A3060" s="1055"/>
      <c r="B3060" s="1055"/>
      <c r="C3060" s="1055"/>
      <c r="D3060" s="1055"/>
      <c r="E3060" s="1055"/>
      <c r="F3060" s="1056"/>
      <c r="G3060" s="1056"/>
      <c r="H3060" s="1056"/>
      <c r="I3060" s="1056"/>
    </row>
    <row r="3061" spans="1:9" ht="13.9" customHeight="1">
      <c r="A3061" s="1055"/>
      <c r="B3061" s="1055"/>
      <c r="C3061" s="1055"/>
      <c r="D3061" s="1055"/>
      <c r="E3061" s="1055"/>
      <c r="F3061" s="1056"/>
      <c r="G3061" s="1056"/>
      <c r="H3061" s="1056"/>
      <c r="I3061" s="1056"/>
    </row>
    <row r="3062" spans="1:9" ht="13.9" customHeight="1">
      <c r="A3062" s="1055"/>
      <c r="B3062" s="1055"/>
      <c r="C3062" s="1055"/>
      <c r="D3062" s="1055"/>
      <c r="E3062" s="1055"/>
      <c r="F3062" s="1056"/>
      <c r="G3062" s="1056"/>
      <c r="H3062" s="1056"/>
      <c r="I3062" s="1056"/>
    </row>
    <row r="3063" spans="1:9" ht="13.9" customHeight="1">
      <c r="A3063" s="1055"/>
      <c r="B3063" s="1055"/>
      <c r="C3063" s="1055"/>
      <c r="D3063" s="1055"/>
      <c r="E3063" s="1055"/>
      <c r="F3063" s="1056"/>
      <c r="G3063" s="1056"/>
      <c r="H3063" s="1056"/>
      <c r="I3063" s="1056"/>
    </row>
    <row r="3064" spans="1:9" ht="13.9" customHeight="1">
      <c r="A3064" s="1055"/>
      <c r="B3064" s="1055"/>
      <c r="C3064" s="1055"/>
      <c r="D3064" s="1055"/>
      <c r="E3064" s="1055"/>
      <c r="F3064" s="1056"/>
      <c r="G3064" s="1056"/>
      <c r="H3064" s="1056"/>
      <c r="I3064" s="1056"/>
    </row>
    <row r="3065" spans="1:9" ht="13.9" customHeight="1">
      <c r="A3065" s="1055"/>
      <c r="B3065" s="1055"/>
      <c r="C3065" s="1055"/>
      <c r="D3065" s="1055"/>
      <c r="E3065" s="1055"/>
      <c r="F3065" s="1056"/>
      <c r="G3065" s="1056"/>
      <c r="H3065" s="1056"/>
      <c r="I3065" s="1056"/>
    </row>
    <row r="3066" spans="1:9" ht="13.9" customHeight="1">
      <c r="A3066" s="1055"/>
      <c r="B3066" s="1055"/>
      <c r="C3066" s="1055"/>
      <c r="D3066" s="1055"/>
      <c r="E3066" s="1055"/>
      <c r="F3066" s="1056"/>
      <c r="G3066" s="1056"/>
      <c r="H3066" s="1056"/>
      <c r="I3066" s="1056"/>
    </row>
    <row r="3067" spans="1:9" ht="13.9" customHeight="1">
      <c r="A3067" s="1055"/>
      <c r="B3067" s="1055"/>
      <c r="C3067" s="1055"/>
      <c r="D3067" s="1055"/>
      <c r="E3067" s="1055"/>
      <c r="F3067" s="1056"/>
      <c r="G3067" s="1056"/>
      <c r="H3067" s="1056"/>
      <c r="I3067" s="1056"/>
    </row>
    <row r="3068" spans="1:9" ht="13.9" customHeight="1">
      <c r="A3068" s="1055"/>
      <c r="B3068" s="1055"/>
      <c r="C3068" s="1055"/>
      <c r="D3068" s="1055"/>
      <c r="E3068" s="1055"/>
      <c r="F3068" s="1056"/>
      <c r="G3068" s="1056"/>
      <c r="H3068" s="1056"/>
      <c r="I3068" s="1056"/>
    </row>
    <row r="3069" spans="1:9" ht="13.9" customHeight="1">
      <c r="A3069" s="1055"/>
      <c r="B3069" s="1055"/>
      <c r="C3069" s="1055"/>
      <c r="D3069" s="1055"/>
      <c r="E3069" s="1055"/>
      <c r="F3069" s="1056"/>
      <c r="G3069" s="1056"/>
      <c r="H3069" s="1056"/>
      <c r="I3069" s="1056"/>
    </row>
    <row r="3070" spans="1:9" ht="13.9" customHeight="1">
      <c r="A3070" s="1055"/>
      <c r="B3070" s="1055"/>
      <c r="C3070" s="1055"/>
      <c r="D3070" s="1055"/>
      <c r="E3070" s="1055"/>
      <c r="F3070" s="1056"/>
      <c r="G3070" s="1056"/>
      <c r="H3070" s="1056"/>
      <c r="I3070" s="1056"/>
    </row>
    <row r="3071" spans="1:9" ht="13.9" customHeight="1">
      <c r="A3071" s="1055"/>
      <c r="B3071" s="1055"/>
      <c r="C3071" s="1055"/>
      <c r="D3071" s="1055"/>
      <c r="E3071" s="1055"/>
      <c r="F3071" s="1056"/>
      <c r="G3071" s="1056"/>
      <c r="H3071" s="1056"/>
      <c r="I3071" s="1056"/>
    </row>
    <row r="3072" spans="1:9" ht="13.9" customHeight="1">
      <c r="A3072" s="1055"/>
      <c r="B3072" s="1055"/>
      <c r="C3072" s="1055"/>
      <c r="D3072" s="1055"/>
      <c r="E3072" s="1055"/>
      <c r="F3072" s="1056"/>
      <c r="G3072" s="1056"/>
      <c r="H3072" s="1056"/>
      <c r="I3072" s="1056"/>
    </row>
    <row r="3073" spans="1:9" ht="13.9" customHeight="1">
      <c r="A3073" s="1055"/>
      <c r="B3073" s="1055"/>
      <c r="C3073" s="1055"/>
      <c r="D3073" s="1055"/>
      <c r="E3073" s="1055"/>
      <c r="F3073" s="1056"/>
      <c r="G3073" s="1056"/>
      <c r="H3073" s="1056"/>
      <c r="I3073" s="1056"/>
    </row>
    <row r="3074" spans="1:9" ht="13.9" customHeight="1">
      <c r="A3074" s="1055"/>
      <c r="B3074" s="1055"/>
      <c r="C3074" s="1055"/>
      <c r="D3074" s="1055"/>
      <c r="E3074" s="1055"/>
      <c r="F3074" s="1056"/>
      <c r="G3074" s="1056"/>
      <c r="H3074" s="1056"/>
      <c r="I3074" s="1056"/>
    </row>
    <row r="3075" spans="1:9" ht="13.9" customHeight="1">
      <c r="A3075" s="1055"/>
      <c r="B3075" s="1055"/>
      <c r="C3075" s="1055"/>
      <c r="D3075" s="1055"/>
      <c r="E3075" s="1055"/>
      <c r="F3075" s="1056"/>
      <c r="G3075" s="1056"/>
      <c r="H3075" s="1056"/>
      <c r="I3075" s="1056"/>
    </row>
    <row r="3076" spans="1:9" ht="13.9" customHeight="1">
      <c r="A3076" s="1055"/>
      <c r="B3076" s="1055"/>
      <c r="C3076" s="1055"/>
      <c r="D3076" s="1055"/>
      <c r="E3076" s="1055"/>
      <c r="F3076" s="1056"/>
      <c r="G3076" s="1056"/>
      <c r="H3076" s="1056"/>
      <c r="I3076" s="1056"/>
    </row>
    <row r="3077" spans="1:9" ht="13.9" customHeight="1">
      <c r="A3077" s="1055"/>
      <c r="B3077" s="1055"/>
      <c r="C3077" s="1055"/>
      <c r="D3077" s="1055"/>
      <c r="E3077" s="1055"/>
      <c r="F3077" s="1056"/>
      <c r="G3077" s="1056"/>
      <c r="H3077" s="1056"/>
      <c r="I3077" s="1056"/>
    </row>
    <row r="3078" spans="1:9" ht="13.9" customHeight="1">
      <c r="A3078" s="1055"/>
      <c r="B3078" s="1055"/>
      <c r="C3078" s="1055"/>
      <c r="D3078" s="1055"/>
      <c r="E3078" s="1055"/>
      <c r="F3078" s="1056"/>
      <c r="G3078" s="1056"/>
      <c r="H3078" s="1056"/>
      <c r="I3078" s="1056"/>
    </row>
    <row r="3079" spans="1:9" ht="13.9" customHeight="1">
      <c r="A3079" s="1055"/>
      <c r="B3079" s="1055"/>
      <c r="C3079" s="1055"/>
      <c r="D3079" s="1055"/>
      <c r="E3079" s="1055"/>
      <c r="F3079" s="1056"/>
      <c r="G3079" s="1056"/>
      <c r="H3079" s="1056"/>
      <c r="I3079" s="1056"/>
    </row>
    <row r="3080" spans="1:9" ht="13.9" customHeight="1">
      <c r="A3080" s="1055"/>
      <c r="B3080" s="1055"/>
      <c r="C3080" s="1055"/>
      <c r="D3080" s="1055"/>
      <c r="E3080" s="1055"/>
      <c r="F3080" s="1056"/>
      <c r="G3080" s="1056"/>
      <c r="H3080" s="1056"/>
      <c r="I3080" s="1056"/>
    </row>
    <row r="3081" spans="1:9" ht="13.9" customHeight="1">
      <c r="A3081" s="1055"/>
      <c r="B3081" s="1055"/>
      <c r="C3081" s="1055"/>
      <c r="D3081" s="1055"/>
      <c r="E3081" s="1055"/>
      <c r="F3081" s="1056"/>
      <c r="G3081" s="1056"/>
      <c r="H3081" s="1056"/>
      <c r="I3081" s="1056"/>
    </row>
    <row r="3082" spans="1:9" ht="13.9" customHeight="1">
      <c r="A3082" s="1055"/>
      <c r="B3082" s="1055"/>
      <c r="C3082" s="1055"/>
      <c r="D3082" s="1055"/>
      <c r="E3082" s="1055"/>
      <c r="F3082" s="1056"/>
      <c r="G3082" s="1056"/>
      <c r="H3082" s="1056"/>
      <c r="I3082" s="1056"/>
    </row>
    <row r="3083" spans="1:9" ht="13.9" customHeight="1">
      <c r="A3083" s="1055"/>
      <c r="B3083" s="1055"/>
      <c r="C3083" s="1055"/>
      <c r="D3083" s="1055"/>
      <c r="E3083" s="1055"/>
      <c r="F3083" s="1056"/>
      <c r="G3083" s="1056"/>
      <c r="H3083" s="1056"/>
      <c r="I3083" s="1056"/>
    </row>
    <row r="3084" spans="1:9" ht="13.9" customHeight="1">
      <c r="A3084" s="1055"/>
      <c r="B3084" s="1055"/>
      <c r="C3084" s="1055"/>
      <c r="D3084" s="1055"/>
      <c r="E3084" s="1055"/>
      <c r="F3084" s="1056"/>
      <c r="G3084" s="1056"/>
      <c r="H3084" s="1056"/>
      <c r="I3084" s="1056"/>
    </row>
    <row r="3085" spans="1:9" ht="13.9" customHeight="1">
      <c r="A3085" s="1055"/>
      <c r="B3085" s="1055"/>
      <c r="C3085" s="1055"/>
      <c r="D3085" s="1055"/>
      <c r="E3085" s="1055"/>
      <c r="F3085" s="1056"/>
      <c r="G3085" s="1056"/>
      <c r="H3085" s="1056"/>
      <c r="I3085" s="1056"/>
    </row>
    <row r="3086" spans="1:9" ht="13.9" customHeight="1">
      <c r="A3086" s="1055"/>
      <c r="B3086" s="1055"/>
      <c r="C3086" s="1055"/>
      <c r="D3086" s="1055"/>
      <c r="E3086" s="1055"/>
      <c r="F3086" s="1056"/>
      <c r="G3086" s="1056"/>
      <c r="H3086" s="1056"/>
      <c r="I3086" s="1056"/>
    </row>
    <row r="3087" spans="1:9" ht="13.9" customHeight="1">
      <c r="A3087" s="1055"/>
      <c r="B3087" s="1055"/>
      <c r="C3087" s="1055"/>
      <c r="D3087" s="1055"/>
      <c r="E3087" s="1055"/>
      <c r="F3087" s="1056"/>
      <c r="G3087" s="1056"/>
      <c r="H3087" s="1056"/>
      <c r="I3087" s="1056"/>
    </row>
    <row r="3088" spans="1:9" ht="13.9" customHeight="1">
      <c r="A3088" s="1055"/>
      <c r="B3088" s="1055"/>
      <c r="C3088" s="1055"/>
      <c r="D3088" s="1055"/>
      <c r="E3088" s="1055"/>
      <c r="F3088" s="1056"/>
      <c r="G3088" s="1056"/>
      <c r="H3088" s="1056"/>
      <c r="I3088" s="1056"/>
    </row>
    <row r="3089" spans="1:9" ht="13.9" customHeight="1">
      <c r="A3089" s="1055"/>
      <c r="B3089" s="1055"/>
      <c r="C3089" s="1055"/>
      <c r="D3089" s="1055"/>
      <c r="E3089" s="1055"/>
      <c r="F3089" s="1056"/>
      <c r="G3089" s="1056"/>
      <c r="H3089" s="1056"/>
      <c r="I3089" s="1056"/>
    </row>
    <row r="3090" spans="1:9" ht="13.9" customHeight="1">
      <c r="A3090" s="1055"/>
      <c r="B3090" s="1055"/>
      <c r="C3090" s="1055"/>
      <c r="D3090" s="1055"/>
      <c r="E3090" s="1055"/>
      <c r="F3090" s="1056"/>
      <c r="G3090" s="1056"/>
      <c r="H3090" s="1056"/>
      <c r="I3090" s="1056"/>
    </row>
    <row r="3091" spans="1:9" ht="13.9" customHeight="1">
      <c r="A3091" s="1055"/>
      <c r="B3091" s="1055"/>
      <c r="C3091" s="1055"/>
      <c r="D3091" s="1055"/>
      <c r="E3091" s="1055"/>
      <c r="F3091" s="1056"/>
      <c r="G3091" s="1056"/>
      <c r="H3091" s="1056"/>
      <c r="I3091" s="1056"/>
    </row>
    <row r="3092" spans="1:9" ht="13.9" customHeight="1">
      <c r="A3092" s="1055"/>
      <c r="B3092" s="1055"/>
      <c r="C3092" s="1055"/>
      <c r="D3092" s="1055"/>
      <c r="E3092" s="1055"/>
      <c r="F3092" s="1056"/>
      <c r="G3092" s="1056"/>
      <c r="H3092" s="1056"/>
      <c r="I3092" s="1056"/>
    </row>
    <row r="3093" spans="1:9" ht="13.9" customHeight="1">
      <c r="A3093" s="1055"/>
      <c r="B3093" s="1055"/>
      <c r="C3093" s="1055"/>
      <c r="D3093" s="1055"/>
      <c r="E3093" s="1055"/>
      <c r="F3093" s="1056"/>
      <c r="G3093" s="1056"/>
      <c r="H3093" s="1056"/>
      <c r="I3093" s="1056"/>
    </row>
    <row r="3094" spans="1:9" ht="13.9" customHeight="1">
      <c r="A3094" s="1055"/>
      <c r="B3094" s="1055"/>
      <c r="C3094" s="1055"/>
      <c r="D3094" s="1055"/>
      <c r="E3094" s="1055"/>
      <c r="F3094" s="1056"/>
      <c r="G3094" s="1056"/>
      <c r="H3094" s="1056"/>
      <c r="I3094" s="1056"/>
    </row>
    <row r="3095" spans="1:9" ht="13.9" customHeight="1">
      <c r="A3095" s="1055"/>
      <c r="B3095" s="1055"/>
      <c r="C3095" s="1055"/>
      <c r="D3095" s="1055"/>
      <c r="E3095" s="1055"/>
      <c r="F3095" s="1056"/>
      <c r="G3095" s="1056"/>
      <c r="H3095" s="1056"/>
      <c r="I3095" s="1056"/>
    </row>
    <row r="3096" spans="1:9" ht="13.9" customHeight="1">
      <c r="A3096" s="1055"/>
      <c r="B3096" s="1055"/>
      <c r="C3096" s="1055"/>
      <c r="D3096" s="1055"/>
      <c r="E3096" s="1055"/>
      <c r="F3096" s="1056"/>
      <c r="G3096" s="1056"/>
      <c r="H3096" s="1056"/>
      <c r="I3096" s="1056"/>
    </row>
    <row r="3097" spans="1:9" ht="13.9" customHeight="1">
      <c r="A3097" s="1055"/>
      <c r="B3097" s="1055"/>
      <c r="C3097" s="1055"/>
      <c r="D3097" s="1055"/>
      <c r="E3097" s="1055"/>
      <c r="F3097" s="1056"/>
      <c r="G3097" s="1056"/>
      <c r="H3097" s="1056"/>
      <c r="I3097" s="1056"/>
    </row>
    <row r="3098" spans="1:9" ht="13.9" customHeight="1">
      <c r="A3098" s="1055"/>
      <c r="B3098" s="1055"/>
      <c r="C3098" s="1055"/>
      <c r="D3098" s="1055"/>
      <c r="E3098" s="1055"/>
      <c r="F3098" s="1056"/>
      <c r="G3098" s="1056"/>
      <c r="H3098" s="1056"/>
      <c r="I3098" s="1056"/>
    </row>
    <row r="3099" spans="1:9" ht="13.9" customHeight="1">
      <c r="A3099" s="1055"/>
      <c r="B3099" s="1055"/>
      <c r="C3099" s="1055"/>
      <c r="D3099" s="1055"/>
      <c r="E3099" s="1055"/>
      <c r="F3099" s="1056"/>
      <c r="G3099" s="1056"/>
      <c r="H3099" s="1056"/>
      <c r="I3099" s="1056"/>
    </row>
    <row r="3100" spans="1:9" ht="13.9" customHeight="1">
      <c r="A3100" s="1055"/>
      <c r="B3100" s="1055"/>
      <c r="C3100" s="1055"/>
      <c r="D3100" s="1055"/>
      <c r="E3100" s="1055"/>
      <c r="F3100" s="1056"/>
      <c r="G3100" s="1056"/>
      <c r="H3100" s="1056"/>
      <c r="I3100" s="1056"/>
    </row>
    <row r="3101" spans="1:9" ht="13.9" customHeight="1">
      <c r="A3101" s="1055"/>
      <c r="B3101" s="1055"/>
      <c r="C3101" s="1055"/>
      <c r="D3101" s="1055"/>
      <c r="E3101" s="1055"/>
      <c r="F3101" s="1056"/>
      <c r="G3101" s="1056"/>
      <c r="H3101" s="1056"/>
      <c r="I3101" s="1056"/>
    </row>
    <row r="3102" spans="1:9" ht="13.9" customHeight="1">
      <c r="A3102" s="1055"/>
      <c r="B3102" s="1055"/>
      <c r="C3102" s="1055"/>
      <c r="D3102" s="1055"/>
      <c r="E3102" s="1055"/>
      <c r="F3102" s="1056"/>
      <c r="G3102" s="1056"/>
      <c r="H3102" s="1056"/>
      <c r="I3102" s="1056"/>
    </row>
    <row r="3103" spans="1:9" ht="13.9" customHeight="1">
      <c r="A3103" s="1055"/>
      <c r="B3103" s="1055"/>
      <c r="C3103" s="1055"/>
      <c r="D3103" s="1055"/>
      <c r="E3103" s="1055"/>
      <c r="F3103" s="1056"/>
      <c r="G3103" s="1056"/>
      <c r="H3103" s="1056"/>
      <c r="I3103" s="1056"/>
    </row>
    <row r="3104" spans="1:9" ht="13.9" customHeight="1">
      <c r="A3104" s="1055"/>
      <c r="B3104" s="1055"/>
      <c r="C3104" s="1055"/>
      <c r="D3104" s="1055"/>
      <c r="E3104" s="1055"/>
      <c r="F3104" s="1056"/>
      <c r="G3104" s="1056"/>
      <c r="H3104" s="1056"/>
      <c r="I3104" s="1056"/>
    </row>
    <row r="3105" spans="1:9" ht="13.9" customHeight="1">
      <c r="A3105" s="1055"/>
      <c r="B3105" s="1055"/>
      <c r="C3105" s="1055"/>
      <c r="D3105" s="1055"/>
      <c r="E3105" s="1055"/>
      <c r="F3105" s="1056"/>
      <c r="G3105" s="1056"/>
      <c r="H3105" s="1056"/>
      <c r="I3105" s="1056"/>
    </row>
    <row r="3106" spans="1:9" ht="13.9" customHeight="1">
      <c r="A3106" s="1055"/>
      <c r="B3106" s="1055"/>
      <c r="C3106" s="1055"/>
      <c r="D3106" s="1055"/>
      <c r="E3106" s="1055"/>
      <c r="F3106" s="1056"/>
      <c r="G3106" s="1056"/>
      <c r="H3106" s="1056"/>
      <c r="I3106" s="1056"/>
    </row>
    <row r="3107" spans="1:9" ht="13.9" customHeight="1">
      <c r="A3107" s="1055"/>
      <c r="B3107" s="1055"/>
      <c r="C3107" s="1055"/>
      <c r="D3107" s="1055"/>
      <c r="E3107" s="1055"/>
      <c r="F3107" s="1056"/>
      <c r="G3107" s="1056"/>
      <c r="H3107" s="1056"/>
      <c r="I3107" s="1056"/>
    </row>
    <row r="3108" spans="1:9" ht="13.9" customHeight="1">
      <c r="A3108" s="1055"/>
      <c r="B3108" s="1055"/>
      <c r="C3108" s="1055"/>
      <c r="D3108" s="1055"/>
      <c r="E3108" s="1055"/>
      <c r="F3108" s="1056"/>
      <c r="G3108" s="1056"/>
      <c r="H3108" s="1056"/>
      <c r="I3108" s="1056"/>
    </row>
    <row r="3109" spans="1:9" ht="13.9" customHeight="1">
      <c r="A3109" s="1055"/>
      <c r="B3109" s="1055"/>
      <c r="C3109" s="1055"/>
      <c r="D3109" s="1055"/>
      <c r="E3109" s="1055"/>
      <c r="F3109" s="1056"/>
      <c r="G3109" s="1056"/>
      <c r="H3109" s="1056"/>
      <c r="I3109" s="1056"/>
    </row>
    <row r="3110" spans="1:9" ht="13.9" customHeight="1">
      <c r="A3110" s="1055"/>
      <c r="B3110" s="1055"/>
      <c r="C3110" s="1055"/>
      <c r="D3110" s="1055"/>
      <c r="E3110" s="1055"/>
      <c r="F3110" s="1056"/>
      <c r="G3110" s="1056"/>
      <c r="H3110" s="1056"/>
      <c r="I3110" s="1056"/>
    </row>
    <row r="3111" spans="1:9" ht="13.9" customHeight="1">
      <c r="A3111" s="1055"/>
      <c r="B3111" s="1055"/>
      <c r="C3111" s="1055"/>
      <c r="D3111" s="1055"/>
      <c r="E3111" s="1055"/>
      <c r="F3111" s="1056"/>
      <c r="G3111" s="1056"/>
      <c r="H3111" s="1056"/>
      <c r="I3111" s="1056"/>
    </row>
    <row r="3112" spans="1:9" ht="13.9" customHeight="1">
      <c r="A3112" s="1055" t="e">
        <v>#N/A</v>
      </c>
      <c r="B3112" s="1055" t="e">
        <v>#N/A</v>
      </c>
      <c r="C3112" s="1055" t="e">
        <v>#N/A</v>
      </c>
      <c r="D3112" s="1055" t="e">
        <v>#N/A</v>
      </c>
      <c r="E3112" s="1055" t="e">
        <v>#N/A</v>
      </c>
      <c r="F3112" s="1056" t="e">
        <v>#N/A</v>
      </c>
      <c r="G3112" s="1056" t="e">
        <v>#N/A</v>
      </c>
      <c r="H3112" s="1056" t="e">
        <v>#N/A</v>
      </c>
      <c r="I3112" s="1056" t="e">
        <v>#N/A</v>
      </c>
    </row>
  </sheetData>
  <autoFilter ref="A3:J2002" xr:uid="{00000000-0009-0000-0000-000008000000}"/>
  <mergeCells count="2">
    <mergeCell ref="A1:I1"/>
    <mergeCell ref="A2:I2"/>
  </mergeCells>
  <pageMargins left="0.7" right="0.7" top="0.75" bottom="0.75" header="0.3" footer="0.3"/>
  <pageSetup scale="5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 tint="0.59999389629810485"/>
  </sheetPr>
  <dimension ref="A1:K2890"/>
  <sheetViews>
    <sheetView showGridLines="0" topLeftCell="A2685" workbookViewId="0">
      <selection activeCell="K2711" sqref="K2711:K2799"/>
    </sheetView>
  </sheetViews>
  <sheetFormatPr baseColWidth="10" defaultColWidth="11.42578125" defaultRowHeight="12.75"/>
  <cols>
    <col min="1" max="1" width="12.28515625" style="997" bestFit="1" customWidth="1"/>
    <col min="2" max="2" width="6.85546875" style="997" customWidth="1"/>
    <col min="3" max="3" width="31" style="997" bestFit="1" customWidth="1"/>
    <col min="4" max="4" width="13.140625" style="997" bestFit="1" customWidth="1"/>
    <col min="5" max="5" width="31.85546875" style="997" bestFit="1" customWidth="1"/>
    <col min="6" max="6" width="13" style="1041" bestFit="1" customWidth="1"/>
    <col min="7" max="8" width="12.42578125" style="1041" bestFit="1" customWidth="1"/>
    <col min="9" max="9" width="13" style="1041" bestFit="1" customWidth="1"/>
    <col min="10" max="10" width="12" style="996" bestFit="1" customWidth="1"/>
    <col min="11" max="16384" width="11.42578125" style="995"/>
  </cols>
  <sheetData>
    <row r="1" spans="1:11" ht="15">
      <c r="A1" s="1180" t="s">
        <v>688</v>
      </c>
      <c r="B1" s="1181"/>
      <c r="C1" s="1181"/>
      <c r="D1" s="1181"/>
      <c r="E1" s="1181"/>
      <c r="F1" s="1181"/>
      <c r="G1" s="1181"/>
      <c r="H1" s="1181"/>
      <c r="I1" s="1181"/>
    </row>
    <row r="2" spans="1:11" ht="15">
      <c r="A2" s="1182" t="s">
        <v>1909</v>
      </c>
      <c r="B2" s="1183"/>
      <c r="C2" s="1183"/>
      <c r="D2" s="1183"/>
      <c r="E2" s="1183"/>
      <c r="F2" s="1183"/>
      <c r="G2" s="1183"/>
      <c r="H2" s="1183"/>
      <c r="I2" s="1183"/>
    </row>
    <row r="3" spans="1:11">
      <c r="A3" s="1052" t="s">
        <v>307</v>
      </c>
      <c r="B3" s="1052" t="s">
        <v>1465</v>
      </c>
      <c r="C3" s="1052" t="s">
        <v>308</v>
      </c>
      <c r="D3" s="1052" t="s">
        <v>92</v>
      </c>
      <c r="E3" s="1052" t="s">
        <v>1031</v>
      </c>
      <c r="F3" s="1053" t="s">
        <v>309</v>
      </c>
      <c r="G3" s="1053" t="s">
        <v>310</v>
      </c>
      <c r="H3" s="1053" t="s">
        <v>311</v>
      </c>
      <c r="I3" s="1053" t="s">
        <v>312</v>
      </c>
      <c r="J3" s="1007" t="s">
        <v>1417</v>
      </c>
      <c r="K3" s="1007" t="s">
        <v>1502</v>
      </c>
    </row>
    <row r="4" spans="1:11">
      <c r="A4" s="1054">
        <v>1</v>
      </c>
      <c r="B4" s="1055" t="s">
        <v>893</v>
      </c>
      <c r="C4" s="1055" t="s">
        <v>101</v>
      </c>
      <c r="D4" s="1055" t="s">
        <v>893</v>
      </c>
      <c r="E4" s="1055" t="s">
        <v>893</v>
      </c>
      <c r="F4" s="1056">
        <v>2917582</v>
      </c>
      <c r="G4" s="1056">
        <v>2008494</v>
      </c>
      <c r="H4" s="1056">
        <v>1978693</v>
      </c>
      <c r="I4" s="1056">
        <v>2947382</v>
      </c>
      <c r="K4" s="995">
        <f>+LEN(A4)</f>
        <v>1</v>
      </c>
    </row>
    <row r="5" spans="1:11">
      <c r="A5" s="1054">
        <v>11</v>
      </c>
      <c r="B5" s="1055" t="s">
        <v>893</v>
      </c>
      <c r="C5" s="1055" t="s">
        <v>102</v>
      </c>
      <c r="D5" s="1055" t="s">
        <v>893</v>
      </c>
      <c r="E5" s="1055" t="s">
        <v>893</v>
      </c>
      <c r="F5" s="1056">
        <v>-174101</v>
      </c>
      <c r="G5" s="1056">
        <v>1731099</v>
      </c>
      <c r="H5" s="1056">
        <v>1240655</v>
      </c>
      <c r="I5" s="1056">
        <v>316343</v>
      </c>
      <c r="K5" s="995">
        <f t="shared" ref="K5:K68" si="0">+LEN(A5)</f>
        <v>2</v>
      </c>
    </row>
    <row r="6" spans="1:11">
      <c r="A6" s="1054">
        <v>1105</v>
      </c>
      <c r="B6" s="1055" t="s">
        <v>893</v>
      </c>
      <c r="C6" s="1055" t="s">
        <v>103</v>
      </c>
      <c r="D6" s="1055" t="s">
        <v>893</v>
      </c>
      <c r="E6" s="1055" t="s">
        <v>893</v>
      </c>
      <c r="F6" s="1056">
        <v>-271131</v>
      </c>
      <c r="G6" s="1056">
        <v>1106517</v>
      </c>
      <c r="H6" s="1056">
        <v>621147</v>
      </c>
      <c r="I6" s="1056">
        <v>214239</v>
      </c>
      <c r="K6" s="995">
        <f t="shared" si="0"/>
        <v>4</v>
      </c>
    </row>
    <row r="7" spans="1:11">
      <c r="A7" s="1054">
        <v>110505</v>
      </c>
      <c r="B7" s="1055" t="s">
        <v>893</v>
      </c>
      <c r="C7" s="1055" t="s">
        <v>313</v>
      </c>
      <c r="D7" s="1055" t="s">
        <v>893</v>
      </c>
      <c r="E7" s="1055" t="s">
        <v>893</v>
      </c>
      <c r="F7" s="1056">
        <v>-282903</v>
      </c>
      <c r="G7" s="1056">
        <v>1106517</v>
      </c>
      <c r="H7" s="1056">
        <v>621147</v>
      </c>
      <c r="I7" s="1056">
        <v>202468</v>
      </c>
      <c r="K7" s="995">
        <f t="shared" si="0"/>
        <v>6</v>
      </c>
    </row>
    <row r="8" spans="1:11">
      <c r="A8" s="1054">
        <v>11050503</v>
      </c>
      <c r="B8" s="1055" t="s">
        <v>1489</v>
      </c>
      <c r="C8" s="1055" t="s">
        <v>800</v>
      </c>
      <c r="D8" s="1055" t="s">
        <v>893</v>
      </c>
      <c r="E8" s="1055" t="s">
        <v>893</v>
      </c>
      <c r="F8" s="1056">
        <v>0</v>
      </c>
      <c r="G8" s="1056">
        <v>37354</v>
      </c>
      <c r="H8" s="1056">
        <v>37354</v>
      </c>
      <c r="I8" s="1056">
        <v>0</v>
      </c>
      <c r="K8" s="995">
        <f t="shared" si="0"/>
        <v>8</v>
      </c>
    </row>
    <row r="9" spans="1:11">
      <c r="A9" s="1054">
        <v>11050504</v>
      </c>
      <c r="B9" s="1055" t="s">
        <v>1489</v>
      </c>
      <c r="C9" s="1055" t="s">
        <v>801</v>
      </c>
      <c r="D9" s="1055" t="s">
        <v>893</v>
      </c>
      <c r="E9" s="1055" t="s">
        <v>893</v>
      </c>
      <c r="F9" s="1056">
        <v>0</v>
      </c>
      <c r="G9" s="1056">
        <v>72393</v>
      </c>
      <c r="H9" s="1056">
        <v>72393</v>
      </c>
      <c r="I9" s="1056">
        <v>0</v>
      </c>
      <c r="K9" s="995">
        <f t="shared" si="0"/>
        <v>8</v>
      </c>
    </row>
    <row r="10" spans="1:11">
      <c r="A10" s="1054">
        <v>11050505</v>
      </c>
      <c r="B10" s="1055" t="s">
        <v>893</v>
      </c>
      <c r="C10" s="1055" t="s">
        <v>313</v>
      </c>
      <c r="D10" s="1055" t="s">
        <v>893</v>
      </c>
      <c r="E10" s="1055" t="s">
        <v>893</v>
      </c>
      <c r="F10" s="1056">
        <v>0</v>
      </c>
      <c r="G10" s="1056">
        <v>180309</v>
      </c>
      <c r="H10" s="1056">
        <v>180309</v>
      </c>
      <c r="I10" s="1056">
        <v>0</v>
      </c>
      <c r="K10" s="995">
        <f t="shared" si="0"/>
        <v>8</v>
      </c>
    </row>
    <row r="11" spans="1:11">
      <c r="A11" s="1054">
        <v>11050507</v>
      </c>
      <c r="B11" s="1055" t="s">
        <v>1489</v>
      </c>
      <c r="C11" s="1055" t="s">
        <v>802</v>
      </c>
      <c r="D11" s="1055" t="s">
        <v>893</v>
      </c>
      <c r="E11" s="1055" t="s">
        <v>893</v>
      </c>
      <c r="F11" s="1056">
        <v>0</v>
      </c>
      <c r="G11" s="1056">
        <v>49901</v>
      </c>
      <c r="H11" s="1056">
        <v>49901</v>
      </c>
      <c r="I11" s="1056">
        <v>0</v>
      </c>
      <c r="K11" s="995">
        <f t="shared" si="0"/>
        <v>8</v>
      </c>
    </row>
    <row r="12" spans="1:11">
      <c r="A12" s="1054">
        <v>11050508</v>
      </c>
      <c r="B12" s="1055" t="s">
        <v>1489</v>
      </c>
      <c r="C12" s="1055" t="s">
        <v>803</v>
      </c>
      <c r="D12" s="1055" t="s">
        <v>893</v>
      </c>
      <c r="E12" s="1055" t="s">
        <v>893</v>
      </c>
      <c r="F12" s="1056">
        <v>0</v>
      </c>
      <c r="G12" s="1056">
        <v>68309</v>
      </c>
      <c r="H12" s="1056">
        <v>68309</v>
      </c>
      <c r="I12" s="1056">
        <v>0</v>
      </c>
      <c r="K12" s="995">
        <f t="shared" si="0"/>
        <v>8</v>
      </c>
    </row>
    <row r="13" spans="1:11">
      <c r="A13" s="1054">
        <v>11050509</v>
      </c>
      <c r="B13" s="1055" t="s">
        <v>1489</v>
      </c>
      <c r="C13" s="1055" t="s">
        <v>804</v>
      </c>
      <c r="D13" s="1055" t="s">
        <v>893</v>
      </c>
      <c r="E13" s="1055" t="s">
        <v>893</v>
      </c>
      <c r="F13" s="1056">
        <v>0</v>
      </c>
      <c r="G13" s="1056">
        <v>95381</v>
      </c>
      <c r="H13" s="1056">
        <v>95381</v>
      </c>
      <c r="I13" s="1056">
        <v>0</v>
      </c>
      <c r="K13" s="995">
        <f t="shared" si="0"/>
        <v>8</v>
      </c>
    </row>
    <row r="14" spans="1:11">
      <c r="A14" s="1054">
        <v>11050511</v>
      </c>
      <c r="B14" s="1055" t="s">
        <v>1489</v>
      </c>
      <c r="C14" s="1055" t="s">
        <v>805</v>
      </c>
      <c r="D14" s="1055" t="s">
        <v>893</v>
      </c>
      <c r="E14" s="1055" t="s">
        <v>893</v>
      </c>
      <c r="F14" s="1056">
        <v>0</v>
      </c>
      <c r="G14" s="1056">
        <v>51646</v>
      </c>
      <c r="H14" s="1056">
        <v>51646</v>
      </c>
      <c r="I14" s="1056">
        <v>0</v>
      </c>
      <c r="K14" s="995">
        <f t="shared" si="0"/>
        <v>8</v>
      </c>
    </row>
    <row r="15" spans="1:11">
      <c r="A15" s="1054">
        <v>11050512</v>
      </c>
      <c r="B15" s="1055" t="s">
        <v>1489</v>
      </c>
      <c r="C15" s="1055" t="s">
        <v>876</v>
      </c>
      <c r="D15" s="1055" t="s">
        <v>893</v>
      </c>
      <c r="E15" s="1055" t="s">
        <v>893</v>
      </c>
      <c r="F15" s="1056">
        <v>-283203</v>
      </c>
      <c r="G15" s="1056">
        <v>489290</v>
      </c>
      <c r="H15" s="1056">
        <v>3920</v>
      </c>
      <c r="I15" s="1056">
        <v>202168</v>
      </c>
      <c r="K15" s="995">
        <f t="shared" si="0"/>
        <v>8</v>
      </c>
    </row>
    <row r="16" spans="1:11">
      <c r="A16" s="1054">
        <v>11050513</v>
      </c>
      <c r="B16" s="1055" t="s">
        <v>1489</v>
      </c>
      <c r="C16" s="1055" t="s">
        <v>980</v>
      </c>
      <c r="D16" s="1055" t="s">
        <v>893</v>
      </c>
      <c r="E16" s="1055" t="s">
        <v>893</v>
      </c>
      <c r="F16" s="1056">
        <v>300</v>
      </c>
      <c r="G16" s="1056">
        <v>61933</v>
      </c>
      <c r="H16" s="1056">
        <v>61933</v>
      </c>
      <c r="I16" s="1056">
        <v>300</v>
      </c>
      <c r="K16" s="995">
        <f t="shared" si="0"/>
        <v>8</v>
      </c>
    </row>
    <row r="17" spans="1:11">
      <c r="A17" s="1054">
        <v>110510</v>
      </c>
      <c r="B17" s="1055" t="s">
        <v>893</v>
      </c>
      <c r="C17" s="1055" t="s">
        <v>689</v>
      </c>
      <c r="D17" s="1055" t="s">
        <v>893</v>
      </c>
      <c r="E17" s="1055" t="s">
        <v>893</v>
      </c>
      <c r="F17" s="1056">
        <v>5700</v>
      </c>
      <c r="G17" s="1056">
        <v>0</v>
      </c>
      <c r="H17" s="1056">
        <v>0</v>
      </c>
      <c r="I17" s="1056">
        <v>5700</v>
      </c>
      <c r="K17" s="995">
        <f t="shared" si="0"/>
        <v>6</v>
      </c>
    </row>
    <row r="18" spans="1:11">
      <c r="A18" s="1054">
        <v>11051001</v>
      </c>
      <c r="B18" s="1055" t="s">
        <v>893</v>
      </c>
      <c r="C18" s="1055" t="s">
        <v>689</v>
      </c>
      <c r="D18" s="1055" t="s">
        <v>893</v>
      </c>
      <c r="E18" s="1055" t="s">
        <v>893</v>
      </c>
      <c r="F18" s="1056">
        <v>3900</v>
      </c>
      <c r="G18" s="1056">
        <v>0</v>
      </c>
      <c r="H18" s="1056">
        <v>0</v>
      </c>
      <c r="I18" s="1056">
        <v>3900</v>
      </c>
      <c r="K18" s="995">
        <f t="shared" si="0"/>
        <v>8</v>
      </c>
    </row>
    <row r="19" spans="1:11">
      <c r="A19" s="1054">
        <v>11051003</v>
      </c>
      <c r="B19" s="1055" t="s">
        <v>1489</v>
      </c>
      <c r="C19" s="1055" t="s">
        <v>800</v>
      </c>
      <c r="D19" s="1055" t="s">
        <v>893</v>
      </c>
      <c r="E19" s="1055" t="s">
        <v>893</v>
      </c>
      <c r="F19" s="1056">
        <v>300</v>
      </c>
      <c r="G19" s="1056">
        <v>0</v>
      </c>
      <c r="H19" s="1056">
        <v>0</v>
      </c>
      <c r="I19" s="1056">
        <v>300</v>
      </c>
      <c r="K19" s="995">
        <f t="shared" si="0"/>
        <v>8</v>
      </c>
    </row>
    <row r="20" spans="1:11">
      <c r="A20" s="1054">
        <v>11051004</v>
      </c>
      <c r="B20" s="1055" t="s">
        <v>1489</v>
      </c>
      <c r="C20" s="1055" t="s">
        <v>801</v>
      </c>
      <c r="D20" s="1055" t="s">
        <v>893</v>
      </c>
      <c r="E20" s="1055" t="s">
        <v>893</v>
      </c>
      <c r="F20" s="1056">
        <v>300</v>
      </c>
      <c r="G20" s="1056">
        <v>0</v>
      </c>
      <c r="H20" s="1056">
        <v>0</v>
      </c>
      <c r="I20" s="1056">
        <v>300</v>
      </c>
      <c r="K20" s="995">
        <f t="shared" si="0"/>
        <v>8</v>
      </c>
    </row>
    <row r="21" spans="1:11">
      <c r="A21" s="1054">
        <v>11051007</v>
      </c>
      <c r="B21" s="1055" t="s">
        <v>1489</v>
      </c>
      <c r="C21" s="1055" t="s">
        <v>802</v>
      </c>
      <c r="D21" s="1055" t="s">
        <v>893</v>
      </c>
      <c r="E21" s="1055" t="s">
        <v>893</v>
      </c>
      <c r="F21" s="1056">
        <v>300</v>
      </c>
      <c r="G21" s="1056">
        <v>0</v>
      </c>
      <c r="H21" s="1056">
        <v>0</v>
      </c>
      <c r="I21" s="1056">
        <v>300</v>
      </c>
      <c r="K21" s="995">
        <f t="shared" si="0"/>
        <v>8</v>
      </c>
    </row>
    <row r="22" spans="1:11">
      <c r="A22" s="1054">
        <v>11051008</v>
      </c>
      <c r="B22" s="1055" t="s">
        <v>1489</v>
      </c>
      <c r="C22" s="1055" t="s">
        <v>803</v>
      </c>
      <c r="D22" s="1055" t="s">
        <v>893</v>
      </c>
      <c r="E22" s="1055" t="s">
        <v>893</v>
      </c>
      <c r="F22" s="1056">
        <v>300</v>
      </c>
      <c r="G22" s="1056">
        <v>0</v>
      </c>
      <c r="H22" s="1056">
        <v>0</v>
      </c>
      <c r="I22" s="1056">
        <v>300</v>
      </c>
      <c r="K22" s="995">
        <f t="shared" si="0"/>
        <v>8</v>
      </c>
    </row>
    <row r="23" spans="1:11">
      <c r="A23" s="1054">
        <v>11051009</v>
      </c>
      <c r="B23" s="1055" t="s">
        <v>1489</v>
      </c>
      <c r="C23" s="1055" t="s">
        <v>804</v>
      </c>
      <c r="D23" s="1055" t="s">
        <v>893</v>
      </c>
      <c r="E23" s="1055" t="s">
        <v>893</v>
      </c>
      <c r="F23" s="1056">
        <v>300</v>
      </c>
      <c r="G23" s="1056">
        <v>0</v>
      </c>
      <c r="H23" s="1056">
        <v>0</v>
      </c>
      <c r="I23" s="1056">
        <v>300</v>
      </c>
      <c r="K23" s="995">
        <f t="shared" si="0"/>
        <v>8</v>
      </c>
    </row>
    <row r="24" spans="1:11">
      <c r="A24" s="1054">
        <v>11051011</v>
      </c>
      <c r="B24" s="1055" t="s">
        <v>1489</v>
      </c>
      <c r="C24" s="1055" t="s">
        <v>805</v>
      </c>
      <c r="D24" s="1055" t="s">
        <v>893</v>
      </c>
      <c r="E24" s="1055" t="s">
        <v>893</v>
      </c>
      <c r="F24" s="1056">
        <v>300</v>
      </c>
      <c r="G24" s="1056">
        <v>0</v>
      </c>
      <c r="H24" s="1056">
        <v>0</v>
      </c>
      <c r="I24" s="1056">
        <v>300</v>
      </c>
      <c r="K24" s="995">
        <f t="shared" si="0"/>
        <v>8</v>
      </c>
    </row>
    <row r="25" spans="1:11">
      <c r="A25" s="1054">
        <v>110599</v>
      </c>
      <c r="B25" s="1055" t="s">
        <v>1489</v>
      </c>
      <c r="C25" s="1055" t="s">
        <v>1600</v>
      </c>
      <c r="D25" s="1055" t="s">
        <v>893</v>
      </c>
      <c r="E25" s="1055" t="s">
        <v>893</v>
      </c>
      <c r="F25" s="1056">
        <v>6071</v>
      </c>
      <c r="G25" s="1056">
        <v>0</v>
      </c>
      <c r="H25" s="1056">
        <v>0</v>
      </c>
      <c r="I25" s="1056">
        <v>6071</v>
      </c>
      <c r="K25" s="995">
        <f t="shared" si="0"/>
        <v>6</v>
      </c>
    </row>
    <row r="26" spans="1:11">
      <c r="A26" s="1054">
        <v>1110</v>
      </c>
      <c r="B26" s="1055" t="s">
        <v>893</v>
      </c>
      <c r="C26" s="1055" t="s">
        <v>104</v>
      </c>
      <c r="D26" s="1055" t="s">
        <v>893</v>
      </c>
      <c r="E26" s="1055" t="s">
        <v>893</v>
      </c>
      <c r="F26" s="1056">
        <v>75647</v>
      </c>
      <c r="G26" s="1056">
        <v>591130</v>
      </c>
      <c r="H26" s="1056">
        <v>585561</v>
      </c>
      <c r="I26" s="1056">
        <v>81216</v>
      </c>
      <c r="K26" s="995">
        <f t="shared" si="0"/>
        <v>4</v>
      </c>
    </row>
    <row r="27" spans="1:11">
      <c r="A27" s="1054">
        <v>111005</v>
      </c>
      <c r="B27" s="1055" t="s">
        <v>893</v>
      </c>
      <c r="C27" s="1055" t="s">
        <v>314</v>
      </c>
      <c r="D27" s="1055" t="s">
        <v>893</v>
      </c>
      <c r="E27" s="1055" t="s">
        <v>893</v>
      </c>
      <c r="F27" s="1056">
        <v>75647</v>
      </c>
      <c r="G27" s="1056">
        <v>591130</v>
      </c>
      <c r="H27" s="1056">
        <v>585561</v>
      </c>
      <c r="I27" s="1056">
        <v>81216</v>
      </c>
      <c r="K27" s="995">
        <f t="shared" si="0"/>
        <v>6</v>
      </c>
    </row>
    <row r="28" spans="1:11">
      <c r="A28" s="1054">
        <v>11100505</v>
      </c>
      <c r="B28" s="1055" t="s">
        <v>1489</v>
      </c>
      <c r="C28" s="1055" t="s">
        <v>641</v>
      </c>
      <c r="D28" s="1055" t="s">
        <v>893</v>
      </c>
      <c r="E28" s="1055" t="s">
        <v>893</v>
      </c>
      <c r="F28" s="1056">
        <v>11377</v>
      </c>
      <c r="G28" s="1056">
        <v>17373</v>
      </c>
      <c r="H28" s="1056">
        <v>26040</v>
      </c>
      <c r="I28" s="1056">
        <v>2710</v>
      </c>
      <c r="K28" s="995">
        <f t="shared" si="0"/>
        <v>8</v>
      </c>
    </row>
    <row r="29" spans="1:11">
      <c r="A29" s="1054">
        <v>11100520</v>
      </c>
      <c r="B29" s="1055" t="s">
        <v>1489</v>
      </c>
      <c r="C29" s="1055" t="s">
        <v>643</v>
      </c>
      <c r="D29" s="1055" t="s">
        <v>893</v>
      </c>
      <c r="E29" s="1055" t="s">
        <v>893</v>
      </c>
      <c r="F29" s="1056">
        <v>36</v>
      </c>
      <c r="G29" s="1056">
        <v>0</v>
      </c>
      <c r="H29" s="1056">
        <v>0</v>
      </c>
      <c r="I29" s="1056">
        <v>36</v>
      </c>
      <c r="K29" s="995">
        <f t="shared" si="0"/>
        <v>8</v>
      </c>
    </row>
    <row r="30" spans="1:11">
      <c r="A30" s="1054">
        <v>11100522</v>
      </c>
      <c r="B30" s="1055" t="s">
        <v>1489</v>
      </c>
      <c r="C30" s="1055" t="s">
        <v>644</v>
      </c>
      <c r="D30" s="1055" t="s">
        <v>893</v>
      </c>
      <c r="E30" s="1055" t="s">
        <v>893</v>
      </c>
      <c r="F30" s="1056">
        <v>730</v>
      </c>
      <c r="G30" s="1056">
        <v>0</v>
      </c>
      <c r="H30" s="1056">
        <v>0</v>
      </c>
      <c r="I30" s="1056">
        <v>730</v>
      </c>
      <c r="K30" s="995">
        <f t="shared" si="0"/>
        <v>8</v>
      </c>
    </row>
    <row r="31" spans="1:11">
      <c r="A31" s="1054">
        <v>11100524</v>
      </c>
      <c r="B31" s="1055" t="s">
        <v>1489</v>
      </c>
      <c r="C31" s="1055" t="s">
        <v>645</v>
      </c>
      <c r="D31" s="1055" t="s">
        <v>893</v>
      </c>
      <c r="E31" s="1055" t="s">
        <v>893</v>
      </c>
      <c r="F31" s="1056">
        <v>94</v>
      </c>
      <c r="G31" s="1056">
        <v>0</v>
      </c>
      <c r="H31" s="1056">
        <v>0</v>
      </c>
      <c r="I31" s="1056">
        <v>94</v>
      </c>
      <c r="K31" s="995">
        <f t="shared" si="0"/>
        <v>8</v>
      </c>
    </row>
    <row r="32" spans="1:11">
      <c r="A32" s="1054">
        <v>11100528</v>
      </c>
      <c r="B32" s="1055" t="s">
        <v>1489</v>
      </c>
      <c r="C32" s="1055" t="s">
        <v>646</v>
      </c>
      <c r="D32" s="1055" t="s">
        <v>893</v>
      </c>
      <c r="E32" s="1055" t="s">
        <v>893</v>
      </c>
      <c r="F32" s="1056">
        <v>2502</v>
      </c>
      <c r="G32" s="1056">
        <v>0</v>
      </c>
      <c r="H32" s="1056">
        <v>0</v>
      </c>
      <c r="I32" s="1056">
        <v>2502</v>
      </c>
      <c r="K32" s="995">
        <f t="shared" si="0"/>
        <v>8</v>
      </c>
    </row>
    <row r="33" spans="1:11">
      <c r="A33" s="1054">
        <v>11100529</v>
      </c>
      <c r="B33" s="1055" t="s">
        <v>1489</v>
      </c>
      <c r="C33" s="1055" t="s">
        <v>647</v>
      </c>
      <c r="D33" s="1055" t="s">
        <v>893</v>
      </c>
      <c r="E33" s="1055" t="s">
        <v>893</v>
      </c>
      <c r="F33" s="1056">
        <v>17</v>
      </c>
      <c r="G33" s="1056">
        <v>0</v>
      </c>
      <c r="H33" s="1056">
        <v>0</v>
      </c>
      <c r="I33" s="1056">
        <v>17</v>
      </c>
      <c r="K33" s="995">
        <f t="shared" si="0"/>
        <v>8</v>
      </c>
    </row>
    <row r="34" spans="1:11">
      <c r="A34" s="1054">
        <v>11100599</v>
      </c>
      <c r="B34" s="1055" t="s">
        <v>893</v>
      </c>
      <c r="C34" s="1055" t="s">
        <v>648</v>
      </c>
      <c r="D34" s="1055" t="s">
        <v>893</v>
      </c>
      <c r="E34" s="1055" t="s">
        <v>893</v>
      </c>
      <c r="F34" s="1056">
        <v>60891</v>
      </c>
      <c r="G34" s="1056">
        <v>573757</v>
      </c>
      <c r="H34" s="1056">
        <v>559521</v>
      </c>
      <c r="I34" s="1056">
        <v>75127</v>
      </c>
      <c r="K34" s="995">
        <f t="shared" si="0"/>
        <v>8</v>
      </c>
    </row>
    <row r="35" spans="1:11">
      <c r="A35" s="1054">
        <v>1120</v>
      </c>
      <c r="B35" s="1055" t="s">
        <v>893</v>
      </c>
      <c r="C35" s="1055" t="s">
        <v>690</v>
      </c>
      <c r="D35" s="1055" t="s">
        <v>893</v>
      </c>
      <c r="E35" s="1055" t="s">
        <v>893</v>
      </c>
      <c r="F35" s="1056">
        <v>19441</v>
      </c>
      <c r="G35" s="1056">
        <v>33442</v>
      </c>
      <c r="H35" s="1056">
        <v>33947</v>
      </c>
      <c r="I35" s="1056">
        <v>18936</v>
      </c>
      <c r="K35" s="995">
        <f t="shared" si="0"/>
        <v>4</v>
      </c>
    </row>
    <row r="36" spans="1:11">
      <c r="A36" s="1054">
        <v>112005</v>
      </c>
      <c r="B36" s="1055" t="s">
        <v>893</v>
      </c>
      <c r="C36" s="1055" t="s">
        <v>104</v>
      </c>
      <c r="D36" s="1055" t="s">
        <v>893</v>
      </c>
      <c r="E36" s="1055" t="s">
        <v>893</v>
      </c>
      <c r="F36" s="1056">
        <v>19441</v>
      </c>
      <c r="G36" s="1056">
        <v>33442</v>
      </c>
      <c r="H36" s="1056">
        <v>33947</v>
      </c>
      <c r="I36" s="1056">
        <v>18936</v>
      </c>
      <c r="K36" s="995">
        <f t="shared" si="0"/>
        <v>6</v>
      </c>
    </row>
    <row r="37" spans="1:11">
      <c r="A37" s="1054">
        <v>11200501</v>
      </c>
      <c r="B37" s="1055" t="s">
        <v>1489</v>
      </c>
      <c r="C37" s="1055" t="s">
        <v>691</v>
      </c>
      <c r="D37" s="1055" t="s">
        <v>893</v>
      </c>
      <c r="E37" s="1055" t="s">
        <v>893</v>
      </c>
      <c r="F37" s="1056">
        <v>10</v>
      </c>
      <c r="G37" s="1056">
        <v>0</v>
      </c>
      <c r="H37" s="1056">
        <v>0</v>
      </c>
      <c r="I37" s="1056">
        <v>10</v>
      </c>
      <c r="K37" s="995">
        <f t="shared" si="0"/>
        <v>8</v>
      </c>
    </row>
    <row r="38" spans="1:11">
      <c r="A38" s="1054">
        <v>11200513</v>
      </c>
      <c r="B38" s="1055" t="s">
        <v>1489</v>
      </c>
      <c r="C38" s="1055" t="s">
        <v>651</v>
      </c>
      <c r="D38" s="1055" t="s">
        <v>893</v>
      </c>
      <c r="E38" s="1055" t="s">
        <v>893</v>
      </c>
      <c r="F38" s="1056">
        <v>19431</v>
      </c>
      <c r="G38" s="1056">
        <v>33442</v>
      </c>
      <c r="H38" s="1056">
        <v>33947</v>
      </c>
      <c r="I38" s="1056">
        <v>18927</v>
      </c>
      <c r="K38" s="995">
        <f t="shared" si="0"/>
        <v>8</v>
      </c>
    </row>
    <row r="39" spans="1:11">
      <c r="A39" s="1054">
        <v>1130</v>
      </c>
      <c r="B39" s="1055" t="s">
        <v>893</v>
      </c>
      <c r="C39" s="1055" t="s">
        <v>692</v>
      </c>
      <c r="D39" s="1055" t="s">
        <v>893</v>
      </c>
      <c r="E39" s="1055" t="s">
        <v>893</v>
      </c>
      <c r="F39" s="1056">
        <v>1943</v>
      </c>
      <c r="G39" s="1056">
        <v>10</v>
      </c>
      <c r="H39" s="1056">
        <v>0</v>
      </c>
      <c r="I39" s="1056">
        <v>1952</v>
      </c>
      <c r="K39" s="995">
        <f t="shared" si="0"/>
        <v>4</v>
      </c>
    </row>
    <row r="40" spans="1:11">
      <c r="A40" s="1054">
        <v>113040</v>
      </c>
      <c r="B40" s="1055" t="s">
        <v>1489</v>
      </c>
      <c r="C40" s="1055" t="s">
        <v>503</v>
      </c>
      <c r="D40" s="1055" t="s">
        <v>893</v>
      </c>
      <c r="E40" s="1055" t="s">
        <v>893</v>
      </c>
      <c r="F40" s="1056">
        <v>1943</v>
      </c>
      <c r="G40" s="1056">
        <v>10</v>
      </c>
      <c r="H40" s="1056">
        <v>0</v>
      </c>
      <c r="I40" s="1056">
        <v>1952</v>
      </c>
      <c r="K40" s="995">
        <f t="shared" si="0"/>
        <v>6</v>
      </c>
    </row>
    <row r="41" spans="1:11">
      <c r="A41" s="1054">
        <v>11304001</v>
      </c>
      <c r="B41" s="1055" t="s">
        <v>1489</v>
      </c>
      <c r="C41" s="1055" t="s">
        <v>693</v>
      </c>
      <c r="D41" s="1055" t="s">
        <v>893</v>
      </c>
      <c r="E41" s="1055" t="s">
        <v>893</v>
      </c>
      <c r="F41" s="1056">
        <v>388</v>
      </c>
      <c r="G41" s="1056">
        <v>2</v>
      </c>
      <c r="H41" s="1056">
        <v>0</v>
      </c>
      <c r="I41" s="1056">
        <v>390</v>
      </c>
      <c r="K41" s="995">
        <f t="shared" si="0"/>
        <v>8</v>
      </c>
    </row>
    <row r="42" spans="1:11">
      <c r="A42" s="1054">
        <v>11304002</v>
      </c>
      <c r="B42" s="1055" t="s">
        <v>1489</v>
      </c>
      <c r="C42" s="1055" t="s">
        <v>694</v>
      </c>
      <c r="D42" s="1055" t="s">
        <v>893</v>
      </c>
      <c r="E42" s="1055" t="s">
        <v>893</v>
      </c>
      <c r="F42" s="1056">
        <v>1554</v>
      </c>
      <c r="G42" s="1056">
        <v>8</v>
      </c>
      <c r="H42" s="1056">
        <v>0</v>
      </c>
      <c r="I42" s="1056">
        <v>1562</v>
      </c>
      <c r="K42" s="995">
        <f t="shared" si="0"/>
        <v>8</v>
      </c>
    </row>
    <row r="43" spans="1:11">
      <c r="A43" s="1054">
        <v>13</v>
      </c>
      <c r="B43" s="1055" t="s">
        <v>893</v>
      </c>
      <c r="C43" s="1055" t="s">
        <v>315</v>
      </c>
      <c r="D43" s="1055" t="s">
        <v>893</v>
      </c>
      <c r="E43" s="1055" t="s">
        <v>893</v>
      </c>
      <c r="F43" s="1056">
        <v>705355</v>
      </c>
      <c r="G43" s="1056">
        <v>42495</v>
      </c>
      <c r="H43" s="1056">
        <v>514922</v>
      </c>
      <c r="I43" s="1056">
        <v>232928</v>
      </c>
      <c r="K43" s="995">
        <f t="shared" si="0"/>
        <v>2</v>
      </c>
    </row>
    <row r="44" spans="1:11">
      <c r="A44" s="1054">
        <v>1305</v>
      </c>
      <c r="B44" s="1055" t="s">
        <v>893</v>
      </c>
      <c r="C44" s="1055" t="s">
        <v>106</v>
      </c>
      <c r="D44" s="1055" t="s">
        <v>893</v>
      </c>
      <c r="E44" s="1055" t="s">
        <v>893</v>
      </c>
      <c r="F44" s="1056">
        <v>495790</v>
      </c>
      <c r="G44" s="1056">
        <v>8089</v>
      </c>
      <c r="H44" s="1056">
        <v>497847</v>
      </c>
      <c r="I44" s="1056">
        <v>6032</v>
      </c>
      <c r="K44" s="995">
        <f t="shared" si="0"/>
        <v>4</v>
      </c>
    </row>
    <row r="45" spans="1:11">
      <c r="A45" s="1054">
        <v>130505</v>
      </c>
      <c r="B45" s="1055" t="s">
        <v>893</v>
      </c>
      <c r="C45" s="1055" t="s">
        <v>316</v>
      </c>
      <c r="D45" s="1055" t="s">
        <v>893</v>
      </c>
      <c r="E45" s="1055" t="s">
        <v>893</v>
      </c>
      <c r="F45" s="1056">
        <v>495790</v>
      </c>
      <c r="G45" s="1056">
        <v>8089</v>
      </c>
      <c r="H45" s="1056">
        <v>497847</v>
      </c>
      <c r="I45" s="1056">
        <v>6032</v>
      </c>
      <c r="K45" s="995">
        <f t="shared" si="0"/>
        <v>6</v>
      </c>
    </row>
    <row r="46" spans="1:11">
      <c r="A46" s="1054">
        <v>13050501</v>
      </c>
      <c r="B46" s="1055" t="s">
        <v>893</v>
      </c>
      <c r="C46" s="1055" t="s">
        <v>317</v>
      </c>
      <c r="D46" s="1055" t="s">
        <v>893</v>
      </c>
      <c r="E46" s="1055" t="s">
        <v>893</v>
      </c>
      <c r="F46" s="1056">
        <v>495547</v>
      </c>
      <c r="G46" s="1056">
        <v>7932</v>
      </c>
      <c r="H46" s="1056">
        <v>497604</v>
      </c>
      <c r="I46" s="1056">
        <v>5875</v>
      </c>
      <c r="K46" s="995">
        <f t="shared" si="0"/>
        <v>8</v>
      </c>
    </row>
    <row r="47" spans="1:11">
      <c r="A47" s="1054">
        <v>13050501</v>
      </c>
      <c r="B47" s="1055" t="s">
        <v>893</v>
      </c>
      <c r="C47" s="1055" t="s">
        <v>317</v>
      </c>
      <c r="D47" s="1055" t="s">
        <v>1295</v>
      </c>
      <c r="E47" s="1055" t="s">
        <v>963</v>
      </c>
      <c r="F47" s="1056">
        <v>989</v>
      </c>
      <c r="G47" s="1056">
        <v>0</v>
      </c>
      <c r="H47" s="1056">
        <v>989</v>
      </c>
      <c r="I47" s="1056">
        <v>0</v>
      </c>
      <c r="K47" s="995">
        <f t="shared" si="0"/>
        <v>8</v>
      </c>
    </row>
    <row r="48" spans="1:11">
      <c r="A48" s="1054">
        <v>13050501</v>
      </c>
      <c r="B48" s="1055" t="s">
        <v>893</v>
      </c>
      <c r="C48" s="1055" t="s">
        <v>317</v>
      </c>
      <c r="D48" s="1055" t="s">
        <v>1033</v>
      </c>
      <c r="E48" s="1055" t="s">
        <v>695</v>
      </c>
      <c r="F48" s="1056">
        <v>137</v>
      </c>
      <c r="G48" s="1056">
        <v>62</v>
      </c>
      <c r="H48" s="1056">
        <v>137</v>
      </c>
      <c r="I48" s="1056">
        <v>62</v>
      </c>
      <c r="K48" s="995">
        <f t="shared" si="0"/>
        <v>8</v>
      </c>
    </row>
    <row r="49" spans="1:11">
      <c r="A49" s="1054">
        <v>13050501</v>
      </c>
      <c r="B49" s="1055" t="s">
        <v>893</v>
      </c>
      <c r="C49" s="1055" t="s">
        <v>317</v>
      </c>
      <c r="D49" s="1055" t="s">
        <v>1034</v>
      </c>
      <c r="E49" s="1055" t="s">
        <v>504</v>
      </c>
      <c r="F49" s="1056">
        <v>3408</v>
      </c>
      <c r="G49" s="1056">
        <v>1635</v>
      </c>
      <c r="H49" s="1056">
        <v>1369</v>
      </c>
      <c r="I49" s="1056">
        <v>3673</v>
      </c>
      <c r="K49" s="995">
        <f t="shared" si="0"/>
        <v>8</v>
      </c>
    </row>
    <row r="50" spans="1:11">
      <c r="A50" s="1054">
        <v>13050501</v>
      </c>
      <c r="B50" s="1055" t="s">
        <v>893</v>
      </c>
      <c r="C50" s="1055" t="s">
        <v>317</v>
      </c>
      <c r="D50" s="1055" t="s">
        <v>1035</v>
      </c>
      <c r="E50" s="1055" t="s">
        <v>573</v>
      </c>
      <c r="F50" s="1056">
        <v>768</v>
      </c>
      <c r="G50" s="1056">
        <v>5859</v>
      </c>
      <c r="H50" s="1056">
        <v>4715</v>
      </c>
      <c r="I50" s="1056">
        <v>1913</v>
      </c>
      <c r="K50" s="995">
        <f t="shared" si="0"/>
        <v>8</v>
      </c>
    </row>
    <row r="51" spans="1:11">
      <c r="A51" s="1054">
        <v>13050501</v>
      </c>
      <c r="B51" s="1055" t="s">
        <v>893</v>
      </c>
      <c r="C51" s="1055" t="s">
        <v>317</v>
      </c>
      <c r="D51" s="1055" t="s">
        <v>1296</v>
      </c>
      <c r="E51" s="1055" t="s">
        <v>1297</v>
      </c>
      <c r="F51" s="1056">
        <v>186</v>
      </c>
      <c r="G51" s="1056">
        <v>40</v>
      </c>
      <c r="H51" s="1056">
        <v>0</v>
      </c>
      <c r="I51" s="1056">
        <v>226</v>
      </c>
      <c r="K51" s="995">
        <f t="shared" si="0"/>
        <v>8</v>
      </c>
    </row>
    <row r="52" spans="1:11">
      <c r="A52" s="1054">
        <v>13050501</v>
      </c>
      <c r="B52" s="1055" t="s">
        <v>893</v>
      </c>
      <c r="C52" s="1055" t="s">
        <v>317</v>
      </c>
      <c r="D52" s="1055" t="s">
        <v>1170</v>
      </c>
      <c r="E52" s="1055" t="s">
        <v>696</v>
      </c>
      <c r="F52" s="1056">
        <v>497</v>
      </c>
      <c r="G52" s="1056">
        <v>336</v>
      </c>
      <c r="H52" s="1056">
        <v>833</v>
      </c>
      <c r="I52" s="1056">
        <v>0</v>
      </c>
      <c r="K52" s="995">
        <f t="shared" si="0"/>
        <v>8</v>
      </c>
    </row>
    <row r="53" spans="1:11">
      <c r="A53" s="1054">
        <v>13050501</v>
      </c>
      <c r="B53" s="1055" t="s">
        <v>893</v>
      </c>
      <c r="C53" s="1055" t="s">
        <v>317</v>
      </c>
      <c r="D53" s="1055" t="s">
        <v>1855</v>
      </c>
      <c r="E53" s="1055" t="s">
        <v>1856</v>
      </c>
      <c r="F53" s="1056">
        <v>138</v>
      </c>
      <c r="G53" s="1056">
        <v>0</v>
      </c>
      <c r="H53" s="1056">
        <v>138</v>
      </c>
      <c r="I53" s="1056">
        <v>0</v>
      </c>
      <c r="K53" s="995">
        <f t="shared" si="0"/>
        <v>8</v>
      </c>
    </row>
    <row r="54" spans="1:11">
      <c r="A54" s="1054">
        <v>13050501</v>
      </c>
      <c r="B54" s="1055" t="s">
        <v>893</v>
      </c>
      <c r="C54" s="1055" t="s">
        <v>317</v>
      </c>
      <c r="D54" s="1055" t="s">
        <v>1062</v>
      </c>
      <c r="E54" s="1055" t="s">
        <v>510</v>
      </c>
      <c r="F54" s="1056">
        <v>171</v>
      </c>
      <c r="G54" s="1056">
        <v>0</v>
      </c>
      <c r="H54" s="1056">
        <v>171</v>
      </c>
      <c r="I54" s="1056">
        <v>0</v>
      </c>
      <c r="K54" s="995">
        <f t="shared" si="0"/>
        <v>8</v>
      </c>
    </row>
    <row r="55" spans="1:11">
      <c r="A55" s="1054">
        <v>13050501</v>
      </c>
      <c r="B55" s="1055" t="s">
        <v>893</v>
      </c>
      <c r="C55" s="1055" t="s">
        <v>317</v>
      </c>
      <c r="D55" s="1055" t="s">
        <v>1039</v>
      </c>
      <c r="E55" s="1055" t="s">
        <v>681</v>
      </c>
      <c r="F55" s="1056">
        <v>131849</v>
      </c>
      <c r="G55" s="1056">
        <v>0</v>
      </c>
      <c r="H55" s="1056">
        <v>131849</v>
      </c>
      <c r="I55" s="1056">
        <v>0</v>
      </c>
      <c r="K55" s="995">
        <f t="shared" si="0"/>
        <v>8</v>
      </c>
    </row>
    <row r="56" spans="1:11">
      <c r="A56" s="1054">
        <v>13050501</v>
      </c>
      <c r="B56" s="1055" t="s">
        <v>893</v>
      </c>
      <c r="C56" s="1055" t="s">
        <v>317</v>
      </c>
      <c r="D56" s="1055" t="s">
        <v>1040</v>
      </c>
      <c r="E56" s="1055" t="s">
        <v>406</v>
      </c>
      <c r="F56" s="1056">
        <v>53463</v>
      </c>
      <c r="G56" s="1056">
        <v>0</v>
      </c>
      <c r="H56" s="1056">
        <v>53463</v>
      </c>
      <c r="I56" s="1056">
        <v>0</v>
      </c>
      <c r="K56" s="995">
        <f t="shared" si="0"/>
        <v>8</v>
      </c>
    </row>
    <row r="57" spans="1:11">
      <c r="A57" s="1054">
        <v>13050501</v>
      </c>
      <c r="B57" s="1055" t="s">
        <v>893</v>
      </c>
      <c r="C57" s="1055" t="s">
        <v>317</v>
      </c>
      <c r="D57" s="1055" t="s">
        <v>1041</v>
      </c>
      <c r="E57" s="1055" t="s">
        <v>661</v>
      </c>
      <c r="F57" s="1056">
        <v>303941</v>
      </c>
      <c r="G57" s="1056">
        <v>0</v>
      </c>
      <c r="H57" s="1056">
        <v>303941</v>
      </c>
      <c r="I57" s="1056">
        <v>0</v>
      </c>
      <c r="K57" s="995">
        <f t="shared" si="0"/>
        <v>8</v>
      </c>
    </row>
    <row r="58" spans="1:11">
      <c r="A58" s="1054">
        <v>13050502</v>
      </c>
      <c r="B58" s="1055" t="s">
        <v>1489</v>
      </c>
      <c r="C58" s="1055" t="s">
        <v>465</v>
      </c>
      <c r="D58" s="1055" t="s">
        <v>893</v>
      </c>
      <c r="E58" s="1055" t="s">
        <v>893</v>
      </c>
      <c r="F58" s="1056">
        <v>243</v>
      </c>
      <c r="G58" s="1056">
        <v>157</v>
      </c>
      <c r="H58" s="1056">
        <v>243</v>
      </c>
      <c r="I58" s="1056">
        <v>157</v>
      </c>
      <c r="K58" s="995">
        <f t="shared" si="0"/>
        <v>8</v>
      </c>
    </row>
    <row r="59" spans="1:11">
      <c r="A59" s="1054">
        <v>13050502</v>
      </c>
      <c r="B59" s="1055" t="s">
        <v>1489</v>
      </c>
      <c r="C59" s="1055" t="s">
        <v>465</v>
      </c>
      <c r="D59" s="1055" t="s">
        <v>1298</v>
      </c>
      <c r="E59" s="1055" t="s">
        <v>987</v>
      </c>
      <c r="F59" s="1056">
        <v>36</v>
      </c>
      <c r="G59" s="1056">
        <v>0</v>
      </c>
      <c r="H59" s="1056">
        <v>36</v>
      </c>
      <c r="I59" s="1056">
        <v>0</v>
      </c>
      <c r="K59" s="995">
        <f t="shared" si="0"/>
        <v>8</v>
      </c>
    </row>
    <row r="60" spans="1:11">
      <c r="A60" s="1054">
        <v>13050502</v>
      </c>
      <c r="B60" s="1055" t="s">
        <v>1489</v>
      </c>
      <c r="C60" s="1055" t="s">
        <v>465</v>
      </c>
      <c r="D60" s="1055" t="s">
        <v>1601</v>
      </c>
      <c r="E60" s="1055" t="s">
        <v>1602</v>
      </c>
      <c r="F60" s="1056">
        <v>31</v>
      </c>
      <c r="G60" s="1056">
        <v>28</v>
      </c>
      <c r="H60" s="1056">
        <v>31</v>
      </c>
      <c r="I60" s="1056">
        <v>28</v>
      </c>
      <c r="K60" s="995">
        <f t="shared" si="0"/>
        <v>8</v>
      </c>
    </row>
    <row r="61" spans="1:11">
      <c r="A61" s="1054">
        <v>13050502</v>
      </c>
      <c r="B61" s="1055" t="s">
        <v>1489</v>
      </c>
      <c r="C61" s="1055" t="s">
        <v>465</v>
      </c>
      <c r="D61" s="1055" t="s">
        <v>1271</v>
      </c>
      <c r="E61" s="1055" t="s">
        <v>782</v>
      </c>
      <c r="F61" s="1056">
        <v>52</v>
      </c>
      <c r="G61" s="1056">
        <v>45</v>
      </c>
      <c r="H61" s="1056">
        <v>52</v>
      </c>
      <c r="I61" s="1056">
        <v>45</v>
      </c>
      <c r="K61" s="995">
        <f t="shared" si="0"/>
        <v>8</v>
      </c>
    </row>
    <row r="62" spans="1:11">
      <c r="A62" s="1054">
        <v>13050502</v>
      </c>
      <c r="B62" s="1055" t="s">
        <v>1489</v>
      </c>
      <c r="C62" s="1055" t="s">
        <v>465</v>
      </c>
      <c r="D62" s="1055" t="s">
        <v>1274</v>
      </c>
      <c r="E62" s="1055" t="s">
        <v>989</v>
      </c>
      <c r="F62" s="1056">
        <v>30</v>
      </c>
      <c r="G62" s="1056">
        <v>0</v>
      </c>
      <c r="H62" s="1056">
        <v>30</v>
      </c>
      <c r="I62" s="1056">
        <v>0</v>
      </c>
      <c r="K62" s="995">
        <f t="shared" si="0"/>
        <v>8</v>
      </c>
    </row>
    <row r="63" spans="1:11">
      <c r="A63" s="1054">
        <v>13050502</v>
      </c>
      <c r="B63" s="1055" t="s">
        <v>1489</v>
      </c>
      <c r="C63" s="1055" t="s">
        <v>465</v>
      </c>
      <c r="D63" s="1055" t="s">
        <v>1676</v>
      </c>
      <c r="E63" s="1055" t="s">
        <v>1677</v>
      </c>
      <c r="F63" s="1056">
        <v>39</v>
      </c>
      <c r="G63" s="1056">
        <v>0</v>
      </c>
      <c r="H63" s="1056">
        <v>0</v>
      </c>
      <c r="I63" s="1056">
        <v>39</v>
      </c>
      <c r="K63" s="995">
        <f t="shared" si="0"/>
        <v>8</v>
      </c>
    </row>
    <row r="64" spans="1:11">
      <c r="A64" s="1054">
        <v>13050502</v>
      </c>
      <c r="B64" s="1055" t="s">
        <v>1489</v>
      </c>
      <c r="C64" s="1055" t="s">
        <v>465</v>
      </c>
      <c r="D64" s="1055" t="s">
        <v>1605</v>
      </c>
      <c r="E64" s="1055" t="s">
        <v>1606</v>
      </c>
      <c r="F64" s="1056">
        <v>0</v>
      </c>
      <c r="G64" s="1056">
        <v>84</v>
      </c>
      <c r="H64" s="1056">
        <v>39</v>
      </c>
      <c r="I64" s="1056">
        <v>45</v>
      </c>
      <c r="K64" s="995">
        <f t="shared" si="0"/>
        <v>8</v>
      </c>
    </row>
    <row r="65" spans="1:11">
      <c r="A65" s="1054">
        <v>13050502</v>
      </c>
      <c r="B65" s="1055" t="s">
        <v>1489</v>
      </c>
      <c r="C65" s="1055" t="s">
        <v>465</v>
      </c>
      <c r="D65" s="1055" t="s">
        <v>1044</v>
      </c>
      <c r="E65" s="1055" t="s">
        <v>1045</v>
      </c>
      <c r="F65" s="1056">
        <v>18</v>
      </c>
      <c r="G65" s="1056">
        <v>0</v>
      </c>
      <c r="H65" s="1056">
        <v>18</v>
      </c>
      <c r="I65" s="1056">
        <v>0</v>
      </c>
      <c r="K65" s="995">
        <f t="shared" si="0"/>
        <v>8</v>
      </c>
    </row>
    <row r="66" spans="1:11">
      <c r="A66" s="1054">
        <v>13050502</v>
      </c>
      <c r="B66" s="1055" t="s">
        <v>1489</v>
      </c>
      <c r="C66" s="1055" t="s">
        <v>465</v>
      </c>
      <c r="D66" s="1055" t="s">
        <v>1252</v>
      </c>
      <c r="E66" s="1055" t="s">
        <v>1253</v>
      </c>
      <c r="F66" s="1056">
        <v>37</v>
      </c>
      <c r="G66" s="1056">
        <v>0</v>
      </c>
      <c r="H66" s="1056">
        <v>37</v>
      </c>
      <c r="I66" s="1056">
        <v>0</v>
      </c>
      <c r="K66" s="995">
        <f t="shared" si="0"/>
        <v>8</v>
      </c>
    </row>
    <row r="67" spans="1:11">
      <c r="A67" s="1054">
        <v>1325</v>
      </c>
      <c r="B67" s="1055" t="s">
        <v>893</v>
      </c>
      <c r="C67" s="1055" t="s">
        <v>319</v>
      </c>
      <c r="D67" s="1055" t="s">
        <v>893</v>
      </c>
      <c r="E67" s="1055" t="s">
        <v>893</v>
      </c>
      <c r="F67" s="1056">
        <v>0</v>
      </c>
      <c r="G67" s="1056">
        <v>0</v>
      </c>
      <c r="H67" s="1056">
        <v>0</v>
      </c>
      <c r="I67" s="1056">
        <v>0</v>
      </c>
      <c r="K67" s="995">
        <f t="shared" si="0"/>
        <v>4</v>
      </c>
    </row>
    <row r="68" spans="1:11">
      <c r="A68" s="1054">
        <v>132510</v>
      </c>
      <c r="B68" s="1055" t="s">
        <v>893</v>
      </c>
      <c r="C68" s="1055" t="s">
        <v>320</v>
      </c>
      <c r="D68" s="1055" t="s">
        <v>893</v>
      </c>
      <c r="E68" s="1055" t="s">
        <v>893</v>
      </c>
      <c r="F68" s="1056">
        <v>0</v>
      </c>
      <c r="G68" s="1056">
        <v>0</v>
      </c>
      <c r="H68" s="1056">
        <v>0</v>
      </c>
      <c r="I68" s="1056">
        <v>0</v>
      </c>
      <c r="K68" s="995">
        <f t="shared" si="0"/>
        <v>6</v>
      </c>
    </row>
    <row r="69" spans="1:11">
      <c r="A69" s="1054">
        <v>13251005</v>
      </c>
      <c r="B69" s="1055" t="s">
        <v>893</v>
      </c>
      <c r="C69" s="1055" t="s">
        <v>320</v>
      </c>
      <c r="D69" s="1055" t="s">
        <v>893</v>
      </c>
      <c r="E69" s="1055" t="s">
        <v>893</v>
      </c>
      <c r="F69" s="1056">
        <v>0</v>
      </c>
      <c r="G69" s="1056">
        <v>0</v>
      </c>
      <c r="H69" s="1056">
        <v>0</v>
      </c>
      <c r="I69" s="1056">
        <v>0</v>
      </c>
      <c r="K69" s="995">
        <f t="shared" ref="K69:K132" si="1">+LEN(A69)</f>
        <v>8</v>
      </c>
    </row>
    <row r="70" spans="1:11">
      <c r="A70" s="1054">
        <v>1330</v>
      </c>
      <c r="B70" s="1055" t="s">
        <v>893</v>
      </c>
      <c r="C70" s="1055" t="s">
        <v>321</v>
      </c>
      <c r="D70" s="1055" t="s">
        <v>893</v>
      </c>
      <c r="E70" s="1055" t="s">
        <v>893</v>
      </c>
      <c r="F70" s="1056">
        <v>165936</v>
      </c>
      <c r="G70" s="1056">
        <v>27381</v>
      </c>
      <c r="H70" s="1056">
        <v>8670</v>
      </c>
      <c r="I70" s="1056">
        <v>184647</v>
      </c>
      <c r="K70" s="995">
        <f t="shared" si="1"/>
        <v>4</v>
      </c>
    </row>
    <row r="71" spans="1:11">
      <c r="A71" s="1054">
        <v>133005</v>
      </c>
      <c r="B71" s="1055" t="s">
        <v>893</v>
      </c>
      <c r="C71" s="1055" t="s">
        <v>506</v>
      </c>
      <c r="D71" s="1055" t="s">
        <v>893</v>
      </c>
      <c r="E71" s="1055" t="s">
        <v>893</v>
      </c>
      <c r="F71" s="1056">
        <v>7502</v>
      </c>
      <c r="G71" s="1056">
        <v>3265</v>
      </c>
      <c r="H71" s="1056">
        <v>2165</v>
      </c>
      <c r="I71" s="1056">
        <v>8602</v>
      </c>
      <c r="K71" s="995">
        <f t="shared" si="1"/>
        <v>6</v>
      </c>
    </row>
    <row r="72" spans="1:11">
      <c r="A72" s="1054">
        <v>13300501</v>
      </c>
      <c r="B72" s="1055" t="s">
        <v>1489</v>
      </c>
      <c r="C72" s="1055" t="s">
        <v>506</v>
      </c>
      <c r="D72" s="1055" t="s">
        <v>893</v>
      </c>
      <c r="E72" s="1055" t="s">
        <v>893</v>
      </c>
      <c r="F72" s="1056">
        <v>7502</v>
      </c>
      <c r="G72" s="1056">
        <v>1100</v>
      </c>
      <c r="H72" s="1056">
        <v>0</v>
      </c>
      <c r="I72" s="1056">
        <v>8602</v>
      </c>
      <c r="K72" s="995">
        <f t="shared" si="1"/>
        <v>8</v>
      </c>
    </row>
    <row r="73" spans="1:11">
      <c r="A73" s="1054">
        <v>13300501</v>
      </c>
      <c r="B73" s="1055" t="s">
        <v>1489</v>
      </c>
      <c r="C73" s="1055" t="s">
        <v>506</v>
      </c>
      <c r="D73" s="1055" t="s">
        <v>1910</v>
      </c>
      <c r="E73" s="1055" t="s">
        <v>1911</v>
      </c>
      <c r="F73" s="1056">
        <v>0</v>
      </c>
      <c r="G73" s="1056">
        <v>1100</v>
      </c>
      <c r="H73" s="1056">
        <v>0</v>
      </c>
      <c r="I73" s="1056">
        <v>1100</v>
      </c>
      <c r="K73" s="995">
        <f t="shared" si="1"/>
        <v>8</v>
      </c>
    </row>
    <row r="74" spans="1:11">
      <c r="A74" s="1054">
        <v>13300501</v>
      </c>
      <c r="B74" s="1055" t="s">
        <v>1489</v>
      </c>
      <c r="C74" s="1055" t="s">
        <v>506</v>
      </c>
      <c r="D74" s="1055" t="s">
        <v>1295</v>
      </c>
      <c r="E74" s="1055" t="s">
        <v>963</v>
      </c>
      <c r="F74" s="1056">
        <v>7502</v>
      </c>
      <c r="G74" s="1056">
        <v>0</v>
      </c>
      <c r="H74" s="1056">
        <v>0</v>
      </c>
      <c r="I74" s="1056">
        <v>7502</v>
      </c>
      <c r="K74" s="995">
        <f t="shared" si="1"/>
        <v>8</v>
      </c>
    </row>
    <row r="75" spans="1:11">
      <c r="A75" s="1054">
        <v>13300502</v>
      </c>
      <c r="B75" s="1055" t="s">
        <v>1489</v>
      </c>
      <c r="C75" s="1055" t="s">
        <v>507</v>
      </c>
      <c r="D75" s="1055" t="s">
        <v>893</v>
      </c>
      <c r="E75" s="1055" t="s">
        <v>893</v>
      </c>
      <c r="F75" s="1056">
        <v>0</v>
      </c>
      <c r="G75" s="1056">
        <v>2165</v>
      </c>
      <c r="H75" s="1056">
        <v>2165</v>
      </c>
      <c r="I75" s="1056">
        <v>0</v>
      </c>
      <c r="K75" s="995">
        <f t="shared" si="1"/>
        <v>8</v>
      </c>
    </row>
    <row r="76" spans="1:11">
      <c r="A76" s="1054">
        <v>13300502</v>
      </c>
      <c r="B76" s="1055" t="s">
        <v>1489</v>
      </c>
      <c r="C76" s="1055" t="s">
        <v>507</v>
      </c>
      <c r="D76" s="1055" t="s">
        <v>1053</v>
      </c>
      <c r="E76" s="1055" t="s">
        <v>1054</v>
      </c>
      <c r="F76" s="1056">
        <v>0</v>
      </c>
      <c r="G76" s="1056">
        <v>792</v>
      </c>
      <c r="H76" s="1056">
        <v>792</v>
      </c>
      <c r="I76" s="1056">
        <v>0</v>
      </c>
      <c r="K76" s="995">
        <f t="shared" si="1"/>
        <v>8</v>
      </c>
    </row>
    <row r="77" spans="1:11">
      <c r="A77" s="1054">
        <v>13300502</v>
      </c>
      <c r="B77" s="1055" t="s">
        <v>1489</v>
      </c>
      <c r="C77" s="1055" t="s">
        <v>507</v>
      </c>
      <c r="D77" s="1055" t="s">
        <v>1562</v>
      </c>
      <c r="E77" s="1055" t="s">
        <v>1563</v>
      </c>
      <c r="F77" s="1056">
        <v>0</v>
      </c>
      <c r="G77" s="1056">
        <v>90</v>
      </c>
      <c r="H77" s="1056">
        <v>90</v>
      </c>
      <c r="I77" s="1056">
        <v>0</v>
      </c>
      <c r="K77" s="995">
        <f t="shared" si="1"/>
        <v>8</v>
      </c>
    </row>
    <row r="78" spans="1:11">
      <c r="A78" s="1054">
        <v>13300502</v>
      </c>
      <c r="B78" s="1055" t="s">
        <v>1489</v>
      </c>
      <c r="C78" s="1055" t="s">
        <v>507</v>
      </c>
      <c r="D78" s="1055" t="s">
        <v>1272</v>
      </c>
      <c r="E78" s="1055" t="s">
        <v>1273</v>
      </c>
      <c r="F78" s="1056">
        <v>0</v>
      </c>
      <c r="G78" s="1056">
        <v>266</v>
      </c>
      <c r="H78" s="1056">
        <v>266</v>
      </c>
      <c r="I78" s="1056">
        <v>0</v>
      </c>
      <c r="K78" s="995">
        <f t="shared" si="1"/>
        <v>8</v>
      </c>
    </row>
    <row r="79" spans="1:11">
      <c r="A79" s="1054">
        <v>13300502</v>
      </c>
      <c r="B79" s="1055" t="s">
        <v>1489</v>
      </c>
      <c r="C79" s="1055" t="s">
        <v>507</v>
      </c>
      <c r="D79" s="1055" t="s">
        <v>1693</v>
      </c>
      <c r="E79" s="1055" t="s">
        <v>1694</v>
      </c>
      <c r="F79" s="1056">
        <v>0</v>
      </c>
      <c r="G79" s="1056">
        <v>90</v>
      </c>
      <c r="H79" s="1056">
        <v>90</v>
      </c>
      <c r="I79" s="1056">
        <v>0</v>
      </c>
      <c r="K79" s="995">
        <f t="shared" si="1"/>
        <v>8</v>
      </c>
    </row>
    <row r="80" spans="1:11">
      <c r="A80" s="1054">
        <v>13300502</v>
      </c>
      <c r="B80" s="1055" t="s">
        <v>1489</v>
      </c>
      <c r="C80" s="1055" t="s">
        <v>507</v>
      </c>
      <c r="D80" s="1055" t="s">
        <v>1299</v>
      </c>
      <c r="E80" s="1055" t="s">
        <v>1737</v>
      </c>
      <c r="F80" s="1056">
        <v>0</v>
      </c>
      <c r="G80" s="1056">
        <v>28</v>
      </c>
      <c r="H80" s="1056">
        <v>28</v>
      </c>
      <c r="I80" s="1056">
        <v>0</v>
      </c>
      <c r="K80" s="995">
        <f t="shared" si="1"/>
        <v>8</v>
      </c>
    </row>
    <row r="81" spans="1:11">
      <c r="A81" s="1054">
        <v>13300502</v>
      </c>
      <c r="B81" s="1055" t="s">
        <v>1489</v>
      </c>
      <c r="C81" s="1055" t="s">
        <v>507</v>
      </c>
      <c r="D81" s="1055" t="s">
        <v>1695</v>
      </c>
      <c r="E81" s="1055" t="s">
        <v>1696</v>
      </c>
      <c r="F81" s="1056">
        <v>0</v>
      </c>
      <c r="G81" s="1056">
        <v>4</v>
      </c>
      <c r="H81" s="1056">
        <v>4</v>
      </c>
      <c r="I81" s="1056">
        <v>0</v>
      </c>
      <c r="K81" s="995">
        <f t="shared" si="1"/>
        <v>8</v>
      </c>
    </row>
    <row r="82" spans="1:11">
      <c r="A82" s="1054">
        <v>13300502</v>
      </c>
      <c r="B82" s="1055" t="s">
        <v>1489</v>
      </c>
      <c r="C82" s="1055" t="s">
        <v>507</v>
      </c>
      <c r="D82" s="1055" t="s">
        <v>1300</v>
      </c>
      <c r="E82" s="1055" t="s">
        <v>1301</v>
      </c>
      <c r="F82" s="1056">
        <v>0</v>
      </c>
      <c r="G82" s="1056">
        <v>345</v>
      </c>
      <c r="H82" s="1056">
        <v>345</v>
      </c>
      <c r="I82" s="1056">
        <v>0</v>
      </c>
      <c r="K82" s="995">
        <f t="shared" si="1"/>
        <v>8</v>
      </c>
    </row>
    <row r="83" spans="1:11">
      <c r="A83" s="1054">
        <v>13300502</v>
      </c>
      <c r="B83" s="1055" t="s">
        <v>1489</v>
      </c>
      <c r="C83" s="1055" t="s">
        <v>507</v>
      </c>
      <c r="D83" s="1055" t="s">
        <v>1912</v>
      </c>
      <c r="E83" s="1055" t="s">
        <v>1913</v>
      </c>
      <c r="F83" s="1056">
        <v>0</v>
      </c>
      <c r="G83" s="1056">
        <v>550</v>
      </c>
      <c r="H83" s="1056">
        <v>550</v>
      </c>
      <c r="I83" s="1056">
        <v>0</v>
      </c>
      <c r="K83" s="995">
        <f t="shared" si="1"/>
        <v>8</v>
      </c>
    </row>
    <row r="84" spans="1:11">
      <c r="A84" s="1054">
        <v>133010</v>
      </c>
      <c r="B84" s="1055" t="s">
        <v>1489</v>
      </c>
      <c r="C84" s="1055" t="s">
        <v>574</v>
      </c>
      <c r="D84" s="1055" t="s">
        <v>893</v>
      </c>
      <c r="E84" s="1055" t="s">
        <v>893</v>
      </c>
      <c r="F84" s="1056">
        <v>158434</v>
      </c>
      <c r="G84" s="1056">
        <v>24116</v>
      </c>
      <c r="H84" s="1056">
        <v>6505</v>
      </c>
      <c r="I84" s="1056">
        <v>176045</v>
      </c>
      <c r="K84" s="995">
        <f t="shared" si="1"/>
        <v>6</v>
      </c>
    </row>
    <row r="85" spans="1:11">
      <c r="A85" s="1054">
        <v>13301001</v>
      </c>
      <c r="B85" s="1055" t="s">
        <v>1489</v>
      </c>
      <c r="C85" s="1055" t="s">
        <v>574</v>
      </c>
      <c r="D85" s="1055" t="s">
        <v>893</v>
      </c>
      <c r="E85" s="1055" t="s">
        <v>893</v>
      </c>
      <c r="F85" s="1056">
        <v>158434</v>
      </c>
      <c r="G85" s="1056">
        <v>24116</v>
      </c>
      <c r="H85" s="1056">
        <v>6505</v>
      </c>
      <c r="I85" s="1056">
        <v>176045</v>
      </c>
      <c r="K85" s="995">
        <f t="shared" si="1"/>
        <v>8</v>
      </c>
    </row>
    <row r="86" spans="1:11">
      <c r="A86" s="1054">
        <v>13301001</v>
      </c>
      <c r="B86" s="1055" t="s">
        <v>1489</v>
      </c>
      <c r="C86" s="1055" t="s">
        <v>574</v>
      </c>
      <c r="D86" s="1055" t="s">
        <v>1055</v>
      </c>
      <c r="E86" s="1055" t="s">
        <v>817</v>
      </c>
      <c r="F86" s="1056">
        <v>27460</v>
      </c>
      <c r="G86" s="1056">
        <v>0</v>
      </c>
      <c r="H86" s="1056">
        <v>0</v>
      </c>
      <c r="I86" s="1056">
        <v>27460</v>
      </c>
      <c r="K86" s="995">
        <f t="shared" si="1"/>
        <v>8</v>
      </c>
    </row>
    <row r="87" spans="1:11">
      <c r="A87" s="1054">
        <v>13301001</v>
      </c>
      <c r="B87" s="1055" t="s">
        <v>1489</v>
      </c>
      <c r="C87" s="1055" t="s">
        <v>574</v>
      </c>
      <c r="D87" s="1055" t="s">
        <v>1246</v>
      </c>
      <c r="E87" s="1055" t="s">
        <v>743</v>
      </c>
      <c r="F87" s="1056">
        <v>12483</v>
      </c>
      <c r="G87" s="1056">
        <v>0</v>
      </c>
      <c r="H87" s="1056">
        <v>0</v>
      </c>
      <c r="I87" s="1056">
        <v>12483</v>
      </c>
      <c r="K87" s="995">
        <f t="shared" si="1"/>
        <v>8</v>
      </c>
    </row>
    <row r="88" spans="1:11">
      <c r="A88" s="1054">
        <v>13301001</v>
      </c>
      <c r="B88" s="1055" t="s">
        <v>1489</v>
      </c>
      <c r="C88" s="1055" t="s">
        <v>574</v>
      </c>
      <c r="D88" s="1055" t="s">
        <v>1032</v>
      </c>
      <c r="E88" s="1055" t="s">
        <v>508</v>
      </c>
      <c r="F88" s="1056">
        <v>2300</v>
      </c>
      <c r="G88" s="1056">
        <v>3752</v>
      </c>
      <c r="H88" s="1056">
        <v>0</v>
      </c>
      <c r="I88" s="1056">
        <v>6052</v>
      </c>
      <c r="K88" s="995">
        <f t="shared" si="1"/>
        <v>8</v>
      </c>
    </row>
    <row r="89" spans="1:11">
      <c r="A89" s="1054">
        <v>13301001</v>
      </c>
      <c r="B89" s="1055" t="s">
        <v>1489</v>
      </c>
      <c r="C89" s="1055" t="s">
        <v>574</v>
      </c>
      <c r="D89" s="1055" t="s">
        <v>1176</v>
      </c>
      <c r="E89" s="1055" t="s">
        <v>910</v>
      </c>
      <c r="F89" s="1056">
        <v>11234</v>
      </c>
      <c r="G89" s="1056">
        <v>4055</v>
      </c>
      <c r="H89" s="1056">
        <v>0</v>
      </c>
      <c r="I89" s="1056">
        <v>15289</v>
      </c>
      <c r="K89" s="995">
        <f t="shared" si="1"/>
        <v>8</v>
      </c>
    </row>
    <row r="90" spans="1:11">
      <c r="A90" s="1054">
        <v>13301001</v>
      </c>
      <c r="B90" s="1055" t="s">
        <v>1489</v>
      </c>
      <c r="C90" s="1055" t="s">
        <v>574</v>
      </c>
      <c r="D90" s="1055" t="s">
        <v>1608</v>
      </c>
      <c r="E90" s="1055" t="s">
        <v>1609</v>
      </c>
      <c r="F90" s="1056">
        <v>0</v>
      </c>
      <c r="G90" s="1056">
        <v>433</v>
      </c>
      <c r="H90" s="1056">
        <v>433</v>
      </c>
      <c r="I90" s="1056">
        <v>0</v>
      </c>
      <c r="K90" s="995">
        <f t="shared" si="1"/>
        <v>8</v>
      </c>
    </row>
    <row r="91" spans="1:11">
      <c r="A91" s="1054">
        <v>13301001</v>
      </c>
      <c r="B91" s="1055" t="s">
        <v>1489</v>
      </c>
      <c r="C91" s="1055" t="s">
        <v>574</v>
      </c>
      <c r="D91" s="1055" t="s">
        <v>1056</v>
      </c>
      <c r="E91" s="1055" t="s">
        <v>448</v>
      </c>
      <c r="F91" s="1056">
        <v>28533</v>
      </c>
      <c r="G91" s="1056">
        <v>4961</v>
      </c>
      <c r="H91" s="1056">
        <v>2342</v>
      </c>
      <c r="I91" s="1056">
        <v>31152</v>
      </c>
      <c r="K91" s="995">
        <f t="shared" si="1"/>
        <v>8</v>
      </c>
    </row>
    <row r="92" spans="1:11">
      <c r="A92" s="1054">
        <v>13301001</v>
      </c>
      <c r="B92" s="1055" t="s">
        <v>1489</v>
      </c>
      <c r="C92" s="1055" t="s">
        <v>574</v>
      </c>
      <c r="D92" s="1055" t="s">
        <v>1057</v>
      </c>
      <c r="E92" s="1055" t="s">
        <v>818</v>
      </c>
      <c r="F92" s="1056">
        <v>50473</v>
      </c>
      <c r="G92" s="1056">
        <v>2977</v>
      </c>
      <c r="H92" s="1056">
        <v>694</v>
      </c>
      <c r="I92" s="1056">
        <v>52755</v>
      </c>
      <c r="K92" s="995">
        <f t="shared" si="1"/>
        <v>8</v>
      </c>
    </row>
    <row r="93" spans="1:11">
      <c r="A93" s="1054">
        <v>13301001</v>
      </c>
      <c r="B93" s="1055" t="s">
        <v>1489</v>
      </c>
      <c r="C93" s="1055" t="s">
        <v>574</v>
      </c>
      <c r="D93" s="1055" t="s">
        <v>1058</v>
      </c>
      <c r="E93" s="1055" t="s">
        <v>792</v>
      </c>
      <c r="F93" s="1056">
        <v>26972</v>
      </c>
      <c r="G93" s="1056">
        <v>4961</v>
      </c>
      <c r="H93" s="1056">
        <v>2342</v>
      </c>
      <c r="I93" s="1056">
        <v>29592</v>
      </c>
      <c r="K93" s="995">
        <f t="shared" si="1"/>
        <v>8</v>
      </c>
    </row>
    <row r="94" spans="1:11">
      <c r="A94" s="1054">
        <v>13301001</v>
      </c>
      <c r="B94" s="1055" t="s">
        <v>1489</v>
      </c>
      <c r="C94" s="1055" t="s">
        <v>574</v>
      </c>
      <c r="D94" s="1055" t="s">
        <v>1059</v>
      </c>
      <c r="E94" s="1055" t="s">
        <v>819</v>
      </c>
      <c r="F94" s="1056">
        <v>-1021</v>
      </c>
      <c r="G94" s="1056">
        <v>2977</v>
      </c>
      <c r="H94" s="1056">
        <v>694</v>
      </c>
      <c r="I94" s="1056">
        <v>1262</v>
      </c>
      <c r="K94" s="995">
        <f t="shared" si="1"/>
        <v>8</v>
      </c>
    </row>
    <row r="95" spans="1:11">
      <c r="A95" s="1054">
        <v>1365</v>
      </c>
      <c r="B95" s="1055" t="s">
        <v>893</v>
      </c>
      <c r="C95" s="1055" t="s">
        <v>322</v>
      </c>
      <c r="D95" s="1055" t="s">
        <v>893</v>
      </c>
      <c r="E95" s="1055" t="s">
        <v>893</v>
      </c>
      <c r="F95" s="1056">
        <v>2109</v>
      </c>
      <c r="G95" s="1056">
        <v>925</v>
      </c>
      <c r="H95" s="1056">
        <v>1036</v>
      </c>
      <c r="I95" s="1056">
        <v>1998</v>
      </c>
      <c r="K95" s="995">
        <f t="shared" si="1"/>
        <v>4</v>
      </c>
    </row>
    <row r="96" spans="1:11">
      <c r="A96" s="1054">
        <v>136525</v>
      </c>
      <c r="B96" s="1055" t="s">
        <v>893</v>
      </c>
      <c r="C96" s="1055" t="s">
        <v>926</v>
      </c>
      <c r="D96" s="1055" t="s">
        <v>893</v>
      </c>
      <c r="E96" s="1055" t="s">
        <v>893</v>
      </c>
      <c r="F96" s="1056">
        <v>1080</v>
      </c>
      <c r="G96" s="1056">
        <v>38</v>
      </c>
      <c r="H96" s="1056">
        <v>280</v>
      </c>
      <c r="I96" s="1056">
        <v>838</v>
      </c>
      <c r="K96" s="995">
        <f t="shared" si="1"/>
        <v>6</v>
      </c>
    </row>
    <row r="97" spans="1:11">
      <c r="A97" s="1054">
        <v>13652501</v>
      </c>
      <c r="B97" s="1055" t="s">
        <v>893</v>
      </c>
      <c r="C97" s="1055" t="s">
        <v>927</v>
      </c>
      <c r="D97" s="1055" t="s">
        <v>893</v>
      </c>
      <c r="E97" s="1055" t="s">
        <v>893</v>
      </c>
      <c r="F97" s="1056">
        <v>1080</v>
      </c>
      <c r="G97" s="1056">
        <v>38</v>
      </c>
      <c r="H97" s="1056">
        <v>280</v>
      </c>
      <c r="I97" s="1056">
        <v>838</v>
      </c>
      <c r="K97" s="995">
        <f t="shared" si="1"/>
        <v>8</v>
      </c>
    </row>
    <row r="98" spans="1:11">
      <c r="A98" s="1054">
        <v>13652501</v>
      </c>
      <c r="B98" s="1055" t="s">
        <v>893</v>
      </c>
      <c r="C98" s="1055" t="s">
        <v>927</v>
      </c>
      <c r="D98" s="1055" t="s">
        <v>1302</v>
      </c>
      <c r="E98" s="1055" t="s">
        <v>986</v>
      </c>
      <c r="F98" s="1056">
        <v>967</v>
      </c>
      <c r="G98" s="1056">
        <v>0</v>
      </c>
      <c r="H98" s="1056">
        <v>242</v>
      </c>
      <c r="I98" s="1056">
        <v>725</v>
      </c>
      <c r="K98" s="995">
        <f t="shared" si="1"/>
        <v>8</v>
      </c>
    </row>
    <row r="99" spans="1:11">
      <c r="A99" s="1054">
        <v>13652501</v>
      </c>
      <c r="B99" s="1055" t="s">
        <v>893</v>
      </c>
      <c r="C99" s="1055" t="s">
        <v>927</v>
      </c>
      <c r="D99" s="1055" t="s">
        <v>1870</v>
      </c>
      <c r="E99" s="1055" t="s">
        <v>1871</v>
      </c>
      <c r="F99" s="1056">
        <v>0</v>
      </c>
      <c r="G99" s="1056">
        <v>9</v>
      </c>
      <c r="H99" s="1056">
        <v>9</v>
      </c>
      <c r="I99" s="1056">
        <v>0</v>
      </c>
      <c r="K99" s="995">
        <f t="shared" si="1"/>
        <v>8</v>
      </c>
    </row>
    <row r="100" spans="1:11">
      <c r="A100" s="1054">
        <v>13652501</v>
      </c>
      <c r="B100" s="1055" t="s">
        <v>893</v>
      </c>
      <c r="C100" s="1055" t="s">
        <v>927</v>
      </c>
      <c r="D100" s="1055" t="s">
        <v>1613</v>
      </c>
      <c r="E100" s="1055" t="s">
        <v>1614</v>
      </c>
      <c r="F100" s="1056">
        <v>0</v>
      </c>
      <c r="G100" s="1056">
        <v>29</v>
      </c>
      <c r="H100" s="1056">
        <v>29</v>
      </c>
      <c r="I100" s="1056">
        <v>0</v>
      </c>
      <c r="K100" s="995">
        <f t="shared" si="1"/>
        <v>8</v>
      </c>
    </row>
    <row r="101" spans="1:11">
      <c r="A101" s="1054">
        <v>13652501</v>
      </c>
      <c r="B101" s="1055" t="s">
        <v>893</v>
      </c>
      <c r="C101" s="1055" t="s">
        <v>927</v>
      </c>
      <c r="D101" s="1055" t="s">
        <v>1303</v>
      </c>
      <c r="E101" s="1055" t="s">
        <v>806</v>
      </c>
      <c r="F101" s="1056">
        <v>113</v>
      </c>
      <c r="G101" s="1056">
        <v>0</v>
      </c>
      <c r="H101" s="1056">
        <v>0</v>
      </c>
      <c r="I101" s="1056">
        <v>113</v>
      </c>
      <c r="K101" s="995">
        <f t="shared" si="1"/>
        <v>8</v>
      </c>
    </row>
    <row r="102" spans="1:11">
      <c r="A102" s="1054">
        <v>136595</v>
      </c>
      <c r="B102" s="1055" t="s">
        <v>893</v>
      </c>
      <c r="C102" s="1055" t="s">
        <v>323</v>
      </c>
      <c r="D102" s="1055" t="s">
        <v>893</v>
      </c>
      <c r="E102" s="1055" t="s">
        <v>893</v>
      </c>
      <c r="F102" s="1056">
        <v>1029</v>
      </c>
      <c r="G102" s="1056">
        <v>887</v>
      </c>
      <c r="H102" s="1056">
        <v>757</v>
      </c>
      <c r="I102" s="1056">
        <v>1159</v>
      </c>
      <c r="K102" s="995">
        <f t="shared" si="1"/>
        <v>6</v>
      </c>
    </row>
    <row r="103" spans="1:11">
      <c r="A103" s="1054">
        <v>13659501</v>
      </c>
      <c r="B103" s="1055" t="s">
        <v>893</v>
      </c>
      <c r="C103" s="1055" t="s">
        <v>509</v>
      </c>
      <c r="D103" s="1055" t="s">
        <v>893</v>
      </c>
      <c r="E103" s="1055" t="s">
        <v>893</v>
      </c>
      <c r="F103" s="1056">
        <v>892</v>
      </c>
      <c r="G103" s="1056">
        <v>612</v>
      </c>
      <c r="H103" s="1056">
        <v>595</v>
      </c>
      <c r="I103" s="1056">
        <v>909</v>
      </c>
      <c r="K103" s="995">
        <f t="shared" si="1"/>
        <v>8</v>
      </c>
    </row>
    <row r="104" spans="1:11">
      <c r="A104" s="1054">
        <v>13659501</v>
      </c>
      <c r="B104" s="1055" t="s">
        <v>893</v>
      </c>
      <c r="C104" s="1055" t="s">
        <v>509</v>
      </c>
      <c r="D104" s="1055" t="s">
        <v>1298</v>
      </c>
      <c r="E104" s="1055" t="s">
        <v>987</v>
      </c>
      <c r="F104" s="1056">
        <v>60</v>
      </c>
      <c r="G104" s="1056">
        <v>65</v>
      </c>
      <c r="H104" s="1056">
        <v>104</v>
      </c>
      <c r="I104" s="1056">
        <v>21</v>
      </c>
      <c r="K104" s="995">
        <f t="shared" si="1"/>
        <v>8</v>
      </c>
    </row>
    <row r="105" spans="1:11">
      <c r="A105" s="1054">
        <v>13659501</v>
      </c>
      <c r="B105" s="1055" t="s">
        <v>893</v>
      </c>
      <c r="C105" s="1055" t="s">
        <v>509</v>
      </c>
      <c r="D105" s="1055" t="s">
        <v>1270</v>
      </c>
      <c r="E105" s="1055" t="s">
        <v>988</v>
      </c>
      <c r="F105" s="1056">
        <v>64</v>
      </c>
      <c r="G105" s="1056">
        <v>147</v>
      </c>
      <c r="H105" s="1056">
        <v>161</v>
      </c>
      <c r="I105" s="1056">
        <v>51</v>
      </c>
      <c r="K105" s="995">
        <f t="shared" si="1"/>
        <v>8</v>
      </c>
    </row>
    <row r="106" spans="1:11">
      <c r="A106" s="1054">
        <v>13659501</v>
      </c>
      <c r="B106" s="1055" t="s">
        <v>893</v>
      </c>
      <c r="C106" s="1055" t="s">
        <v>509</v>
      </c>
      <c r="D106" s="1055" t="s">
        <v>1271</v>
      </c>
      <c r="E106" s="1055" t="s">
        <v>782</v>
      </c>
      <c r="F106" s="1056">
        <v>459</v>
      </c>
      <c r="G106" s="1056">
        <v>0</v>
      </c>
      <c r="H106" s="1056">
        <v>0</v>
      </c>
      <c r="I106" s="1056">
        <v>459</v>
      </c>
      <c r="K106" s="995">
        <f t="shared" si="1"/>
        <v>8</v>
      </c>
    </row>
    <row r="107" spans="1:11">
      <c r="A107" s="1054">
        <v>13659501</v>
      </c>
      <c r="B107" s="1055" t="s">
        <v>893</v>
      </c>
      <c r="C107" s="1055" t="s">
        <v>509</v>
      </c>
      <c r="D107" s="1055" t="s">
        <v>1042</v>
      </c>
      <c r="E107" s="1055" t="s">
        <v>1732</v>
      </c>
      <c r="F107" s="1056">
        <v>54</v>
      </c>
      <c r="G107" s="1056">
        <v>0</v>
      </c>
      <c r="H107" s="1056">
        <v>0</v>
      </c>
      <c r="I107" s="1056">
        <v>54</v>
      </c>
      <c r="K107" s="995">
        <f t="shared" si="1"/>
        <v>8</v>
      </c>
    </row>
    <row r="108" spans="1:11">
      <c r="A108" s="1054">
        <v>13659501</v>
      </c>
      <c r="B108" s="1055" t="s">
        <v>893</v>
      </c>
      <c r="C108" s="1055" t="s">
        <v>509</v>
      </c>
      <c r="D108" s="1055" t="s">
        <v>1547</v>
      </c>
      <c r="E108" s="1055" t="s">
        <v>1548</v>
      </c>
      <c r="F108" s="1056">
        <v>0</v>
      </c>
      <c r="G108" s="1056">
        <v>0</v>
      </c>
      <c r="H108" s="1056">
        <v>0</v>
      </c>
      <c r="I108" s="1056">
        <v>0</v>
      </c>
      <c r="K108" s="995">
        <f t="shared" si="1"/>
        <v>8</v>
      </c>
    </row>
    <row r="109" spans="1:11">
      <c r="A109" s="1054">
        <v>13659501</v>
      </c>
      <c r="B109" s="1055" t="s">
        <v>893</v>
      </c>
      <c r="C109" s="1055" t="s">
        <v>509</v>
      </c>
      <c r="D109" s="1055" t="s">
        <v>1304</v>
      </c>
      <c r="E109" s="1055" t="s">
        <v>1819</v>
      </c>
      <c r="F109" s="1056">
        <v>11</v>
      </c>
      <c r="G109" s="1056">
        <v>45</v>
      </c>
      <c r="H109" s="1056">
        <v>27</v>
      </c>
      <c r="I109" s="1056">
        <v>29</v>
      </c>
      <c r="K109" s="995">
        <f t="shared" si="1"/>
        <v>8</v>
      </c>
    </row>
    <row r="110" spans="1:11">
      <c r="A110" s="1054">
        <v>13659501</v>
      </c>
      <c r="B110" s="1055" t="s">
        <v>893</v>
      </c>
      <c r="C110" s="1055" t="s">
        <v>509</v>
      </c>
      <c r="D110" s="1055" t="s">
        <v>1274</v>
      </c>
      <c r="E110" s="1055" t="s">
        <v>989</v>
      </c>
      <c r="F110" s="1056">
        <v>39</v>
      </c>
      <c r="G110" s="1056">
        <v>48</v>
      </c>
      <c r="H110" s="1056">
        <v>32</v>
      </c>
      <c r="I110" s="1056">
        <v>55</v>
      </c>
      <c r="K110" s="995">
        <f t="shared" si="1"/>
        <v>8</v>
      </c>
    </row>
    <row r="111" spans="1:11">
      <c r="A111" s="1054">
        <v>13659501</v>
      </c>
      <c r="B111" s="1055" t="s">
        <v>893</v>
      </c>
      <c r="C111" s="1055" t="s">
        <v>509</v>
      </c>
      <c r="D111" s="1055" t="s">
        <v>1043</v>
      </c>
      <c r="E111" s="1055" t="s">
        <v>318</v>
      </c>
      <c r="F111" s="1056">
        <v>30</v>
      </c>
      <c r="G111" s="1056">
        <v>0</v>
      </c>
      <c r="H111" s="1056">
        <v>0</v>
      </c>
      <c r="I111" s="1056">
        <v>30</v>
      </c>
      <c r="K111" s="995">
        <f t="shared" si="1"/>
        <v>8</v>
      </c>
    </row>
    <row r="112" spans="1:11">
      <c r="A112" s="1054">
        <v>13659501</v>
      </c>
      <c r="B112" s="1055" t="s">
        <v>893</v>
      </c>
      <c r="C112" s="1055" t="s">
        <v>509</v>
      </c>
      <c r="D112" s="1055" t="s">
        <v>1249</v>
      </c>
      <c r="E112" s="1055" t="s">
        <v>583</v>
      </c>
      <c r="F112" s="1056">
        <v>-75</v>
      </c>
      <c r="G112" s="1056">
        <v>202</v>
      </c>
      <c r="H112" s="1056">
        <v>182</v>
      </c>
      <c r="I112" s="1056">
        <v>-56</v>
      </c>
      <c r="K112" s="995">
        <f t="shared" si="1"/>
        <v>8</v>
      </c>
    </row>
    <row r="113" spans="1:11">
      <c r="A113" s="1054">
        <v>13659501</v>
      </c>
      <c r="B113" s="1055" t="s">
        <v>893</v>
      </c>
      <c r="C113" s="1055" t="s">
        <v>509</v>
      </c>
      <c r="D113" s="1055" t="s">
        <v>1305</v>
      </c>
      <c r="E113" s="1055" t="s">
        <v>990</v>
      </c>
      <c r="F113" s="1056">
        <v>25</v>
      </c>
      <c r="G113" s="1056">
        <v>16</v>
      </c>
      <c r="H113" s="1056">
        <v>41</v>
      </c>
      <c r="I113" s="1056">
        <v>0</v>
      </c>
      <c r="K113" s="995">
        <f t="shared" si="1"/>
        <v>8</v>
      </c>
    </row>
    <row r="114" spans="1:11">
      <c r="A114" s="1054">
        <v>13659501</v>
      </c>
      <c r="B114" s="1055" t="s">
        <v>893</v>
      </c>
      <c r="C114" s="1055" t="s">
        <v>509</v>
      </c>
      <c r="D114" s="1055" t="s">
        <v>1303</v>
      </c>
      <c r="E114" s="1055" t="s">
        <v>806</v>
      </c>
      <c r="F114" s="1056">
        <v>170</v>
      </c>
      <c r="G114" s="1056">
        <v>0</v>
      </c>
      <c r="H114" s="1056">
        <v>0</v>
      </c>
      <c r="I114" s="1056">
        <v>170</v>
      </c>
      <c r="K114" s="995">
        <f t="shared" si="1"/>
        <v>8</v>
      </c>
    </row>
    <row r="115" spans="1:11">
      <c r="A115" s="1054">
        <v>13659501</v>
      </c>
      <c r="B115" s="1055" t="s">
        <v>893</v>
      </c>
      <c r="C115" s="1055" t="s">
        <v>509</v>
      </c>
      <c r="D115" s="1055" t="s">
        <v>1605</v>
      </c>
      <c r="E115" s="1055" t="s">
        <v>1606</v>
      </c>
      <c r="F115" s="1056">
        <v>77</v>
      </c>
      <c r="G115" s="1056">
        <v>25</v>
      </c>
      <c r="H115" s="1056">
        <v>4</v>
      </c>
      <c r="I115" s="1056">
        <v>98</v>
      </c>
      <c r="K115" s="995">
        <f t="shared" si="1"/>
        <v>8</v>
      </c>
    </row>
    <row r="116" spans="1:11">
      <c r="A116" s="1054">
        <v>13659501</v>
      </c>
      <c r="B116" s="1055" t="s">
        <v>893</v>
      </c>
      <c r="C116" s="1055" t="s">
        <v>509</v>
      </c>
      <c r="D116" s="1055" t="s">
        <v>1254</v>
      </c>
      <c r="E116" s="1055" t="s">
        <v>744</v>
      </c>
      <c r="F116" s="1056">
        <v>92</v>
      </c>
      <c r="G116" s="1056">
        <v>61</v>
      </c>
      <c r="H116" s="1056">
        <v>42</v>
      </c>
      <c r="I116" s="1056">
        <v>111</v>
      </c>
      <c r="K116" s="995">
        <f t="shared" si="1"/>
        <v>8</v>
      </c>
    </row>
    <row r="117" spans="1:11">
      <c r="A117" s="1054">
        <v>13659501</v>
      </c>
      <c r="B117" s="1055" t="s">
        <v>893</v>
      </c>
      <c r="C117" s="1055" t="s">
        <v>509</v>
      </c>
      <c r="D117" s="1055" t="s">
        <v>1275</v>
      </c>
      <c r="E117" s="1055" t="s">
        <v>991</v>
      </c>
      <c r="F117" s="1056">
        <v>-114</v>
      </c>
      <c r="G117" s="1056">
        <v>2</v>
      </c>
      <c r="H117" s="1056">
        <v>0</v>
      </c>
      <c r="I117" s="1056">
        <v>-112</v>
      </c>
      <c r="K117" s="995">
        <f t="shared" si="1"/>
        <v>8</v>
      </c>
    </row>
    <row r="118" spans="1:11">
      <c r="A118" s="1054">
        <v>13659502</v>
      </c>
      <c r="B118" s="1055" t="s">
        <v>893</v>
      </c>
      <c r="C118" s="1055" t="s">
        <v>1003</v>
      </c>
      <c r="D118" s="1055" t="s">
        <v>893</v>
      </c>
      <c r="E118" s="1055" t="s">
        <v>893</v>
      </c>
      <c r="F118" s="1056">
        <v>137</v>
      </c>
      <c r="G118" s="1056">
        <v>275</v>
      </c>
      <c r="H118" s="1056">
        <v>162</v>
      </c>
      <c r="I118" s="1056">
        <v>250</v>
      </c>
      <c r="K118" s="995">
        <f t="shared" si="1"/>
        <v>8</v>
      </c>
    </row>
    <row r="119" spans="1:11">
      <c r="A119" s="1054">
        <v>13659502</v>
      </c>
      <c r="B119" s="1055" t="s">
        <v>893</v>
      </c>
      <c r="C119" s="1055" t="s">
        <v>1003</v>
      </c>
      <c r="D119" s="1055" t="s">
        <v>1305</v>
      </c>
      <c r="E119" s="1055" t="s">
        <v>990</v>
      </c>
      <c r="F119" s="1056">
        <v>0</v>
      </c>
      <c r="G119" s="1056">
        <v>275</v>
      </c>
      <c r="H119" s="1056">
        <v>137</v>
      </c>
      <c r="I119" s="1056">
        <v>137</v>
      </c>
      <c r="K119" s="995">
        <f t="shared" si="1"/>
        <v>8</v>
      </c>
    </row>
    <row r="120" spans="1:11">
      <c r="A120" s="1054">
        <v>13659502</v>
      </c>
      <c r="B120" s="1055" t="s">
        <v>893</v>
      </c>
      <c r="C120" s="1055" t="s">
        <v>1003</v>
      </c>
      <c r="D120" s="1055" t="s">
        <v>1306</v>
      </c>
      <c r="E120" s="1055" t="s">
        <v>997</v>
      </c>
      <c r="F120" s="1056">
        <v>74</v>
      </c>
      <c r="G120" s="1056">
        <v>0</v>
      </c>
      <c r="H120" s="1056">
        <v>25</v>
      </c>
      <c r="I120" s="1056">
        <v>49</v>
      </c>
      <c r="K120" s="995">
        <f t="shared" si="1"/>
        <v>8</v>
      </c>
    </row>
    <row r="121" spans="1:11">
      <c r="A121" s="1054">
        <v>13659502</v>
      </c>
      <c r="B121" s="1055" t="s">
        <v>893</v>
      </c>
      <c r="C121" s="1055" t="s">
        <v>1003</v>
      </c>
      <c r="D121" s="1055" t="s">
        <v>1861</v>
      </c>
      <c r="E121" s="1055" t="s">
        <v>1862</v>
      </c>
      <c r="F121" s="1056">
        <v>63</v>
      </c>
      <c r="G121" s="1056">
        <v>0</v>
      </c>
      <c r="H121" s="1056">
        <v>0</v>
      </c>
      <c r="I121" s="1056">
        <v>63</v>
      </c>
      <c r="K121" s="995">
        <f t="shared" si="1"/>
        <v>8</v>
      </c>
    </row>
    <row r="122" spans="1:11">
      <c r="A122" s="1054">
        <v>1380</v>
      </c>
      <c r="B122" s="1055" t="s">
        <v>893</v>
      </c>
      <c r="C122" s="1055" t="s">
        <v>107</v>
      </c>
      <c r="D122" s="1055" t="s">
        <v>893</v>
      </c>
      <c r="E122" s="1055" t="s">
        <v>893</v>
      </c>
      <c r="F122" s="1056">
        <v>41519</v>
      </c>
      <c r="G122" s="1056">
        <v>6101</v>
      </c>
      <c r="H122" s="1056">
        <v>7369</v>
      </c>
      <c r="I122" s="1056">
        <v>40251</v>
      </c>
      <c r="K122" s="995">
        <f t="shared" si="1"/>
        <v>4</v>
      </c>
    </row>
    <row r="123" spans="1:11">
      <c r="A123" s="1054">
        <v>138095</v>
      </c>
      <c r="B123" s="1055" t="s">
        <v>893</v>
      </c>
      <c r="C123" s="1055" t="s">
        <v>324</v>
      </c>
      <c r="D123" s="1055" t="s">
        <v>893</v>
      </c>
      <c r="E123" s="1055" t="s">
        <v>893</v>
      </c>
      <c r="F123" s="1056">
        <v>41519</v>
      </c>
      <c r="G123" s="1056">
        <v>6101</v>
      </c>
      <c r="H123" s="1056">
        <v>7369</v>
      </c>
      <c r="I123" s="1056">
        <v>40251</v>
      </c>
      <c r="K123" s="995">
        <f t="shared" si="1"/>
        <v>6</v>
      </c>
    </row>
    <row r="124" spans="1:11">
      <c r="A124" s="1054">
        <v>13809501</v>
      </c>
      <c r="B124" s="1055" t="s">
        <v>1489</v>
      </c>
      <c r="C124" s="1055" t="s">
        <v>832</v>
      </c>
      <c r="D124" s="1055" t="s">
        <v>893</v>
      </c>
      <c r="E124" s="1055" t="s">
        <v>893</v>
      </c>
      <c r="F124" s="1056">
        <v>34386</v>
      </c>
      <c r="G124" s="1056">
        <v>4523</v>
      </c>
      <c r="H124" s="1056">
        <v>5576</v>
      </c>
      <c r="I124" s="1056">
        <v>33334</v>
      </c>
      <c r="K124" s="995">
        <f t="shared" si="1"/>
        <v>8</v>
      </c>
    </row>
    <row r="125" spans="1:11">
      <c r="A125" s="1054">
        <v>13809501</v>
      </c>
      <c r="B125" s="1055" t="s">
        <v>1489</v>
      </c>
      <c r="C125" s="1055" t="s">
        <v>832</v>
      </c>
      <c r="D125" s="1055" t="s">
        <v>1035</v>
      </c>
      <c r="E125" s="1055" t="s">
        <v>573</v>
      </c>
      <c r="F125" s="1056">
        <v>219</v>
      </c>
      <c r="G125" s="1056">
        <v>0</v>
      </c>
      <c r="H125" s="1056">
        <v>0</v>
      </c>
      <c r="I125" s="1056">
        <v>219</v>
      </c>
      <c r="K125" s="995">
        <f t="shared" si="1"/>
        <v>8</v>
      </c>
    </row>
    <row r="126" spans="1:11">
      <c r="A126" s="1054">
        <v>13809501</v>
      </c>
      <c r="B126" s="1055" t="s">
        <v>1489</v>
      </c>
      <c r="C126" s="1055" t="s">
        <v>832</v>
      </c>
      <c r="D126" s="1055" t="s">
        <v>1040</v>
      </c>
      <c r="E126" s="1055" t="s">
        <v>406</v>
      </c>
      <c r="F126" s="1056">
        <v>21554</v>
      </c>
      <c r="G126" s="1056">
        <v>3915</v>
      </c>
      <c r="H126" s="1056">
        <v>0</v>
      </c>
      <c r="I126" s="1056">
        <v>25469</v>
      </c>
      <c r="K126" s="995">
        <f t="shared" si="1"/>
        <v>8</v>
      </c>
    </row>
    <row r="127" spans="1:11">
      <c r="A127" s="1054">
        <v>13809501</v>
      </c>
      <c r="B127" s="1055" t="s">
        <v>1489</v>
      </c>
      <c r="C127" s="1055" t="s">
        <v>832</v>
      </c>
      <c r="D127" s="1055" t="s">
        <v>1041</v>
      </c>
      <c r="E127" s="1055" t="s">
        <v>661</v>
      </c>
      <c r="F127" s="1056">
        <v>12613</v>
      </c>
      <c r="G127" s="1056">
        <v>609</v>
      </c>
      <c r="H127" s="1056">
        <v>5576</v>
      </c>
      <c r="I127" s="1056">
        <v>7646</v>
      </c>
      <c r="K127" s="995">
        <f t="shared" si="1"/>
        <v>8</v>
      </c>
    </row>
    <row r="128" spans="1:11">
      <c r="A128" s="1054">
        <v>13809502</v>
      </c>
      <c r="B128" s="1055" t="s">
        <v>1489</v>
      </c>
      <c r="C128" s="1055" t="s">
        <v>911</v>
      </c>
      <c r="D128" s="1055" t="s">
        <v>893</v>
      </c>
      <c r="E128" s="1055" t="s">
        <v>893</v>
      </c>
      <c r="F128" s="1056">
        <v>4484</v>
      </c>
      <c r="G128" s="1056">
        <v>1458</v>
      </c>
      <c r="H128" s="1056">
        <v>0</v>
      </c>
      <c r="I128" s="1056">
        <v>5942</v>
      </c>
      <c r="K128" s="995">
        <f t="shared" si="1"/>
        <v>8</v>
      </c>
    </row>
    <row r="129" spans="1:11">
      <c r="A129" s="1054">
        <v>13809502</v>
      </c>
      <c r="B129" s="1055" t="s">
        <v>1489</v>
      </c>
      <c r="C129" s="1055" t="s">
        <v>911</v>
      </c>
      <c r="D129" s="1055" t="s">
        <v>1039</v>
      </c>
      <c r="E129" s="1055" t="s">
        <v>681</v>
      </c>
      <c r="F129" s="1056">
        <v>4484</v>
      </c>
      <c r="G129" s="1056">
        <v>1458</v>
      </c>
      <c r="H129" s="1056">
        <v>0</v>
      </c>
      <c r="I129" s="1056">
        <v>5942</v>
      </c>
      <c r="K129" s="995">
        <f t="shared" si="1"/>
        <v>8</v>
      </c>
    </row>
    <row r="130" spans="1:11">
      <c r="A130" s="1054">
        <v>13809503</v>
      </c>
      <c r="B130" s="1055" t="s">
        <v>1489</v>
      </c>
      <c r="C130" s="1055" t="s">
        <v>697</v>
      </c>
      <c r="D130" s="1055" t="s">
        <v>893</v>
      </c>
      <c r="E130" s="1055" t="s">
        <v>893</v>
      </c>
      <c r="F130" s="1056">
        <v>2586</v>
      </c>
      <c r="G130" s="1056">
        <v>0</v>
      </c>
      <c r="H130" s="1056">
        <v>1793</v>
      </c>
      <c r="I130" s="1056">
        <v>794</v>
      </c>
      <c r="K130" s="995">
        <f t="shared" si="1"/>
        <v>8</v>
      </c>
    </row>
    <row r="131" spans="1:11">
      <c r="A131" s="1054">
        <v>13809503</v>
      </c>
      <c r="B131" s="1055" t="s">
        <v>1489</v>
      </c>
      <c r="C131" s="1055" t="s">
        <v>697</v>
      </c>
      <c r="D131" s="1055" t="s">
        <v>1062</v>
      </c>
      <c r="E131" s="1055" t="s">
        <v>510</v>
      </c>
      <c r="F131" s="1056">
        <v>2586</v>
      </c>
      <c r="G131" s="1056">
        <v>0</v>
      </c>
      <c r="H131" s="1056">
        <v>1793</v>
      </c>
      <c r="I131" s="1056">
        <v>794</v>
      </c>
      <c r="K131" s="995">
        <f t="shared" si="1"/>
        <v>8</v>
      </c>
    </row>
    <row r="132" spans="1:11">
      <c r="A132" s="1054">
        <v>13809520</v>
      </c>
      <c r="B132" s="1055" t="s">
        <v>893</v>
      </c>
      <c r="C132" s="1055" t="s">
        <v>698</v>
      </c>
      <c r="D132" s="1055" t="s">
        <v>893</v>
      </c>
      <c r="E132" s="1055" t="s">
        <v>893</v>
      </c>
      <c r="F132" s="1056">
        <v>0</v>
      </c>
      <c r="G132" s="1056">
        <v>0</v>
      </c>
      <c r="H132" s="1056">
        <v>0</v>
      </c>
      <c r="I132" s="1056">
        <v>0</v>
      </c>
      <c r="K132" s="995">
        <f t="shared" si="1"/>
        <v>8</v>
      </c>
    </row>
    <row r="133" spans="1:11">
      <c r="A133" s="1054">
        <v>13809521</v>
      </c>
      <c r="B133" s="1055" t="s">
        <v>1489</v>
      </c>
      <c r="C133" s="1055" t="s">
        <v>699</v>
      </c>
      <c r="D133" s="1055" t="s">
        <v>893</v>
      </c>
      <c r="E133" s="1055" t="s">
        <v>893</v>
      </c>
      <c r="F133" s="1056">
        <v>63</v>
      </c>
      <c r="G133" s="1056">
        <v>120</v>
      </c>
      <c r="H133" s="1056">
        <v>0</v>
      </c>
      <c r="I133" s="1056">
        <v>182</v>
      </c>
      <c r="K133" s="995">
        <f t="shared" ref="K133:K196" si="2">+LEN(A133)</f>
        <v>8</v>
      </c>
    </row>
    <row r="134" spans="1:11">
      <c r="A134" s="1054">
        <v>13809521</v>
      </c>
      <c r="B134" s="1055" t="s">
        <v>1489</v>
      </c>
      <c r="C134" s="1055" t="s">
        <v>699</v>
      </c>
      <c r="D134" s="1055" t="s">
        <v>1066</v>
      </c>
      <c r="E134" s="1055" t="s">
        <v>662</v>
      </c>
      <c r="F134" s="1056">
        <v>63</v>
      </c>
      <c r="G134" s="1056">
        <v>120</v>
      </c>
      <c r="H134" s="1056">
        <v>0</v>
      </c>
      <c r="I134" s="1056">
        <v>182</v>
      </c>
      <c r="K134" s="995">
        <f t="shared" si="2"/>
        <v>8</v>
      </c>
    </row>
    <row r="135" spans="1:11">
      <c r="A135" s="1054">
        <v>14</v>
      </c>
      <c r="B135" s="1055" t="s">
        <v>893</v>
      </c>
      <c r="C135" s="1055" t="s">
        <v>108</v>
      </c>
      <c r="D135" s="1055" t="s">
        <v>893</v>
      </c>
      <c r="E135" s="1055" t="s">
        <v>893</v>
      </c>
      <c r="F135" s="1056">
        <v>92469</v>
      </c>
      <c r="G135" s="1056">
        <v>211607</v>
      </c>
      <c r="H135" s="1056">
        <v>222227</v>
      </c>
      <c r="I135" s="1056">
        <v>81850</v>
      </c>
      <c r="K135" s="995">
        <f t="shared" si="2"/>
        <v>2</v>
      </c>
    </row>
    <row r="136" spans="1:11">
      <c r="A136" s="1054">
        <v>1435</v>
      </c>
      <c r="B136" s="1055" t="s">
        <v>893</v>
      </c>
      <c r="C136" s="1055" t="s">
        <v>475</v>
      </c>
      <c r="D136" s="1055" t="s">
        <v>893</v>
      </c>
      <c r="E136" s="1055" t="s">
        <v>893</v>
      </c>
      <c r="F136" s="1056">
        <v>92469</v>
      </c>
      <c r="G136" s="1056">
        <v>211607</v>
      </c>
      <c r="H136" s="1056">
        <v>222227</v>
      </c>
      <c r="I136" s="1056">
        <v>81850</v>
      </c>
      <c r="K136" s="995">
        <f t="shared" si="2"/>
        <v>4</v>
      </c>
    </row>
    <row r="137" spans="1:11">
      <c r="A137" s="1054">
        <v>143502</v>
      </c>
      <c r="B137" s="1055" t="s">
        <v>1489</v>
      </c>
      <c r="C137" s="1055" t="s">
        <v>1005</v>
      </c>
      <c r="D137" s="1055" t="s">
        <v>893</v>
      </c>
      <c r="E137" s="1055" t="s">
        <v>893</v>
      </c>
      <c r="F137" s="1056">
        <v>70972</v>
      </c>
      <c r="G137" s="1056">
        <v>0</v>
      </c>
      <c r="H137" s="1056">
        <v>0</v>
      </c>
      <c r="I137" s="1056">
        <v>70972</v>
      </c>
      <c r="K137" s="995">
        <f t="shared" si="2"/>
        <v>6</v>
      </c>
    </row>
    <row r="138" spans="1:11">
      <c r="A138" s="1054">
        <v>143502</v>
      </c>
      <c r="B138" s="1055" t="s">
        <v>1489</v>
      </c>
      <c r="C138" s="1055" t="s">
        <v>1005</v>
      </c>
      <c r="D138" s="1055" t="s">
        <v>1067</v>
      </c>
      <c r="E138" s="1055" t="s">
        <v>1068</v>
      </c>
      <c r="F138" s="1056">
        <v>70972</v>
      </c>
      <c r="G138" s="1056">
        <v>0</v>
      </c>
      <c r="H138" s="1056">
        <v>0</v>
      </c>
      <c r="I138" s="1056">
        <v>70972</v>
      </c>
      <c r="K138" s="995">
        <f t="shared" si="2"/>
        <v>6</v>
      </c>
    </row>
    <row r="139" spans="1:11">
      <c r="A139" s="1054">
        <v>143505</v>
      </c>
      <c r="B139" s="1055" t="s">
        <v>893</v>
      </c>
      <c r="C139" s="1055" t="s">
        <v>511</v>
      </c>
      <c r="D139" s="1055" t="s">
        <v>893</v>
      </c>
      <c r="E139" s="1055" t="s">
        <v>893</v>
      </c>
      <c r="F139" s="1056">
        <v>989867</v>
      </c>
      <c r="G139" s="1056">
        <v>201156</v>
      </c>
      <c r="H139" s="1056">
        <v>0</v>
      </c>
      <c r="I139" s="1056">
        <v>1191023</v>
      </c>
      <c r="K139" s="995">
        <f t="shared" si="2"/>
        <v>6</v>
      </c>
    </row>
    <row r="140" spans="1:11">
      <c r="A140" s="1054">
        <v>14350501</v>
      </c>
      <c r="B140" s="1055" t="s">
        <v>893</v>
      </c>
      <c r="C140" s="1055" t="s">
        <v>511</v>
      </c>
      <c r="D140" s="1055" t="s">
        <v>893</v>
      </c>
      <c r="E140" s="1055" t="s">
        <v>893</v>
      </c>
      <c r="F140" s="1056">
        <v>712719</v>
      </c>
      <c r="G140" s="1056">
        <v>142009</v>
      </c>
      <c r="H140" s="1056">
        <v>0</v>
      </c>
      <c r="I140" s="1056">
        <v>854728</v>
      </c>
      <c r="K140" s="995">
        <f t="shared" si="2"/>
        <v>8</v>
      </c>
    </row>
    <row r="141" spans="1:11">
      <c r="A141" s="1054">
        <v>14350501</v>
      </c>
      <c r="B141" s="1055" t="s">
        <v>893</v>
      </c>
      <c r="C141" s="1055" t="s">
        <v>511</v>
      </c>
      <c r="D141" s="1055" t="s">
        <v>1081</v>
      </c>
      <c r="E141" s="1055" t="s">
        <v>702</v>
      </c>
      <c r="F141" s="1056">
        <v>21</v>
      </c>
      <c r="G141" s="1056">
        <v>0</v>
      </c>
      <c r="H141" s="1056">
        <v>0</v>
      </c>
      <c r="I141" s="1056">
        <v>21</v>
      </c>
      <c r="K141" s="995">
        <f t="shared" si="2"/>
        <v>8</v>
      </c>
    </row>
    <row r="142" spans="1:11">
      <c r="A142" s="1054">
        <v>14350501</v>
      </c>
      <c r="B142" s="1055" t="s">
        <v>893</v>
      </c>
      <c r="C142" s="1055" t="s">
        <v>511</v>
      </c>
      <c r="D142" s="1055" t="s">
        <v>1069</v>
      </c>
      <c r="E142" s="1055" t="s">
        <v>1070</v>
      </c>
      <c r="F142" s="1056">
        <v>79</v>
      </c>
      <c r="G142" s="1056">
        <v>0</v>
      </c>
      <c r="H142" s="1056">
        <v>0</v>
      </c>
      <c r="I142" s="1056">
        <v>79</v>
      </c>
      <c r="K142" s="995">
        <f t="shared" si="2"/>
        <v>8</v>
      </c>
    </row>
    <row r="143" spans="1:11">
      <c r="A143" s="1054">
        <v>14350501</v>
      </c>
      <c r="B143" s="1055" t="s">
        <v>893</v>
      </c>
      <c r="C143" s="1055" t="s">
        <v>511</v>
      </c>
      <c r="D143" s="1055" t="s">
        <v>1071</v>
      </c>
      <c r="E143" s="1055" t="s">
        <v>700</v>
      </c>
      <c r="F143" s="1056">
        <v>20525</v>
      </c>
      <c r="G143" s="1056">
        <v>4346</v>
      </c>
      <c r="H143" s="1056">
        <v>0</v>
      </c>
      <c r="I143" s="1056">
        <v>24871</v>
      </c>
      <c r="K143" s="995">
        <f t="shared" si="2"/>
        <v>8</v>
      </c>
    </row>
    <row r="144" spans="1:11">
      <c r="A144" s="1054">
        <v>14350501</v>
      </c>
      <c r="B144" s="1055" t="s">
        <v>893</v>
      </c>
      <c r="C144" s="1055" t="s">
        <v>511</v>
      </c>
      <c r="D144" s="1055" t="s">
        <v>1072</v>
      </c>
      <c r="E144" s="1055" t="s">
        <v>512</v>
      </c>
      <c r="F144" s="1056">
        <v>5470</v>
      </c>
      <c r="G144" s="1056">
        <v>1142</v>
      </c>
      <c r="H144" s="1056">
        <v>0</v>
      </c>
      <c r="I144" s="1056">
        <v>6612</v>
      </c>
      <c r="K144" s="995">
        <f t="shared" si="2"/>
        <v>8</v>
      </c>
    </row>
    <row r="145" spans="1:11">
      <c r="A145" s="1054">
        <v>14350501</v>
      </c>
      <c r="B145" s="1055" t="s">
        <v>893</v>
      </c>
      <c r="C145" s="1055" t="s">
        <v>511</v>
      </c>
      <c r="D145" s="1055" t="s">
        <v>1597</v>
      </c>
      <c r="E145" s="1055" t="s">
        <v>1598</v>
      </c>
      <c r="F145" s="1056">
        <v>31</v>
      </c>
      <c r="G145" s="1056">
        <v>0</v>
      </c>
      <c r="H145" s="1056">
        <v>0</v>
      </c>
      <c r="I145" s="1056">
        <v>31</v>
      </c>
      <c r="K145" s="995">
        <f t="shared" si="2"/>
        <v>8</v>
      </c>
    </row>
    <row r="146" spans="1:11">
      <c r="A146" s="1054">
        <v>14350501</v>
      </c>
      <c r="B146" s="1055" t="s">
        <v>893</v>
      </c>
      <c r="C146" s="1055" t="s">
        <v>511</v>
      </c>
      <c r="D146" s="1055" t="s">
        <v>1034</v>
      </c>
      <c r="E146" s="1055" t="s">
        <v>504</v>
      </c>
      <c r="F146" s="1056">
        <v>539952</v>
      </c>
      <c r="G146" s="1056">
        <v>109012</v>
      </c>
      <c r="H146" s="1056">
        <v>0</v>
      </c>
      <c r="I146" s="1056">
        <v>648965</v>
      </c>
      <c r="K146" s="995">
        <f t="shared" si="2"/>
        <v>8</v>
      </c>
    </row>
    <row r="147" spans="1:11">
      <c r="A147" s="1054">
        <v>14350501</v>
      </c>
      <c r="B147" s="1055" t="s">
        <v>893</v>
      </c>
      <c r="C147" s="1055" t="s">
        <v>511</v>
      </c>
      <c r="D147" s="1055" t="s">
        <v>1073</v>
      </c>
      <c r="E147" s="1055" t="s">
        <v>701</v>
      </c>
      <c r="F147" s="1056">
        <v>20167</v>
      </c>
      <c r="G147" s="1056">
        <v>4187</v>
      </c>
      <c r="H147" s="1056">
        <v>0</v>
      </c>
      <c r="I147" s="1056">
        <v>24354</v>
      </c>
      <c r="K147" s="995">
        <f t="shared" si="2"/>
        <v>8</v>
      </c>
    </row>
    <row r="148" spans="1:11">
      <c r="A148" s="1054">
        <v>14350501</v>
      </c>
      <c r="B148" s="1055" t="s">
        <v>893</v>
      </c>
      <c r="C148" s="1055" t="s">
        <v>511</v>
      </c>
      <c r="D148" s="1055" t="s">
        <v>1074</v>
      </c>
      <c r="E148" s="1055" t="s">
        <v>257</v>
      </c>
      <c r="F148" s="1056">
        <v>120914</v>
      </c>
      <c r="G148" s="1056">
        <v>22193</v>
      </c>
      <c r="H148" s="1056">
        <v>0</v>
      </c>
      <c r="I148" s="1056">
        <v>143108</v>
      </c>
      <c r="K148" s="995">
        <f t="shared" si="2"/>
        <v>8</v>
      </c>
    </row>
    <row r="149" spans="1:11">
      <c r="A149" s="1054">
        <v>14350501</v>
      </c>
      <c r="B149" s="1055" t="s">
        <v>893</v>
      </c>
      <c r="C149" s="1055" t="s">
        <v>511</v>
      </c>
      <c r="D149" s="1055" t="s">
        <v>1697</v>
      </c>
      <c r="E149" s="1055" t="s">
        <v>1698</v>
      </c>
      <c r="F149" s="1056">
        <v>16</v>
      </c>
      <c r="G149" s="1056">
        <v>0</v>
      </c>
      <c r="H149" s="1056">
        <v>0</v>
      </c>
      <c r="I149" s="1056">
        <v>16</v>
      </c>
      <c r="K149" s="995">
        <f t="shared" si="2"/>
        <v>8</v>
      </c>
    </row>
    <row r="150" spans="1:11">
      <c r="A150" s="1054">
        <v>14350501</v>
      </c>
      <c r="B150" s="1055" t="s">
        <v>893</v>
      </c>
      <c r="C150" s="1055" t="s">
        <v>511</v>
      </c>
      <c r="D150" s="1055" t="s">
        <v>1076</v>
      </c>
      <c r="E150" s="1055" t="s">
        <v>1027</v>
      </c>
      <c r="F150" s="1056">
        <v>979</v>
      </c>
      <c r="G150" s="1056">
        <v>51</v>
      </c>
      <c r="H150" s="1056">
        <v>0</v>
      </c>
      <c r="I150" s="1056">
        <v>1030</v>
      </c>
      <c r="K150" s="995">
        <f t="shared" si="2"/>
        <v>8</v>
      </c>
    </row>
    <row r="151" spans="1:11">
      <c r="A151" s="1054">
        <v>14350501</v>
      </c>
      <c r="B151" s="1055" t="s">
        <v>893</v>
      </c>
      <c r="C151" s="1055" t="s">
        <v>511</v>
      </c>
      <c r="D151" s="1055" t="s">
        <v>1077</v>
      </c>
      <c r="E151" s="1055" t="s">
        <v>1078</v>
      </c>
      <c r="F151" s="1056">
        <v>1185</v>
      </c>
      <c r="G151" s="1056">
        <v>372</v>
      </c>
      <c r="H151" s="1056">
        <v>0</v>
      </c>
      <c r="I151" s="1056">
        <v>1557</v>
      </c>
      <c r="K151" s="995">
        <f t="shared" si="2"/>
        <v>8</v>
      </c>
    </row>
    <row r="152" spans="1:11">
      <c r="A152" s="1054">
        <v>14350501</v>
      </c>
      <c r="B152" s="1055" t="s">
        <v>893</v>
      </c>
      <c r="C152" s="1055" t="s">
        <v>511</v>
      </c>
      <c r="D152" s="1055" t="s">
        <v>1062</v>
      </c>
      <c r="E152" s="1055" t="s">
        <v>510</v>
      </c>
      <c r="F152" s="1056">
        <v>432</v>
      </c>
      <c r="G152" s="1056">
        <v>155</v>
      </c>
      <c r="H152" s="1056">
        <v>0</v>
      </c>
      <c r="I152" s="1056">
        <v>587</v>
      </c>
      <c r="K152" s="995">
        <f t="shared" si="2"/>
        <v>8</v>
      </c>
    </row>
    <row r="153" spans="1:11">
      <c r="A153" s="1054">
        <v>14350501</v>
      </c>
      <c r="B153" s="1055" t="s">
        <v>893</v>
      </c>
      <c r="C153" s="1055" t="s">
        <v>511</v>
      </c>
      <c r="D153" s="1055" t="s">
        <v>1307</v>
      </c>
      <c r="E153" s="1055" t="s">
        <v>992</v>
      </c>
      <c r="F153" s="1056">
        <v>2948</v>
      </c>
      <c r="G153" s="1056">
        <v>550</v>
      </c>
      <c r="H153" s="1056">
        <v>0</v>
      </c>
      <c r="I153" s="1056">
        <v>3498</v>
      </c>
      <c r="K153" s="995">
        <f t="shared" si="2"/>
        <v>8</v>
      </c>
    </row>
    <row r="154" spans="1:11">
      <c r="A154" s="1054">
        <v>14350502</v>
      </c>
      <c r="B154" s="1055" t="s">
        <v>893</v>
      </c>
      <c r="C154" s="1055" t="s">
        <v>513</v>
      </c>
      <c r="D154" s="1055" t="s">
        <v>893</v>
      </c>
      <c r="E154" s="1055" t="s">
        <v>893</v>
      </c>
      <c r="F154" s="1056">
        <v>116161</v>
      </c>
      <c r="G154" s="1056">
        <v>25137</v>
      </c>
      <c r="H154" s="1056">
        <v>0</v>
      </c>
      <c r="I154" s="1056">
        <v>141299</v>
      </c>
      <c r="K154" s="995">
        <f t="shared" si="2"/>
        <v>8</v>
      </c>
    </row>
    <row r="155" spans="1:11">
      <c r="A155" s="1054">
        <v>14350502</v>
      </c>
      <c r="B155" s="1055" t="s">
        <v>893</v>
      </c>
      <c r="C155" s="1055" t="s">
        <v>513</v>
      </c>
      <c r="D155" s="1055" t="s">
        <v>1034</v>
      </c>
      <c r="E155" s="1055" t="s">
        <v>504</v>
      </c>
      <c r="F155" s="1056">
        <v>116145</v>
      </c>
      <c r="G155" s="1056">
        <v>25137</v>
      </c>
      <c r="H155" s="1056">
        <v>0</v>
      </c>
      <c r="I155" s="1056">
        <v>141282</v>
      </c>
      <c r="K155" s="995">
        <f t="shared" si="2"/>
        <v>8</v>
      </c>
    </row>
    <row r="156" spans="1:11">
      <c r="A156" s="1054">
        <v>14350502</v>
      </c>
      <c r="B156" s="1055" t="s">
        <v>893</v>
      </c>
      <c r="C156" s="1055" t="s">
        <v>513</v>
      </c>
      <c r="D156" s="1055" t="s">
        <v>1073</v>
      </c>
      <c r="E156" s="1055" t="s">
        <v>701</v>
      </c>
      <c r="F156" s="1056">
        <v>17</v>
      </c>
      <c r="G156" s="1056">
        <v>0</v>
      </c>
      <c r="H156" s="1056">
        <v>0</v>
      </c>
      <c r="I156" s="1056">
        <v>17</v>
      </c>
      <c r="K156" s="995">
        <f t="shared" si="2"/>
        <v>8</v>
      </c>
    </row>
    <row r="157" spans="1:11">
      <c r="A157" s="1054">
        <v>14350503</v>
      </c>
      <c r="B157" s="1055" t="s">
        <v>893</v>
      </c>
      <c r="C157" s="1055" t="s">
        <v>514</v>
      </c>
      <c r="D157" s="1055" t="s">
        <v>893</v>
      </c>
      <c r="E157" s="1055" t="s">
        <v>893</v>
      </c>
      <c r="F157" s="1056">
        <v>151244</v>
      </c>
      <c r="G157" s="1056">
        <v>32262</v>
      </c>
      <c r="H157" s="1056">
        <v>0</v>
      </c>
      <c r="I157" s="1056">
        <v>183506</v>
      </c>
      <c r="K157" s="995">
        <f t="shared" si="2"/>
        <v>8</v>
      </c>
    </row>
    <row r="158" spans="1:11">
      <c r="A158" s="1054">
        <v>14350503</v>
      </c>
      <c r="B158" s="1055" t="s">
        <v>893</v>
      </c>
      <c r="C158" s="1055" t="s">
        <v>514</v>
      </c>
      <c r="D158" s="1055" t="s">
        <v>1080</v>
      </c>
      <c r="E158" s="1055" t="s">
        <v>407</v>
      </c>
      <c r="F158" s="1056">
        <v>8030</v>
      </c>
      <c r="G158" s="1056">
        <v>1066</v>
      </c>
      <c r="H158" s="1056">
        <v>0</v>
      </c>
      <c r="I158" s="1056">
        <v>9096</v>
      </c>
      <c r="K158" s="995">
        <f t="shared" si="2"/>
        <v>8</v>
      </c>
    </row>
    <row r="159" spans="1:11">
      <c r="A159" s="1054">
        <v>14350503</v>
      </c>
      <c r="B159" s="1055" t="s">
        <v>893</v>
      </c>
      <c r="C159" s="1055" t="s">
        <v>514</v>
      </c>
      <c r="D159" s="1055" t="s">
        <v>1081</v>
      </c>
      <c r="E159" s="1055" t="s">
        <v>702</v>
      </c>
      <c r="F159" s="1056">
        <v>6610</v>
      </c>
      <c r="G159" s="1056">
        <v>1187</v>
      </c>
      <c r="H159" s="1056">
        <v>0</v>
      </c>
      <c r="I159" s="1056">
        <v>7797</v>
      </c>
      <c r="K159" s="995">
        <f t="shared" si="2"/>
        <v>8</v>
      </c>
    </row>
    <row r="160" spans="1:11">
      <c r="A160" s="1054">
        <v>14350503</v>
      </c>
      <c r="B160" s="1055" t="s">
        <v>893</v>
      </c>
      <c r="C160" s="1055" t="s">
        <v>514</v>
      </c>
      <c r="D160" s="1055" t="s">
        <v>1069</v>
      </c>
      <c r="E160" s="1055" t="s">
        <v>1070</v>
      </c>
      <c r="F160" s="1056">
        <v>647</v>
      </c>
      <c r="G160" s="1056">
        <v>170</v>
      </c>
      <c r="H160" s="1056">
        <v>0</v>
      </c>
      <c r="I160" s="1056">
        <v>817</v>
      </c>
      <c r="K160" s="995">
        <f t="shared" si="2"/>
        <v>8</v>
      </c>
    </row>
    <row r="161" spans="1:11">
      <c r="A161" s="1054">
        <v>14350503</v>
      </c>
      <c r="B161" s="1055" t="s">
        <v>893</v>
      </c>
      <c r="C161" s="1055" t="s">
        <v>514</v>
      </c>
      <c r="D161" s="1055" t="s">
        <v>1071</v>
      </c>
      <c r="E161" s="1055" t="s">
        <v>700</v>
      </c>
      <c r="F161" s="1056">
        <v>24408</v>
      </c>
      <c r="G161" s="1056">
        <v>5641</v>
      </c>
      <c r="H161" s="1056">
        <v>0</v>
      </c>
      <c r="I161" s="1056">
        <v>30049</v>
      </c>
      <c r="K161" s="995">
        <f t="shared" si="2"/>
        <v>8</v>
      </c>
    </row>
    <row r="162" spans="1:11">
      <c r="A162" s="1054">
        <v>14350503</v>
      </c>
      <c r="B162" s="1055" t="s">
        <v>893</v>
      </c>
      <c r="C162" s="1055" t="s">
        <v>514</v>
      </c>
      <c r="D162" s="1055" t="s">
        <v>1072</v>
      </c>
      <c r="E162" s="1055" t="s">
        <v>512</v>
      </c>
      <c r="F162" s="1056">
        <v>18326</v>
      </c>
      <c r="G162" s="1056">
        <v>4098</v>
      </c>
      <c r="H162" s="1056">
        <v>0</v>
      </c>
      <c r="I162" s="1056">
        <v>22424</v>
      </c>
      <c r="K162" s="995">
        <f t="shared" si="2"/>
        <v>8</v>
      </c>
    </row>
    <row r="163" spans="1:11">
      <c r="A163" s="1054">
        <v>14350503</v>
      </c>
      <c r="B163" s="1055" t="s">
        <v>893</v>
      </c>
      <c r="C163" s="1055" t="s">
        <v>514</v>
      </c>
      <c r="D163" s="1055" t="s">
        <v>1034</v>
      </c>
      <c r="E163" s="1055" t="s">
        <v>504</v>
      </c>
      <c r="F163" s="1056">
        <v>69524</v>
      </c>
      <c r="G163" s="1056">
        <v>14182</v>
      </c>
      <c r="H163" s="1056">
        <v>0</v>
      </c>
      <c r="I163" s="1056">
        <v>83706</v>
      </c>
      <c r="K163" s="995">
        <f t="shared" si="2"/>
        <v>8</v>
      </c>
    </row>
    <row r="164" spans="1:11">
      <c r="A164" s="1054">
        <v>14350503</v>
      </c>
      <c r="B164" s="1055" t="s">
        <v>893</v>
      </c>
      <c r="C164" s="1055" t="s">
        <v>514</v>
      </c>
      <c r="D164" s="1055" t="s">
        <v>1073</v>
      </c>
      <c r="E164" s="1055" t="s">
        <v>701</v>
      </c>
      <c r="F164" s="1056">
        <v>21671</v>
      </c>
      <c r="G164" s="1056">
        <v>5385</v>
      </c>
      <c r="H164" s="1056">
        <v>0</v>
      </c>
      <c r="I164" s="1056">
        <v>27056</v>
      </c>
      <c r="K164" s="995">
        <f t="shared" si="2"/>
        <v>8</v>
      </c>
    </row>
    <row r="165" spans="1:11">
      <c r="A165" s="1054">
        <v>14350503</v>
      </c>
      <c r="B165" s="1055" t="s">
        <v>893</v>
      </c>
      <c r="C165" s="1055" t="s">
        <v>514</v>
      </c>
      <c r="D165" s="1055" t="s">
        <v>1074</v>
      </c>
      <c r="E165" s="1055" t="s">
        <v>257</v>
      </c>
      <c r="F165" s="1056">
        <v>1783</v>
      </c>
      <c r="G165" s="1056">
        <v>403</v>
      </c>
      <c r="H165" s="1056">
        <v>0</v>
      </c>
      <c r="I165" s="1056">
        <v>2187</v>
      </c>
      <c r="K165" s="995">
        <f t="shared" si="2"/>
        <v>8</v>
      </c>
    </row>
    <row r="166" spans="1:11">
      <c r="A166" s="1054">
        <v>14350503</v>
      </c>
      <c r="B166" s="1055" t="s">
        <v>893</v>
      </c>
      <c r="C166" s="1055" t="s">
        <v>514</v>
      </c>
      <c r="D166" s="1055" t="s">
        <v>1863</v>
      </c>
      <c r="E166" s="1055" t="s">
        <v>1864</v>
      </c>
      <c r="F166" s="1056">
        <v>64</v>
      </c>
      <c r="G166" s="1056">
        <v>0</v>
      </c>
      <c r="H166" s="1056">
        <v>0</v>
      </c>
      <c r="I166" s="1056">
        <v>64</v>
      </c>
      <c r="K166" s="995">
        <f t="shared" si="2"/>
        <v>8</v>
      </c>
    </row>
    <row r="167" spans="1:11">
      <c r="A167" s="1054">
        <v>14350503</v>
      </c>
      <c r="B167" s="1055" t="s">
        <v>893</v>
      </c>
      <c r="C167" s="1055" t="s">
        <v>514</v>
      </c>
      <c r="D167" s="1055" t="s">
        <v>1077</v>
      </c>
      <c r="E167" s="1055" t="s">
        <v>1078</v>
      </c>
      <c r="F167" s="1056">
        <v>111</v>
      </c>
      <c r="G167" s="1056">
        <v>35</v>
      </c>
      <c r="H167" s="1056">
        <v>0</v>
      </c>
      <c r="I167" s="1056">
        <v>146</v>
      </c>
      <c r="K167" s="995">
        <f t="shared" si="2"/>
        <v>8</v>
      </c>
    </row>
    <row r="168" spans="1:11">
      <c r="A168" s="1054">
        <v>14350503</v>
      </c>
      <c r="B168" s="1055" t="s">
        <v>893</v>
      </c>
      <c r="C168" s="1055" t="s">
        <v>514</v>
      </c>
      <c r="D168" s="1055" t="s">
        <v>1307</v>
      </c>
      <c r="E168" s="1055" t="s">
        <v>992</v>
      </c>
      <c r="F168" s="1056">
        <v>70</v>
      </c>
      <c r="G168" s="1056">
        <v>79</v>
      </c>
      <c r="H168" s="1056">
        <v>0</v>
      </c>
      <c r="I168" s="1056">
        <v>149</v>
      </c>
      <c r="K168" s="995">
        <f t="shared" si="2"/>
        <v>8</v>
      </c>
    </row>
    <row r="169" spans="1:11">
      <c r="A169" s="1054">
        <v>14350503</v>
      </c>
      <c r="B169" s="1055" t="s">
        <v>893</v>
      </c>
      <c r="C169" s="1055" t="s">
        <v>514</v>
      </c>
      <c r="D169" s="1055" t="s">
        <v>1914</v>
      </c>
      <c r="E169" s="1055" t="s">
        <v>1915</v>
      </c>
      <c r="F169" s="1056">
        <v>0</v>
      </c>
      <c r="G169" s="1056">
        <v>15</v>
      </c>
      <c r="H169" s="1056">
        <v>0</v>
      </c>
      <c r="I169" s="1056">
        <v>15</v>
      </c>
      <c r="K169" s="995">
        <f t="shared" si="2"/>
        <v>8</v>
      </c>
    </row>
    <row r="170" spans="1:11">
      <c r="A170" s="1054">
        <v>14350504</v>
      </c>
      <c r="B170" s="1055" t="s">
        <v>893</v>
      </c>
      <c r="C170" s="1055" t="s">
        <v>1779</v>
      </c>
      <c r="D170" s="1055" t="s">
        <v>893</v>
      </c>
      <c r="E170" s="1055" t="s">
        <v>893</v>
      </c>
      <c r="F170" s="1056">
        <v>90</v>
      </c>
      <c r="G170" s="1056">
        <v>0</v>
      </c>
      <c r="H170" s="1056">
        <v>0</v>
      </c>
      <c r="I170" s="1056">
        <v>90</v>
      </c>
      <c r="K170" s="995">
        <f t="shared" si="2"/>
        <v>8</v>
      </c>
    </row>
    <row r="171" spans="1:11">
      <c r="A171" s="1054">
        <v>14350504</v>
      </c>
      <c r="B171" s="1055" t="s">
        <v>893</v>
      </c>
      <c r="C171" s="1055" t="s">
        <v>1779</v>
      </c>
      <c r="D171" s="1055" t="s">
        <v>1079</v>
      </c>
      <c r="E171" s="1055" t="s">
        <v>657</v>
      </c>
      <c r="F171" s="1056">
        <v>90</v>
      </c>
      <c r="G171" s="1056">
        <v>0</v>
      </c>
      <c r="H171" s="1056">
        <v>0</v>
      </c>
      <c r="I171" s="1056">
        <v>90</v>
      </c>
      <c r="K171" s="995">
        <f t="shared" si="2"/>
        <v>8</v>
      </c>
    </row>
    <row r="172" spans="1:11">
      <c r="A172" s="1054">
        <v>14350505</v>
      </c>
      <c r="B172" s="1055" t="s">
        <v>1489</v>
      </c>
      <c r="C172" s="1055" t="s">
        <v>575</v>
      </c>
      <c r="D172" s="1055" t="s">
        <v>893</v>
      </c>
      <c r="E172" s="1055" t="s">
        <v>893</v>
      </c>
      <c r="F172" s="1056">
        <v>9652</v>
      </c>
      <c r="G172" s="1056">
        <v>1748</v>
      </c>
      <c r="H172" s="1056">
        <v>0</v>
      </c>
      <c r="I172" s="1056">
        <v>11400</v>
      </c>
      <c r="K172" s="995">
        <f t="shared" si="2"/>
        <v>8</v>
      </c>
    </row>
    <row r="173" spans="1:11">
      <c r="A173" s="1054">
        <v>14350505</v>
      </c>
      <c r="B173" s="1055" t="s">
        <v>1489</v>
      </c>
      <c r="C173" s="1055" t="s">
        <v>575</v>
      </c>
      <c r="D173" s="1055" t="s">
        <v>1079</v>
      </c>
      <c r="E173" s="1055" t="s">
        <v>657</v>
      </c>
      <c r="F173" s="1056">
        <v>9652</v>
      </c>
      <c r="G173" s="1056">
        <v>1748</v>
      </c>
      <c r="H173" s="1056">
        <v>0</v>
      </c>
      <c r="I173" s="1056">
        <v>11400</v>
      </c>
      <c r="K173" s="995">
        <f t="shared" si="2"/>
        <v>8</v>
      </c>
    </row>
    <row r="174" spans="1:11">
      <c r="A174" s="1054">
        <v>143522</v>
      </c>
      <c r="B174" s="1055" t="s">
        <v>1489</v>
      </c>
      <c r="C174" s="1055" t="s">
        <v>468</v>
      </c>
      <c r="D174" s="1055" t="s">
        <v>893</v>
      </c>
      <c r="E174" s="1055" t="s">
        <v>893</v>
      </c>
      <c r="F174" s="1056">
        <v>53609</v>
      </c>
      <c r="G174" s="1056">
        <v>10451</v>
      </c>
      <c r="H174" s="1056">
        <v>0</v>
      </c>
      <c r="I174" s="1056">
        <v>64061</v>
      </c>
      <c r="K174" s="995">
        <f t="shared" si="2"/>
        <v>6</v>
      </c>
    </row>
    <row r="175" spans="1:11">
      <c r="A175" s="1054">
        <v>14352201</v>
      </c>
      <c r="B175" s="1055" t="s">
        <v>1489</v>
      </c>
      <c r="C175" s="1055" t="s">
        <v>468</v>
      </c>
      <c r="D175" s="1055" t="s">
        <v>893</v>
      </c>
      <c r="E175" s="1055" t="s">
        <v>893</v>
      </c>
      <c r="F175" s="1056">
        <v>0</v>
      </c>
      <c r="G175" s="1056">
        <v>0</v>
      </c>
      <c r="H175" s="1056">
        <v>0</v>
      </c>
      <c r="I175" s="1056">
        <v>0</v>
      </c>
      <c r="K175" s="995">
        <f t="shared" si="2"/>
        <v>8</v>
      </c>
    </row>
    <row r="176" spans="1:11">
      <c r="A176" s="1054">
        <v>14352201</v>
      </c>
      <c r="B176" s="1055" t="s">
        <v>1489</v>
      </c>
      <c r="C176" s="1055" t="s">
        <v>468</v>
      </c>
      <c r="D176" s="1055" t="s">
        <v>1067</v>
      </c>
      <c r="E176" s="1055" t="s">
        <v>1068</v>
      </c>
      <c r="F176" s="1056">
        <v>-75614</v>
      </c>
      <c r="G176" s="1056">
        <v>0</v>
      </c>
      <c r="H176" s="1056">
        <v>0</v>
      </c>
      <c r="I176" s="1056">
        <v>-75614</v>
      </c>
      <c r="K176" s="995">
        <f t="shared" si="2"/>
        <v>8</v>
      </c>
    </row>
    <row r="177" spans="1:11">
      <c r="A177" s="1054">
        <v>14352201</v>
      </c>
      <c r="B177" s="1055" t="s">
        <v>1489</v>
      </c>
      <c r="C177" s="1055" t="s">
        <v>468</v>
      </c>
      <c r="D177" s="1055" t="s">
        <v>1071</v>
      </c>
      <c r="E177" s="1055" t="s">
        <v>700</v>
      </c>
      <c r="F177" s="1056">
        <v>82</v>
      </c>
      <c r="G177" s="1056">
        <v>0</v>
      </c>
      <c r="H177" s="1056">
        <v>0</v>
      </c>
      <c r="I177" s="1056">
        <v>82</v>
      </c>
      <c r="K177" s="995">
        <f t="shared" si="2"/>
        <v>8</v>
      </c>
    </row>
    <row r="178" spans="1:11">
      <c r="A178" s="1054">
        <v>14352201</v>
      </c>
      <c r="B178" s="1055" t="s">
        <v>1489</v>
      </c>
      <c r="C178" s="1055" t="s">
        <v>468</v>
      </c>
      <c r="D178" s="1055" t="s">
        <v>1072</v>
      </c>
      <c r="E178" s="1055" t="s">
        <v>512</v>
      </c>
      <c r="F178" s="1056">
        <v>520</v>
      </c>
      <c r="G178" s="1056">
        <v>0</v>
      </c>
      <c r="H178" s="1056">
        <v>0</v>
      </c>
      <c r="I178" s="1056">
        <v>520</v>
      </c>
      <c r="K178" s="995">
        <f t="shared" si="2"/>
        <v>8</v>
      </c>
    </row>
    <row r="179" spans="1:11">
      <c r="A179" s="1054">
        <v>14352201</v>
      </c>
      <c r="B179" s="1055" t="s">
        <v>1489</v>
      </c>
      <c r="C179" s="1055" t="s">
        <v>468</v>
      </c>
      <c r="D179" s="1055" t="s">
        <v>1034</v>
      </c>
      <c r="E179" s="1055" t="s">
        <v>504</v>
      </c>
      <c r="F179" s="1056">
        <v>71409</v>
      </c>
      <c r="G179" s="1056">
        <v>0</v>
      </c>
      <c r="H179" s="1056">
        <v>0</v>
      </c>
      <c r="I179" s="1056">
        <v>71409</v>
      </c>
      <c r="K179" s="995">
        <f t="shared" si="2"/>
        <v>8</v>
      </c>
    </row>
    <row r="180" spans="1:11">
      <c r="A180" s="1054">
        <v>14352201</v>
      </c>
      <c r="B180" s="1055" t="s">
        <v>1489</v>
      </c>
      <c r="C180" s="1055" t="s">
        <v>468</v>
      </c>
      <c r="D180" s="1055" t="s">
        <v>1073</v>
      </c>
      <c r="E180" s="1055" t="s">
        <v>701</v>
      </c>
      <c r="F180" s="1056">
        <v>234</v>
      </c>
      <c r="G180" s="1056">
        <v>0</v>
      </c>
      <c r="H180" s="1056">
        <v>0</v>
      </c>
      <c r="I180" s="1056">
        <v>234</v>
      </c>
      <c r="K180" s="995">
        <f t="shared" si="2"/>
        <v>8</v>
      </c>
    </row>
    <row r="181" spans="1:11">
      <c r="A181" s="1054">
        <v>14352201</v>
      </c>
      <c r="B181" s="1055" t="s">
        <v>1489</v>
      </c>
      <c r="C181" s="1055" t="s">
        <v>468</v>
      </c>
      <c r="D181" s="1055" t="s">
        <v>1074</v>
      </c>
      <c r="E181" s="1055" t="s">
        <v>257</v>
      </c>
      <c r="F181" s="1056">
        <v>3369</v>
      </c>
      <c r="G181" s="1056">
        <v>0</v>
      </c>
      <c r="H181" s="1056">
        <v>0</v>
      </c>
      <c r="I181" s="1056">
        <v>3369</v>
      </c>
      <c r="K181" s="995">
        <f t="shared" si="2"/>
        <v>8</v>
      </c>
    </row>
    <row r="182" spans="1:11">
      <c r="A182" s="1054">
        <v>14352202</v>
      </c>
      <c r="B182" s="1055" t="s">
        <v>1489</v>
      </c>
      <c r="C182" s="1055" t="s">
        <v>877</v>
      </c>
      <c r="D182" s="1055" t="s">
        <v>893</v>
      </c>
      <c r="E182" s="1055" t="s">
        <v>893</v>
      </c>
      <c r="F182" s="1056">
        <v>53609</v>
      </c>
      <c r="G182" s="1056">
        <v>10451</v>
      </c>
      <c r="H182" s="1056">
        <v>0</v>
      </c>
      <c r="I182" s="1056">
        <v>64061</v>
      </c>
      <c r="K182" s="995">
        <f t="shared" si="2"/>
        <v>8</v>
      </c>
    </row>
    <row r="183" spans="1:11">
      <c r="A183" s="1054">
        <v>14352202</v>
      </c>
      <c r="B183" s="1055" t="s">
        <v>1489</v>
      </c>
      <c r="C183" s="1055" t="s">
        <v>877</v>
      </c>
      <c r="D183" s="1055" t="s">
        <v>1071</v>
      </c>
      <c r="E183" s="1055" t="s">
        <v>700</v>
      </c>
      <c r="F183" s="1056">
        <v>76</v>
      </c>
      <c r="G183" s="1056">
        <v>8</v>
      </c>
      <c r="H183" s="1056">
        <v>0</v>
      </c>
      <c r="I183" s="1056">
        <v>84</v>
      </c>
      <c r="K183" s="995">
        <f t="shared" si="2"/>
        <v>8</v>
      </c>
    </row>
    <row r="184" spans="1:11">
      <c r="A184" s="1054">
        <v>14352202</v>
      </c>
      <c r="B184" s="1055" t="s">
        <v>1489</v>
      </c>
      <c r="C184" s="1055" t="s">
        <v>877</v>
      </c>
      <c r="D184" s="1055" t="s">
        <v>1072</v>
      </c>
      <c r="E184" s="1055" t="s">
        <v>512</v>
      </c>
      <c r="F184" s="1056">
        <v>477</v>
      </c>
      <c r="G184" s="1056">
        <v>97</v>
      </c>
      <c r="H184" s="1056">
        <v>0</v>
      </c>
      <c r="I184" s="1056">
        <v>574</v>
      </c>
      <c r="K184" s="995">
        <f t="shared" si="2"/>
        <v>8</v>
      </c>
    </row>
    <row r="185" spans="1:11">
      <c r="A185" s="1054">
        <v>14352202</v>
      </c>
      <c r="B185" s="1055" t="s">
        <v>1489</v>
      </c>
      <c r="C185" s="1055" t="s">
        <v>877</v>
      </c>
      <c r="D185" s="1055" t="s">
        <v>1034</v>
      </c>
      <c r="E185" s="1055" t="s">
        <v>504</v>
      </c>
      <c r="F185" s="1056">
        <v>49312</v>
      </c>
      <c r="G185" s="1056">
        <v>9548</v>
      </c>
      <c r="H185" s="1056">
        <v>0</v>
      </c>
      <c r="I185" s="1056">
        <v>58860</v>
      </c>
      <c r="K185" s="995">
        <f t="shared" si="2"/>
        <v>8</v>
      </c>
    </row>
    <row r="186" spans="1:11">
      <c r="A186" s="1054">
        <v>14352202</v>
      </c>
      <c r="B186" s="1055" t="s">
        <v>1489</v>
      </c>
      <c r="C186" s="1055" t="s">
        <v>877</v>
      </c>
      <c r="D186" s="1055" t="s">
        <v>1074</v>
      </c>
      <c r="E186" s="1055" t="s">
        <v>257</v>
      </c>
      <c r="F186" s="1056">
        <v>3743</v>
      </c>
      <c r="G186" s="1056">
        <v>799</v>
      </c>
      <c r="H186" s="1056">
        <v>0</v>
      </c>
      <c r="I186" s="1056">
        <v>4542</v>
      </c>
      <c r="K186" s="995">
        <f t="shared" si="2"/>
        <v>8</v>
      </c>
    </row>
    <row r="187" spans="1:11">
      <c r="A187" s="1054">
        <v>143530</v>
      </c>
      <c r="B187" s="1055" t="s">
        <v>893</v>
      </c>
      <c r="C187" s="1055" t="s">
        <v>1082</v>
      </c>
      <c r="D187" s="1055" t="s">
        <v>893</v>
      </c>
      <c r="E187" s="1055" t="s">
        <v>893</v>
      </c>
      <c r="F187" s="1056">
        <v>0</v>
      </c>
      <c r="G187" s="1056">
        <v>0</v>
      </c>
      <c r="H187" s="1056">
        <v>0</v>
      </c>
      <c r="I187" s="1056">
        <v>0</v>
      </c>
      <c r="K187" s="995">
        <f t="shared" si="2"/>
        <v>6</v>
      </c>
    </row>
    <row r="188" spans="1:11">
      <c r="A188" s="1054">
        <v>14353001</v>
      </c>
      <c r="B188" s="1055" t="s">
        <v>893</v>
      </c>
      <c r="C188" s="1055" t="s">
        <v>1082</v>
      </c>
      <c r="D188" s="1055" t="s">
        <v>893</v>
      </c>
      <c r="E188" s="1055" t="s">
        <v>893</v>
      </c>
      <c r="F188" s="1056">
        <v>0</v>
      </c>
      <c r="G188" s="1056">
        <v>0</v>
      </c>
      <c r="H188" s="1056">
        <v>0</v>
      </c>
      <c r="I188" s="1056">
        <v>0</v>
      </c>
      <c r="K188" s="995">
        <f t="shared" si="2"/>
        <v>8</v>
      </c>
    </row>
    <row r="189" spans="1:11">
      <c r="A189" s="1054">
        <v>143575</v>
      </c>
      <c r="B189" s="1055" t="s">
        <v>893</v>
      </c>
      <c r="C189" s="1055" t="s">
        <v>368</v>
      </c>
      <c r="D189" s="1055" t="s">
        <v>893</v>
      </c>
      <c r="E189" s="1055" t="s">
        <v>893</v>
      </c>
      <c r="F189" s="1056">
        <v>-2730</v>
      </c>
      <c r="G189" s="1056">
        <v>0</v>
      </c>
      <c r="H189" s="1056">
        <v>410</v>
      </c>
      <c r="I189" s="1056">
        <v>-3140</v>
      </c>
      <c r="K189" s="995">
        <f t="shared" si="2"/>
        <v>6</v>
      </c>
    </row>
    <row r="190" spans="1:11">
      <c r="A190" s="1054">
        <v>14357501</v>
      </c>
      <c r="B190" s="1055" t="s">
        <v>1489</v>
      </c>
      <c r="C190" s="1055" t="s">
        <v>703</v>
      </c>
      <c r="D190" s="1055" t="s">
        <v>893</v>
      </c>
      <c r="E190" s="1055" t="s">
        <v>893</v>
      </c>
      <c r="F190" s="1056">
        <v>-1794</v>
      </c>
      <c r="G190" s="1056">
        <v>0</v>
      </c>
      <c r="H190" s="1056">
        <v>95</v>
      </c>
      <c r="I190" s="1056">
        <v>-1888</v>
      </c>
      <c r="K190" s="995">
        <f t="shared" si="2"/>
        <v>8</v>
      </c>
    </row>
    <row r="191" spans="1:11">
      <c r="A191" s="1054">
        <v>14357501</v>
      </c>
      <c r="B191" s="1055" t="s">
        <v>1489</v>
      </c>
      <c r="C191" s="1055" t="s">
        <v>703</v>
      </c>
      <c r="D191" s="1055" t="s">
        <v>1071</v>
      </c>
      <c r="E191" s="1055" t="s">
        <v>700</v>
      </c>
      <c r="F191" s="1056">
        <v>-1199</v>
      </c>
      <c r="G191" s="1056">
        <v>0</v>
      </c>
      <c r="H191" s="1056">
        <v>63</v>
      </c>
      <c r="I191" s="1056">
        <v>-1262</v>
      </c>
      <c r="K191" s="995">
        <f t="shared" si="2"/>
        <v>8</v>
      </c>
    </row>
    <row r="192" spans="1:11">
      <c r="A192" s="1054">
        <v>14357501</v>
      </c>
      <c r="B192" s="1055" t="s">
        <v>1489</v>
      </c>
      <c r="C192" s="1055" t="s">
        <v>703</v>
      </c>
      <c r="D192" s="1055" t="s">
        <v>1072</v>
      </c>
      <c r="E192" s="1055" t="s">
        <v>512</v>
      </c>
      <c r="F192" s="1056">
        <v>-72</v>
      </c>
      <c r="G192" s="1056">
        <v>0</v>
      </c>
      <c r="H192" s="1056">
        <v>8</v>
      </c>
      <c r="I192" s="1056">
        <v>-80</v>
      </c>
      <c r="K192" s="995">
        <f t="shared" si="2"/>
        <v>8</v>
      </c>
    </row>
    <row r="193" spans="1:11">
      <c r="A193" s="1054">
        <v>14357501</v>
      </c>
      <c r="B193" s="1055" t="s">
        <v>1489</v>
      </c>
      <c r="C193" s="1055" t="s">
        <v>703</v>
      </c>
      <c r="D193" s="1055" t="s">
        <v>1034</v>
      </c>
      <c r="E193" s="1055" t="s">
        <v>504</v>
      </c>
      <c r="F193" s="1056">
        <v>-31</v>
      </c>
      <c r="G193" s="1056">
        <v>0</v>
      </c>
      <c r="H193" s="1056">
        <v>0</v>
      </c>
      <c r="I193" s="1056">
        <v>-31</v>
      </c>
      <c r="K193" s="995">
        <f t="shared" si="2"/>
        <v>8</v>
      </c>
    </row>
    <row r="194" spans="1:11">
      <c r="A194" s="1054">
        <v>14357501</v>
      </c>
      <c r="B194" s="1055" t="s">
        <v>1489</v>
      </c>
      <c r="C194" s="1055" t="s">
        <v>703</v>
      </c>
      <c r="D194" s="1055" t="s">
        <v>1073</v>
      </c>
      <c r="E194" s="1055" t="s">
        <v>701</v>
      </c>
      <c r="F194" s="1056">
        <v>-302</v>
      </c>
      <c r="G194" s="1056">
        <v>0</v>
      </c>
      <c r="H194" s="1056">
        <v>0</v>
      </c>
      <c r="I194" s="1056">
        <v>-302</v>
      </c>
      <c r="K194" s="995">
        <f t="shared" si="2"/>
        <v>8</v>
      </c>
    </row>
    <row r="195" spans="1:11">
      <c r="A195" s="1054">
        <v>14357501</v>
      </c>
      <c r="B195" s="1055" t="s">
        <v>1489</v>
      </c>
      <c r="C195" s="1055" t="s">
        <v>703</v>
      </c>
      <c r="D195" s="1055" t="s">
        <v>1074</v>
      </c>
      <c r="E195" s="1055" t="s">
        <v>257</v>
      </c>
      <c r="F195" s="1056">
        <v>-190</v>
      </c>
      <c r="G195" s="1056">
        <v>0</v>
      </c>
      <c r="H195" s="1056">
        <v>0</v>
      </c>
      <c r="I195" s="1056">
        <v>-190</v>
      </c>
      <c r="K195" s="995">
        <f t="shared" si="2"/>
        <v>8</v>
      </c>
    </row>
    <row r="196" spans="1:11">
      <c r="A196" s="1054">
        <v>14357501</v>
      </c>
      <c r="B196" s="1055" t="s">
        <v>1489</v>
      </c>
      <c r="C196" s="1055" t="s">
        <v>703</v>
      </c>
      <c r="D196" s="1055" t="s">
        <v>1062</v>
      </c>
      <c r="E196" s="1055" t="s">
        <v>510</v>
      </c>
      <c r="F196" s="1056">
        <v>0</v>
      </c>
      <c r="G196" s="1056">
        <v>0</v>
      </c>
      <c r="H196" s="1056">
        <v>24</v>
      </c>
      <c r="I196" s="1056">
        <v>-24</v>
      </c>
      <c r="K196" s="995">
        <f t="shared" si="2"/>
        <v>8</v>
      </c>
    </row>
    <row r="197" spans="1:11">
      <c r="A197" s="1054">
        <v>14357503</v>
      </c>
      <c r="B197" s="1055" t="s">
        <v>893</v>
      </c>
      <c r="C197" s="1055" t="s">
        <v>515</v>
      </c>
      <c r="D197" s="1055" t="s">
        <v>893</v>
      </c>
      <c r="E197" s="1055" t="s">
        <v>893</v>
      </c>
      <c r="F197" s="1056">
        <v>-936</v>
      </c>
      <c r="G197" s="1056">
        <v>0</v>
      </c>
      <c r="H197" s="1056">
        <v>315</v>
      </c>
      <c r="I197" s="1056">
        <v>-1252</v>
      </c>
      <c r="K197" s="995">
        <f t="shared" ref="K197:K260" si="3">+LEN(A197)</f>
        <v>8</v>
      </c>
    </row>
    <row r="198" spans="1:11">
      <c r="A198" s="1054">
        <v>14357503</v>
      </c>
      <c r="B198" s="1055" t="s">
        <v>893</v>
      </c>
      <c r="C198" s="1055" t="s">
        <v>515</v>
      </c>
      <c r="D198" s="1055" t="s">
        <v>1080</v>
      </c>
      <c r="E198" s="1055" t="s">
        <v>407</v>
      </c>
      <c r="F198" s="1056">
        <v>-98</v>
      </c>
      <c r="G198" s="1056">
        <v>0</v>
      </c>
      <c r="H198" s="1056">
        <v>0</v>
      </c>
      <c r="I198" s="1056">
        <v>-98</v>
      </c>
      <c r="K198" s="995">
        <f t="shared" si="3"/>
        <v>8</v>
      </c>
    </row>
    <row r="199" spans="1:11">
      <c r="A199" s="1054">
        <v>14357503</v>
      </c>
      <c r="B199" s="1055" t="s">
        <v>893</v>
      </c>
      <c r="C199" s="1055" t="s">
        <v>515</v>
      </c>
      <c r="D199" s="1055" t="s">
        <v>1081</v>
      </c>
      <c r="E199" s="1055" t="s">
        <v>702</v>
      </c>
      <c r="F199" s="1056">
        <v>-17</v>
      </c>
      <c r="G199" s="1056">
        <v>0</v>
      </c>
      <c r="H199" s="1056">
        <v>6</v>
      </c>
      <c r="I199" s="1056">
        <v>-23</v>
      </c>
      <c r="K199" s="995">
        <f t="shared" si="3"/>
        <v>8</v>
      </c>
    </row>
    <row r="200" spans="1:11">
      <c r="A200" s="1054">
        <v>14357503</v>
      </c>
      <c r="B200" s="1055" t="s">
        <v>893</v>
      </c>
      <c r="C200" s="1055" t="s">
        <v>515</v>
      </c>
      <c r="D200" s="1055" t="s">
        <v>1071</v>
      </c>
      <c r="E200" s="1055" t="s">
        <v>700</v>
      </c>
      <c r="F200" s="1056">
        <v>-630</v>
      </c>
      <c r="G200" s="1056">
        <v>0</v>
      </c>
      <c r="H200" s="1056">
        <v>154</v>
      </c>
      <c r="I200" s="1056">
        <v>-784</v>
      </c>
      <c r="K200" s="995">
        <f t="shared" si="3"/>
        <v>8</v>
      </c>
    </row>
    <row r="201" spans="1:11">
      <c r="A201" s="1054">
        <v>14357503</v>
      </c>
      <c r="B201" s="1055" t="s">
        <v>893</v>
      </c>
      <c r="C201" s="1055" t="s">
        <v>515</v>
      </c>
      <c r="D201" s="1055" t="s">
        <v>1072</v>
      </c>
      <c r="E201" s="1055" t="s">
        <v>512</v>
      </c>
      <c r="F201" s="1056">
        <v>-143</v>
      </c>
      <c r="G201" s="1056">
        <v>0</v>
      </c>
      <c r="H201" s="1056">
        <v>0</v>
      </c>
      <c r="I201" s="1056">
        <v>-143</v>
      </c>
      <c r="K201" s="995">
        <f t="shared" si="3"/>
        <v>8</v>
      </c>
    </row>
    <row r="202" spans="1:11">
      <c r="A202" s="1054">
        <v>14357503</v>
      </c>
      <c r="B202" s="1055" t="s">
        <v>893</v>
      </c>
      <c r="C202" s="1055" t="s">
        <v>515</v>
      </c>
      <c r="D202" s="1055" t="s">
        <v>1034</v>
      </c>
      <c r="E202" s="1055" t="s">
        <v>504</v>
      </c>
      <c r="F202" s="1056">
        <v>0</v>
      </c>
      <c r="G202" s="1056">
        <v>0</v>
      </c>
      <c r="H202" s="1056">
        <v>88</v>
      </c>
      <c r="I202" s="1056">
        <v>-88</v>
      </c>
      <c r="K202" s="995">
        <f t="shared" si="3"/>
        <v>8</v>
      </c>
    </row>
    <row r="203" spans="1:11">
      <c r="A203" s="1054">
        <v>14357503</v>
      </c>
      <c r="B203" s="1055" t="s">
        <v>893</v>
      </c>
      <c r="C203" s="1055" t="s">
        <v>515</v>
      </c>
      <c r="D203" s="1055" t="s">
        <v>1073</v>
      </c>
      <c r="E203" s="1055" t="s">
        <v>701</v>
      </c>
      <c r="F203" s="1056">
        <v>-7</v>
      </c>
      <c r="G203" s="1056">
        <v>0</v>
      </c>
      <c r="H203" s="1056">
        <v>0</v>
      </c>
      <c r="I203" s="1056">
        <v>-7</v>
      </c>
      <c r="K203" s="995">
        <f t="shared" si="3"/>
        <v>8</v>
      </c>
    </row>
    <row r="204" spans="1:11">
      <c r="A204" s="1054">
        <v>14357503</v>
      </c>
      <c r="B204" s="1055" t="s">
        <v>893</v>
      </c>
      <c r="C204" s="1055" t="s">
        <v>515</v>
      </c>
      <c r="D204" s="1055" t="s">
        <v>1307</v>
      </c>
      <c r="E204" s="1055" t="s">
        <v>992</v>
      </c>
      <c r="F204" s="1056">
        <v>-41</v>
      </c>
      <c r="G204" s="1056">
        <v>0</v>
      </c>
      <c r="H204" s="1056">
        <v>67</v>
      </c>
      <c r="I204" s="1056">
        <v>-108</v>
      </c>
      <c r="K204" s="995">
        <f t="shared" si="3"/>
        <v>8</v>
      </c>
    </row>
    <row r="205" spans="1:11">
      <c r="A205" s="1054">
        <v>143599</v>
      </c>
      <c r="B205" s="1055" t="s">
        <v>1489</v>
      </c>
      <c r="C205" s="1055" t="s">
        <v>584</v>
      </c>
      <c r="D205" s="1055" t="s">
        <v>893</v>
      </c>
      <c r="E205" s="1055" t="s">
        <v>893</v>
      </c>
      <c r="F205" s="1056">
        <v>-1019248</v>
      </c>
      <c r="G205" s="1056">
        <v>0</v>
      </c>
      <c r="H205" s="1056">
        <v>221817</v>
      </c>
      <c r="I205" s="1056">
        <v>-1241065</v>
      </c>
      <c r="K205" s="995">
        <f t="shared" si="3"/>
        <v>6</v>
      </c>
    </row>
    <row r="206" spans="1:11">
      <c r="A206" s="1054">
        <v>143599</v>
      </c>
      <c r="B206" s="1055" t="s">
        <v>1489</v>
      </c>
      <c r="C206" s="1055" t="s">
        <v>584</v>
      </c>
      <c r="D206" s="1055" t="s">
        <v>1083</v>
      </c>
      <c r="E206" s="1055" t="s">
        <v>256</v>
      </c>
      <c r="F206" s="1056">
        <v>-1019248</v>
      </c>
      <c r="G206" s="1056">
        <v>0</v>
      </c>
      <c r="H206" s="1056">
        <v>221817</v>
      </c>
      <c r="I206" s="1056">
        <v>-1241065</v>
      </c>
      <c r="K206" s="995">
        <f t="shared" si="3"/>
        <v>6</v>
      </c>
    </row>
    <row r="207" spans="1:11">
      <c r="A207" s="1054">
        <v>15</v>
      </c>
      <c r="B207" s="1055" t="s">
        <v>893</v>
      </c>
      <c r="C207" s="1055" t="s">
        <v>109</v>
      </c>
      <c r="D207" s="1055" t="s">
        <v>893</v>
      </c>
      <c r="E207" s="1055" t="s">
        <v>893</v>
      </c>
      <c r="F207" s="1056">
        <v>2028320</v>
      </c>
      <c r="G207" s="1056">
        <v>950</v>
      </c>
      <c r="H207" s="1056">
        <v>890</v>
      </c>
      <c r="I207" s="1056">
        <v>2028380</v>
      </c>
      <c r="K207" s="995">
        <f t="shared" si="3"/>
        <v>2</v>
      </c>
    </row>
    <row r="208" spans="1:11">
      <c r="A208" s="1054">
        <v>1510</v>
      </c>
      <c r="B208" s="1055" t="s">
        <v>1489</v>
      </c>
      <c r="C208" s="1055" t="s">
        <v>704</v>
      </c>
      <c r="D208" s="1055" t="s">
        <v>893</v>
      </c>
      <c r="E208" s="1055" t="s">
        <v>893</v>
      </c>
      <c r="F208" s="1056">
        <v>354906</v>
      </c>
      <c r="G208" s="1056">
        <v>950</v>
      </c>
      <c r="H208" s="1056">
        <v>0</v>
      </c>
      <c r="I208" s="1056">
        <v>355856</v>
      </c>
      <c r="K208" s="995">
        <f t="shared" si="3"/>
        <v>4</v>
      </c>
    </row>
    <row r="209" spans="1:11">
      <c r="A209" s="1054">
        <v>151005</v>
      </c>
      <c r="B209" s="1055" t="s">
        <v>1489</v>
      </c>
      <c r="C209" s="1055" t="s">
        <v>704</v>
      </c>
      <c r="D209" s="1055" t="s">
        <v>893</v>
      </c>
      <c r="E209" s="1055" t="s">
        <v>893</v>
      </c>
      <c r="F209" s="1056">
        <v>349872</v>
      </c>
      <c r="G209" s="1056">
        <v>950</v>
      </c>
      <c r="H209" s="1056">
        <v>0</v>
      </c>
      <c r="I209" s="1056">
        <v>350822</v>
      </c>
      <c r="K209" s="995">
        <f t="shared" si="3"/>
        <v>6</v>
      </c>
    </row>
    <row r="210" spans="1:11">
      <c r="A210" s="1054">
        <v>151005</v>
      </c>
      <c r="B210" s="1055" t="s">
        <v>1489</v>
      </c>
      <c r="C210" s="1055" t="s">
        <v>704</v>
      </c>
      <c r="D210" s="1055" t="s">
        <v>1084</v>
      </c>
      <c r="E210" s="1055" t="s">
        <v>1010</v>
      </c>
      <c r="F210" s="1056">
        <v>296679</v>
      </c>
      <c r="G210" s="1056">
        <v>950</v>
      </c>
      <c r="H210" s="1056">
        <v>0</v>
      </c>
      <c r="I210" s="1056">
        <v>297629</v>
      </c>
      <c r="K210" s="995">
        <f t="shared" si="3"/>
        <v>6</v>
      </c>
    </row>
    <row r="211" spans="1:11">
      <c r="A211" s="1054">
        <v>151005</v>
      </c>
      <c r="B211" s="1055" t="s">
        <v>1489</v>
      </c>
      <c r="C211" s="1055" t="s">
        <v>704</v>
      </c>
      <c r="D211" s="1055" t="s">
        <v>1085</v>
      </c>
      <c r="E211" s="1055" t="s">
        <v>1086</v>
      </c>
      <c r="F211" s="1056">
        <v>150</v>
      </c>
      <c r="G211" s="1056">
        <v>0</v>
      </c>
      <c r="H211" s="1056">
        <v>0</v>
      </c>
      <c r="I211" s="1056">
        <v>150</v>
      </c>
      <c r="K211" s="995">
        <f t="shared" si="3"/>
        <v>6</v>
      </c>
    </row>
    <row r="212" spans="1:11">
      <c r="A212" s="1054">
        <v>151005</v>
      </c>
      <c r="B212" s="1055" t="s">
        <v>1489</v>
      </c>
      <c r="C212" s="1055" t="s">
        <v>704</v>
      </c>
      <c r="D212" s="1055" t="s">
        <v>1087</v>
      </c>
      <c r="E212" s="1055" t="s">
        <v>1088</v>
      </c>
      <c r="F212" s="1056">
        <v>6815</v>
      </c>
      <c r="G212" s="1056">
        <v>0</v>
      </c>
      <c r="H212" s="1056">
        <v>0</v>
      </c>
      <c r="I212" s="1056">
        <v>6815</v>
      </c>
      <c r="K212" s="995">
        <f t="shared" si="3"/>
        <v>6</v>
      </c>
    </row>
    <row r="213" spans="1:11">
      <c r="A213" s="1054">
        <v>151005</v>
      </c>
      <c r="B213" s="1055" t="s">
        <v>1489</v>
      </c>
      <c r="C213" s="1055" t="s">
        <v>704</v>
      </c>
      <c r="D213" s="1055" t="s">
        <v>1089</v>
      </c>
      <c r="E213" s="1055" t="s">
        <v>1090</v>
      </c>
      <c r="F213" s="1056">
        <v>4704</v>
      </c>
      <c r="G213" s="1056">
        <v>0</v>
      </c>
      <c r="H213" s="1056">
        <v>0</v>
      </c>
      <c r="I213" s="1056">
        <v>4704</v>
      </c>
      <c r="K213" s="995">
        <f t="shared" si="3"/>
        <v>6</v>
      </c>
    </row>
    <row r="214" spans="1:11">
      <c r="A214" s="1054">
        <v>151005</v>
      </c>
      <c r="B214" s="1055" t="s">
        <v>1489</v>
      </c>
      <c r="C214" s="1055" t="s">
        <v>704</v>
      </c>
      <c r="D214" s="1055" t="s">
        <v>1091</v>
      </c>
      <c r="E214" s="1055" t="s">
        <v>1092</v>
      </c>
      <c r="F214" s="1056">
        <v>38</v>
      </c>
      <c r="G214" s="1056">
        <v>0</v>
      </c>
      <c r="H214" s="1056">
        <v>0</v>
      </c>
      <c r="I214" s="1056">
        <v>38</v>
      </c>
      <c r="K214" s="995">
        <f t="shared" si="3"/>
        <v>6</v>
      </c>
    </row>
    <row r="215" spans="1:11">
      <c r="A215" s="1054">
        <v>151005</v>
      </c>
      <c r="B215" s="1055" t="s">
        <v>1489</v>
      </c>
      <c r="C215" s="1055" t="s">
        <v>704</v>
      </c>
      <c r="D215" s="1055" t="s">
        <v>1093</v>
      </c>
      <c r="E215" s="1055" t="s">
        <v>1094</v>
      </c>
      <c r="F215" s="1056">
        <v>34</v>
      </c>
      <c r="G215" s="1056">
        <v>0</v>
      </c>
      <c r="H215" s="1056">
        <v>0</v>
      </c>
      <c r="I215" s="1056">
        <v>34</v>
      </c>
      <c r="K215" s="995">
        <f t="shared" si="3"/>
        <v>6</v>
      </c>
    </row>
    <row r="216" spans="1:11">
      <c r="A216" s="1054">
        <v>151005</v>
      </c>
      <c r="B216" s="1055" t="s">
        <v>1489</v>
      </c>
      <c r="C216" s="1055" t="s">
        <v>704</v>
      </c>
      <c r="D216" s="1055" t="s">
        <v>1295</v>
      </c>
      <c r="E216" s="1055" t="s">
        <v>963</v>
      </c>
      <c r="F216" s="1056">
        <v>17338</v>
      </c>
      <c r="G216" s="1056">
        <v>0</v>
      </c>
      <c r="H216" s="1056">
        <v>0</v>
      </c>
      <c r="I216" s="1056">
        <v>17338</v>
      </c>
      <c r="K216" s="995">
        <f t="shared" si="3"/>
        <v>6</v>
      </c>
    </row>
    <row r="217" spans="1:11">
      <c r="A217" s="1054">
        <v>151005</v>
      </c>
      <c r="B217" s="1055" t="s">
        <v>1489</v>
      </c>
      <c r="C217" s="1055" t="s">
        <v>704</v>
      </c>
      <c r="D217" s="1055" t="s">
        <v>1083</v>
      </c>
      <c r="E217" s="1055" t="s">
        <v>256</v>
      </c>
      <c r="F217" s="1056">
        <v>0</v>
      </c>
      <c r="G217" s="1056">
        <v>0</v>
      </c>
      <c r="H217" s="1056">
        <v>0</v>
      </c>
      <c r="I217" s="1056">
        <v>0</v>
      </c>
      <c r="K217" s="995">
        <f t="shared" si="3"/>
        <v>6</v>
      </c>
    </row>
    <row r="218" spans="1:11">
      <c r="A218" s="1054">
        <v>151005</v>
      </c>
      <c r="B218" s="1055" t="s">
        <v>1489</v>
      </c>
      <c r="C218" s="1055" t="s">
        <v>704</v>
      </c>
      <c r="D218" s="1055" t="s">
        <v>1095</v>
      </c>
      <c r="E218" s="1055" t="s">
        <v>1096</v>
      </c>
      <c r="F218" s="1056">
        <v>18</v>
      </c>
      <c r="G218" s="1056">
        <v>0</v>
      </c>
      <c r="H218" s="1056">
        <v>0</v>
      </c>
      <c r="I218" s="1056">
        <v>18</v>
      </c>
      <c r="K218" s="995">
        <f t="shared" si="3"/>
        <v>6</v>
      </c>
    </row>
    <row r="219" spans="1:11">
      <c r="A219" s="1054">
        <v>151005</v>
      </c>
      <c r="B219" s="1055" t="s">
        <v>1489</v>
      </c>
      <c r="C219" s="1055" t="s">
        <v>704</v>
      </c>
      <c r="D219" s="1055" t="s">
        <v>1097</v>
      </c>
      <c r="E219" s="1055" t="s">
        <v>1098</v>
      </c>
      <c r="F219" s="1056">
        <v>20897</v>
      </c>
      <c r="G219" s="1056">
        <v>0</v>
      </c>
      <c r="H219" s="1056">
        <v>0</v>
      </c>
      <c r="I219" s="1056">
        <v>20897</v>
      </c>
      <c r="K219" s="995">
        <f t="shared" si="3"/>
        <v>6</v>
      </c>
    </row>
    <row r="220" spans="1:11">
      <c r="A220" s="1054">
        <v>151005</v>
      </c>
      <c r="B220" s="1055" t="s">
        <v>1489</v>
      </c>
      <c r="C220" s="1055" t="s">
        <v>704</v>
      </c>
      <c r="D220" s="1055" t="s">
        <v>1049</v>
      </c>
      <c r="E220" s="1055" t="s">
        <v>1050</v>
      </c>
      <c r="F220" s="1056">
        <v>3200</v>
      </c>
      <c r="G220" s="1056">
        <v>0</v>
      </c>
      <c r="H220" s="1056">
        <v>0</v>
      </c>
      <c r="I220" s="1056">
        <v>3200</v>
      </c>
      <c r="K220" s="995">
        <f t="shared" si="3"/>
        <v>6</v>
      </c>
    </row>
    <row r="221" spans="1:11">
      <c r="A221" s="1054">
        <v>151024</v>
      </c>
      <c r="B221" s="1055" t="s">
        <v>1489</v>
      </c>
      <c r="C221" s="1055" t="s">
        <v>705</v>
      </c>
      <c r="D221" s="1055" t="s">
        <v>893</v>
      </c>
      <c r="E221" s="1055" t="s">
        <v>893</v>
      </c>
      <c r="F221" s="1056">
        <v>5034</v>
      </c>
      <c r="G221" s="1056">
        <v>0</v>
      </c>
      <c r="H221" s="1056">
        <v>0</v>
      </c>
      <c r="I221" s="1056">
        <v>5034</v>
      </c>
      <c r="K221" s="995">
        <f t="shared" si="3"/>
        <v>6</v>
      </c>
    </row>
    <row r="222" spans="1:11">
      <c r="A222" s="1054">
        <v>151024</v>
      </c>
      <c r="B222" s="1055" t="s">
        <v>1489</v>
      </c>
      <c r="C222" s="1055" t="s">
        <v>705</v>
      </c>
      <c r="D222" s="1055" t="s">
        <v>1095</v>
      </c>
      <c r="E222" s="1055" t="s">
        <v>1096</v>
      </c>
      <c r="F222" s="1056">
        <v>346</v>
      </c>
      <c r="G222" s="1056">
        <v>0</v>
      </c>
      <c r="H222" s="1056">
        <v>0</v>
      </c>
      <c r="I222" s="1056">
        <v>346</v>
      </c>
      <c r="K222" s="995">
        <f t="shared" si="3"/>
        <v>6</v>
      </c>
    </row>
    <row r="223" spans="1:11">
      <c r="A223" s="1054">
        <v>151024</v>
      </c>
      <c r="B223" s="1055" t="s">
        <v>1489</v>
      </c>
      <c r="C223" s="1055" t="s">
        <v>705</v>
      </c>
      <c r="D223" s="1055" t="s">
        <v>1097</v>
      </c>
      <c r="E223" s="1055" t="s">
        <v>1098</v>
      </c>
      <c r="F223" s="1056">
        <v>4688</v>
      </c>
      <c r="G223" s="1056">
        <v>0</v>
      </c>
      <c r="H223" s="1056">
        <v>0</v>
      </c>
      <c r="I223" s="1056">
        <v>4688</v>
      </c>
      <c r="K223" s="995">
        <f t="shared" si="3"/>
        <v>6</v>
      </c>
    </row>
    <row r="224" spans="1:11">
      <c r="A224" s="1054">
        <v>1516</v>
      </c>
      <c r="B224" s="1055" t="s">
        <v>893</v>
      </c>
      <c r="C224" s="1055" t="s">
        <v>209</v>
      </c>
      <c r="D224" s="1055" t="s">
        <v>893</v>
      </c>
      <c r="E224" s="1055" t="s">
        <v>893</v>
      </c>
      <c r="F224" s="1056">
        <v>1141463</v>
      </c>
      <c r="G224" s="1056">
        <v>0</v>
      </c>
      <c r="H224" s="1056">
        <v>487</v>
      </c>
      <c r="I224" s="1056">
        <v>1140976</v>
      </c>
      <c r="K224" s="995">
        <f t="shared" si="3"/>
        <v>4</v>
      </c>
    </row>
    <row r="225" spans="1:11">
      <c r="A225" s="1054">
        <v>151630</v>
      </c>
      <c r="B225" s="1055" t="s">
        <v>1489</v>
      </c>
      <c r="C225" s="1055" t="s">
        <v>706</v>
      </c>
      <c r="D225" s="1055" t="s">
        <v>893</v>
      </c>
      <c r="E225" s="1055" t="s">
        <v>893</v>
      </c>
      <c r="F225" s="1056">
        <v>1286225</v>
      </c>
      <c r="G225" s="1056">
        <v>0</v>
      </c>
      <c r="H225" s="1056">
        <v>0</v>
      </c>
      <c r="I225" s="1056">
        <v>1286225</v>
      </c>
      <c r="K225" s="995">
        <f t="shared" si="3"/>
        <v>6</v>
      </c>
    </row>
    <row r="226" spans="1:11">
      <c r="A226" s="1054">
        <v>15163001</v>
      </c>
      <c r="B226" s="1055" t="s">
        <v>1489</v>
      </c>
      <c r="C226" s="1055" t="s">
        <v>706</v>
      </c>
      <c r="D226" s="1055" t="s">
        <v>893</v>
      </c>
      <c r="E226" s="1055" t="s">
        <v>893</v>
      </c>
      <c r="F226" s="1056">
        <v>550000</v>
      </c>
      <c r="G226" s="1056">
        <v>0</v>
      </c>
      <c r="H226" s="1056">
        <v>0</v>
      </c>
      <c r="I226" s="1056">
        <v>550000</v>
      </c>
      <c r="K226" s="995">
        <f t="shared" si="3"/>
        <v>8</v>
      </c>
    </row>
    <row r="227" spans="1:11">
      <c r="A227" s="1054">
        <v>15163001</v>
      </c>
      <c r="B227" s="1055" t="s">
        <v>1489</v>
      </c>
      <c r="C227" s="1055" t="s">
        <v>706</v>
      </c>
      <c r="D227" s="1055" t="s">
        <v>1099</v>
      </c>
      <c r="E227" s="1055" t="s">
        <v>1100</v>
      </c>
      <c r="F227" s="1056">
        <v>550000</v>
      </c>
      <c r="G227" s="1056">
        <v>0</v>
      </c>
      <c r="H227" s="1056">
        <v>0</v>
      </c>
      <c r="I227" s="1056">
        <v>550000</v>
      </c>
      <c r="K227" s="995">
        <f t="shared" si="3"/>
        <v>8</v>
      </c>
    </row>
    <row r="228" spans="1:11">
      <c r="A228" s="1054">
        <v>15163002</v>
      </c>
      <c r="B228" s="1055" t="s">
        <v>1489</v>
      </c>
      <c r="C228" s="1055" t="s">
        <v>707</v>
      </c>
      <c r="D228" s="1055" t="s">
        <v>893</v>
      </c>
      <c r="E228" s="1055" t="s">
        <v>893</v>
      </c>
      <c r="F228" s="1056">
        <v>736225</v>
      </c>
      <c r="G228" s="1056">
        <v>0</v>
      </c>
      <c r="H228" s="1056">
        <v>0</v>
      </c>
      <c r="I228" s="1056">
        <v>736225</v>
      </c>
      <c r="K228" s="995">
        <f t="shared" si="3"/>
        <v>8</v>
      </c>
    </row>
    <row r="229" spans="1:11">
      <c r="A229" s="1054">
        <v>15163002</v>
      </c>
      <c r="B229" s="1055" t="s">
        <v>1489</v>
      </c>
      <c r="C229" s="1055" t="s">
        <v>707</v>
      </c>
      <c r="D229" s="1055" t="s">
        <v>1083</v>
      </c>
      <c r="E229" s="1055" t="s">
        <v>256</v>
      </c>
      <c r="F229" s="1056">
        <v>736225</v>
      </c>
      <c r="G229" s="1056">
        <v>0</v>
      </c>
      <c r="H229" s="1056">
        <v>0</v>
      </c>
      <c r="I229" s="1056">
        <v>736225</v>
      </c>
      <c r="K229" s="995">
        <f t="shared" si="3"/>
        <v>8</v>
      </c>
    </row>
    <row r="230" spans="1:11">
      <c r="A230" s="1054">
        <v>151692</v>
      </c>
      <c r="B230" s="1055" t="s">
        <v>893</v>
      </c>
      <c r="C230" s="1055" t="s">
        <v>327</v>
      </c>
      <c r="D230" s="1055" t="s">
        <v>893</v>
      </c>
      <c r="E230" s="1055" t="s">
        <v>893</v>
      </c>
      <c r="F230" s="1056">
        <v>-144763</v>
      </c>
      <c r="G230" s="1056">
        <v>0</v>
      </c>
      <c r="H230" s="1056">
        <v>487</v>
      </c>
      <c r="I230" s="1056">
        <v>-145250</v>
      </c>
      <c r="K230" s="995">
        <f t="shared" si="3"/>
        <v>6</v>
      </c>
    </row>
    <row r="231" spans="1:11">
      <c r="A231" s="1054">
        <v>151692</v>
      </c>
      <c r="B231" s="1055" t="s">
        <v>893</v>
      </c>
      <c r="C231" s="1055" t="s">
        <v>327</v>
      </c>
      <c r="D231" s="1055" t="s">
        <v>1067</v>
      </c>
      <c r="E231" s="1055" t="s">
        <v>1068</v>
      </c>
      <c r="F231" s="1056">
        <v>-8450</v>
      </c>
      <c r="G231" s="1056">
        <v>0</v>
      </c>
      <c r="H231" s="1056">
        <v>0</v>
      </c>
      <c r="I231" s="1056">
        <v>-8450</v>
      </c>
      <c r="K231" s="995">
        <f t="shared" si="3"/>
        <v>6</v>
      </c>
    </row>
    <row r="232" spans="1:11">
      <c r="A232" s="1054">
        <v>151692</v>
      </c>
      <c r="B232" s="1055" t="s">
        <v>893</v>
      </c>
      <c r="C232" s="1055" t="s">
        <v>327</v>
      </c>
      <c r="D232" s="1055" t="s">
        <v>1083</v>
      </c>
      <c r="E232" s="1055" t="s">
        <v>256</v>
      </c>
      <c r="F232" s="1056">
        <v>-136313</v>
      </c>
      <c r="G232" s="1056">
        <v>0</v>
      </c>
      <c r="H232" s="1056">
        <v>487</v>
      </c>
      <c r="I232" s="1056">
        <v>-136800</v>
      </c>
      <c r="K232" s="995">
        <f t="shared" si="3"/>
        <v>6</v>
      </c>
    </row>
    <row r="233" spans="1:11">
      <c r="A233" s="1054">
        <v>1520</v>
      </c>
      <c r="B233" s="1055" t="s">
        <v>893</v>
      </c>
      <c r="C233" s="1055" t="s">
        <v>110</v>
      </c>
      <c r="D233" s="1055" t="s">
        <v>893</v>
      </c>
      <c r="E233" s="1055" t="s">
        <v>893</v>
      </c>
      <c r="F233" s="1056">
        <v>351625</v>
      </c>
      <c r="G233" s="1056">
        <v>0</v>
      </c>
      <c r="H233" s="1056">
        <v>211</v>
      </c>
      <c r="I233" s="1056">
        <v>351414</v>
      </c>
      <c r="K233" s="995">
        <f t="shared" si="3"/>
        <v>4</v>
      </c>
    </row>
    <row r="234" spans="1:11">
      <c r="A234" s="1054">
        <v>152001</v>
      </c>
      <c r="B234" s="1055" t="s">
        <v>893</v>
      </c>
      <c r="C234" s="1055" t="s">
        <v>110</v>
      </c>
      <c r="D234" s="1055" t="s">
        <v>893</v>
      </c>
      <c r="E234" s="1055" t="s">
        <v>893</v>
      </c>
      <c r="F234" s="1056">
        <v>438355</v>
      </c>
      <c r="G234" s="1056">
        <v>0</v>
      </c>
      <c r="H234" s="1056">
        <v>0</v>
      </c>
      <c r="I234" s="1056">
        <v>438355</v>
      </c>
      <c r="K234" s="995">
        <f t="shared" si="3"/>
        <v>6</v>
      </c>
    </row>
    <row r="235" spans="1:11">
      <c r="A235" s="1054">
        <v>15200101</v>
      </c>
      <c r="B235" s="1055" t="s">
        <v>893</v>
      </c>
      <c r="C235" s="1055" t="s">
        <v>110</v>
      </c>
      <c r="D235" s="1055" t="s">
        <v>893</v>
      </c>
      <c r="E235" s="1055" t="s">
        <v>893</v>
      </c>
      <c r="F235" s="1056">
        <v>438355</v>
      </c>
      <c r="G235" s="1056">
        <v>0</v>
      </c>
      <c r="H235" s="1056">
        <v>0</v>
      </c>
      <c r="I235" s="1056">
        <v>438355</v>
      </c>
      <c r="K235" s="995">
        <f t="shared" si="3"/>
        <v>8</v>
      </c>
    </row>
    <row r="236" spans="1:11">
      <c r="A236" s="1054">
        <v>15200101</v>
      </c>
      <c r="B236" s="1055" t="s">
        <v>893</v>
      </c>
      <c r="C236" s="1055" t="s">
        <v>110</v>
      </c>
      <c r="D236" s="1055" t="s">
        <v>1067</v>
      </c>
      <c r="E236" s="1055" t="s">
        <v>1068</v>
      </c>
      <c r="F236" s="1056">
        <v>198599</v>
      </c>
      <c r="G236" s="1056">
        <v>0</v>
      </c>
      <c r="H236" s="1056">
        <v>0</v>
      </c>
      <c r="I236" s="1056">
        <v>198599</v>
      </c>
      <c r="K236" s="995">
        <f t="shared" si="3"/>
        <v>8</v>
      </c>
    </row>
    <row r="237" spans="1:11">
      <c r="A237" s="1054">
        <v>15200101</v>
      </c>
      <c r="B237" s="1055" t="s">
        <v>893</v>
      </c>
      <c r="C237" s="1055" t="s">
        <v>110</v>
      </c>
      <c r="D237" s="1055" t="s">
        <v>1101</v>
      </c>
      <c r="E237" s="1055" t="s">
        <v>1102</v>
      </c>
      <c r="F237" s="1056">
        <v>1019</v>
      </c>
      <c r="G237" s="1056">
        <v>0</v>
      </c>
      <c r="H237" s="1056">
        <v>0</v>
      </c>
      <c r="I237" s="1056">
        <v>1019</v>
      </c>
      <c r="K237" s="995">
        <f t="shared" si="3"/>
        <v>8</v>
      </c>
    </row>
    <row r="238" spans="1:11">
      <c r="A238" s="1054">
        <v>15200101</v>
      </c>
      <c r="B238" s="1055" t="s">
        <v>893</v>
      </c>
      <c r="C238" s="1055" t="s">
        <v>110</v>
      </c>
      <c r="D238" s="1055" t="s">
        <v>1103</v>
      </c>
      <c r="E238" s="1055" t="s">
        <v>1104</v>
      </c>
      <c r="F238" s="1056">
        <v>20000</v>
      </c>
      <c r="G238" s="1056">
        <v>0</v>
      </c>
      <c r="H238" s="1056">
        <v>0</v>
      </c>
      <c r="I238" s="1056">
        <v>20000</v>
      </c>
      <c r="K238" s="995">
        <f t="shared" si="3"/>
        <v>8</v>
      </c>
    </row>
    <row r="239" spans="1:11">
      <c r="A239" s="1054">
        <v>15200101</v>
      </c>
      <c r="B239" s="1055" t="s">
        <v>893</v>
      </c>
      <c r="C239" s="1055" t="s">
        <v>110</v>
      </c>
      <c r="D239" s="1055" t="s">
        <v>1091</v>
      </c>
      <c r="E239" s="1055" t="s">
        <v>1092</v>
      </c>
      <c r="F239" s="1056">
        <v>8646</v>
      </c>
      <c r="G239" s="1056">
        <v>0</v>
      </c>
      <c r="H239" s="1056">
        <v>0</v>
      </c>
      <c r="I239" s="1056">
        <v>8646</v>
      </c>
      <c r="K239" s="995">
        <f t="shared" si="3"/>
        <v>8</v>
      </c>
    </row>
    <row r="240" spans="1:11">
      <c r="A240" s="1054">
        <v>15200101</v>
      </c>
      <c r="B240" s="1055" t="s">
        <v>893</v>
      </c>
      <c r="C240" s="1055" t="s">
        <v>110</v>
      </c>
      <c r="D240" s="1055" t="s">
        <v>1105</v>
      </c>
      <c r="E240" s="1055" t="s">
        <v>1106</v>
      </c>
      <c r="F240" s="1056">
        <v>22050</v>
      </c>
      <c r="G240" s="1056">
        <v>0</v>
      </c>
      <c r="H240" s="1056">
        <v>0</v>
      </c>
      <c r="I240" s="1056">
        <v>22050</v>
      </c>
      <c r="K240" s="995">
        <f t="shared" si="3"/>
        <v>8</v>
      </c>
    </row>
    <row r="241" spans="1:11">
      <c r="A241" s="1054">
        <v>15200101</v>
      </c>
      <c r="B241" s="1055" t="s">
        <v>893</v>
      </c>
      <c r="C241" s="1055" t="s">
        <v>110</v>
      </c>
      <c r="D241" s="1055" t="s">
        <v>1107</v>
      </c>
      <c r="E241" s="1055" t="s">
        <v>1108</v>
      </c>
      <c r="F241" s="1056">
        <v>360</v>
      </c>
      <c r="G241" s="1056">
        <v>0</v>
      </c>
      <c r="H241" s="1056">
        <v>0</v>
      </c>
      <c r="I241" s="1056">
        <v>360</v>
      </c>
      <c r="K241" s="995">
        <f t="shared" si="3"/>
        <v>8</v>
      </c>
    </row>
    <row r="242" spans="1:11">
      <c r="A242" s="1054">
        <v>15200101</v>
      </c>
      <c r="B242" s="1055" t="s">
        <v>893</v>
      </c>
      <c r="C242" s="1055" t="s">
        <v>110</v>
      </c>
      <c r="D242" s="1055" t="s">
        <v>1109</v>
      </c>
      <c r="E242" s="1055" t="s">
        <v>1110</v>
      </c>
      <c r="F242" s="1056">
        <v>83407</v>
      </c>
      <c r="G242" s="1056">
        <v>0</v>
      </c>
      <c r="H242" s="1056">
        <v>0</v>
      </c>
      <c r="I242" s="1056">
        <v>83407</v>
      </c>
      <c r="K242" s="995">
        <f t="shared" si="3"/>
        <v>8</v>
      </c>
    </row>
    <row r="243" spans="1:11">
      <c r="A243" s="1054">
        <v>15200101</v>
      </c>
      <c r="B243" s="1055" t="s">
        <v>893</v>
      </c>
      <c r="C243" s="1055" t="s">
        <v>110</v>
      </c>
      <c r="D243" s="1055" t="s">
        <v>1111</v>
      </c>
      <c r="E243" s="1055" t="s">
        <v>1112</v>
      </c>
      <c r="F243" s="1056">
        <v>11424</v>
      </c>
      <c r="G243" s="1056">
        <v>0</v>
      </c>
      <c r="H243" s="1056">
        <v>0</v>
      </c>
      <c r="I243" s="1056">
        <v>11424</v>
      </c>
      <c r="K243" s="995">
        <f t="shared" si="3"/>
        <v>8</v>
      </c>
    </row>
    <row r="244" spans="1:11">
      <c r="A244" s="1054">
        <v>15200101</v>
      </c>
      <c r="B244" s="1055" t="s">
        <v>893</v>
      </c>
      <c r="C244" s="1055" t="s">
        <v>110</v>
      </c>
      <c r="D244" s="1055" t="s">
        <v>1113</v>
      </c>
      <c r="E244" s="1055" t="s">
        <v>1114</v>
      </c>
      <c r="F244" s="1056">
        <v>1425</v>
      </c>
      <c r="G244" s="1056">
        <v>0</v>
      </c>
      <c r="H244" s="1056">
        <v>0</v>
      </c>
      <c r="I244" s="1056">
        <v>1425</v>
      </c>
      <c r="K244" s="995">
        <f t="shared" si="3"/>
        <v>8</v>
      </c>
    </row>
    <row r="245" spans="1:11">
      <c r="A245" s="1054">
        <v>15200101</v>
      </c>
      <c r="B245" s="1055" t="s">
        <v>893</v>
      </c>
      <c r="C245" s="1055" t="s">
        <v>110</v>
      </c>
      <c r="D245" s="1055" t="s">
        <v>1115</v>
      </c>
      <c r="E245" s="1055" t="s">
        <v>1116</v>
      </c>
      <c r="F245" s="1056">
        <v>21034</v>
      </c>
      <c r="G245" s="1056">
        <v>0</v>
      </c>
      <c r="H245" s="1056">
        <v>0</v>
      </c>
      <c r="I245" s="1056">
        <v>21034</v>
      </c>
      <c r="K245" s="995">
        <f t="shared" si="3"/>
        <v>8</v>
      </c>
    </row>
    <row r="246" spans="1:11">
      <c r="A246" s="1054">
        <v>15200101</v>
      </c>
      <c r="B246" s="1055" t="s">
        <v>893</v>
      </c>
      <c r="C246" s="1055" t="s">
        <v>110</v>
      </c>
      <c r="D246" s="1055" t="s">
        <v>1117</v>
      </c>
      <c r="E246" s="1055" t="s">
        <v>1118</v>
      </c>
      <c r="F246" s="1056">
        <v>8000</v>
      </c>
      <c r="G246" s="1056">
        <v>0</v>
      </c>
      <c r="H246" s="1056">
        <v>0</v>
      </c>
      <c r="I246" s="1056">
        <v>8000</v>
      </c>
      <c r="K246" s="995">
        <f t="shared" si="3"/>
        <v>8</v>
      </c>
    </row>
    <row r="247" spans="1:11">
      <c r="A247" s="1054">
        <v>15200101</v>
      </c>
      <c r="B247" s="1055" t="s">
        <v>893</v>
      </c>
      <c r="C247" s="1055" t="s">
        <v>110</v>
      </c>
      <c r="D247" s="1055" t="s">
        <v>1119</v>
      </c>
      <c r="E247" s="1055" t="s">
        <v>1120</v>
      </c>
      <c r="F247" s="1056">
        <v>16105</v>
      </c>
      <c r="G247" s="1056">
        <v>0</v>
      </c>
      <c r="H247" s="1056">
        <v>0</v>
      </c>
      <c r="I247" s="1056">
        <v>16105</v>
      </c>
      <c r="K247" s="995">
        <f t="shared" si="3"/>
        <v>8</v>
      </c>
    </row>
    <row r="248" spans="1:11">
      <c r="A248" s="1054">
        <v>15200101</v>
      </c>
      <c r="B248" s="1055" t="s">
        <v>893</v>
      </c>
      <c r="C248" s="1055" t="s">
        <v>110</v>
      </c>
      <c r="D248" s="1055" t="s">
        <v>1121</v>
      </c>
      <c r="E248" s="1055" t="s">
        <v>1122</v>
      </c>
      <c r="F248" s="1056">
        <v>1975</v>
      </c>
      <c r="G248" s="1056">
        <v>0</v>
      </c>
      <c r="H248" s="1056">
        <v>0</v>
      </c>
      <c r="I248" s="1056">
        <v>1975</v>
      </c>
      <c r="K248" s="995">
        <f t="shared" si="3"/>
        <v>8</v>
      </c>
    </row>
    <row r="249" spans="1:11">
      <c r="A249" s="1054">
        <v>15200101</v>
      </c>
      <c r="B249" s="1055" t="s">
        <v>893</v>
      </c>
      <c r="C249" s="1055" t="s">
        <v>110</v>
      </c>
      <c r="D249" s="1055" t="s">
        <v>1123</v>
      </c>
      <c r="E249" s="1055" t="s">
        <v>1124</v>
      </c>
      <c r="F249" s="1056">
        <v>16915</v>
      </c>
      <c r="G249" s="1056">
        <v>0</v>
      </c>
      <c r="H249" s="1056">
        <v>0</v>
      </c>
      <c r="I249" s="1056">
        <v>16915</v>
      </c>
      <c r="K249" s="995">
        <f t="shared" si="3"/>
        <v>8</v>
      </c>
    </row>
    <row r="250" spans="1:11">
      <c r="A250" s="1054">
        <v>15200101</v>
      </c>
      <c r="B250" s="1055" t="s">
        <v>893</v>
      </c>
      <c r="C250" s="1055" t="s">
        <v>110</v>
      </c>
      <c r="D250" s="1055" t="s">
        <v>1125</v>
      </c>
      <c r="E250" s="1055" t="s">
        <v>1126</v>
      </c>
      <c r="F250" s="1056">
        <v>7063</v>
      </c>
      <c r="G250" s="1056">
        <v>0</v>
      </c>
      <c r="H250" s="1056">
        <v>0</v>
      </c>
      <c r="I250" s="1056">
        <v>7063</v>
      </c>
      <c r="K250" s="995">
        <f t="shared" si="3"/>
        <v>8</v>
      </c>
    </row>
    <row r="251" spans="1:11">
      <c r="A251" s="1054">
        <v>15200101</v>
      </c>
      <c r="B251" s="1055" t="s">
        <v>893</v>
      </c>
      <c r="C251" s="1055" t="s">
        <v>110</v>
      </c>
      <c r="D251" s="1055" t="s">
        <v>1127</v>
      </c>
      <c r="E251" s="1055" t="s">
        <v>1128</v>
      </c>
      <c r="F251" s="1056">
        <v>4200</v>
      </c>
      <c r="G251" s="1056">
        <v>0</v>
      </c>
      <c r="H251" s="1056">
        <v>0</v>
      </c>
      <c r="I251" s="1056">
        <v>4200</v>
      </c>
      <c r="K251" s="995">
        <f t="shared" si="3"/>
        <v>8</v>
      </c>
    </row>
    <row r="252" spans="1:11">
      <c r="A252" s="1054">
        <v>15200101</v>
      </c>
      <c r="B252" s="1055" t="s">
        <v>893</v>
      </c>
      <c r="C252" s="1055" t="s">
        <v>110</v>
      </c>
      <c r="D252" s="1055" t="s">
        <v>1129</v>
      </c>
      <c r="E252" s="1055" t="s">
        <v>1130</v>
      </c>
      <c r="F252" s="1056">
        <v>16133</v>
      </c>
      <c r="G252" s="1056">
        <v>0</v>
      </c>
      <c r="H252" s="1056">
        <v>0</v>
      </c>
      <c r="I252" s="1056">
        <v>16133</v>
      </c>
      <c r="K252" s="995">
        <f t="shared" si="3"/>
        <v>8</v>
      </c>
    </row>
    <row r="253" spans="1:11">
      <c r="A253" s="1054">
        <v>152010</v>
      </c>
      <c r="B253" s="1055" t="s">
        <v>893</v>
      </c>
      <c r="C253" s="1055" t="s">
        <v>576</v>
      </c>
      <c r="D253" s="1055" t="s">
        <v>893</v>
      </c>
      <c r="E253" s="1055" t="s">
        <v>893</v>
      </c>
      <c r="F253" s="1056">
        <v>16671</v>
      </c>
      <c r="G253" s="1056">
        <v>0</v>
      </c>
      <c r="H253" s="1056">
        <v>0</v>
      </c>
      <c r="I253" s="1056">
        <v>16671</v>
      </c>
      <c r="K253" s="995">
        <f t="shared" si="3"/>
        <v>6</v>
      </c>
    </row>
    <row r="254" spans="1:11">
      <c r="A254" s="1054">
        <v>15201001</v>
      </c>
      <c r="B254" s="1055" t="s">
        <v>893</v>
      </c>
      <c r="C254" s="1055" t="s">
        <v>576</v>
      </c>
      <c r="D254" s="1055" t="s">
        <v>893</v>
      </c>
      <c r="E254" s="1055" t="s">
        <v>893</v>
      </c>
      <c r="F254" s="1056">
        <v>16671</v>
      </c>
      <c r="G254" s="1056">
        <v>0</v>
      </c>
      <c r="H254" s="1056">
        <v>0</v>
      </c>
      <c r="I254" s="1056">
        <v>16671</v>
      </c>
      <c r="K254" s="995">
        <f t="shared" si="3"/>
        <v>8</v>
      </c>
    </row>
    <row r="255" spans="1:11">
      <c r="A255" s="1054">
        <v>15201001</v>
      </c>
      <c r="B255" s="1055" t="s">
        <v>893</v>
      </c>
      <c r="C255" s="1055" t="s">
        <v>576</v>
      </c>
      <c r="D255" s="1055" t="s">
        <v>1103</v>
      </c>
      <c r="E255" s="1055" t="s">
        <v>1104</v>
      </c>
      <c r="F255" s="1056">
        <v>3800</v>
      </c>
      <c r="G255" s="1056">
        <v>0</v>
      </c>
      <c r="H255" s="1056">
        <v>0</v>
      </c>
      <c r="I255" s="1056">
        <v>3800</v>
      </c>
      <c r="K255" s="995">
        <f t="shared" si="3"/>
        <v>8</v>
      </c>
    </row>
    <row r="256" spans="1:11">
      <c r="A256" s="1054">
        <v>15201001</v>
      </c>
      <c r="B256" s="1055" t="s">
        <v>893</v>
      </c>
      <c r="C256" s="1055" t="s">
        <v>576</v>
      </c>
      <c r="D256" s="1055" t="s">
        <v>1105</v>
      </c>
      <c r="E256" s="1055" t="s">
        <v>1106</v>
      </c>
      <c r="F256" s="1056">
        <v>4035</v>
      </c>
      <c r="G256" s="1056">
        <v>0</v>
      </c>
      <c r="H256" s="1056">
        <v>0</v>
      </c>
      <c r="I256" s="1056">
        <v>4035</v>
      </c>
      <c r="K256" s="995">
        <f t="shared" si="3"/>
        <v>8</v>
      </c>
    </row>
    <row r="257" spans="1:11">
      <c r="A257" s="1054">
        <v>15201001</v>
      </c>
      <c r="B257" s="1055" t="s">
        <v>893</v>
      </c>
      <c r="C257" s="1055" t="s">
        <v>576</v>
      </c>
      <c r="D257" s="1055" t="s">
        <v>1109</v>
      </c>
      <c r="E257" s="1055" t="s">
        <v>1110</v>
      </c>
      <c r="F257" s="1056">
        <v>2156</v>
      </c>
      <c r="G257" s="1056">
        <v>0</v>
      </c>
      <c r="H257" s="1056">
        <v>0</v>
      </c>
      <c r="I257" s="1056">
        <v>2156</v>
      </c>
      <c r="K257" s="995">
        <f t="shared" si="3"/>
        <v>8</v>
      </c>
    </row>
    <row r="258" spans="1:11">
      <c r="A258" s="1054">
        <v>15201001</v>
      </c>
      <c r="B258" s="1055" t="s">
        <v>893</v>
      </c>
      <c r="C258" s="1055" t="s">
        <v>576</v>
      </c>
      <c r="D258" s="1055" t="s">
        <v>1111</v>
      </c>
      <c r="E258" s="1055" t="s">
        <v>1112</v>
      </c>
      <c r="F258" s="1056">
        <v>2171</v>
      </c>
      <c r="G258" s="1056">
        <v>0</v>
      </c>
      <c r="H258" s="1056">
        <v>0</v>
      </c>
      <c r="I258" s="1056">
        <v>2171</v>
      </c>
      <c r="K258" s="995">
        <f t="shared" si="3"/>
        <v>8</v>
      </c>
    </row>
    <row r="259" spans="1:11">
      <c r="A259" s="1054">
        <v>15201001</v>
      </c>
      <c r="B259" s="1055" t="s">
        <v>893</v>
      </c>
      <c r="C259" s="1055" t="s">
        <v>576</v>
      </c>
      <c r="D259" s="1055" t="s">
        <v>1113</v>
      </c>
      <c r="E259" s="1055" t="s">
        <v>1114</v>
      </c>
      <c r="F259" s="1056">
        <v>271</v>
      </c>
      <c r="G259" s="1056">
        <v>0</v>
      </c>
      <c r="H259" s="1056">
        <v>0</v>
      </c>
      <c r="I259" s="1056">
        <v>271</v>
      </c>
      <c r="K259" s="995">
        <f t="shared" si="3"/>
        <v>8</v>
      </c>
    </row>
    <row r="260" spans="1:11">
      <c r="A260" s="1054">
        <v>15201001</v>
      </c>
      <c r="B260" s="1055" t="s">
        <v>893</v>
      </c>
      <c r="C260" s="1055" t="s">
        <v>576</v>
      </c>
      <c r="D260" s="1055" t="s">
        <v>1121</v>
      </c>
      <c r="E260" s="1055" t="s">
        <v>1122</v>
      </c>
      <c r="F260" s="1056">
        <v>375</v>
      </c>
      <c r="G260" s="1056">
        <v>0</v>
      </c>
      <c r="H260" s="1056">
        <v>0</v>
      </c>
      <c r="I260" s="1056">
        <v>375</v>
      </c>
      <c r="K260" s="995">
        <f t="shared" si="3"/>
        <v>8</v>
      </c>
    </row>
    <row r="261" spans="1:11">
      <c r="A261" s="1054">
        <v>15201001</v>
      </c>
      <c r="B261" s="1055" t="s">
        <v>893</v>
      </c>
      <c r="C261" s="1055" t="s">
        <v>576</v>
      </c>
      <c r="D261" s="1055" t="s">
        <v>1127</v>
      </c>
      <c r="E261" s="1055" t="s">
        <v>1128</v>
      </c>
      <c r="F261" s="1056">
        <v>798</v>
      </c>
      <c r="G261" s="1056">
        <v>0</v>
      </c>
      <c r="H261" s="1056">
        <v>0</v>
      </c>
      <c r="I261" s="1056">
        <v>798</v>
      </c>
      <c r="K261" s="995">
        <f t="shared" ref="K261:K324" si="4">+LEN(A261)</f>
        <v>8</v>
      </c>
    </row>
    <row r="262" spans="1:11">
      <c r="A262" s="1054">
        <v>15201001</v>
      </c>
      <c r="B262" s="1055" t="s">
        <v>893</v>
      </c>
      <c r="C262" s="1055" t="s">
        <v>576</v>
      </c>
      <c r="D262" s="1055" t="s">
        <v>1129</v>
      </c>
      <c r="E262" s="1055" t="s">
        <v>1130</v>
      </c>
      <c r="F262" s="1056">
        <v>3065</v>
      </c>
      <c r="G262" s="1056">
        <v>0</v>
      </c>
      <c r="H262" s="1056">
        <v>0</v>
      </c>
      <c r="I262" s="1056">
        <v>3065</v>
      </c>
      <c r="K262" s="995">
        <f t="shared" si="4"/>
        <v>8</v>
      </c>
    </row>
    <row r="263" spans="1:11">
      <c r="A263" s="1054">
        <v>152092</v>
      </c>
      <c r="B263" s="1055" t="s">
        <v>893</v>
      </c>
      <c r="C263" s="1055" t="s">
        <v>327</v>
      </c>
      <c r="D263" s="1055" t="s">
        <v>893</v>
      </c>
      <c r="E263" s="1055" t="s">
        <v>893</v>
      </c>
      <c r="F263" s="1056">
        <v>-103402</v>
      </c>
      <c r="G263" s="1056">
        <v>0</v>
      </c>
      <c r="H263" s="1056">
        <v>211</v>
      </c>
      <c r="I263" s="1056">
        <v>-103613</v>
      </c>
      <c r="K263" s="995">
        <f t="shared" si="4"/>
        <v>6</v>
      </c>
    </row>
    <row r="264" spans="1:11">
      <c r="A264" s="1054">
        <v>152092</v>
      </c>
      <c r="B264" s="1055" t="s">
        <v>893</v>
      </c>
      <c r="C264" s="1055" t="s">
        <v>327</v>
      </c>
      <c r="D264" s="1055" t="s">
        <v>1083</v>
      </c>
      <c r="E264" s="1055" t="s">
        <v>256</v>
      </c>
      <c r="F264" s="1056">
        <v>-103402</v>
      </c>
      <c r="G264" s="1056">
        <v>0</v>
      </c>
      <c r="H264" s="1056">
        <v>211</v>
      </c>
      <c r="I264" s="1056">
        <v>-103613</v>
      </c>
      <c r="K264" s="995">
        <f t="shared" si="4"/>
        <v>6</v>
      </c>
    </row>
    <row r="265" spans="1:11">
      <c r="A265" s="1054">
        <v>1524</v>
      </c>
      <c r="B265" s="1055" t="s">
        <v>893</v>
      </c>
      <c r="C265" s="1055" t="s">
        <v>111</v>
      </c>
      <c r="D265" s="1055" t="s">
        <v>893</v>
      </c>
      <c r="E265" s="1055" t="s">
        <v>893</v>
      </c>
      <c r="F265" s="1056">
        <v>165640</v>
      </c>
      <c r="G265" s="1056">
        <v>0</v>
      </c>
      <c r="H265" s="1056">
        <v>145</v>
      </c>
      <c r="I265" s="1056">
        <v>165495</v>
      </c>
      <c r="K265" s="995">
        <f t="shared" si="4"/>
        <v>4</v>
      </c>
    </row>
    <row r="266" spans="1:11">
      <c r="A266" s="1054">
        <v>152405</v>
      </c>
      <c r="B266" s="1055" t="s">
        <v>893</v>
      </c>
      <c r="C266" s="1055" t="s">
        <v>708</v>
      </c>
      <c r="D266" s="1055" t="s">
        <v>893</v>
      </c>
      <c r="E266" s="1055" t="s">
        <v>893</v>
      </c>
      <c r="F266" s="1056">
        <v>197338</v>
      </c>
      <c r="G266" s="1056">
        <v>0</v>
      </c>
      <c r="H266" s="1056">
        <v>0</v>
      </c>
      <c r="I266" s="1056">
        <v>197338</v>
      </c>
      <c r="K266" s="995">
        <f t="shared" si="4"/>
        <v>6</v>
      </c>
    </row>
    <row r="267" spans="1:11">
      <c r="A267" s="1054">
        <v>15240501</v>
      </c>
      <c r="B267" s="1055" t="s">
        <v>893</v>
      </c>
      <c r="C267" s="1055" t="s">
        <v>708</v>
      </c>
      <c r="D267" s="1055" t="s">
        <v>893</v>
      </c>
      <c r="E267" s="1055" t="s">
        <v>893</v>
      </c>
      <c r="F267" s="1056">
        <v>197338</v>
      </c>
      <c r="G267" s="1056">
        <v>0</v>
      </c>
      <c r="H267" s="1056">
        <v>0</v>
      </c>
      <c r="I267" s="1056">
        <v>197338</v>
      </c>
      <c r="K267" s="995">
        <f t="shared" si="4"/>
        <v>8</v>
      </c>
    </row>
    <row r="268" spans="1:11">
      <c r="A268" s="1054">
        <v>15240501</v>
      </c>
      <c r="B268" s="1055" t="s">
        <v>893</v>
      </c>
      <c r="C268" s="1055" t="s">
        <v>708</v>
      </c>
      <c r="D268" s="1055" t="s">
        <v>1067</v>
      </c>
      <c r="E268" s="1055" t="s">
        <v>1068</v>
      </c>
      <c r="F268" s="1056">
        <v>27154</v>
      </c>
      <c r="G268" s="1056">
        <v>0</v>
      </c>
      <c r="H268" s="1056">
        <v>0</v>
      </c>
      <c r="I268" s="1056">
        <v>27154</v>
      </c>
      <c r="K268" s="995">
        <f t="shared" si="4"/>
        <v>8</v>
      </c>
    </row>
    <row r="269" spans="1:11">
      <c r="A269" s="1054">
        <v>15240501</v>
      </c>
      <c r="B269" s="1055" t="s">
        <v>893</v>
      </c>
      <c r="C269" s="1055" t="s">
        <v>708</v>
      </c>
      <c r="D269" s="1055" t="s">
        <v>1103</v>
      </c>
      <c r="E269" s="1055" t="s">
        <v>1104</v>
      </c>
      <c r="F269" s="1056">
        <v>11515</v>
      </c>
      <c r="G269" s="1056">
        <v>0</v>
      </c>
      <c r="H269" s="1056">
        <v>0</v>
      </c>
      <c r="I269" s="1056">
        <v>11515</v>
      </c>
      <c r="K269" s="995">
        <f t="shared" si="4"/>
        <v>8</v>
      </c>
    </row>
    <row r="270" spans="1:11">
      <c r="A270" s="1054">
        <v>15240501</v>
      </c>
      <c r="B270" s="1055" t="s">
        <v>893</v>
      </c>
      <c r="C270" s="1055" t="s">
        <v>708</v>
      </c>
      <c r="D270" s="1055" t="s">
        <v>1084</v>
      </c>
      <c r="E270" s="1055" t="s">
        <v>1010</v>
      </c>
      <c r="F270" s="1056">
        <v>15950</v>
      </c>
      <c r="G270" s="1056">
        <v>0</v>
      </c>
      <c r="H270" s="1056">
        <v>0</v>
      </c>
      <c r="I270" s="1056">
        <v>15950</v>
      </c>
      <c r="K270" s="995">
        <f t="shared" si="4"/>
        <v>8</v>
      </c>
    </row>
    <row r="271" spans="1:11">
      <c r="A271" s="1054">
        <v>15240501</v>
      </c>
      <c r="B271" s="1055" t="s">
        <v>893</v>
      </c>
      <c r="C271" s="1055" t="s">
        <v>708</v>
      </c>
      <c r="D271" s="1055" t="s">
        <v>1131</v>
      </c>
      <c r="E271" s="1055" t="s">
        <v>1132</v>
      </c>
      <c r="F271" s="1056">
        <v>2760</v>
      </c>
      <c r="G271" s="1056">
        <v>0</v>
      </c>
      <c r="H271" s="1056">
        <v>0</v>
      </c>
      <c r="I271" s="1056">
        <v>2760</v>
      </c>
      <c r="K271" s="995">
        <f t="shared" si="4"/>
        <v>8</v>
      </c>
    </row>
    <row r="272" spans="1:11">
      <c r="A272" s="1054">
        <v>15240501</v>
      </c>
      <c r="B272" s="1055" t="s">
        <v>893</v>
      </c>
      <c r="C272" s="1055" t="s">
        <v>708</v>
      </c>
      <c r="D272" s="1055" t="s">
        <v>1133</v>
      </c>
      <c r="E272" s="1055" t="s">
        <v>1134</v>
      </c>
      <c r="F272" s="1056">
        <v>8258</v>
      </c>
      <c r="G272" s="1056">
        <v>0</v>
      </c>
      <c r="H272" s="1056">
        <v>0</v>
      </c>
      <c r="I272" s="1056">
        <v>8258</v>
      </c>
      <c r="K272" s="995">
        <f t="shared" si="4"/>
        <v>8</v>
      </c>
    </row>
    <row r="273" spans="1:11">
      <c r="A273" s="1054">
        <v>15240501</v>
      </c>
      <c r="B273" s="1055" t="s">
        <v>893</v>
      </c>
      <c r="C273" s="1055" t="s">
        <v>708</v>
      </c>
      <c r="D273" s="1055" t="s">
        <v>1135</v>
      </c>
      <c r="E273" s="1055" t="s">
        <v>1016</v>
      </c>
      <c r="F273" s="1056">
        <v>1800</v>
      </c>
      <c r="G273" s="1056">
        <v>0</v>
      </c>
      <c r="H273" s="1056">
        <v>0</v>
      </c>
      <c r="I273" s="1056">
        <v>1800</v>
      </c>
      <c r="K273" s="995">
        <f t="shared" si="4"/>
        <v>8</v>
      </c>
    </row>
    <row r="274" spans="1:11">
      <c r="A274" s="1054">
        <v>15240501</v>
      </c>
      <c r="B274" s="1055" t="s">
        <v>893</v>
      </c>
      <c r="C274" s="1055" t="s">
        <v>708</v>
      </c>
      <c r="D274" s="1055" t="s">
        <v>1091</v>
      </c>
      <c r="E274" s="1055" t="s">
        <v>1092</v>
      </c>
      <c r="F274" s="1056">
        <v>18963</v>
      </c>
      <c r="G274" s="1056">
        <v>0</v>
      </c>
      <c r="H274" s="1056">
        <v>0</v>
      </c>
      <c r="I274" s="1056">
        <v>18963</v>
      </c>
      <c r="K274" s="995">
        <f t="shared" si="4"/>
        <v>8</v>
      </c>
    </row>
    <row r="275" spans="1:11">
      <c r="A275" s="1054">
        <v>15240501</v>
      </c>
      <c r="B275" s="1055" t="s">
        <v>893</v>
      </c>
      <c r="C275" s="1055" t="s">
        <v>708</v>
      </c>
      <c r="D275" s="1055" t="s">
        <v>1136</v>
      </c>
      <c r="E275" s="1055" t="s">
        <v>1137</v>
      </c>
      <c r="F275" s="1056">
        <v>5124</v>
      </c>
      <c r="G275" s="1056">
        <v>0</v>
      </c>
      <c r="H275" s="1056">
        <v>0</v>
      </c>
      <c r="I275" s="1056">
        <v>5124</v>
      </c>
      <c r="K275" s="995">
        <f t="shared" si="4"/>
        <v>8</v>
      </c>
    </row>
    <row r="276" spans="1:11">
      <c r="A276" s="1054">
        <v>15240501</v>
      </c>
      <c r="B276" s="1055" t="s">
        <v>893</v>
      </c>
      <c r="C276" s="1055" t="s">
        <v>708</v>
      </c>
      <c r="D276" s="1055" t="s">
        <v>1138</v>
      </c>
      <c r="E276" s="1055" t="s">
        <v>1139</v>
      </c>
      <c r="F276" s="1056">
        <v>4517</v>
      </c>
      <c r="G276" s="1056">
        <v>0</v>
      </c>
      <c r="H276" s="1056">
        <v>0</v>
      </c>
      <c r="I276" s="1056">
        <v>4517</v>
      </c>
      <c r="K276" s="995">
        <f t="shared" si="4"/>
        <v>8</v>
      </c>
    </row>
    <row r="277" spans="1:11">
      <c r="A277" s="1054">
        <v>15240501</v>
      </c>
      <c r="B277" s="1055" t="s">
        <v>893</v>
      </c>
      <c r="C277" s="1055" t="s">
        <v>708</v>
      </c>
      <c r="D277" s="1055" t="s">
        <v>1140</v>
      </c>
      <c r="E277" s="1055" t="s">
        <v>1141</v>
      </c>
      <c r="F277" s="1056">
        <v>28488</v>
      </c>
      <c r="G277" s="1056">
        <v>0</v>
      </c>
      <c r="H277" s="1056">
        <v>0</v>
      </c>
      <c r="I277" s="1056">
        <v>28488</v>
      </c>
      <c r="K277" s="995">
        <f t="shared" si="4"/>
        <v>8</v>
      </c>
    </row>
    <row r="278" spans="1:11">
      <c r="A278" s="1054">
        <v>15240501</v>
      </c>
      <c r="B278" s="1055" t="s">
        <v>893</v>
      </c>
      <c r="C278" s="1055" t="s">
        <v>708</v>
      </c>
      <c r="D278" s="1055" t="s">
        <v>1142</v>
      </c>
      <c r="E278" s="1055" t="s">
        <v>1143</v>
      </c>
      <c r="F278" s="1056">
        <v>1000</v>
      </c>
      <c r="G278" s="1056">
        <v>0</v>
      </c>
      <c r="H278" s="1056">
        <v>0</v>
      </c>
      <c r="I278" s="1056">
        <v>1000</v>
      </c>
      <c r="K278" s="995">
        <f t="shared" si="4"/>
        <v>8</v>
      </c>
    </row>
    <row r="279" spans="1:11">
      <c r="A279" s="1054">
        <v>15240501</v>
      </c>
      <c r="B279" s="1055" t="s">
        <v>893</v>
      </c>
      <c r="C279" s="1055" t="s">
        <v>708</v>
      </c>
      <c r="D279" s="1055" t="s">
        <v>1115</v>
      </c>
      <c r="E279" s="1055" t="s">
        <v>1116</v>
      </c>
      <c r="F279" s="1056">
        <v>5517</v>
      </c>
      <c r="G279" s="1056">
        <v>0</v>
      </c>
      <c r="H279" s="1056">
        <v>0</v>
      </c>
      <c r="I279" s="1056">
        <v>5517</v>
      </c>
      <c r="K279" s="995">
        <f t="shared" si="4"/>
        <v>8</v>
      </c>
    </row>
    <row r="280" spans="1:11">
      <c r="A280" s="1054">
        <v>15240501</v>
      </c>
      <c r="B280" s="1055" t="s">
        <v>893</v>
      </c>
      <c r="C280" s="1055" t="s">
        <v>708</v>
      </c>
      <c r="D280" s="1055" t="s">
        <v>1083</v>
      </c>
      <c r="E280" s="1055" t="s">
        <v>256</v>
      </c>
      <c r="F280" s="1056">
        <v>0</v>
      </c>
      <c r="G280" s="1056">
        <v>0</v>
      </c>
      <c r="H280" s="1056">
        <v>0</v>
      </c>
      <c r="I280" s="1056">
        <v>0</v>
      </c>
      <c r="K280" s="995">
        <f t="shared" si="4"/>
        <v>8</v>
      </c>
    </row>
    <row r="281" spans="1:11">
      <c r="A281" s="1054">
        <v>15240501</v>
      </c>
      <c r="B281" s="1055" t="s">
        <v>893</v>
      </c>
      <c r="C281" s="1055" t="s">
        <v>708</v>
      </c>
      <c r="D281" s="1055" t="s">
        <v>1144</v>
      </c>
      <c r="E281" s="1055" t="s">
        <v>1145</v>
      </c>
      <c r="F281" s="1056">
        <v>4915</v>
      </c>
      <c r="G281" s="1056">
        <v>0</v>
      </c>
      <c r="H281" s="1056">
        <v>0</v>
      </c>
      <c r="I281" s="1056">
        <v>4915</v>
      </c>
      <c r="K281" s="995">
        <f t="shared" si="4"/>
        <v>8</v>
      </c>
    </row>
    <row r="282" spans="1:11">
      <c r="A282" s="1054">
        <v>15240501</v>
      </c>
      <c r="B282" s="1055" t="s">
        <v>893</v>
      </c>
      <c r="C282" s="1055" t="s">
        <v>708</v>
      </c>
      <c r="D282" s="1055" t="s">
        <v>1146</v>
      </c>
      <c r="E282" s="1055" t="s">
        <v>1147</v>
      </c>
      <c r="F282" s="1056">
        <v>405</v>
      </c>
      <c r="G282" s="1056">
        <v>0</v>
      </c>
      <c r="H282" s="1056">
        <v>0</v>
      </c>
      <c r="I282" s="1056">
        <v>405</v>
      </c>
      <c r="K282" s="995">
        <f t="shared" si="4"/>
        <v>8</v>
      </c>
    </row>
    <row r="283" spans="1:11">
      <c r="A283" s="1054">
        <v>15240501</v>
      </c>
      <c r="B283" s="1055" t="s">
        <v>893</v>
      </c>
      <c r="C283" s="1055" t="s">
        <v>708</v>
      </c>
      <c r="D283" s="1055" t="s">
        <v>1119</v>
      </c>
      <c r="E283" s="1055" t="s">
        <v>1120</v>
      </c>
      <c r="F283" s="1056">
        <v>4555</v>
      </c>
      <c r="G283" s="1056">
        <v>0</v>
      </c>
      <c r="H283" s="1056">
        <v>0</v>
      </c>
      <c r="I283" s="1056">
        <v>4555</v>
      </c>
      <c r="K283" s="995">
        <f t="shared" si="4"/>
        <v>8</v>
      </c>
    </row>
    <row r="284" spans="1:11">
      <c r="A284" s="1054">
        <v>15240501</v>
      </c>
      <c r="B284" s="1055" t="s">
        <v>893</v>
      </c>
      <c r="C284" s="1055" t="s">
        <v>708</v>
      </c>
      <c r="D284" s="1055" t="s">
        <v>1148</v>
      </c>
      <c r="E284" s="1055" t="s">
        <v>1149</v>
      </c>
      <c r="F284" s="1056">
        <v>1510</v>
      </c>
      <c r="G284" s="1056">
        <v>0</v>
      </c>
      <c r="H284" s="1056">
        <v>0</v>
      </c>
      <c r="I284" s="1056">
        <v>1510</v>
      </c>
      <c r="K284" s="995">
        <f t="shared" si="4"/>
        <v>8</v>
      </c>
    </row>
    <row r="285" spans="1:11">
      <c r="A285" s="1054">
        <v>15240501</v>
      </c>
      <c r="B285" s="1055" t="s">
        <v>893</v>
      </c>
      <c r="C285" s="1055" t="s">
        <v>708</v>
      </c>
      <c r="D285" s="1055" t="s">
        <v>1123</v>
      </c>
      <c r="E285" s="1055" t="s">
        <v>1124</v>
      </c>
      <c r="F285" s="1056">
        <v>6198</v>
      </c>
      <c r="G285" s="1056">
        <v>0</v>
      </c>
      <c r="H285" s="1056">
        <v>0</v>
      </c>
      <c r="I285" s="1056">
        <v>6198</v>
      </c>
      <c r="K285" s="995">
        <f t="shared" si="4"/>
        <v>8</v>
      </c>
    </row>
    <row r="286" spans="1:11">
      <c r="A286" s="1054">
        <v>15240501</v>
      </c>
      <c r="B286" s="1055" t="s">
        <v>893</v>
      </c>
      <c r="C286" s="1055" t="s">
        <v>708</v>
      </c>
      <c r="D286" s="1055" t="s">
        <v>1127</v>
      </c>
      <c r="E286" s="1055" t="s">
        <v>1128</v>
      </c>
      <c r="F286" s="1056">
        <v>11779</v>
      </c>
      <c r="G286" s="1056">
        <v>0</v>
      </c>
      <c r="H286" s="1056">
        <v>0</v>
      </c>
      <c r="I286" s="1056">
        <v>11779</v>
      </c>
      <c r="K286" s="995">
        <f t="shared" si="4"/>
        <v>8</v>
      </c>
    </row>
    <row r="287" spans="1:11">
      <c r="A287" s="1054">
        <v>15240501</v>
      </c>
      <c r="B287" s="1055" t="s">
        <v>893</v>
      </c>
      <c r="C287" s="1055" t="s">
        <v>708</v>
      </c>
      <c r="D287" s="1055" t="s">
        <v>1047</v>
      </c>
      <c r="E287" s="1055" t="s">
        <v>1048</v>
      </c>
      <c r="F287" s="1056">
        <v>25630</v>
      </c>
      <c r="G287" s="1056">
        <v>0</v>
      </c>
      <c r="H287" s="1056">
        <v>0</v>
      </c>
      <c r="I287" s="1056">
        <v>25630</v>
      </c>
      <c r="K287" s="995">
        <f t="shared" si="4"/>
        <v>8</v>
      </c>
    </row>
    <row r="288" spans="1:11">
      <c r="A288" s="1054">
        <v>15240501</v>
      </c>
      <c r="B288" s="1055" t="s">
        <v>893</v>
      </c>
      <c r="C288" s="1055" t="s">
        <v>708</v>
      </c>
      <c r="D288" s="1055" t="s">
        <v>1049</v>
      </c>
      <c r="E288" s="1055" t="s">
        <v>1050</v>
      </c>
      <c r="F288" s="1056">
        <v>11300</v>
      </c>
      <c r="G288" s="1056">
        <v>0</v>
      </c>
      <c r="H288" s="1056">
        <v>0</v>
      </c>
      <c r="I288" s="1056">
        <v>11300</v>
      </c>
      <c r="K288" s="995">
        <f t="shared" si="4"/>
        <v>8</v>
      </c>
    </row>
    <row r="289" spans="1:11">
      <c r="A289" s="1054">
        <v>152410</v>
      </c>
      <c r="B289" s="1055" t="s">
        <v>893</v>
      </c>
      <c r="C289" s="1055" t="s">
        <v>709</v>
      </c>
      <c r="D289" s="1055" t="s">
        <v>893</v>
      </c>
      <c r="E289" s="1055" t="s">
        <v>893</v>
      </c>
      <c r="F289" s="1056">
        <v>13652</v>
      </c>
      <c r="G289" s="1056">
        <v>0</v>
      </c>
      <c r="H289" s="1056">
        <v>0</v>
      </c>
      <c r="I289" s="1056">
        <v>13652</v>
      </c>
      <c r="K289" s="995">
        <f t="shared" si="4"/>
        <v>6</v>
      </c>
    </row>
    <row r="290" spans="1:11">
      <c r="A290" s="1054">
        <v>15241001</v>
      </c>
      <c r="B290" s="1055" t="s">
        <v>893</v>
      </c>
      <c r="C290" s="1055" t="s">
        <v>709</v>
      </c>
      <c r="D290" s="1055" t="s">
        <v>893</v>
      </c>
      <c r="E290" s="1055" t="s">
        <v>893</v>
      </c>
      <c r="F290" s="1056">
        <v>13652</v>
      </c>
      <c r="G290" s="1056">
        <v>0</v>
      </c>
      <c r="H290" s="1056">
        <v>0</v>
      </c>
      <c r="I290" s="1056">
        <v>13652</v>
      </c>
      <c r="K290" s="995">
        <f t="shared" si="4"/>
        <v>8</v>
      </c>
    </row>
    <row r="291" spans="1:11">
      <c r="A291" s="1054">
        <v>15241001</v>
      </c>
      <c r="B291" s="1055" t="s">
        <v>893</v>
      </c>
      <c r="C291" s="1055" t="s">
        <v>709</v>
      </c>
      <c r="D291" s="1055" t="s">
        <v>1103</v>
      </c>
      <c r="E291" s="1055" t="s">
        <v>1104</v>
      </c>
      <c r="F291" s="1056">
        <v>2188</v>
      </c>
      <c r="G291" s="1056">
        <v>0</v>
      </c>
      <c r="H291" s="1056">
        <v>0</v>
      </c>
      <c r="I291" s="1056">
        <v>2188</v>
      </c>
      <c r="K291" s="995">
        <f t="shared" si="4"/>
        <v>8</v>
      </c>
    </row>
    <row r="292" spans="1:11">
      <c r="A292" s="1054">
        <v>15241001</v>
      </c>
      <c r="B292" s="1055" t="s">
        <v>893</v>
      </c>
      <c r="C292" s="1055" t="s">
        <v>709</v>
      </c>
      <c r="D292" s="1055" t="s">
        <v>1140</v>
      </c>
      <c r="E292" s="1055" t="s">
        <v>1141</v>
      </c>
      <c r="F292" s="1056">
        <v>3222</v>
      </c>
      <c r="G292" s="1056">
        <v>0</v>
      </c>
      <c r="H292" s="1056">
        <v>0</v>
      </c>
      <c r="I292" s="1056">
        <v>3222</v>
      </c>
      <c r="K292" s="995">
        <f t="shared" si="4"/>
        <v>8</v>
      </c>
    </row>
    <row r="293" spans="1:11">
      <c r="A293" s="1054">
        <v>15241001</v>
      </c>
      <c r="B293" s="1055" t="s">
        <v>893</v>
      </c>
      <c r="C293" s="1055" t="s">
        <v>709</v>
      </c>
      <c r="D293" s="1055" t="s">
        <v>1142</v>
      </c>
      <c r="E293" s="1055" t="s">
        <v>1143</v>
      </c>
      <c r="F293" s="1056">
        <v>190</v>
      </c>
      <c r="G293" s="1056">
        <v>0</v>
      </c>
      <c r="H293" s="1056">
        <v>0</v>
      </c>
      <c r="I293" s="1056">
        <v>190</v>
      </c>
      <c r="K293" s="995">
        <f t="shared" si="4"/>
        <v>8</v>
      </c>
    </row>
    <row r="294" spans="1:11">
      <c r="A294" s="1054">
        <v>15241001</v>
      </c>
      <c r="B294" s="1055" t="s">
        <v>893</v>
      </c>
      <c r="C294" s="1055" t="s">
        <v>709</v>
      </c>
      <c r="D294" s="1055" t="s">
        <v>1144</v>
      </c>
      <c r="E294" s="1055" t="s">
        <v>1145</v>
      </c>
      <c r="F294" s="1056">
        <v>945</v>
      </c>
      <c r="G294" s="1056">
        <v>0</v>
      </c>
      <c r="H294" s="1056">
        <v>0</v>
      </c>
      <c r="I294" s="1056">
        <v>945</v>
      </c>
      <c r="K294" s="995">
        <f t="shared" si="4"/>
        <v>8</v>
      </c>
    </row>
    <row r="295" spans="1:11">
      <c r="A295" s="1054">
        <v>15241001</v>
      </c>
      <c r="B295" s="1055" t="s">
        <v>893</v>
      </c>
      <c r="C295" s="1055" t="s">
        <v>709</v>
      </c>
      <c r="D295" s="1055" t="s">
        <v>1127</v>
      </c>
      <c r="E295" s="1055" t="s">
        <v>1128</v>
      </c>
      <c r="F295" s="1056">
        <v>2238</v>
      </c>
      <c r="G295" s="1056">
        <v>0</v>
      </c>
      <c r="H295" s="1056">
        <v>0</v>
      </c>
      <c r="I295" s="1056">
        <v>2238</v>
      </c>
      <c r="K295" s="995">
        <f t="shared" si="4"/>
        <v>8</v>
      </c>
    </row>
    <row r="296" spans="1:11">
      <c r="A296" s="1054">
        <v>15241001</v>
      </c>
      <c r="B296" s="1055" t="s">
        <v>893</v>
      </c>
      <c r="C296" s="1055" t="s">
        <v>709</v>
      </c>
      <c r="D296" s="1055" t="s">
        <v>1047</v>
      </c>
      <c r="E296" s="1055" t="s">
        <v>1048</v>
      </c>
      <c r="F296" s="1056">
        <v>4870</v>
      </c>
      <c r="G296" s="1056">
        <v>0</v>
      </c>
      <c r="H296" s="1056">
        <v>0</v>
      </c>
      <c r="I296" s="1056">
        <v>4870</v>
      </c>
      <c r="K296" s="995">
        <f t="shared" si="4"/>
        <v>8</v>
      </c>
    </row>
    <row r="297" spans="1:11">
      <c r="A297" s="1054">
        <v>152492</v>
      </c>
      <c r="B297" s="1055" t="s">
        <v>893</v>
      </c>
      <c r="C297" s="1055" t="s">
        <v>327</v>
      </c>
      <c r="D297" s="1055" t="s">
        <v>893</v>
      </c>
      <c r="E297" s="1055" t="s">
        <v>893</v>
      </c>
      <c r="F297" s="1056">
        <v>-45350</v>
      </c>
      <c r="G297" s="1056">
        <v>0</v>
      </c>
      <c r="H297" s="1056">
        <v>145</v>
      </c>
      <c r="I297" s="1056">
        <v>-45495</v>
      </c>
      <c r="K297" s="995">
        <f t="shared" si="4"/>
        <v>6</v>
      </c>
    </row>
    <row r="298" spans="1:11">
      <c r="A298" s="1054">
        <v>152492</v>
      </c>
      <c r="B298" s="1055" t="s">
        <v>893</v>
      </c>
      <c r="C298" s="1055" t="s">
        <v>327</v>
      </c>
      <c r="D298" s="1055" t="s">
        <v>1083</v>
      </c>
      <c r="E298" s="1055" t="s">
        <v>256</v>
      </c>
      <c r="F298" s="1056">
        <v>-45350</v>
      </c>
      <c r="G298" s="1056">
        <v>0</v>
      </c>
      <c r="H298" s="1056">
        <v>145</v>
      </c>
      <c r="I298" s="1056">
        <v>-45495</v>
      </c>
      <c r="K298" s="995">
        <f t="shared" si="4"/>
        <v>6</v>
      </c>
    </row>
    <row r="299" spans="1:11">
      <c r="A299" s="1054">
        <v>1528</v>
      </c>
      <c r="B299" s="1055" t="s">
        <v>893</v>
      </c>
      <c r="C299" s="1055" t="s">
        <v>710</v>
      </c>
      <c r="D299" s="1055" t="s">
        <v>893</v>
      </c>
      <c r="E299" s="1055" t="s">
        <v>893</v>
      </c>
      <c r="F299" s="1056">
        <v>14686</v>
      </c>
      <c r="G299" s="1056">
        <v>0</v>
      </c>
      <c r="H299" s="1056">
        <v>47</v>
      </c>
      <c r="I299" s="1056">
        <v>14639</v>
      </c>
      <c r="K299" s="995">
        <f t="shared" si="4"/>
        <v>4</v>
      </c>
    </row>
    <row r="300" spans="1:11">
      <c r="A300" s="1054">
        <v>152805</v>
      </c>
      <c r="B300" s="1055" t="s">
        <v>893</v>
      </c>
      <c r="C300" s="1055" t="s">
        <v>711</v>
      </c>
      <c r="D300" s="1055" t="s">
        <v>893</v>
      </c>
      <c r="E300" s="1055" t="s">
        <v>893</v>
      </c>
      <c r="F300" s="1056">
        <v>38810</v>
      </c>
      <c r="G300" s="1056">
        <v>0</v>
      </c>
      <c r="H300" s="1056">
        <v>0</v>
      </c>
      <c r="I300" s="1056">
        <v>38810</v>
      </c>
      <c r="K300" s="995">
        <f t="shared" si="4"/>
        <v>6</v>
      </c>
    </row>
    <row r="301" spans="1:11">
      <c r="A301" s="1054">
        <v>15280501</v>
      </c>
      <c r="B301" s="1055" t="s">
        <v>893</v>
      </c>
      <c r="C301" s="1055" t="s">
        <v>711</v>
      </c>
      <c r="D301" s="1055" t="s">
        <v>893</v>
      </c>
      <c r="E301" s="1055" t="s">
        <v>893</v>
      </c>
      <c r="F301" s="1056">
        <v>38572</v>
      </c>
      <c r="G301" s="1056">
        <v>0</v>
      </c>
      <c r="H301" s="1056">
        <v>0</v>
      </c>
      <c r="I301" s="1056">
        <v>38572</v>
      </c>
      <c r="K301" s="995">
        <f t="shared" si="4"/>
        <v>8</v>
      </c>
    </row>
    <row r="302" spans="1:11">
      <c r="A302" s="1054">
        <v>15280501</v>
      </c>
      <c r="B302" s="1055" t="s">
        <v>893</v>
      </c>
      <c r="C302" s="1055" t="s">
        <v>711</v>
      </c>
      <c r="D302" s="1055" t="s">
        <v>1067</v>
      </c>
      <c r="E302" s="1055" t="s">
        <v>1068</v>
      </c>
      <c r="F302" s="1056">
        <v>11157</v>
      </c>
      <c r="G302" s="1056">
        <v>0</v>
      </c>
      <c r="H302" s="1056">
        <v>0</v>
      </c>
      <c r="I302" s="1056">
        <v>11157</v>
      </c>
      <c r="K302" s="995">
        <f t="shared" si="4"/>
        <v>8</v>
      </c>
    </row>
    <row r="303" spans="1:11">
      <c r="A303" s="1054">
        <v>15280501</v>
      </c>
      <c r="B303" s="1055" t="s">
        <v>893</v>
      </c>
      <c r="C303" s="1055" t="s">
        <v>711</v>
      </c>
      <c r="D303" s="1055" t="s">
        <v>1152</v>
      </c>
      <c r="E303" s="1055" t="s">
        <v>1153</v>
      </c>
      <c r="F303" s="1056">
        <v>3000</v>
      </c>
      <c r="G303" s="1056">
        <v>0</v>
      </c>
      <c r="H303" s="1056">
        <v>0</v>
      </c>
      <c r="I303" s="1056">
        <v>3000</v>
      </c>
      <c r="K303" s="995">
        <f t="shared" si="4"/>
        <v>8</v>
      </c>
    </row>
    <row r="304" spans="1:11">
      <c r="A304" s="1054">
        <v>15280501</v>
      </c>
      <c r="B304" s="1055" t="s">
        <v>893</v>
      </c>
      <c r="C304" s="1055" t="s">
        <v>711</v>
      </c>
      <c r="D304" s="1055" t="s">
        <v>1083</v>
      </c>
      <c r="E304" s="1055" t="s">
        <v>256</v>
      </c>
      <c r="F304" s="1056">
        <v>-73</v>
      </c>
      <c r="G304" s="1056">
        <v>0</v>
      </c>
      <c r="H304" s="1056">
        <v>0</v>
      </c>
      <c r="I304" s="1056">
        <v>-73</v>
      </c>
      <c r="K304" s="995">
        <f t="shared" si="4"/>
        <v>8</v>
      </c>
    </row>
    <row r="305" spans="1:11">
      <c r="A305" s="1054">
        <v>15280501</v>
      </c>
      <c r="B305" s="1055" t="s">
        <v>893</v>
      </c>
      <c r="C305" s="1055" t="s">
        <v>711</v>
      </c>
      <c r="D305" s="1055" t="s">
        <v>1154</v>
      </c>
      <c r="E305" s="1055" t="s">
        <v>1155</v>
      </c>
      <c r="F305" s="1056">
        <v>1180</v>
      </c>
      <c r="G305" s="1056">
        <v>0</v>
      </c>
      <c r="H305" s="1056">
        <v>0</v>
      </c>
      <c r="I305" s="1056">
        <v>1180</v>
      </c>
      <c r="K305" s="995">
        <f t="shared" si="4"/>
        <v>8</v>
      </c>
    </row>
    <row r="306" spans="1:11">
      <c r="A306" s="1054">
        <v>15280501</v>
      </c>
      <c r="B306" s="1055" t="s">
        <v>893</v>
      </c>
      <c r="C306" s="1055" t="s">
        <v>711</v>
      </c>
      <c r="D306" s="1055" t="s">
        <v>1156</v>
      </c>
      <c r="E306" s="1055" t="s">
        <v>1157</v>
      </c>
      <c r="F306" s="1056">
        <v>337</v>
      </c>
      <c r="G306" s="1056">
        <v>0</v>
      </c>
      <c r="H306" s="1056">
        <v>0</v>
      </c>
      <c r="I306" s="1056">
        <v>337</v>
      </c>
      <c r="K306" s="995">
        <f t="shared" si="4"/>
        <v>8</v>
      </c>
    </row>
    <row r="307" spans="1:11">
      <c r="A307" s="1054">
        <v>15280501</v>
      </c>
      <c r="B307" s="1055" t="s">
        <v>893</v>
      </c>
      <c r="C307" s="1055" t="s">
        <v>711</v>
      </c>
      <c r="D307" s="1055" t="s">
        <v>1146</v>
      </c>
      <c r="E307" s="1055" t="s">
        <v>1147</v>
      </c>
      <c r="F307" s="1056">
        <v>1190</v>
      </c>
      <c r="G307" s="1056">
        <v>0</v>
      </c>
      <c r="H307" s="1056">
        <v>0</v>
      </c>
      <c r="I307" s="1056">
        <v>1190</v>
      </c>
      <c r="K307" s="995">
        <f t="shared" si="4"/>
        <v>8</v>
      </c>
    </row>
    <row r="308" spans="1:11">
      <c r="A308" s="1054">
        <v>15280501</v>
      </c>
      <c r="B308" s="1055" t="s">
        <v>893</v>
      </c>
      <c r="C308" s="1055" t="s">
        <v>711</v>
      </c>
      <c r="D308" s="1055" t="s">
        <v>1119</v>
      </c>
      <c r="E308" s="1055" t="s">
        <v>1120</v>
      </c>
      <c r="F308" s="1056">
        <v>2143</v>
      </c>
      <c r="G308" s="1056">
        <v>0</v>
      </c>
      <c r="H308" s="1056">
        <v>0</v>
      </c>
      <c r="I308" s="1056">
        <v>2143</v>
      </c>
      <c r="K308" s="995">
        <f t="shared" si="4"/>
        <v>8</v>
      </c>
    </row>
    <row r="309" spans="1:11">
      <c r="A309" s="1054">
        <v>15280501</v>
      </c>
      <c r="B309" s="1055" t="s">
        <v>893</v>
      </c>
      <c r="C309" s="1055" t="s">
        <v>711</v>
      </c>
      <c r="D309" s="1055" t="s">
        <v>1148</v>
      </c>
      <c r="E309" s="1055" t="s">
        <v>1149</v>
      </c>
      <c r="F309" s="1056">
        <v>3576</v>
      </c>
      <c r="G309" s="1056">
        <v>0</v>
      </c>
      <c r="H309" s="1056">
        <v>0</v>
      </c>
      <c r="I309" s="1056">
        <v>3576</v>
      </c>
      <c r="K309" s="995">
        <f t="shared" si="4"/>
        <v>8</v>
      </c>
    </row>
    <row r="310" spans="1:11">
      <c r="A310" s="1054">
        <v>15280501</v>
      </c>
      <c r="B310" s="1055" t="s">
        <v>893</v>
      </c>
      <c r="C310" s="1055" t="s">
        <v>711</v>
      </c>
      <c r="D310" s="1055" t="s">
        <v>1158</v>
      </c>
      <c r="E310" s="1055" t="s">
        <v>1159</v>
      </c>
      <c r="F310" s="1056">
        <v>8132</v>
      </c>
      <c r="G310" s="1056">
        <v>0</v>
      </c>
      <c r="H310" s="1056">
        <v>0</v>
      </c>
      <c r="I310" s="1056">
        <v>8132</v>
      </c>
      <c r="K310" s="995">
        <f t="shared" si="4"/>
        <v>8</v>
      </c>
    </row>
    <row r="311" spans="1:11">
      <c r="A311" s="1054">
        <v>15280501</v>
      </c>
      <c r="B311" s="1055" t="s">
        <v>893</v>
      </c>
      <c r="C311" s="1055" t="s">
        <v>711</v>
      </c>
      <c r="D311" s="1055" t="s">
        <v>1160</v>
      </c>
      <c r="E311" s="1055" t="s">
        <v>1161</v>
      </c>
      <c r="F311" s="1056">
        <v>1660</v>
      </c>
      <c r="G311" s="1056">
        <v>0</v>
      </c>
      <c r="H311" s="1056">
        <v>0</v>
      </c>
      <c r="I311" s="1056">
        <v>1660</v>
      </c>
      <c r="K311" s="995">
        <f t="shared" si="4"/>
        <v>8</v>
      </c>
    </row>
    <row r="312" spans="1:11">
      <c r="A312" s="1054">
        <v>15280501</v>
      </c>
      <c r="B312" s="1055" t="s">
        <v>893</v>
      </c>
      <c r="C312" s="1055" t="s">
        <v>711</v>
      </c>
      <c r="D312" s="1055" t="s">
        <v>1150</v>
      </c>
      <c r="E312" s="1055" t="s">
        <v>1151</v>
      </c>
      <c r="F312" s="1056">
        <v>6270</v>
      </c>
      <c r="G312" s="1056">
        <v>0</v>
      </c>
      <c r="H312" s="1056">
        <v>0</v>
      </c>
      <c r="I312" s="1056">
        <v>6270</v>
      </c>
      <c r="K312" s="995">
        <f t="shared" si="4"/>
        <v>8</v>
      </c>
    </row>
    <row r="313" spans="1:11">
      <c r="A313" s="1054">
        <v>15280502</v>
      </c>
      <c r="B313" s="1055" t="s">
        <v>1489</v>
      </c>
      <c r="C313" s="1055" t="s">
        <v>712</v>
      </c>
      <c r="D313" s="1055" t="s">
        <v>893</v>
      </c>
      <c r="E313" s="1055" t="s">
        <v>893</v>
      </c>
      <c r="F313" s="1056">
        <v>238</v>
      </c>
      <c r="G313" s="1056">
        <v>0</v>
      </c>
      <c r="H313" s="1056">
        <v>0</v>
      </c>
      <c r="I313" s="1056">
        <v>238</v>
      </c>
      <c r="K313" s="995">
        <f t="shared" si="4"/>
        <v>8</v>
      </c>
    </row>
    <row r="314" spans="1:11">
      <c r="A314" s="1054">
        <v>15280502</v>
      </c>
      <c r="B314" s="1055" t="s">
        <v>1489</v>
      </c>
      <c r="C314" s="1055" t="s">
        <v>712</v>
      </c>
      <c r="D314" s="1055" t="s">
        <v>1158</v>
      </c>
      <c r="E314" s="1055" t="s">
        <v>1159</v>
      </c>
      <c r="F314" s="1056">
        <v>238</v>
      </c>
      <c r="G314" s="1056">
        <v>0</v>
      </c>
      <c r="H314" s="1056">
        <v>0</v>
      </c>
      <c r="I314" s="1056">
        <v>238</v>
      </c>
      <c r="K314" s="995">
        <f t="shared" si="4"/>
        <v>8</v>
      </c>
    </row>
    <row r="315" spans="1:11">
      <c r="A315" s="1054">
        <v>152810</v>
      </c>
      <c r="B315" s="1055" t="s">
        <v>893</v>
      </c>
      <c r="C315" s="1055" t="s">
        <v>713</v>
      </c>
      <c r="D315" s="1055" t="s">
        <v>893</v>
      </c>
      <c r="E315" s="1055" t="s">
        <v>893</v>
      </c>
      <c r="F315" s="1056">
        <v>3892</v>
      </c>
      <c r="G315" s="1056">
        <v>0</v>
      </c>
      <c r="H315" s="1056">
        <v>0</v>
      </c>
      <c r="I315" s="1056">
        <v>3892</v>
      </c>
      <c r="K315" s="995">
        <f t="shared" si="4"/>
        <v>6</v>
      </c>
    </row>
    <row r="316" spans="1:11">
      <c r="A316" s="1054">
        <v>15281001</v>
      </c>
      <c r="B316" s="1055" t="s">
        <v>893</v>
      </c>
      <c r="C316" s="1055" t="s">
        <v>713</v>
      </c>
      <c r="D316" s="1055" t="s">
        <v>893</v>
      </c>
      <c r="E316" s="1055" t="s">
        <v>893</v>
      </c>
      <c r="F316" s="1056">
        <v>3892</v>
      </c>
      <c r="G316" s="1056">
        <v>0</v>
      </c>
      <c r="H316" s="1056">
        <v>0</v>
      </c>
      <c r="I316" s="1056">
        <v>3892</v>
      </c>
      <c r="K316" s="995">
        <f t="shared" si="4"/>
        <v>8</v>
      </c>
    </row>
    <row r="317" spans="1:11">
      <c r="A317" s="1054">
        <v>15281001</v>
      </c>
      <c r="B317" s="1055" t="s">
        <v>893</v>
      </c>
      <c r="C317" s="1055" t="s">
        <v>713</v>
      </c>
      <c r="D317" s="1055" t="s">
        <v>1162</v>
      </c>
      <c r="E317" s="1055" t="s">
        <v>1163</v>
      </c>
      <c r="F317" s="1056">
        <v>2194</v>
      </c>
      <c r="G317" s="1056">
        <v>0</v>
      </c>
      <c r="H317" s="1056">
        <v>0</v>
      </c>
      <c r="I317" s="1056">
        <v>2194</v>
      </c>
      <c r="K317" s="995">
        <f t="shared" si="4"/>
        <v>8</v>
      </c>
    </row>
    <row r="318" spans="1:11">
      <c r="A318" s="1054">
        <v>15281001</v>
      </c>
      <c r="B318" s="1055" t="s">
        <v>893</v>
      </c>
      <c r="C318" s="1055" t="s">
        <v>713</v>
      </c>
      <c r="D318" s="1055" t="s">
        <v>1164</v>
      </c>
      <c r="E318" s="1055" t="s">
        <v>1165</v>
      </c>
      <c r="F318" s="1056">
        <v>1698</v>
      </c>
      <c r="G318" s="1056">
        <v>0</v>
      </c>
      <c r="H318" s="1056">
        <v>0</v>
      </c>
      <c r="I318" s="1056">
        <v>1698</v>
      </c>
      <c r="K318" s="995">
        <f t="shared" si="4"/>
        <v>8</v>
      </c>
    </row>
    <row r="319" spans="1:11">
      <c r="A319" s="1054">
        <v>152892</v>
      </c>
      <c r="B319" s="1055" t="s">
        <v>893</v>
      </c>
      <c r="C319" s="1055" t="s">
        <v>327</v>
      </c>
      <c r="D319" s="1055" t="s">
        <v>893</v>
      </c>
      <c r="E319" s="1055" t="s">
        <v>893</v>
      </c>
      <c r="F319" s="1056">
        <v>-28016</v>
      </c>
      <c r="G319" s="1056">
        <v>0</v>
      </c>
      <c r="H319" s="1056">
        <v>47</v>
      </c>
      <c r="I319" s="1056">
        <v>-28063</v>
      </c>
      <c r="K319" s="995">
        <f t="shared" si="4"/>
        <v>6</v>
      </c>
    </row>
    <row r="320" spans="1:11">
      <c r="A320" s="1054">
        <v>152892</v>
      </c>
      <c r="B320" s="1055" t="s">
        <v>893</v>
      </c>
      <c r="C320" s="1055" t="s">
        <v>327</v>
      </c>
      <c r="D320" s="1055" t="s">
        <v>1083</v>
      </c>
      <c r="E320" s="1055" t="s">
        <v>256</v>
      </c>
      <c r="F320" s="1056">
        <v>-28016</v>
      </c>
      <c r="G320" s="1056">
        <v>0</v>
      </c>
      <c r="H320" s="1056">
        <v>47</v>
      </c>
      <c r="I320" s="1056">
        <v>-28063</v>
      </c>
      <c r="K320" s="995">
        <f t="shared" si="4"/>
        <v>6</v>
      </c>
    </row>
    <row r="321" spans="1:11">
      <c r="A321" s="1054">
        <v>16</v>
      </c>
      <c r="B321" s="1055" t="s">
        <v>893</v>
      </c>
      <c r="C321" s="1055" t="s">
        <v>714</v>
      </c>
      <c r="D321" s="1055" t="s">
        <v>893</v>
      </c>
      <c r="E321" s="1055" t="s">
        <v>893</v>
      </c>
      <c r="F321" s="1056">
        <v>220000</v>
      </c>
      <c r="G321" s="1056">
        <v>0</v>
      </c>
      <c r="H321" s="1056">
        <v>0</v>
      </c>
      <c r="I321" s="1056">
        <v>220000</v>
      </c>
      <c r="K321" s="995">
        <f t="shared" si="4"/>
        <v>2</v>
      </c>
    </row>
    <row r="322" spans="1:11">
      <c r="A322" s="1054">
        <v>1620</v>
      </c>
      <c r="B322" s="1055" t="s">
        <v>893</v>
      </c>
      <c r="C322" s="1055" t="s">
        <v>715</v>
      </c>
      <c r="D322" s="1055" t="s">
        <v>893</v>
      </c>
      <c r="E322" s="1055" t="s">
        <v>893</v>
      </c>
      <c r="F322" s="1056">
        <v>220000</v>
      </c>
      <c r="G322" s="1056">
        <v>0</v>
      </c>
      <c r="H322" s="1056">
        <v>0</v>
      </c>
      <c r="I322" s="1056">
        <v>220000</v>
      </c>
      <c r="K322" s="995">
        <f t="shared" si="4"/>
        <v>4</v>
      </c>
    </row>
    <row r="323" spans="1:11">
      <c r="A323" s="1054">
        <v>162010</v>
      </c>
      <c r="B323" s="1055" t="s">
        <v>893</v>
      </c>
      <c r="C323" s="1055" t="s">
        <v>716</v>
      </c>
      <c r="D323" s="1055" t="s">
        <v>893</v>
      </c>
      <c r="E323" s="1055" t="s">
        <v>893</v>
      </c>
      <c r="F323" s="1056">
        <v>220000</v>
      </c>
      <c r="G323" s="1056">
        <v>0</v>
      </c>
      <c r="H323" s="1056">
        <v>0</v>
      </c>
      <c r="I323" s="1056">
        <v>220000</v>
      </c>
      <c r="K323" s="995">
        <f t="shared" si="4"/>
        <v>6</v>
      </c>
    </row>
    <row r="324" spans="1:11">
      <c r="A324" s="1054">
        <v>16201001</v>
      </c>
      <c r="B324" s="1055" t="s">
        <v>893</v>
      </c>
      <c r="C324" s="1055" t="s">
        <v>716</v>
      </c>
      <c r="D324" s="1055" t="s">
        <v>893</v>
      </c>
      <c r="E324" s="1055" t="s">
        <v>893</v>
      </c>
      <c r="F324" s="1056">
        <v>220000</v>
      </c>
      <c r="G324" s="1056">
        <v>0</v>
      </c>
      <c r="H324" s="1056">
        <v>0</v>
      </c>
      <c r="I324" s="1056">
        <v>220000</v>
      </c>
      <c r="K324" s="995">
        <f t="shared" si="4"/>
        <v>8</v>
      </c>
    </row>
    <row r="325" spans="1:11">
      <c r="A325" s="1054">
        <v>16201001</v>
      </c>
      <c r="B325" s="1055" t="s">
        <v>893</v>
      </c>
      <c r="C325" s="1055" t="s">
        <v>716</v>
      </c>
      <c r="D325" s="1055" t="s">
        <v>1166</v>
      </c>
      <c r="E325" s="1055" t="s">
        <v>1167</v>
      </c>
      <c r="F325" s="1056">
        <v>220000</v>
      </c>
      <c r="G325" s="1056">
        <v>0</v>
      </c>
      <c r="H325" s="1056">
        <v>0</v>
      </c>
      <c r="I325" s="1056">
        <v>220000</v>
      </c>
      <c r="K325" s="995">
        <f t="shared" ref="K325:K388" si="5">+LEN(A325)</f>
        <v>8</v>
      </c>
    </row>
    <row r="326" spans="1:11">
      <c r="A326" s="1054">
        <v>19</v>
      </c>
      <c r="B326" s="1055" t="s">
        <v>893</v>
      </c>
      <c r="C326" s="1055" t="s">
        <v>329</v>
      </c>
      <c r="D326" s="1055" t="s">
        <v>893</v>
      </c>
      <c r="E326" s="1055" t="s">
        <v>893</v>
      </c>
      <c r="F326" s="1056">
        <v>45539</v>
      </c>
      <c r="G326" s="1056">
        <v>22343</v>
      </c>
      <c r="H326" s="1056">
        <v>0</v>
      </c>
      <c r="I326" s="1056">
        <v>67882</v>
      </c>
      <c r="K326" s="995">
        <f t="shared" si="5"/>
        <v>2</v>
      </c>
    </row>
    <row r="327" spans="1:11">
      <c r="A327" s="1054">
        <v>1955</v>
      </c>
      <c r="B327" s="1055" t="s">
        <v>893</v>
      </c>
      <c r="C327" s="1055" t="s">
        <v>329</v>
      </c>
      <c r="D327" s="1055" t="s">
        <v>893</v>
      </c>
      <c r="E327" s="1055" t="s">
        <v>893</v>
      </c>
      <c r="F327" s="1056">
        <v>45539</v>
      </c>
      <c r="G327" s="1056">
        <v>22343</v>
      </c>
      <c r="H327" s="1056">
        <v>0</v>
      </c>
      <c r="I327" s="1056">
        <v>67882</v>
      </c>
      <c r="K327" s="995">
        <f t="shared" si="5"/>
        <v>4</v>
      </c>
    </row>
    <row r="328" spans="1:11">
      <c r="A328" s="1054">
        <v>195510</v>
      </c>
      <c r="B328" s="1055" t="s">
        <v>893</v>
      </c>
      <c r="C328" s="1055" t="s">
        <v>330</v>
      </c>
      <c r="D328" s="1055" t="s">
        <v>893</v>
      </c>
      <c r="E328" s="1055" t="s">
        <v>893</v>
      </c>
      <c r="F328" s="1056">
        <v>2281</v>
      </c>
      <c r="G328" s="1056">
        <v>625</v>
      </c>
      <c r="H328" s="1056">
        <v>0</v>
      </c>
      <c r="I328" s="1056">
        <v>2906</v>
      </c>
      <c r="K328" s="995">
        <f t="shared" si="5"/>
        <v>6</v>
      </c>
    </row>
    <row r="329" spans="1:11">
      <c r="A329" s="1054">
        <v>19551001</v>
      </c>
      <c r="B329" s="1055" t="s">
        <v>1489</v>
      </c>
      <c r="C329" s="1055" t="s">
        <v>928</v>
      </c>
      <c r="D329" s="1055" t="s">
        <v>893</v>
      </c>
      <c r="E329" s="1055" t="s">
        <v>893</v>
      </c>
      <c r="F329" s="1056">
        <v>9</v>
      </c>
      <c r="G329" s="1056">
        <v>0</v>
      </c>
      <c r="H329" s="1056">
        <v>0</v>
      </c>
      <c r="I329" s="1056">
        <v>9</v>
      </c>
      <c r="K329" s="995">
        <f t="shared" si="5"/>
        <v>8</v>
      </c>
    </row>
    <row r="330" spans="1:11">
      <c r="A330" s="1054">
        <v>19551001</v>
      </c>
      <c r="B330" s="1055" t="s">
        <v>1489</v>
      </c>
      <c r="C330" s="1055" t="s">
        <v>928</v>
      </c>
      <c r="D330" s="1055" t="s">
        <v>1168</v>
      </c>
      <c r="E330" s="1055" t="s">
        <v>1169</v>
      </c>
      <c r="F330" s="1056">
        <v>0</v>
      </c>
      <c r="G330" s="1056">
        <v>0</v>
      </c>
      <c r="H330" s="1056">
        <v>0</v>
      </c>
      <c r="I330" s="1056">
        <v>0</v>
      </c>
      <c r="K330" s="995">
        <f t="shared" si="5"/>
        <v>8</v>
      </c>
    </row>
    <row r="331" spans="1:11">
      <c r="A331" s="1054">
        <v>19551001</v>
      </c>
      <c r="B331" s="1055" t="s">
        <v>1489</v>
      </c>
      <c r="C331" s="1055" t="s">
        <v>928</v>
      </c>
      <c r="D331" s="1055" t="s">
        <v>1170</v>
      </c>
      <c r="E331" s="1055" t="s">
        <v>696</v>
      </c>
      <c r="F331" s="1056">
        <v>9</v>
      </c>
      <c r="G331" s="1056">
        <v>0</v>
      </c>
      <c r="H331" s="1056">
        <v>0</v>
      </c>
      <c r="I331" s="1056">
        <v>9</v>
      </c>
      <c r="K331" s="995">
        <f t="shared" si="5"/>
        <v>8</v>
      </c>
    </row>
    <row r="332" spans="1:11">
      <c r="A332" s="1054">
        <v>19551002</v>
      </c>
      <c r="B332" s="1055" t="s">
        <v>1489</v>
      </c>
      <c r="C332" s="1055" t="s">
        <v>878</v>
      </c>
      <c r="D332" s="1055" t="s">
        <v>893</v>
      </c>
      <c r="E332" s="1055" t="s">
        <v>893</v>
      </c>
      <c r="F332" s="1056">
        <v>2272</v>
      </c>
      <c r="G332" s="1056">
        <v>625</v>
      </c>
      <c r="H332" s="1056">
        <v>0</v>
      </c>
      <c r="I332" s="1056">
        <v>2897</v>
      </c>
      <c r="K332" s="995">
        <f t="shared" si="5"/>
        <v>8</v>
      </c>
    </row>
    <row r="333" spans="1:11">
      <c r="A333" s="1054">
        <v>19551002</v>
      </c>
      <c r="B333" s="1055" t="s">
        <v>1489</v>
      </c>
      <c r="C333" s="1055" t="s">
        <v>878</v>
      </c>
      <c r="D333" s="1055" t="s">
        <v>1168</v>
      </c>
      <c r="E333" s="1055" t="s">
        <v>1169</v>
      </c>
      <c r="F333" s="1056">
        <v>2272</v>
      </c>
      <c r="G333" s="1056">
        <v>625</v>
      </c>
      <c r="H333" s="1056">
        <v>0</v>
      </c>
      <c r="I333" s="1056">
        <v>2897</v>
      </c>
      <c r="K333" s="995">
        <f t="shared" si="5"/>
        <v>8</v>
      </c>
    </row>
    <row r="334" spans="1:11">
      <c r="A334" s="1054">
        <v>195515</v>
      </c>
      <c r="B334" s="1055" t="s">
        <v>893</v>
      </c>
      <c r="C334" s="1055" t="s">
        <v>331</v>
      </c>
      <c r="D334" s="1055" t="s">
        <v>893</v>
      </c>
      <c r="E334" s="1055" t="s">
        <v>893</v>
      </c>
      <c r="F334" s="1056">
        <v>16493</v>
      </c>
      <c r="G334" s="1056">
        <v>3607</v>
      </c>
      <c r="H334" s="1056">
        <v>0</v>
      </c>
      <c r="I334" s="1056">
        <v>20099</v>
      </c>
      <c r="K334" s="995">
        <f t="shared" si="5"/>
        <v>6</v>
      </c>
    </row>
    <row r="335" spans="1:11">
      <c r="A335" s="1054">
        <v>19551501</v>
      </c>
      <c r="B335" s="1055" t="s">
        <v>893</v>
      </c>
      <c r="C335" s="1055" t="s">
        <v>929</v>
      </c>
      <c r="D335" s="1055" t="s">
        <v>893</v>
      </c>
      <c r="E335" s="1055" t="s">
        <v>893</v>
      </c>
      <c r="F335" s="1056">
        <v>79</v>
      </c>
      <c r="G335" s="1056">
        <v>0</v>
      </c>
      <c r="H335" s="1056">
        <v>0</v>
      </c>
      <c r="I335" s="1056">
        <v>79</v>
      </c>
      <c r="K335" s="995">
        <f t="shared" si="5"/>
        <v>8</v>
      </c>
    </row>
    <row r="336" spans="1:11">
      <c r="A336" s="1054">
        <v>19551501</v>
      </c>
      <c r="B336" s="1055" t="s">
        <v>893</v>
      </c>
      <c r="C336" s="1055" t="s">
        <v>929</v>
      </c>
      <c r="D336" s="1055" t="s">
        <v>1033</v>
      </c>
      <c r="E336" s="1055" t="s">
        <v>695</v>
      </c>
      <c r="F336" s="1056">
        <v>32</v>
      </c>
      <c r="G336" s="1056">
        <v>0</v>
      </c>
      <c r="H336" s="1056">
        <v>0</v>
      </c>
      <c r="I336" s="1056">
        <v>32</v>
      </c>
      <c r="K336" s="995">
        <f t="shared" si="5"/>
        <v>8</v>
      </c>
    </row>
    <row r="337" spans="1:11">
      <c r="A337" s="1054">
        <v>19551501</v>
      </c>
      <c r="B337" s="1055" t="s">
        <v>893</v>
      </c>
      <c r="C337" s="1055" t="s">
        <v>929</v>
      </c>
      <c r="D337" s="1055" t="s">
        <v>1034</v>
      </c>
      <c r="E337" s="1055" t="s">
        <v>504</v>
      </c>
      <c r="F337" s="1056">
        <v>48</v>
      </c>
      <c r="G337" s="1056">
        <v>0</v>
      </c>
      <c r="H337" s="1056">
        <v>0</v>
      </c>
      <c r="I337" s="1056">
        <v>48</v>
      </c>
      <c r="K337" s="995">
        <f t="shared" si="5"/>
        <v>8</v>
      </c>
    </row>
    <row r="338" spans="1:11">
      <c r="A338" s="1054">
        <v>19551503</v>
      </c>
      <c r="B338" s="1055" t="s">
        <v>893</v>
      </c>
      <c r="C338" s="1055" t="s">
        <v>1699</v>
      </c>
      <c r="D338" s="1055" t="s">
        <v>893</v>
      </c>
      <c r="E338" s="1055" t="s">
        <v>893</v>
      </c>
      <c r="F338" s="1056">
        <v>123</v>
      </c>
      <c r="G338" s="1056">
        <v>0</v>
      </c>
      <c r="H338" s="1056">
        <v>0</v>
      </c>
      <c r="I338" s="1056">
        <v>123</v>
      </c>
      <c r="K338" s="995">
        <f t="shared" si="5"/>
        <v>8</v>
      </c>
    </row>
    <row r="339" spans="1:11">
      <c r="A339" s="1054">
        <v>19551503</v>
      </c>
      <c r="B339" s="1055" t="s">
        <v>893</v>
      </c>
      <c r="C339" s="1055" t="s">
        <v>1699</v>
      </c>
      <c r="D339" s="1055" t="s">
        <v>1186</v>
      </c>
      <c r="E339" s="1055" t="s">
        <v>1018</v>
      </c>
      <c r="F339" s="1056">
        <v>112</v>
      </c>
      <c r="G339" s="1056">
        <v>0</v>
      </c>
      <c r="H339" s="1056">
        <v>0</v>
      </c>
      <c r="I339" s="1056">
        <v>112</v>
      </c>
      <c r="K339" s="995">
        <f t="shared" si="5"/>
        <v>8</v>
      </c>
    </row>
    <row r="340" spans="1:11">
      <c r="A340" s="1054">
        <v>19551503</v>
      </c>
      <c r="B340" s="1055" t="s">
        <v>893</v>
      </c>
      <c r="C340" s="1055" t="s">
        <v>1699</v>
      </c>
      <c r="D340" s="1055" t="s">
        <v>1308</v>
      </c>
      <c r="E340" s="1055" t="s">
        <v>993</v>
      </c>
      <c r="F340" s="1056">
        <v>11</v>
      </c>
      <c r="G340" s="1056">
        <v>0</v>
      </c>
      <c r="H340" s="1056">
        <v>0</v>
      </c>
      <c r="I340" s="1056">
        <v>11</v>
      </c>
      <c r="K340" s="995">
        <f t="shared" si="5"/>
        <v>8</v>
      </c>
    </row>
    <row r="341" spans="1:11">
      <c r="A341" s="1054">
        <v>19551505</v>
      </c>
      <c r="B341" s="1055" t="s">
        <v>893</v>
      </c>
      <c r="C341" s="1055" t="s">
        <v>717</v>
      </c>
      <c r="D341" s="1055" t="s">
        <v>893</v>
      </c>
      <c r="E341" s="1055" t="s">
        <v>893</v>
      </c>
      <c r="F341" s="1056">
        <v>93</v>
      </c>
      <c r="G341" s="1056">
        <v>68</v>
      </c>
      <c r="H341" s="1056">
        <v>0</v>
      </c>
      <c r="I341" s="1056">
        <v>161</v>
      </c>
      <c r="K341" s="995">
        <f t="shared" si="5"/>
        <v>8</v>
      </c>
    </row>
    <row r="342" spans="1:11">
      <c r="A342" s="1054">
        <v>19551505</v>
      </c>
      <c r="B342" s="1055" t="s">
        <v>893</v>
      </c>
      <c r="C342" s="1055" t="s">
        <v>717</v>
      </c>
      <c r="D342" s="1055" t="s">
        <v>1034</v>
      </c>
      <c r="E342" s="1055" t="s">
        <v>504</v>
      </c>
      <c r="F342" s="1056">
        <v>45</v>
      </c>
      <c r="G342" s="1056">
        <v>57</v>
      </c>
      <c r="H342" s="1056">
        <v>0</v>
      </c>
      <c r="I342" s="1056">
        <v>102</v>
      </c>
      <c r="K342" s="995">
        <f t="shared" si="5"/>
        <v>8</v>
      </c>
    </row>
    <row r="343" spans="1:11">
      <c r="A343" s="1054">
        <v>19551505</v>
      </c>
      <c r="B343" s="1055" t="s">
        <v>893</v>
      </c>
      <c r="C343" s="1055" t="s">
        <v>717</v>
      </c>
      <c r="D343" s="1055" t="s">
        <v>1170</v>
      </c>
      <c r="E343" s="1055" t="s">
        <v>696</v>
      </c>
      <c r="F343" s="1056">
        <v>37</v>
      </c>
      <c r="G343" s="1056">
        <v>11</v>
      </c>
      <c r="H343" s="1056">
        <v>0</v>
      </c>
      <c r="I343" s="1056">
        <v>48</v>
      </c>
      <c r="K343" s="995">
        <f t="shared" si="5"/>
        <v>8</v>
      </c>
    </row>
    <row r="344" spans="1:11">
      <c r="A344" s="1054">
        <v>19551505</v>
      </c>
      <c r="B344" s="1055" t="s">
        <v>893</v>
      </c>
      <c r="C344" s="1055" t="s">
        <v>717</v>
      </c>
      <c r="D344" s="1055" t="s">
        <v>1855</v>
      </c>
      <c r="E344" s="1055" t="s">
        <v>1856</v>
      </c>
      <c r="F344" s="1056">
        <v>5</v>
      </c>
      <c r="G344" s="1056">
        <v>0</v>
      </c>
      <c r="H344" s="1056">
        <v>0</v>
      </c>
      <c r="I344" s="1056">
        <v>5</v>
      </c>
      <c r="K344" s="995">
        <f t="shared" si="5"/>
        <v>8</v>
      </c>
    </row>
    <row r="345" spans="1:11">
      <c r="A345" s="1054">
        <v>19551505</v>
      </c>
      <c r="B345" s="1055" t="s">
        <v>893</v>
      </c>
      <c r="C345" s="1055" t="s">
        <v>717</v>
      </c>
      <c r="D345" s="1055" t="s">
        <v>1062</v>
      </c>
      <c r="E345" s="1055" t="s">
        <v>510</v>
      </c>
      <c r="F345" s="1056">
        <v>6</v>
      </c>
      <c r="G345" s="1056">
        <v>0</v>
      </c>
      <c r="H345" s="1056">
        <v>0</v>
      </c>
      <c r="I345" s="1056">
        <v>6</v>
      </c>
      <c r="K345" s="995">
        <f t="shared" si="5"/>
        <v>8</v>
      </c>
    </row>
    <row r="346" spans="1:11">
      <c r="A346" s="1054">
        <v>19551507</v>
      </c>
      <c r="B346" s="1055" t="s">
        <v>893</v>
      </c>
      <c r="C346" s="1055" t="s">
        <v>516</v>
      </c>
      <c r="D346" s="1055" t="s">
        <v>893</v>
      </c>
      <c r="E346" s="1055" t="s">
        <v>893</v>
      </c>
      <c r="F346" s="1056">
        <v>16172</v>
      </c>
      <c r="G346" s="1056">
        <v>3539</v>
      </c>
      <c r="H346" s="1056">
        <v>0</v>
      </c>
      <c r="I346" s="1056">
        <v>19710</v>
      </c>
      <c r="K346" s="995">
        <f t="shared" si="5"/>
        <v>8</v>
      </c>
    </row>
    <row r="347" spans="1:11">
      <c r="A347" s="1054">
        <v>19551507</v>
      </c>
      <c r="B347" s="1055" t="s">
        <v>893</v>
      </c>
      <c r="C347" s="1055" t="s">
        <v>516</v>
      </c>
      <c r="D347" s="1055" t="s">
        <v>1285</v>
      </c>
      <c r="E347" s="1055" t="s">
        <v>786</v>
      </c>
      <c r="F347" s="1056">
        <v>13</v>
      </c>
      <c r="G347" s="1056">
        <v>0</v>
      </c>
      <c r="H347" s="1056">
        <v>0</v>
      </c>
      <c r="I347" s="1056">
        <v>13</v>
      </c>
      <c r="K347" s="995">
        <f t="shared" si="5"/>
        <v>8</v>
      </c>
    </row>
    <row r="348" spans="1:11">
      <c r="A348" s="1054">
        <v>19551507</v>
      </c>
      <c r="B348" s="1055" t="s">
        <v>893</v>
      </c>
      <c r="C348" s="1055" t="s">
        <v>516</v>
      </c>
      <c r="D348" s="1055" t="s">
        <v>1168</v>
      </c>
      <c r="E348" s="1055" t="s">
        <v>1169</v>
      </c>
      <c r="F348" s="1056">
        <v>15942</v>
      </c>
      <c r="G348" s="1056">
        <v>3461</v>
      </c>
      <c r="H348" s="1056">
        <v>0</v>
      </c>
      <c r="I348" s="1056">
        <v>19404</v>
      </c>
      <c r="K348" s="995">
        <f t="shared" si="5"/>
        <v>8</v>
      </c>
    </row>
    <row r="349" spans="1:11">
      <c r="A349" s="1054">
        <v>19551507</v>
      </c>
      <c r="B349" s="1055" t="s">
        <v>893</v>
      </c>
      <c r="C349" s="1055" t="s">
        <v>516</v>
      </c>
      <c r="D349" s="1055" t="s">
        <v>1035</v>
      </c>
      <c r="E349" s="1055" t="s">
        <v>573</v>
      </c>
      <c r="F349" s="1056">
        <v>217</v>
      </c>
      <c r="G349" s="1056">
        <v>77</v>
      </c>
      <c r="H349" s="1056">
        <v>0</v>
      </c>
      <c r="I349" s="1056">
        <v>294</v>
      </c>
      <c r="K349" s="995">
        <f t="shared" si="5"/>
        <v>8</v>
      </c>
    </row>
    <row r="350" spans="1:11">
      <c r="A350" s="1054">
        <v>19551509</v>
      </c>
      <c r="B350" s="1055" t="s">
        <v>893</v>
      </c>
      <c r="C350" s="1055" t="s">
        <v>1671</v>
      </c>
      <c r="D350" s="1055" t="s">
        <v>893</v>
      </c>
      <c r="E350" s="1055" t="s">
        <v>893</v>
      </c>
      <c r="F350" s="1056">
        <v>26</v>
      </c>
      <c r="G350" s="1056">
        <v>0</v>
      </c>
      <c r="H350" s="1056">
        <v>0</v>
      </c>
      <c r="I350" s="1056">
        <v>26</v>
      </c>
      <c r="K350" s="995">
        <f t="shared" si="5"/>
        <v>8</v>
      </c>
    </row>
    <row r="351" spans="1:11">
      <c r="A351" s="1054">
        <v>19551509</v>
      </c>
      <c r="B351" s="1055" t="s">
        <v>893</v>
      </c>
      <c r="C351" s="1055" t="s">
        <v>1671</v>
      </c>
      <c r="D351" s="1055" t="s">
        <v>1285</v>
      </c>
      <c r="E351" s="1055" t="s">
        <v>786</v>
      </c>
      <c r="F351" s="1056">
        <v>26</v>
      </c>
      <c r="G351" s="1056">
        <v>0</v>
      </c>
      <c r="H351" s="1056">
        <v>0</v>
      </c>
      <c r="I351" s="1056">
        <v>26</v>
      </c>
      <c r="K351" s="995">
        <f t="shared" si="5"/>
        <v>8</v>
      </c>
    </row>
    <row r="352" spans="1:11">
      <c r="A352" s="1054">
        <v>195519</v>
      </c>
      <c r="B352" s="1055" t="s">
        <v>893</v>
      </c>
      <c r="C352" s="1055" t="s">
        <v>517</v>
      </c>
      <c r="D352" s="1055" t="s">
        <v>893</v>
      </c>
      <c r="E352" s="1055" t="s">
        <v>893</v>
      </c>
      <c r="F352" s="1056">
        <v>26765</v>
      </c>
      <c r="G352" s="1056">
        <v>18111</v>
      </c>
      <c r="H352" s="1056">
        <v>0</v>
      </c>
      <c r="I352" s="1056">
        <v>44876</v>
      </c>
      <c r="K352" s="995">
        <f t="shared" si="5"/>
        <v>6</v>
      </c>
    </row>
    <row r="353" spans="1:11">
      <c r="A353" s="1054">
        <v>19551903</v>
      </c>
      <c r="B353" s="1055" t="s">
        <v>1489</v>
      </c>
      <c r="C353" s="1055" t="s">
        <v>718</v>
      </c>
      <c r="D353" s="1055" t="s">
        <v>893</v>
      </c>
      <c r="E353" s="1055" t="s">
        <v>893</v>
      </c>
      <c r="F353" s="1056">
        <v>26765</v>
      </c>
      <c r="G353" s="1056">
        <v>0</v>
      </c>
      <c r="H353" s="1056">
        <v>0</v>
      </c>
      <c r="I353" s="1056">
        <v>26765</v>
      </c>
      <c r="K353" s="995">
        <f t="shared" si="5"/>
        <v>8</v>
      </c>
    </row>
    <row r="354" spans="1:11">
      <c r="A354" s="1054">
        <v>19551903</v>
      </c>
      <c r="B354" s="1055" t="s">
        <v>1489</v>
      </c>
      <c r="C354" s="1055" t="s">
        <v>718</v>
      </c>
      <c r="D354" s="1055" t="s">
        <v>1083</v>
      </c>
      <c r="E354" s="1055" t="s">
        <v>256</v>
      </c>
      <c r="F354" s="1056">
        <v>26765</v>
      </c>
      <c r="G354" s="1056">
        <v>0</v>
      </c>
      <c r="H354" s="1056">
        <v>0</v>
      </c>
      <c r="I354" s="1056">
        <v>26765</v>
      </c>
      <c r="K354" s="995">
        <f t="shared" si="5"/>
        <v>8</v>
      </c>
    </row>
    <row r="355" spans="1:11">
      <c r="A355" s="1054">
        <v>19551904</v>
      </c>
      <c r="B355" s="1055" t="s">
        <v>1489</v>
      </c>
      <c r="C355" s="1055" t="s">
        <v>1309</v>
      </c>
      <c r="D355" s="1055" t="s">
        <v>893</v>
      </c>
      <c r="E355" s="1055" t="s">
        <v>893</v>
      </c>
      <c r="F355" s="1056">
        <v>0</v>
      </c>
      <c r="G355" s="1056">
        <v>18111</v>
      </c>
      <c r="H355" s="1056">
        <v>0</v>
      </c>
      <c r="I355" s="1056">
        <v>18111</v>
      </c>
      <c r="K355" s="995">
        <f t="shared" si="5"/>
        <v>8</v>
      </c>
    </row>
    <row r="356" spans="1:11">
      <c r="A356" s="1054">
        <v>19551904</v>
      </c>
      <c r="B356" s="1055" t="s">
        <v>1489</v>
      </c>
      <c r="C356" s="1055" t="s">
        <v>1309</v>
      </c>
      <c r="D356" s="1055" t="s">
        <v>1083</v>
      </c>
      <c r="E356" s="1055" t="s">
        <v>256</v>
      </c>
      <c r="F356" s="1056">
        <v>0</v>
      </c>
      <c r="G356" s="1056">
        <v>18111</v>
      </c>
      <c r="H356" s="1056">
        <v>0</v>
      </c>
      <c r="I356" s="1056">
        <v>18111</v>
      </c>
      <c r="K356" s="995">
        <f t="shared" si="5"/>
        <v>8</v>
      </c>
    </row>
    <row r="357" spans="1:11">
      <c r="A357" s="1054">
        <v>195520</v>
      </c>
      <c r="B357" s="1055" t="s">
        <v>893</v>
      </c>
      <c r="C357" s="1055" t="s">
        <v>518</v>
      </c>
      <c r="D357" s="1055" t="s">
        <v>893</v>
      </c>
      <c r="E357" s="1055" t="s">
        <v>893</v>
      </c>
      <c r="F357" s="1056">
        <v>0</v>
      </c>
      <c r="G357" s="1056">
        <v>0</v>
      </c>
      <c r="H357" s="1056">
        <v>0</v>
      </c>
      <c r="I357" s="1056">
        <v>0</v>
      </c>
      <c r="K357" s="995">
        <f t="shared" si="5"/>
        <v>6</v>
      </c>
    </row>
    <row r="358" spans="1:11">
      <c r="A358" s="1054">
        <v>19552001</v>
      </c>
      <c r="B358" s="1055" t="s">
        <v>893</v>
      </c>
      <c r="C358" s="1055" t="s">
        <v>474</v>
      </c>
      <c r="D358" s="1055" t="s">
        <v>893</v>
      </c>
      <c r="E358" s="1055" t="s">
        <v>893</v>
      </c>
      <c r="F358" s="1056">
        <v>0</v>
      </c>
      <c r="G358" s="1056">
        <v>0</v>
      </c>
      <c r="H358" s="1056">
        <v>0</v>
      </c>
      <c r="I358" s="1056">
        <v>0</v>
      </c>
      <c r="K358" s="995">
        <f t="shared" si="5"/>
        <v>8</v>
      </c>
    </row>
    <row r="359" spans="1:11">
      <c r="A359" s="1054">
        <v>19552001</v>
      </c>
      <c r="B359" s="1055" t="s">
        <v>893</v>
      </c>
      <c r="C359" s="1055" t="s">
        <v>474</v>
      </c>
      <c r="D359" s="1055" t="s">
        <v>1067</v>
      </c>
      <c r="E359" s="1055" t="s">
        <v>1068</v>
      </c>
      <c r="F359" s="1056">
        <v>0</v>
      </c>
      <c r="G359" s="1056">
        <v>0</v>
      </c>
      <c r="H359" s="1056">
        <v>0</v>
      </c>
      <c r="I359" s="1056">
        <v>0</v>
      </c>
      <c r="K359" s="995">
        <f t="shared" si="5"/>
        <v>8</v>
      </c>
    </row>
    <row r="360" spans="1:11">
      <c r="A360" s="1054">
        <v>2</v>
      </c>
      <c r="B360" s="1055" t="s">
        <v>893</v>
      </c>
      <c r="C360" s="1055" t="s">
        <v>113</v>
      </c>
      <c r="D360" s="1055" t="s">
        <v>893</v>
      </c>
      <c r="E360" s="1055" t="s">
        <v>893</v>
      </c>
      <c r="F360" s="1056">
        <v>-745866</v>
      </c>
      <c r="G360" s="1056">
        <v>784283</v>
      </c>
      <c r="H360" s="1056">
        <v>819770</v>
      </c>
      <c r="I360" s="1056">
        <v>-781353</v>
      </c>
      <c r="K360" s="995">
        <f t="shared" si="5"/>
        <v>1</v>
      </c>
    </row>
    <row r="361" spans="1:11">
      <c r="A361" s="1054">
        <v>21</v>
      </c>
      <c r="B361" s="1055" t="s">
        <v>893</v>
      </c>
      <c r="C361" s="1055" t="s">
        <v>333</v>
      </c>
      <c r="D361" s="1055" t="s">
        <v>893</v>
      </c>
      <c r="E361" s="1055" t="s">
        <v>893</v>
      </c>
      <c r="F361" s="1056">
        <v>-340863</v>
      </c>
      <c r="G361" s="1056">
        <v>15616</v>
      </c>
      <c r="H361" s="1056">
        <v>5373</v>
      </c>
      <c r="I361" s="1056">
        <v>-330619</v>
      </c>
      <c r="K361" s="995">
        <f t="shared" si="5"/>
        <v>2</v>
      </c>
    </row>
    <row r="362" spans="1:11">
      <c r="A362" s="1054">
        <v>2105</v>
      </c>
      <c r="B362" s="1055" t="s">
        <v>893</v>
      </c>
      <c r="C362" s="1055" t="s">
        <v>334</v>
      </c>
      <c r="D362" s="1055" t="s">
        <v>893</v>
      </c>
      <c r="E362" s="1055" t="s">
        <v>893</v>
      </c>
      <c r="F362" s="1056">
        <v>-310122</v>
      </c>
      <c r="G362" s="1056">
        <v>12581</v>
      </c>
      <c r="H362" s="1056">
        <v>5373</v>
      </c>
      <c r="I362" s="1056">
        <v>-302914</v>
      </c>
      <c r="K362" s="995">
        <f t="shared" si="5"/>
        <v>4</v>
      </c>
    </row>
    <row r="363" spans="1:11">
      <c r="A363" s="1054">
        <v>210510</v>
      </c>
      <c r="B363" s="1055" t="s">
        <v>893</v>
      </c>
      <c r="C363" s="1055" t="s">
        <v>519</v>
      </c>
      <c r="D363" s="1055" t="s">
        <v>893</v>
      </c>
      <c r="E363" s="1055" t="s">
        <v>893</v>
      </c>
      <c r="F363" s="1056">
        <v>-310122</v>
      </c>
      <c r="G363" s="1056">
        <v>12581</v>
      </c>
      <c r="H363" s="1056">
        <v>5373</v>
      </c>
      <c r="I363" s="1056">
        <v>-302914</v>
      </c>
      <c r="K363" s="995">
        <f t="shared" si="5"/>
        <v>6</v>
      </c>
    </row>
    <row r="364" spans="1:11">
      <c r="A364" s="1054">
        <v>21051012</v>
      </c>
      <c r="B364" s="1055" t="s">
        <v>1489</v>
      </c>
      <c r="C364" s="1055" t="s">
        <v>672</v>
      </c>
      <c r="D364" s="1055" t="s">
        <v>893</v>
      </c>
      <c r="E364" s="1055" t="s">
        <v>893</v>
      </c>
      <c r="F364" s="1056">
        <v>-4247</v>
      </c>
      <c r="G364" s="1056">
        <v>4247</v>
      </c>
      <c r="H364" s="1056">
        <v>0</v>
      </c>
      <c r="I364" s="1056">
        <v>0</v>
      </c>
      <c r="K364" s="995">
        <f t="shared" si="5"/>
        <v>8</v>
      </c>
    </row>
    <row r="365" spans="1:11">
      <c r="A365" s="1054">
        <v>21051012</v>
      </c>
      <c r="B365" s="1055" t="s">
        <v>1489</v>
      </c>
      <c r="C365" s="1055" t="s">
        <v>672</v>
      </c>
      <c r="D365" s="1055" t="s">
        <v>1172</v>
      </c>
      <c r="E365" s="1055" t="s">
        <v>1173</v>
      </c>
      <c r="F365" s="1056">
        <v>-4247</v>
      </c>
      <c r="G365" s="1056">
        <v>4247</v>
      </c>
      <c r="H365" s="1056">
        <v>0</v>
      </c>
      <c r="I365" s="1056">
        <v>0</v>
      </c>
      <c r="K365" s="995">
        <f t="shared" si="5"/>
        <v>8</v>
      </c>
    </row>
    <row r="366" spans="1:11">
      <c r="A366" s="1054">
        <v>21051017</v>
      </c>
      <c r="B366" s="1055" t="s">
        <v>1489</v>
      </c>
      <c r="C366" s="1055" t="s">
        <v>673</v>
      </c>
      <c r="D366" s="1055" t="s">
        <v>893</v>
      </c>
      <c r="E366" s="1055" t="s">
        <v>893</v>
      </c>
      <c r="F366" s="1056">
        <v>-41435</v>
      </c>
      <c r="G366" s="1056">
        <v>2778</v>
      </c>
      <c r="H366" s="1056">
        <v>0</v>
      </c>
      <c r="I366" s="1056">
        <v>-38658</v>
      </c>
      <c r="K366" s="995">
        <f t="shared" si="5"/>
        <v>8</v>
      </c>
    </row>
    <row r="367" spans="1:11">
      <c r="A367" s="1054">
        <v>21051017</v>
      </c>
      <c r="B367" s="1055" t="s">
        <v>1489</v>
      </c>
      <c r="C367" s="1055" t="s">
        <v>673</v>
      </c>
      <c r="D367" s="1055" t="s">
        <v>1172</v>
      </c>
      <c r="E367" s="1055" t="s">
        <v>1173</v>
      </c>
      <c r="F367" s="1056">
        <v>-41435</v>
      </c>
      <c r="G367" s="1056">
        <v>2778</v>
      </c>
      <c r="H367" s="1056">
        <v>0</v>
      </c>
      <c r="I367" s="1056">
        <v>-38658</v>
      </c>
      <c r="K367" s="995">
        <f t="shared" si="5"/>
        <v>8</v>
      </c>
    </row>
    <row r="368" spans="1:11">
      <c r="A368" s="1054">
        <v>21051028</v>
      </c>
      <c r="B368" s="1055" t="s">
        <v>1489</v>
      </c>
      <c r="C368" s="1055" t="s">
        <v>720</v>
      </c>
      <c r="D368" s="1055" t="s">
        <v>893</v>
      </c>
      <c r="E368" s="1055" t="s">
        <v>893</v>
      </c>
      <c r="F368" s="1056">
        <v>0</v>
      </c>
      <c r="G368" s="1056">
        <v>0</v>
      </c>
      <c r="H368" s="1056">
        <v>0</v>
      </c>
      <c r="I368" s="1056">
        <v>0</v>
      </c>
      <c r="K368" s="995">
        <f t="shared" si="5"/>
        <v>8</v>
      </c>
    </row>
    <row r="369" spans="1:11">
      <c r="A369" s="1054">
        <v>21051028</v>
      </c>
      <c r="B369" s="1055" t="s">
        <v>1489</v>
      </c>
      <c r="C369" s="1055" t="s">
        <v>720</v>
      </c>
      <c r="D369" s="1055" t="s">
        <v>1099</v>
      </c>
      <c r="E369" s="1055" t="s">
        <v>1100</v>
      </c>
      <c r="F369" s="1056">
        <v>0</v>
      </c>
      <c r="G369" s="1056">
        <v>0</v>
      </c>
      <c r="H369" s="1056">
        <v>0</v>
      </c>
      <c r="I369" s="1056">
        <v>0</v>
      </c>
      <c r="K369" s="995">
        <f t="shared" si="5"/>
        <v>8</v>
      </c>
    </row>
    <row r="370" spans="1:11">
      <c r="A370" s="1054">
        <v>21051040</v>
      </c>
      <c r="B370" s="1055" t="s">
        <v>1489</v>
      </c>
      <c r="C370" s="1055" t="s">
        <v>721</v>
      </c>
      <c r="D370" s="1055" t="s">
        <v>893</v>
      </c>
      <c r="E370" s="1055" t="s">
        <v>893</v>
      </c>
      <c r="F370" s="1056">
        <v>0</v>
      </c>
      <c r="G370" s="1056">
        <v>0</v>
      </c>
      <c r="H370" s="1056">
        <v>0</v>
      </c>
      <c r="I370" s="1056">
        <v>0</v>
      </c>
      <c r="K370" s="995">
        <f t="shared" si="5"/>
        <v>8</v>
      </c>
    </row>
    <row r="371" spans="1:11">
      <c r="A371" s="1054">
        <v>21051040</v>
      </c>
      <c r="B371" s="1055" t="s">
        <v>1489</v>
      </c>
      <c r="C371" s="1055" t="s">
        <v>721</v>
      </c>
      <c r="D371" s="1055" t="s">
        <v>1168</v>
      </c>
      <c r="E371" s="1055" t="s">
        <v>1169</v>
      </c>
      <c r="F371" s="1056">
        <v>0</v>
      </c>
      <c r="G371" s="1056">
        <v>0</v>
      </c>
      <c r="H371" s="1056">
        <v>0</v>
      </c>
      <c r="I371" s="1056">
        <v>0</v>
      </c>
      <c r="K371" s="995">
        <f t="shared" si="5"/>
        <v>8</v>
      </c>
    </row>
    <row r="372" spans="1:11">
      <c r="A372" s="1054">
        <v>21051047</v>
      </c>
      <c r="B372" s="1055" t="s">
        <v>1489</v>
      </c>
      <c r="C372" s="1055" t="s">
        <v>722</v>
      </c>
      <c r="D372" s="1055" t="s">
        <v>893</v>
      </c>
      <c r="E372" s="1055" t="s">
        <v>893</v>
      </c>
      <c r="F372" s="1056">
        <v>0</v>
      </c>
      <c r="G372" s="1056">
        <v>0</v>
      </c>
      <c r="H372" s="1056">
        <v>0</v>
      </c>
      <c r="I372" s="1056">
        <v>0</v>
      </c>
      <c r="K372" s="995">
        <f t="shared" si="5"/>
        <v>8</v>
      </c>
    </row>
    <row r="373" spans="1:11">
      <c r="A373" s="1054">
        <v>21051047</v>
      </c>
      <c r="B373" s="1055" t="s">
        <v>1489</v>
      </c>
      <c r="C373" s="1055" t="s">
        <v>722</v>
      </c>
      <c r="D373" s="1055" t="s">
        <v>1174</v>
      </c>
      <c r="E373" s="1055" t="s">
        <v>1175</v>
      </c>
      <c r="F373" s="1056">
        <v>0</v>
      </c>
      <c r="G373" s="1056">
        <v>0</v>
      </c>
      <c r="H373" s="1056">
        <v>0</v>
      </c>
      <c r="I373" s="1056">
        <v>0</v>
      </c>
      <c r="K373" s="995">
        <f t="shared" si="5"/>
        <v>8</v>
      </c>
    </row>
    <row r="374" spans="1:11">
      <c r="A374" s="1054">
        <v>21051048</v>
      </c>
      <c r="B374" s="1055" t="s">
        <v>1489</v>
      </c>
      <c r="C374" s="1055" t="s">
        <v>723</v>
      </c>
      <c r="D374" s="1055" t="s">
        <v>893</v>
      </c>
      <c r="E374" s="1055" t="s">
        <v>893</v>
      </c>
      <c r="F374" s="1056">
        <v>0</v>
      </c>
      <c r="G374" s="1056">
        <v>0</v>
      </c>
      <c r="H374" s="1056">
        <v>0</v>
      </c>
      <c r="I374" s="1056">
        <v>0</v>
      </c>
      <c r="K374" s="995">
        <f t="shared" si="5"/>
        <v>8</v>
      </c>
    </row>
    <row r="375" spans="1:11">
      <c r="A375" s="1054">
        <v>21051048</v>
      </c>
      <c r="B375" s="1055" t="s">
        <v>1489</v>
      </c>
      <c r="C375" s="1055" t="s">
        <v>723</v>
      </c>
      <c r="D375" s="1055" t="s">
        <v>1174</v>
      </c>
      <c r="E375" s="1055" t="s">
        <v>1175</v>
      </c>
      <c r="F375" s="1056">
        <v>0</v>
      </c>
      <c r="G375" s="1056">
        <v>0</v>
      </c>
      <c r="H375" s="1056">
        <v>0</v>
      </c>
      <c r="I375" s="1056">
        <v>0</v>
      </c>
      <c r="K375" s="995">
        <f t="shared" si="5"/>
        <v>8</v>
      </c>
    </row>
    <row r="376" spans="1:11">
      <c r="A376" s="1054">
        <v>21051050</v>
      </c>
      <c r="B376" s="1055" t="s">
        <v>1489</v>
      </c>
      <c r="C376" s="1055" t="s">
        <v>724</v>
      </c>
      <c r="D376" s="1055" t="s">
        <v>893</v>
      </c>
      <c r="E376" s="1055" t="s">
        <v>893</v>
      </c>
      <c r="F376" s="1056">
        <v>0</v>
      </c>
      <c r="G376" s="1056">
        <v>0</v>
      </c>
      <c r="H376" s="1056">
        <v>0</v>
      </c>
      <c r="I376" s="1056">
        <v>0</v>
      </c>
      <c r="K376" s="995">
        <f t="shared" si="5"/>
        <v>8</v>
      </c>
    </row>
    <row r="377" spans="1:11">
      <c r="A377" s="1054">
        <v>21051050</v>
      </c>
      <c r="B377" s="1055" t="s">
        <v>1489</v>
      </c>
      <c r="C377" s="1055" t="s">
        <v>724</v>
      </c>
      <c r="D377" s="1055" t="s">
        <v>1174</v>
      </c>
      <c r="E377" s="1055" t="s">
        <v>1175</v>
      </c>
      <c r="F377" s="1056">
        <v>0</v>
      </c>
      <c r="G377" s="1056">
        <v>0</v>
      </c>
      <c r="H377" s="1056">
        <v>0</v>
      </c>
      <c r="I377" s="1056">
        <v>0</v>
      </c>
      <c r="K377" s="995">
        <f t="shared" si="5"/>
        <v>8</v>
      </c>
    </row>
    <row r="378" spans="1:11">
      <c r="A378" s="1054">
        <v>21051063</v>
      </c>
      <c r="B378" s="1055" t="s">
        <v>1489</v>
      </c>
      <c r="C378" s="1055" t="s">
        <v>1672</v>
      </c>
      <c r="D378" s="1055" t="s">
        <v>893</v>
      </c>
      <c r="E378" s="1055" t="s">
        <v>893</v>
      </c>
      <c r="F378" s="1056">
        <v>0</v>
      </c>
      <c r="G378" s="1056">
        <v>0</v>
      </c>
      <c r="H378" s="1056">
        <v>5373</v>
      </c>
      <c r="I378" s="1056">
        <v>-5373</v>
      </c>
      <c r="K378" s="995">
        <f t="shared" si="5"/>
        <v>8</v>
      </c>
    </row>
    <row r="379" spans="1:11">
      <c r="A379" s="1054">
        <v>21051063</v>
      </c>
      <c r="B379" s="1055" t="s">
        <v>1489</v>
      </c>
      <c r="C379" s="1055" t="s">
        <v>1672</v>
      </c>
      <c r="D379" s="1055" t="s">
        <v>1168</v>
      </c>
      <c r="E379" s="1055" t="s">
        <v>1169</v>
      </c>
      <c r="F379" s="1056">
        <v>0</v>
      </c>
      <c r="G379" s="1056">
        <v>0</v>
      </c>
      <c r="H379" s="1056">
        <v>5373</v>
      </c>
      <c r="I379" s="1056">
        <v>-5373</v>
      </c>
      <c r="K379" s="995">
        <f t="shared" si="5"/>
        <v>8</v>
      </c>
    </row>
    <row r="380" spans="1:11">
      <c r="A380" s="1054">
        <v>21051065</v>
      </c>
      <c r="B380" s="1055" t="s">
        <v>1489</v>
      </c>
      <c r="C380" s="1055" t="s">
        <v>793</v>
      </c>
      <c r="D380" s="1055" t="s">
        <v>893</v>
      </c>
      <c r="E380" s="1055" t="s">
        <v>893</v>
      </c>
      <c r="F380" s="1056">
        <v>-144439</v>
      </c>
      <c r="G380" s="1056">
        <v>5556</v>
      </c>
      <c r="H380" s="1056">
        <v>0</v>
      </c>
      <c r="I380" s="1056">
        <v>-138883</v>
      </c>
      <c r="K380" s="995">
        <f t="shared" si="5"/>
        <v>8</v>
      </c>
    </row>
    <row r="381" spans="1:11">
      <c r="A381" s="1054">
        <v>21051065</v>
      </c>
      <c r="B381" s="1055" t="s">
        <v>1489</v>
      </c>
      <c r="C381" s="1055" t="s">
        <v>793</v>
      </c>
      <c r="D381" s="1055" t="s">
        <v>1171</v>
      </c>
      <c r="E381" s="1055" t="s">
        <v>335</v>
      </c>
      <c r="F381" s="1056">
        <v>-144439</v>
      </c>
      <c r="G381" s="1056">
        <v>5556</v>
      </c>
      <c r="H381" s="1056">
        <v>0</v>
      </c>
      <c r="I381" s="1056">
        <v>-138883</v>
      </c>
      <c r="K381" s="995">
        <f t="shared" si="5"/>
        <v>8</v>
      </c>
    </row>
    <row r="382" spans="1:11">
      <c r="A382" s="1054">
        <v>21051067</v>
      </c>
      <c r="B382" s="1055" t="s">
        <v>1489</v>
      </c>
      <c r="C382" s="1055" t="s">
        <v>1004</v>
      </c>
      <c r="D382" s="1055" t="s">
        <v>893</v>
      </c>
      <c r="E382" s="1055" t="s">
        <v>893</v>
      </c>
      <c r="F382" s="1056">
        <v>-120000</v>
      </c>
      <c r="G382" s="1056">
        <v>0</v>
      </c>
      <c r="H382" s="1056">
        <v>0</v>
      </c>
      <c r="I382" s="1056">
        <v>-120000</v>
      </c>
      <c r="K382" s="995">
        <f t="shared" si="5"/>
        <v>8</v>
      </c>
    </row>
    <row r="383" spans="1:11">
      <c r="A383" s="1054">
        <v>21051067</v>
      </c>
      <c r="B383" s="1055" t="s">
        <v>1489</v>
      </c>
      <c r="C383" s="1055" t="s">
        <v>1004</v>
      </c>
      <c r="D383" s="1055" t="s">
        <v>1172</v>
      </c>
      <c r="E383" s="1055" t="s">
        <v>1173</v>
      </c>
      <c r="F383" s="1056">
        <v>-120000</v>
      </c>
      <c r="G383" s="1056">
        <v>0</v>
      </c>
      <c r="H383" s="1056">
        <v>0</v>
      </c>
      <c r="I383" s="1056">
        <v>-120000</v>
      </c>
      <c r="K383" s="995">
        <f t="shared" si="5"/>
        <v>8</v>
      </c>
    </row>
    <row r="384" spans="1:11">
      <c r="A384" s="1054">
        <v>2120</v>
      </c>
      <c r="B384" s="1055" t="s">
        <v>893</v>
      </c>
      <c r="C384" s="1055" t="s">
        <v>725</v>
      </c>
      <c r="D384" s="1055" t="s">
        <v>893</v>
      </c>
      <c r="E384" s="1055" t="s">
        <v>893</v>
      </c>
      <c r="F384" s="1056">
        <v>-3420</v>
      </c>
      <c r="G384" s="1056">
        <v>0</v>
      </c>
      <c r="H384" s="1056">
        <v>0</v>
      </c>
      <c r="I384" s="1056">
        <v>-3420</v>
      </c>
      <c r="K384" s="995">
        <f t="shared" si="5"/>
        <v>4</v>
      </c>
    </row>
    <row r="385" spans="1:11">
      <c r="A385" s="1054">
        <v>212020</v>
      </c>
      <c r="B385" s="1055" t="s">
        <v>893</v>
      </c>
      <c r="C385" s="1055" t="s">
        <v>726</v>
      </c>
      <c r="D385" s="1055" t="s">
        <v>893</v>
      </c>
      <c r="E385" s="1055" t="s">
        <v>893</v>
      </c>
      <c r="F385" s="1056">
        <v>-3420</v>
      </c>
      <c r="G385" s="1056">
        <v>0</v>
      </c>
      <c r="H385" s="1056">
        <v>0</v>
      </c>
      <c r="I385" s="1056">
        <v>-3420</v>
      </c>
      <c r="K385" s="995">
        <f t="shared" si="5"/>
        <v>6</v>
      </c>
    </row>
    <row r="386" spans="1:11">
      <c r="A386" s="1054">
        <v>21202002</v>
      </c>
      <c r="B386" s="1055" t="s">
        <v>1489</v>
      </c>
      <c r="C386" s="1055" t="s">
        <v>674</v>
      </c>
      <c r="D386" s="1055" t="s">
        <v>893</v>
      </c>
      <c r="E386" s="1055" t="s">
        <v>893</v>
      </c>
      <c r="F386" s="1056">
        <v>-3420</v>
      </c>
      <c r="G386" s="1056">
        <v>0</v>
      </c>
      <c r="H386" s="1056">
        <v>0</v>
      </c>
      <c r="I386" s="1056">
        <v>-3420</v>
      </c>
      <c r="K386" s="995">
        <f t="shared" si="5"/>
        <v>8</v>
      </c>
    </row>
    <row r="387" spans="1:11">
      <c r="A387" s="1054">
        <v>21202002</v>
      </c>
      <c r="B387" s="1055" t="s">
        <v>1489</v>
      </c>
      <c r="C387" s="1055" t="s">
        <v>674</v>
      </c>
      <c r="D387" s="1055" t="s">
        <v>1099</v>
      </c>
      <c r="E387" s="1055" t="s">
        <v>1100</v>
      </c>
      <c r="F387" s="1056">
        <v>-3420</v>
      </c>
      <c r="G387" s="1056">
        <v>0</v>
      </c>
      <c r="H387" s="1056">
        <v>0</v>
      </c>
      <c r="I387" s="1056">
        <v>-3420</v>
      </c>
      <c r="K387" s="995">
        <f t="shared" si="5"/>
        <v>8</v>
      </c>
    </row>
    <row r="388" spans="1:11">
      <c r="A388" s="1054">
        <v>2195</v>
      </c>
      <c r="B388" s="1055" t="s">
        <v>893</v>
      </c>
      <c r="C388" s="1055" t="s">
        <v>556</v>
      </c>
      <c r="D388" s="1055" t="s">
        <v>893</v>
      </c>
      <c r="E388" s="1055" t="s">
        <v>893</v>
      </c>
      <c r="F388" s="1056">
        <v>-27321</v>
      </c>
      <c r="G388" s="1056">
        <v>3036</v>
      </c>
      <c r="H388" s="1056">
        <v>0</v>
      </c>
      <c r="I388" s="1056">
        <v>-24286</v>
      </c>
      <c r="K388" s="995">
        <f t="shared" si="5"/>
        <v>4</v>
      </c>
    </row>
    <row r="389" spans="1:11">
      <c r="A389" s="1054">
        <v>219520</v>
      </c>
      <c r="B389" s="1055" t="s">
        <v>1489</v>
      </c>
      <c r="C389" s="1055" t="s">
        <v>727</v>
      </c>
      <c r="D389" s="1055" t="s">
        <v>893</v>
      </c>
      <c r="E389" s="1055" t="s">
        <v>893</v>
      </c>
      <c r="F389" s="1056">
        <v>0</v>
      </c>
      <c r="G389" s="1056">
        <v>0</v>
      </c>
      <c r="H389" s="1056">
        <v>0</v>
      </c>
      <c r="I389" s="1056">
        <v>0</v>
      </c>
      <c r="K389" s="995">
        <f t="shared" ref="K389:K452" si="6">+LEN(A389)</f>
        <v>6</v>
      </c>
    </row>
    <row r="390" spans="1:11">
      <c r="A390" s="1054">
        <v>21952001</v>
      </c>
      <c r="B390" s="1055" t="s">
        <v>1489</v>
      </c>
      <c r="C390" s="1055" t="s">
        <v>727</v>
      </c>
      <c r="D390" s="1055" t="s">
        <v>893</v>
      </c>
      <c r="E390" s="1055" t="s">
        <v>893</v>
      </c>
      <c r="F390" s="1056">
        <v>0</v>
      </c>
      <c r="G390" s="1056">
        <v>0</v>
      </c>
      <c r="H390" s="1056">
        <v>0</v>
      </c>
      <c r="I390" s="1056">
        <v>0</v>
      </c>
      <c r="K390" s="995">
        <f t="shared" si="6"/>
        <v>8</v>
      </c>
    </row>
    <row r="391" spans="1:11">
      <c r="A391" s="1054">
        <v>219595</v>
      </c>
      <c r="B391" s="1055" t="s">
        <v>893</v>
      </c>
      <c r="C391" s="1055" t="s">
        <v>323</v>
      </c>
      <c r="D391" s="1055" t="s">
        <v>893</v>
      </c>
      <c r="E391" s="1055" t="s">
        <v>893</v>
      </c>
      <c r="F391" s="1056">
        <v>-27321</v>
      </c>
      <c r="G391" s="1056">
        <v>3036</v>
      </c>
      <c r="H391" s="1056">
        <v>0</v>
      </c>
      <c r="I391" s="1056">
        <v>-24286</v>
      </c>
      <c r="K391" s="995">
        <f t="shared" si="6"/>
        <v>6</v>
      </c>
    </row>
    <row r="392" spans="1:11">
      <c r="A392" s="1054">
        <v>21959503</v>
      </c>
      <c r="B392" s="1055" t="s">
        <v>1489</v>
      </c>
      <c r="C392" s="1055" t="s">
        <v>912</v>
      </c>
      <c r="D392" s="1055" t="s">
        <v>893</v>
      </c>
      <c r="E392" s="1055" t="s">
        <v>893</v>
      </c>
      <c r="F392" s="1056">
        <v>-27321</v>
      </c>
      <c r="G392" s="1056">
        <v>3036</v>
      </c>
      <c r="H392" s="1056">
        <v>0</v>
      </c>
      <c r="I392" s="1056">
        <v>-24286</v>
      </c>
      <c r="K392" s="995">
        <f t="shared" si="6"/>
        <v>8</v>
      </c>
    </row>
    <row r="393" spans="1:11">
      <c r="A393" s="1054">
        <v>21959503</v>
      </c>
      <c r="B393" s="1055" t="s">
        <v>1489</v>
      </c>
      <c r="C393" s="1055" t="s">
        <v>912</v>
      </c>
      <c r="D393" s="1055" t="s">
        <v>1041</v>
      </c>
      <c r="E393" s="1055" t="s">
        <v>661</v>
      </c>
      <c r="F393" s="1056">
        <v>-27321</v>
      </c>
      <c r="G393" s="1056">
        <v>3036</v>
      </c>
      <c r="H393" s="1056">
        <v>0</v>
      </c>
      <c r="I393" s="1056">
        <v>-24286</v>
      </c>
      <c r="K393" s="995">
        <f t="shared" si="6"/>
        <v>8</v>
      </c>
    </row>
    <row r="394" spans="1:11">
      <c r="A394" s="1054">
        <v>22</v>
      </c>
      <c r="B394" s="1055" t="s">
        <v>893</v>
      </c>
      <c r="C394" s="1055" t="s">
        <v>114</v>
      </c>
      <c r="D394" s="1055" t="s">
        <v>893</v>
      </c>
      <c r="E394" s="1055" t="s">
        <v>893</v>
      </c>
      <c r="F394" s="1056">
        <v>-180932</v>
      </c>
      <c r="G394" s="1056">
        <v>496358</v>
      </c>
      <c r="H394" s="1056">
        <v>514222</v>
      </c>
      <c r="I394" s="1056">
        <v>-198797</v>
      </c>
      <c r="K394" s="995">
        <f t="shared" si="6"/>
        <v>2</v>
      </c>
    </row>
    <row r="395" spans="1:11">
      <c r="A395" s="1054">
        <v>2205</v>
      </c>
      <c r="B395" s="1055" t="s">
        <v>893</v>
      </c>
      <c r="C395" s="1055" t="s">
        <v>316</v>
      </c>
      <c r="D395" s="1055" t="s">
        <v>893</v>
      </c>
      <c r="E395" s="1055" t="s">
        <v>893</v>
      </c>
      <c r="F395" s="1056">
        <v>-180932</v>
      </c>
      <c r="G395" s="1056">
        <v>496358</v>
      </c>
      <c r="H395" s="1056">
        <v>514222</v>
      </c>
      <c r="I395" s="1056">
        <v>-198797</v>
      </c>
      <c r="K395" s="995">
        <f t="shared" si="6"/>
        <v>4</v>
      </c>
    </row>
    <row r="396" spans="1:11">
      <c r="A396" s="1054">
        <v>220501</v>
      </c>
      <c r="B396" s="1055" t="s">
        <v>893</v>
      </c>
      <c r="C396" s="1055" t="s">
        <v>316</v>
      </c>
      <c r="D396" s="1055" t="s">
        <v>893</v>
      </c>
      <c r="E396" s="1055" t="s">
        <v>893</v>
      </c>
      <c r="F396" s="1056">
        <v>-180932</v>
      </c>
      <c r="G396" s="1056">
        <v>496358</v>
      </c>
      <c r="H396" s="1056">
        <v>514222</v>
      </c>
      <c r="I396" s="1056">
        <v>-198797</v>
      </c>
      <c r="K396" s="995">
        <f t="shared" si="6"/>
        <v>6</v>
      </c>
    </row>
    <row r="397" spans="1:11">
      <c r="A397" s="1054">
        <v>22050101</v>
      </c>
      <c r="B397" s="1055" t="s">
        <v>893</v>
      </c>
      <c r="C397" s="1055" t="s">
        <v>520</v>
      </c>
      <c r="D397" s="1055" t="s">
        <v>893</v>
      </c>
      <c r="E397" s="1055" t="s">
        <v>893</v>
      </c>
      <c r="F397" s="1056">
        <v>-180932</v>
      </c>
      <c r="G397" s="1056">
        <v>494193</v>
      </c>
      <c r="H397" s="1056">
        <v>512058</v>
      </c>
      <c r="I397" s="1056">
        <v>-198797</v>
      </c>
      <c r="K397" s="995">
        <f t="shared" si="6"/>
        <v>8</v>
      </c>
    </row>
    <row r="398" spans="1:11">
      <c r="A398" s="1054">
        <v>22050101</v>
      </c>
      <c r="B398" s="1055" t="s">
        <v>893</v>
      </c>
      <c r="C398" s="1055" t="s">
        <v>520</v>
      </c>
      <c r="D398" s="1055" t="s">
        <v>1084</v>
      </c>
      <c r="E398" s="1055" t="s">
        <v>1010</v>
      </c>
      <c r="F398" s="1056">
        <v>0</v>
      </c>
      <c r="G398" s="1056">
        <v>912</v>
      </c>
      <c r="H398" s="1056">
        <v>912</v>
      </c>
      <c r="I398" s="1056">
        <v>0</v>
      </c>
      <c r="K398" s="995">
        <f t="shared" si="6"/>
        <v>8</v>
      </c>
    </row>
    <row r="399" spans="1:11">
      <c r="A399" s="1054">
        <v>22050101</v>
      </c>
      <c r="B399" s="1055" t="s">
        <v>893</v>
      </c>
      <c r="C399" s="1055" t="s">
        <v>520</v>
      </c>
      <c r="D399" s="1055" t="s">
        <v>1177</v>
      </c>
      <c r="E399" s="1055" t="s">
        <v>1011</v>
      </c>
      <c r="F399" s="1056">
        <v>0</v>
      </c>
      <c r="G399" s="1056">
        <v>284</v>
      </c>
      <c r="H399" s="1056">
        <v>284</v>
      </c>
      <c r="I399" s="1056">
        <v>0</v>
      </c>
      <c r="K399" s="995">
        <f t="shared" si="6"/>
        <v>8</v>
      </c>
    </row>
    <row r="400" spans="1:11">
      <c r="A400" s="1054">
        <v>22050101</v>
      </c>
      <c r="B400" s="1055" t="s">
        <v>893</v>
      </c>
      <c r="C400" s="1055" t="s">
        <v>520</v>
      </c>
      <c r="D400" s="1055" t="s">
        <v>1178</v>
      </c>
      <c r="E400" s="1055" t="s">
        <v>1012</v>
      </c>
      <c r="F400" s="1056">
        <v>0</v>
      </c>
      <c r="G400" s="1056">
        <v>929</v>
      </c>
      <c r="H400" s="1056">
        <v>929</v>
      </c>
      <c r="I400" s="1056">
        <v>0</v>
      </c>
      <c r="K400" s="995">
        <f t="shared" si="6"/>
        <v>8</v>
      </c>
    </row>
    <row r="401" spans="1:11">
      <c r="A401" s="1054">
        <v>22050101</v>
      </c>
      <c r="B401" s="1055" t="s">
        <v>893</v>
      </c>
      <c r="C401" s="1055" t="s">
        <v>520</v>
      </c>
      <c r="D401" s="1055" t="s">
        <v>1179</v>
      </c>
      <c r="E401" s="1055" t="s">
        <v>1013</v>
      </c>
      <c r="F401" s="1056">
        <v>0</v>
      </c>
      <c r="G401" s="1056">
        <v>4150</v>
      </c>
      <c r="H401" s="1056">
        <v>4150</v>
      </c>
      <c r="I401" s="1056">
        <v>0</v>
      </c>
      <c r="K401" s="995">
        <f t="shared" si="6"/>
        <v>8</v>
      </c>
    </row>
    <row r="402" spans="1:11">
      <c r="A402" s="1054">
        <v>22050101</v>
      </c>
      <c r="B402" s="1055" t="s">
        <v>893</v>
      </c>
      <c r="C402" s="1055" t="s">
        <v>520</v>
      </c>
      <c r="D402" s="1055" t="s">
        <v>1310</v>
      </c>
      <c r="E402" s="1055" t="s">
        <v>994</v>
      </c>
      <c r="F402" s="1056">
        <v>-43</v>
      </c>
      <c r="G402" s="1056">
        <v>0</v>
      </c>
      <c r="H402" s="1056">
        <v>0</v>
      </c>
      <c r="I402" s="1056">
        <v>-43</v>
      </c>
      <c r="K402" s="995">
        <f t="shared" si="6"/>
        <v>8</v>
      </c>
    </row>
    <row r="403" spans="1:11">
      <c r="A403" s="1054">
        <v>22050101</v>
      </c>
      <c r="B403" s="1055" t="s">
        <v>893</v>
      </c>
      <c r="C403" s="1055" t="s">
        <v>520</v>
      </c>
      <c r="D403" s="1055" t="s">
        <v>1079</v>
      </c>
      <c r="E403" s="1055" t="s">
        <v>657</v>
      </c>
      <c r="F403" s="1056">
        <v>-2150</v>
      </c>
      <c r="G403" s="1056">
        <v>2150</v>
      </c>
      <c r="H403" s="1056">
        <v>1748</v>
      </c>
      <c r="I403" s="1056">
        <v>-1748</v>
      </c>
      <c r="K403" s="995">
        <f t="shared" si="6"/>
        <v>8</v>
      </c>
    </row>
    <row r="404" spans="1:11">
      <c r="A404" s="1054">
        <v>22050101</v>
      </c>
      <c r="B404" s="1055" t="s">
        <v>893</v>
      </c>
      <c r="C404" s="1055" t="s">
        <v>520</v>
      </c>
      <c r="D404" s="1055" t="s">
        <v>1180</v>
      </c>
      <c r="E404" s="1055" t="s">
        <v>1014</v>
      </c>
      <c r="F404" s="1056">
        <v>0</v>
      </c>
      <c r="G404" s="1056">
        <v>24624</v>
      </c>
      <c r="H404" s="1056">
        <v>24624</v>
      </c>
      <c r="I404" s="1056">
        <v>0</v>
      </c>
      <c r="K404" s="995">
        <f t="shared" si="6"/>
        <v>8</v>
      </c>
    </row>
    <row r="405" spans="1:11">
      <c r="A405" s="1054">
        <v>22050101</v>
      </c>
      <c r="B405" s="1055" t="s">
        <v>893</v>
      </c>
      <c r="C405" s="1055" t="s">
        <v>520</v>
      </c>
      <c r="D405" s="1055" t="s">
        <v>1181</v>
      </c>
      <c r="E405" s="1055" t="s">
        <v>676</v>
      </c>
      <c r="F405" s="1056">
        <v>-774</v>
      </c>
      <c r="G405" s="1056">
        <v>0</v>
      </c>
      <c r="H405" s="1056">
        <v>0</v>
      </c>
      <c r="I405" s="1056">
        <v>-774</v>
      </c>
      <c r="K405" s="995">
        <f t="shared" si="6"/>
        <v>8</v>
      </c>
    </row>
    <row r="406" spans="1:11">
      <c r="A406" s="1054">
        <v>22050101</v>
      </c>
      <c r="B406" s="1055" t="s">
        <v>893</v>
      </c>
      <c r="C406" s="1055" t="s">
        <v>520</v>
      </c>
      <c r="D406" s="1055" t="s">
        <v>1916</v>
      </c>
      <c r="E406" s="1055" t="s">
        <v>1917</v>
      </c>
      <c r="F406" s="1056">
        <v>0</v>
      </c>
      <c r="G406" s="1056">
        <v>80</v>
      </c>
      <c r="H406" s="1056">
        <v>80</v>
      </c>
      <c r="I406" s="1056">
        <v>0</v>
      </c>
      <c r="K406" s="995">
        <f t="shared" si="6"/>
        <v>8</v>
      </c>
    </row>
    <row r="407" spans="1:11">
      <c r="A407" s="1054">
        <v>22050101</v>
      </c>
      <c r="B407" s="1055" t="s">
        <v>893</v>
      </c>
      <c r="C407" s="1055" t="s">
        <v>520</v>
      </c>
      <c r="D407" s="1055" t="s">
        <v>1182</v>
      </c>
      <c r="E407" s="1055" t="s">
        <v>521</v>
      </c>
      <c r="F407" s="1056">
        <v>-1055</v>
      </c>
      <c r="G407" s="1056">
        <v>1055</v>
      </c>
      <c r="H407" s="1056">
        <v>1274</v>
      </c>
      <c r="I407" s="1056">
        <v>-1274</v>
      </c>
      <c r="K407" s="995">
        <f t="shared" si="6"/>
        <v>8</v>
      </c>
    </row>
    <row r="408" spans="1:11">
      <c r="A408" s="1054">
        <v>22050101</v>
      </c>
      <c r="B408" s="1055" t="s">
        <v>893</v>
      </c>
      <c r="C408" s="1055" t="s">
        <v>520</v>
      </c>
      <c r="D408" s="1055" t="s">
        <v>1183</v>
      </c>
      <c r="E408" s="1055" t="s">
        <v>1015</v>
      </c>
      <c r="F408" s="1056">
        <v>0</v>
      </c>
      <c r="G408" s="1056">
        <v>4150</v>
      </c>
      <c r="H408" s="1056">
        <v>4150</v>
      </c>
      <c r="I408" s="1056">
        <v>0</v>
      </c>
      <c r="K408" s="995">
        <f t="shared" si="6"/>
        <v>8</v>
      </c>
    </row>
    <row r="409" spans="1:11">
      <c r="A409" s="1054">
        <v>22050101</v>
      </c>
      <c r="B409" s="1055" t="s">
        <v>893</v>
      </c>
      <c r="C409" s="1055" t="s">
        <v>520</v>
      </c>
      <c r="D409" s="1055" t="s">
        <v>1311</v>
      </c>
      <c r="E409" s="1055" t="s">
        <v>995</v>
      </c>
      <c r="F409" s="1056">
        <v>-110</v>
      </c>
      <c r="G409" s="1056">
        <v>110</v>
      </c>
      <c r="H409" s="1056">
        <v>856</v>
      </c>
      <c r="I409" s="1056">
        <v>-856</v>
      </c>
      <c r="K409" s="995">
        <f t="shared" si="6"/>
        <v>8</v>
      </c>
    </row>
    <row r="410" spans="1:11">
      <c r="A410" s="1054">
        <v>22050101</v>
      </c>
      <c r="B410" s="1055" t="s">
        <v>893</v>
      </c>
      <c r="C410" s="1055" t="s">
        <v>520</v>
      </c>
      <c r="D410" s="1055" t="s">
        <v>1184</v>
      </c>
      <c r="E410" s="1055" t="s">
        <v>728</v>
      </c>
      <c r="F410" s="1056">
        <v>-151</v>
      </c>
      <c r="G410" s="1056">
        <v>0</v>
      </c>
      <c r="H410" s="1056">
        <v>0</v>
      </c>
      <c r="I410" s="1056">
        <v>-151</v>
      </c>
      <c r="K410" s="995">
        <f t="shared" si="6"/>
        <v>8</v>
      </c>
    </row>
    <row r="411" spans="1:11">
      <c r="A411" s="1054">
        <v>22050101</v>
      </c>
      <c r="B411" s="1055" t="s">
        <v>893</v>
      </c>
      <c r="C411" s="1055" t="s">
        <v>520</v>
      </c>
      <c r="D411" s="1055" t="s">
        <v>1135</v>
      </c>
      <c r="E411" s="1055" t="s">
        <v>1016</v>
      </c>
      <c r="F411" s="1056">
        <v>0</v>
      </c>
      <c r="G411" s="1056">
        <v>0</v>
      </c>
      <c r="H411" s="1056">
        <v>749</v>
      </c>
      <c r="I411" s="1056">
        <v>-749</v>
      </c>
      <c r="K411" s="995">
        <f t="shared" si="6"/>
        <v>8</v>
      </c>
    </row>
    <row r="412" spans="1:11">
      <c r="A412" s="1054">
        <v>22050101</v>
      </c>
      <c r="B412" s="1055" t="s">
        <v>893</v>
      </c>
      <c r="C412" s="1055" t="s">
        <v>520</v>
      </c>
      <c r="D412" s="1055" t="s">
        <v>1185</v>
      </c>
      <c r="E412" s="1055" t="s">
        <v>1017</v>
      </c>
      <c r="F412" s="1056">
        <v>0</v>
      </c>
      <c r="G412" s="1056">
        <v>2282</v>
      </c>
      <c r="H412" s="1056">
        <v>2282</v>
      </c>
      <c r="I412" s="1056">
        <v>0</v>
      </c>
      <c r="K412" s="995">
        <f t="shared" si="6"/>
        <v>8</v>
      </c>
    </row>
    <row r="413" spans="1:11">
      <c r="A413" s="1054">
        <v>22050101</v>
      </c>
      <c r="B413" s="1055" t="s">
        <v>893</v>
      </c>
      <c r="C413" s="1055" t="s">
        <v>520</v>
      </c>
      <c r="D413" s="1055" t="s">
        <v>1186</v>
      </c>
      <c r="E413" s="1055" t="s">
        <v>1018</v>
      </c>
      <c r="F413" s="1056">
        <v>0</v>
      </c>
      <c r="G413" s="1056">
        <v>5425</v>
      </c>
      <c r="H413" s="1056">
        <v>5425</v>
      </c>
      <c r="I413" s="1056">
        <v>0</v>
      </c>
      <c r="K413" s="995">
        <f t="shared" si="6"/>
        <v>8</v>
      </c>
    </row>
    <row r="414" spans="1:11">
      <c r="A414" s="1054">
        <v>22050101</v>
      </c>
      <c r="B414" s="1055" t="s">
        <v>893</v>
      </c>
      <c r="C414" s="1055" t="s">
        <v>520</v>
      </c>
      <c r="D414" s="1055" t="s">
        <v>1295</v>
      </c>
      <c r="E414" s="1055" t="s">
        <v>963</v>
      </c>
      <c r="F414" s="1056">
        <v>-378</v>
      </c>
      <c r="G414" s="1056">
        <v>378</v>
      </c>
      <c r="H414" s="1056">
        <v>0</v>
      </c>
      <c r="I414" s="1056">
        <v>0</v>
      </c>
      <c r="K414" s="995">
        <f t="shared" si="6"/>
        <v>8</v>
      </c>
    </row>
    <row r="415" spans="1:11">
      <c r="A415" s="1054">
        <v>22050101</v>
      </c>
      <c r="B415" s="1055" t="s">
        <v>893</v>
      </c>
      <c r="C415" s="1055" t="s">
        <v>520</v>
      </c>
      <c r="D415" s="1055" t="s">
        <v>1187</v>
      </c>
      <c r="E415" s="1055" t="s">
        <v>1019</v>
      </c>
      <c r="F415" s="1056">
        <v>0</v>
      </c>
      <c r="G415" s="1056">
        <v>543</v>
      </c>
      <c r="H415" s="1056">
        <v>543</v>
      </c>
      <c r="I415" s="1056">
        <v>0</v>
      </c>
      <c r="K415" s="995">
        <f t="shared" si="6"/>
        <v>8</v>
      </c>
    </row>
    <row r="416" spans="1:11">
      <c r="A416" s="1054">
        <v>22050101</v>
      </c>
      <c r="B416" s="1055" t="s">
        <v>893</v>
      </c>
      <c r="C416" s="1055" t="s">
        <v>520</v>
      </c>
      <c r="D416" s="1055" t="s">
        <v>1066</v>
      </c>
      <c r="E416" s="1055" t="s">
        <v>662</v>
      </c>
      <c r="F416" s="1056">
        <v>-1641</v>
      </c>
      <c r="G416" s="1056">
        <v>0</v>
      </c>
      <c r="H416" s="1056">
        <v>0</v>
      </c>
      <c r="I416" s="1056">
        <v>-1641</v>
      </c>
      <c r="K416" s="995">
        <f t="shared" si="6"/>
        <v>8</v>
      </c>
    </row>
    <row r="417" spans="1:11">
      <c r="A417" s="1054">
        <v>22050101</v>
      </c>
      <c r="B417" s="1055" t="s">
        <v>893</v>
      </c>
      <c r="C417" s="1055" t="s">
        <v>520</v>
      </c>
      <c r="D417" s="1055" t="s">
        <v>1189</v>
      </c>
      <c r="E417" s="1055" t="s">
        <v>677</v>
      </c>
      <c r="F417" s="1056">
        <v>-7</v>
      </c>
      <c r="G417" s="1056">
        <v>0</v>
      </c>
      <c r="H417" s="1056">
        <v>0</v>
      </c>
      <c r="I417" s="1056">
        <v>-7</v>
      </c>
      <c r="K417" s="995">
        <f t="shared" si="6"/>
        <v>8</v>
      </c>
    </row>
    <row r="418" spans="1:11">
      <c r="A418" s="1054">
        <v>22050101</v>
      </c>
      <c r="B418" s="1055" t="s">
        <v>893</v>
      </c>
      <c r="C418" s="1055" t="s">
        <v>520</v>
      </c>
      <c r="D418" s="1055" t="s">
        <v>1558</v>
      </c>
      <c r="E418" s="1055" t="s">
        <v>1559</v>
      </c>
      <c r="F418" s="1056">
        <v>-449</v>
      </c>
      <c r="G418" s="1056">
        <v>2336</v>
      </c>
      <c r="H418" s="1056">
        <v>1887</v>
      </c>
      <c r="I418" s="1056">
        <v>0</v>
      </c>
      <c r="K418" s="995">
        <f t="shared" si="6"/>
        <v>8</v>
      </c>
    </row>
    <row r="419" spans="1:11">
      <c r="A419" s="1054">
        <v>22050101</v>
      </c>
      <c r="B419" s="1055" t="s">
        <v>893</v>
      </c>
      <c r="C419" s="1055" t="s">
        <v>520</v>
      </c>
      <c r="D419" s="1055" t="s">
        <v>1312</v>
      </c>
      <c r="E419" s="1055" t="s">
        <v>1824</v>
      </c>
      <c r="F419" s="1056">
        <v>-4578</v>
      </c>
      <c r="G419" s="1056">
        <v>4578</v>
      </c>
      <c r="H419" s="1056">
        <v>4431</v>
      </c>
      <c r="I419" s="1056">
        <v>-4431</v>
      </c>
      <c r="K419" s="995">
        <f t="shared" si="6"/>
        <v>8</v>
      </c>
    </row>
    <row r="420" spans="1:11">
      <c r="A420" s="1054">
        <v>22050101</v>
      </c>
      <c r="B420" s="1055" t="s">
        <v>893</v>
      </c>
      <c r="C420" s="1055" t="s">
        <v>520</v>
      </c>
      <c r="D420" s="1055" t="s">
        <v>1080</v>
      </c>
      <c r="E420" s="1055" t="s">
        <v>407</v>
      </c>
      <c r="F420" s="1056">
        <v>-1100</v>
      </c>
      <c r="G420" s="1056">
        <v>1100</v>
      </c>
      <c r="H420" s="1056">
        <v>1066</v>
      </c>
      <c r="I420" s="1056">
        <v>-1066</v>
      </c>
      <c r="K420" s="995">
        <f t="shared" si="6"/>
        <v>8</v>
      </c>
    </row>
    <row r="421" spans="1:11">
      <c r="A421" s="1054">
        <v>22050101</v>
      </c>
      <c r="B421" s="1055" t="s">
        <v>893</v>
      </c>
      <c r="C421" s="1055" t="s">
        <v>520</v>
      </c>
      <c r="D421" s="1055" t="s">
        <v>1081</v>
      </c>
      <c r="E421" s="1055" t="s">
        <v>702</v>
      </c>
      <c r="F421" s="1056">
        <v>-1615</v>
      </c>
      <c r="G421" s="1056">
        <v>1590</v>
      </c>
      <c r="H421" s="1056">
        <v>1187</v>
      </c>
      <c r="I421" s="1056">
        <v>-1212</v>
      </c>
      <c r="K421" s="995">
        <f t="shared" si="6"/>
        <v>8</v>
      </c>
    </row>
    <row r="422" spans="1:11">
      <c r="A422" s="1054">
        <v>22050101</v>
      </c>
      <c r="B422" s="1055" t="s">
        <v>893</v>
      </c>
      <c r="C422" s="1055" t="s">
        <v>520</v>
      </c>
      <c r="D422" s="1055" t="s">
        <v>1313</v>
      </c>
      <c r="E422" s="1055" t="s">
        <v>1020</v>
      </c>
      <c r="F422" s="1056">
        <v>0</v>
      </c>
      <c r="G422" s="1056">
        <v>1826</v>
      </c>
      <c r="H422" s="1056">
        <v>1826</v>
      </c>
      <c r="I422" s="1056">
        <v>0</v>
      </c>
      <c r="K422" s="995">
        <f t="shared" si="6"/>
        <v>8</v>
      </c>
    </row>
    <row r="423" spans="1:11">
      <c r="A423" s="1054">
        <v>22050101</v>
      </c>
      <c r="B423" s="1055" t="s">
        <v>893</v>
      </c>
      <c r="C423" s="1055" t="s">
        <v>520</v>
      </c>
      <c r="D423" s="1055" t="s">
        <v>1608</v>
      </c>
      <c r="E423" s="1055" t="s">
        <v>1609</v>
      </c>
      <c r="F423" s="1056">
        <v>0</v>
      </c>
      <c r="G423" s="1056">
        <v>433</v>
      </c>
      <c r="H423" s="1056">
        <v>433</v>
      </c>
      <c r="I423" s="1056">
        <v>0</v>
      </c>
      <c r="K423" s="995">
        <f t="shared" si="6"/>
        <v>8</v>
      </c>
    </row>
    <row r="424" spans="1:11">
      <c r="A424" s="1054">
        <v>22050101</v>
      </c>
      <c r="B424" s="1055" t="s">
        <v>893</v>
      </c>
      <c r="C424" s="1055" t="s">
        <v>520</v>
      </c>
      <c r="D424" s="1055" t="s">
        <v>1190</v>
      </c>
      <c r="E424" s="1055" t="s">
        <v>577</v>
      </c>
      <c r="F424" s="1056">
        <v>-1669</v>
      </c>
      <c r="G424" s="1056">
        <v>1669</v>
      </c>
      <c r="H424" s="1056">
        <v>1544</v>
      </c>
      <c r="I424" s="1056">
        <v>-1544</v>
      </c>
      <c r="K424" s="995">
        <f t="shared" si="6"/>
        <v>8</v>
      </c>
    </row>
    <row r="425" spans="1:11">
      <c r="A425" s="1054">
        <v>22050101</v>
      </c>
      <c r="B425" s="1055" t="s">
        <v>893</v>
      </c>
      <c r="C425" s="1055" t="s">
        <v>520</v>
      </c>
      <c r="D425" s="1055" t="s">
        <v>1234</v>
      </c>
      <c r="E425" s="1055" t="s">
        <v>913</v>
      </c>
      <c r="F425" s="1056">
        <v>5317</v>
      </c>
      <c r="G425" s="1056">
        <v>39487</v>
      </c>
      <c r="H425" s="1056">
        <v>44804</v>
      </c>
      <c r="I425" s="1056">
        <v>0</v>
      </c>
      <c r="K425" s="995">
        <f t="shared" si="6"/>
        <v>8</v>
      </c>
    </row>
    <row r="426" spans="1:11">
      <c r="A426" s="1054">
        <v>22050101</v>
      </c>
      <c r="B426" s="1055" t="s">
        <v>893</v>
      </c>
      <c r="C426" s="1055" t="s">
        <v>520</v>
      </c>
      <c r="D426" s="1055" t="s">
        <v>1314</v>
      </c>
      <c r="E426" s="1055" t="s">
        <v>1737</v>
      </c>
      <c r="F426" s="1056">
        <v>0</v>
      </c>
      <c r="G426" s="1056">
        <v>1752</v>
      </c>
      <c r="H426" s="1056">
        <v>1752</v>
      </c>
      <c r="I426" s="1056">
        <v>0</v>
      </c>
      <c r="K426" s="995">
        <f t="shared" si="6"/>
        <v>8</v>
      </c>
    </row>
    <row r="427" spans="1:11">
      <c r="A427" s="1054">
        <v>22050101</v>
      </c>
      <c r="B427" s="1055" t="s">
        <v>893</v>
      </c>
      <c r="C427" s="1055" t="s">
        <v>520</v>
      </c>
      <c r="D427" s="1055" t="s">
        <v>1267</v>
      </c>
      <c r="E427" s="1055" t="s">
        <v>336</v>
      </c>
      <c r="F427" s="1056">
        <v>-137</v>
      </c>
      <c r="G427" s="1056">
        <v>137</v>
      </c>
      <c r="H427" s="1056">
        <v>275</v>
      </c>
      <c r="I427" s="1056">
        <v>-275</v>
      </c>
      <c r="K427" s="995">
        <f t="shared" si="6"/>
        <v>8</v>
      </c>
    </row>
    <row r="428" spans="1:11">
      <c r="A428" s="1054">
        <v>22050101</v>
      </c>
      <c r="B428" s="1055" t="s">
        <v>893</v>
      </c>
      <c r="C428" s="1055" t="s">
        <v>520</v>
      </c>
      <c r="D428" s="1055" t="s">
        <v>1033</v>
      </c>
      <c r="E428" s="1055" t="s">
        <v>695</v>
      </c>
      <c r="F428" s="1056">
        <v>0</v>
      </c>
      <c r="G428" s="1056">
        <v>204</v>
      </c>
      <c r="H428" s="1056">
        <v>204</v>
      </c>
      <c r="I428" s="1056">
        <v>0</v>
      </c>
      <c r="K428" s="995">
        <f t="shared" si="6"/>
        <v>8</v>
      </c>
    </row>
    <row r="429" spans="1:11">
      <c r="A429" s="1054">
        <v>22050101</v>
      </c>
      <c r="B429" s="1055" t="s">
        <v>893</v>
      </c>
      <c r="C429" s="1055" t="s">
        <v>520</v>
      </c>
      <c r="D429" s="1055" t="s">
        <v>1071</v>
      </c>
      <c r="E429" s="1055" t="s">
        <v>700</v>
      </c>
      <c r="F429" s="1056">
        <v>-11237</v>
      </c>
      <c r="G429" s="1056">
        <v>10846</v>
      </c>
      <c r="H429" s="1056">
        <v>10821</v>
      </c>
      <c r="I429" s="1056">
        <v>-11212</v>
      </c>
      <c r="K429" s="995">
        <f t="shared" si="6"/>
        <v>8</v>
      </c>
    </row>
    <row r="430" spans="1:11">
      <c r="A430" s="1054">
        <v>22050101</v>
      </c>
      <c r="B430" s="1055" t="s">
        <v>893</v>
      </c>
      <c r="C430" s="1055" t="s">
        <v>520</v>
      </c>
      <c r="D430" s="1055" t="s">
        <v>1072</v>
      </c>
      <c r="E430" s="1055" t="s">
        <v>512</v>
      </c>
      <c r="F430" s="1056">
        <v>-4395</v>
      </c>
      <c r="G430" s="1056">
        <v>5393</v>
      </c>
      <c r="H430" s="1056">
        <v>5554</v>
      </c>
      <c r="I430" s="1056">
        <v>-4556</v>
      </c>
      <c r="K430" s="995">
        <f t="shared" si="6"/>
        <v>8</v>
      </c>
    </row>
    <row r="431" spans="1:11">
      <c r="A431" s="1054">
        <v>22050101</v>
      </c>
      <c r="B431" s="1055" t="s">
        <v>893</v>
      </c>
      <c r="C431" s="1055" t="s">
        <v>520</v>
      </c>
      <c r="D431" s="1055" t="s">
        <v>1191</v>
      </c>
      <c r="E431" s="1055" t="s">
        <v>1021</v>
      </c>
      <c r="F431" s="1056">
        <v>0</v>
      </c>
      <c r="G431" s="1056">
        <v>13842</v>
      </c>
      <c r="H431" s="1056">
        <v>13842</v>
      </c>
      <c r="I431" s="1056">
        <v>0</v>
      </c>
      <c r="K431" s="995">
        <f t="shared" si="6"/>
        <v>8</v>
      </c>
    </row>
    <row r="432" spans="1:11">
      <c r="A432" s="1054">
        <v>22050101</v>
      </c>
      <c r="B432" s="1055" t="s">
        <v>893</v>
      </c>
      <c r="C432" s="1055" t="s">
        <v>520</v>
      </c>
      <c r="D432" s="1055" t="s">
        <v>1194</v>
      </c>
      <c r="E432" s="1055" t="s">
        <v>678</v>
      </c>
      <c r="F432" s="1056">
        <v>-229</v>
      </c>
      <c r="G432" s="1056">
        <v>0</v>
      </c>
      <c r="H432" s="1056">
        <v>0</v>
      </c>
      <c r="I432" s="1056">
        <v>-229</v>
      </c>
      <c r="K432" s="995">
        <f t="shared" si="6"/>
        <v>8</v>
      </c>
    </row>
    <row r="433" spans="1:11">
      <c r="A433" s="1054">
        <v>22050101</v>
      </c>
      <c r="B433" s="1055" t="s">
        <v>893</v>
      </c>
      <c r="C433" s="1055" t="s">
        <v>520</v>
      </c>
      <c r="D433" s="1055" t="s">
        <v>1195</v>
      </c>
      <c r="E433" s="1055" t="s">
        <v>1022</v>
      </c>
      <c r="F433" s="1056">
        <v>0</v>
      </c>
      <c r="G433" s="1056">
        <v>17001</v>
      </c>
      <c r="H433" s="1056">
        <v>17001</v>
      </c>
      <c r="I433" s="1056">
        <v>0</v>
      </c>
      <c r="K433" s="995">
        <f t="shared" si="6"/>
        <v>8</v>
      </c>
    </row>
    <row r="434" spans="1:11">
      <c r="A434" s="1054">
        <v>22050101</v>
      </c>
      <c r="B434" s="1055" t="s">
        <v>893</v>
      </c>
      <c r="C434" s="1055" t="s">
        <v>520</v>
      </c>
      <c r="D434" s="1055" t="s">
        <v>1196</v>
      </c>
      <c r="E434" s="1055" t="s">
        <v>1023</v>
      </c>
      <c r="F434" s="1056">
        <v>0</v>
      </c>
      <c r="G434" s="1056">
        <v>6342</v>
      </c>
      <c r="H434" s="1056">
        <v>6342</v>
      </c>
      <c r="I434" s="1056">
        <v>0</v>
      </c>
      <c r="K434" s="995">
        <f t="shared" si="6"/>
        <v>8</v>
      </c>
    </row>
    <row r="435" spans="1:11">
      <c r="A435" s="1054">
        <v>22050101</v>
      </c>
      <c r="B435" s="1055" t="s">
        <v>893</v>
      </c>
      <c r="C435" s="1055" t="s">
        <v>520</v>
      </c>
      <c r="D435" s="1055" t="s">
        <v>1197</v>
      </c>
      <c r="E435" s="1055" t="s">
        <v>481</v>
      </c>
      <c r="F435" s="1056">
        <v>-1297</v>
      </c>
      <c r="G435" s="1056">
        <v>18310</v>
      </c>
      <c r="H435" s="1056">
        <v>17013</v>
      </c>
      <c r="I435" s="1056">
        <v>0</v>
      </c>
      <c r="K435" s="995">
        <f t="shared" si="6"/>
        <v>8</v>
      </c>
    </row>
    <row r="436" spans="1:11">
      <c r="A436" s="1054">
        <v>22050101</v>
      </c>
      <c r="B436" s="1055" t="s">
        <v>893</v>
      </c>
      <c r="C436" s="1055" t="s">
        <v>520</v>
      </c>
      <c r="D436" s="1055" t="s">
        <v>1198</v>
      </c>
      <c r="E436" s="1055" t="s">
        <v>337</v>
      </c>
      <c r="F436" s="1056">
        <v>-3932</v>
      </c>
      <c r="G436" s="1056">
        <v>9931</v>
      </c>
      <c r="H436" s="1056">
        <v>12081</v>
      </c>
      <c r="I436" s="1056">
        <v>-6081</v>
      </c>
      <c r="K436" s="995">
        <f t="shared" si="6"/>
        <v>8</v>
      </c>
    </row>
    <row r="437" spans="1:11">
      <c r="A437" s="1054">
        <v>22050101</v>
      </c>
      <c r="B437" s="1055" t="s">
        <v>893</v>
      </c>
      <c r="C437" s="1055" t="s">
        <v>520</v>
      </c>
      <c r="D437" s="1055" t="s">
        <v>1199</v>
      </c>
      <c r="E437" s="1055" t="s">
        <v>1024</v>
      </c>
      <c r="F437" s="1056">
        <v>0</v>
      </c>
      <c r="G437" s="1056">
        <v>2531</v>
      </c>
      <c r="H437" s="1056">
        <v>2531</v>
      </c>
      <c r="I437" s="1056">
        <v>0</v>
      </c>
      <c r="K437" s="995">
        <f t="shared" si="6"/>
        <v>8</v>
      </c>
    </row>
    <row r="438" spans="1:11">
      <c r="A438" s="1054">
        <v>22050101</v>
      </c>
      <c r="B438" s="1055" t="s">
        <v>893</v>
      </c>
      <c r="C438" s="1055" t="s">
        <v>520</v>
      </c>
      <c r="D438" s="1055" t="s">
        <v>1200</v>
      </c>
      <c r="E438" s="1055" t="s">
        <v>1025</v>
      </c>
      <c r="F438" s="1056">
        <v>0</v>
      </c>
      <c r="G438" s="1056">
        <v>17</v>
      </c>
      <c r="H438" s="1056">
        <v>17</v>
      </c>
      <c r="I438" s="1056">
        <v>0</v>
      </c>
      <c r="K438" s="995">
        <f t="shared" si="6"/>
        <v>8</v>
      </c>
    </row>
    <row r="439" spans="1:11">
      <c r="A439" s="1054">
        <v>22050101</v>
      </c>
      <c r="B439" s="1055" t="s">
        <v>893</v>
      </c>
      <c r="C439" s="1055" t="s">
        <v>520</v>
      </c>
      <c r="D439" s="1055" t="s">
        <v>1201</v>
      </c>
      <c r="E439" s="1055" t="s">
        <v>679</v>
      </c>
      <c r="F439" s="1056">
        <v>-401</v>
      </c>
      <c r="G439" s="1056">
        <v>119</v>
      </c>
      <c r="H439" s="1056">
        <v>119</v>
      </c>
      <c r="I439" s="1056">
        <v>-400</v>
      </c>
      <c r="K439" s="995">
        <f t="shared" si="6"/>
        <v>8</v>
      </c>
    </row>
    <row r="440" spans="1:11">
      <c r="A440" s="1054">
        <v>22050101</v>
      </c>
      <c r="B440" s="1055" t="s">
        <v>893</v>
      </c>
      <c r="C440" s="1055" t="s">
        <v>520</v>
      </c>
      <c r="D440" s="1055" t="s">
        <v>1046</v>
      </c>
      <c r="E440" s="1055" t="s">
        <v>1026</v>
      </c>
      <c r="F440" s="1056">
        <v>0</v>
      </c>
      <c r="G440" s="1056">
        <v>27227</v>
      </c>
      <c r="H440" s="1056">
        <v>27241</v>
      </c>
      <c r="I440" s="1056">
        <v>-14</v>
      </c>
      <c r="K440" s="995">
        <f t="shared" si="6"/>
        <v>8</v>
      </c>
    </row>
    <row r="441" spans="1:11">
      <c r="A441" s="1054">
        <v>22050101</v>
      </c>
      <c r="B441" s="1055" t="s">
        <v>893</v>
      </c>
      <c r="C441" s="1055" t="s">
        <v>520</v>
      </c>
      <c r="D441" s="1055" t="s">
        <v>1034</v>
      </c>
      <c r="E441" s="1055" t="s">
        <v>504</v>
      </c>
      <c r="F441" s="1056">
        <v>-172777</v>
      </c>
      <c r="G441" s="1056">
        <v>181078</v>
      </c>
      <c r="H441" s="1056">
        <v>188157</v>
      </c>
      <c r="I441" s="1056">
        <v>-179856</v>
      </c>
      <c r="K441" s="995">
        <f t="shared" si="6"/>
        <v>8</v>
      </c>
    </row>
    <row r="442" spans="1:11">
      <c r="A442" s="1054">
        <v>22050101</v>
      </c>
      <c r="B442" s="1055" t="s">
        <v>893</v>
      </c>
      <c r="C442" s="1055" t="s">
        <v>520</v>
      </c>
      <c r="D442" s="1055" t="s">
        <v>1073</v>
      </c>
      <c r="E442" s="1055" t="s">
        <v>701</v>
      </c>
      <c r="F442" s="1056">
        <v>-7088</v>
      </c>
      <c r="G442" s="1056">
        <v>9381</v>
      </c>
      <c r="H442" s="1056">
        <v>10367</v>
      </c>
      <c r="I442" s="1056">
        <v>-8074</v>
      </c>
      <c r="K442" s="995">
        <f t="shared" si="6"/>
        <v>8</v>
      </c>
    </row>
    <row r="443" spans="1:11">
      <c r="A443" s="1054">
        <v>22050101</v>
      </c>
      <c r="B443" s="1055" t="s">
        <v>893</v>
      </c>
      <c r="C443" s="1055" t="s">
        <v>520</v>
      </c>
      <c r="D443" s="1055" t="s">
        <v>1237</v>
      </c>
      <c r="E443" s="1055" t="s">
        <v>338</v>
      </c>
      <c r="F443" s="1056">
        <v>-23</v>
      </c>
      <c r="G443" s="1056">
        <v>23</v>
      </c>
      <c r="H443" s="1056">
        <v>0</v>
      </c>
      <c r="I443" s="1056">
        <v>0</v>
      </c>
      <c r="K443" s="995">
        <f t="shared" si="6"/>
        <v>8</v>
      </c>
    </row>
    <row r="444" spans="1:11">
      <c r="A444" s="1054">
        <v>22050101</v>
      </c>
      <c r="B444" s="1055" t="s">
        <v>893</v>
      </c>
      <c r="C444" s="1055" t="s">
        <v>520</v>
      </c>
      <c r="D444" s="1055" t="s">
        <v>1825</v>
      </c>
      <c r="E444" s="1055" t="s">
        <v>1826</v>
      </c>
      <c r="F444" s="1056">
        <v>0</v>
      </c>
      <c r="G444" s="1056">
        <v>0</v>
      </c>
      <c r="H444" s="1056">
        <v>180</v>
      </c>
      <c r="I444" s="1056">
        <v>-180</v>
      </c>
      <c r="K444" s="995">
        <f t="shared" si="6"/>
        <v>8</v>
      </c>
    </row>
    <row r="445" spans="1:11">
      <c r="A445" s="1054">
        <v>22050101</v>
      </c>
      <c r="B445" s="1055" t="s">
        <v>893</v>
      </c>
      <c r="C445" s="1055" t="s">
        <v>520</v>
      </c>
      <c r="D445" s="1055" t="s">
        <v>1308</v>
      </c>
      <c r="E445" s="1055" t="s">
        <v>993</v>
      </c>
      <c r="F445" s="1056">
        <v>-166</v>
      </c>
      <c r="G445" s="1056">
        <v>166</v>
      </c>
      <c r="H445" s="1056">
        <v>0</v>
      </c>
      <c r="I445" s="1056">
        <v>0</v>
      </c>
      <c r="K445" s="995">
        <f t="shared" si="6"/>
        <v>8</v>
      </c>
    </row>
    <row r="446" spans="1:11">
      <c r="A446" s="1054">
        <v>22050101</v>
      </c>
      <c r="B446" s="1055" t="s">
        <v>893</v>
      </c>
      <c r="C446" s="1055" t="s">
        <v>520</v>
      </c>
      <c r="D446" s="1055" t="s">
        <v>1074</v>
      </c>
      <c r="E446" s="1055" t="s">
        <v>257</v>
      </c>
      <c r="F446" s="1056">
        <v>54564</v>
      </c>
      <c r="G446" s="1056">
        <v>26751</v>
      </c>
      <c r="H446" s="1056">
        <v>27047</v>
      </c>
      <c r="I446" s="1056">
        <v>54268</v>
      </c>
      <c r="K446" s="995">
        <f t="shared" si="6"/>
        <v>8</v>
      </c>
    </row>
    <row r="447" spans="1:11">
      <c r="A447" s="1054">
        <v>22050101</v>
      </c>
      <c r="B447" s="1055" t="s">
        <v>893</v>
      </c>
      <c r="C447" s="1055" t="s">
        <v>520</v>
      </c>
      <c r="D447" s="1055" t="s">
        <v>1918</v>
      </c>
      <c r="E447" s="1055" t="s">
        <v>1919</v>
      </c>
      <c r="F447" s="1056">
        <v>0</v>
      </c>
      <c r="G447" s="1056">
        <v>0</v>
      </c>
      <c r="H447" s="1056">
        <v>331</v>
      </c>
      <c r="I447" s="1056">
        <v>-331</v>
      </c>
      <c r="K447" s="995">
        <f t="shared" si="6"/>
        <v>8</v>
      </c>
    </row>
    <row r="448" spans="1:11">
      <c r="A448" s="1054">
        <v>22050101</v>
      </c>
      <c r="B448" s="1055" t="s">
        <v>893</v>
      </c>
      <c r="C448" s="1055" t="s">
        <v>520</v>
      </c>
      <c r="D448" s="1055" t="s">
        <v>1075</v>
      </c>
      <c r="E448" s="1055" t="s">
        <v>325</v>
      </c>
      <c r="F448" s="1056">
        <v>-1353</v>
      </c>
      <c r="G448" s="1056">
        <v>1353</v>
      </c>
      <c r="H448" s="1056">
        <v>1464</v>
      </c>
      <c r="I448" s="1056">
        <v>-1464</v>
      </c>
      <c r="K448" s="995">
        <f t="shared" si="6"/>
        <v>8</v>
      </c>
    </row>
    <row r="449" spans="1:11">
      <c r="A449" s="1054">
        <v>22050101</v>
      </c>
      <c r="B449" s="1055" t="s">
        <v>893</v>
      </c>
      <c r="C449" s="1055" t="s">
        <v>520</v>
      </c>
      <c r="D449" s="1055" t="s">
        <v>1202</v>
      </c>
      <c r="E449" s="1055" t="s">
        <v>446</v>
      </c>
      <c r="F449" s="1056">
        <v>-1030</v>
      </c>
      <c r="G449" s="1056">
        <v>1030</v>
      </c>
      <c r="H449" s="1056">
        <v>1030</v>
      </c>
      <c r="I449" s="1056">
        <v>-1030</v>
      </c>
      <c r="K449" s="995">
        <f t="shared" si="6"/>
        <v>8</v>
      </c>
    </row>
    <row r="450" spans="1:11">
      <c r="A450" s="1054">
        <v>22050101</v>
      </c>
      <c r="B450" s="1055" t="s">
        <v>893</v>
      </c>
      <c r="C450" s="1055" t="s">
        <v>520</v>
      </c>
      <c r="D450" s="1055" t="s">
        <v>1203</v>
      </c>
      <c r="E450" s="1055" t="s">
        <v>1827</v>
      </c>
      <c r="F450" s="1056">
        <v>-33</v>
      </c>
      <c r="G450" s="1056">
        <v>1233</v>
      </c>
      <c r="H450" s="1056">
        <v>1233</v>
      </c>
      <c r="I450" s="1056">
        <v>-33</v>
      </c>
      <c r="K450" s="995">
        <f t="shared" si="6"/>
        <v>8</v>
      </c>
    </row>
    <row r="451" spans="1:11">
      <c r="A451" s="1054">
        <v>22050101</v>
      </c>
      <c r="B451" s="1055" t="s">
        <v>893</v>
      </c>
      <c r="C451" s="1055" t="s">
        <v>520</v>
      </c>
      <c r="D451" s="1055" t="s">
        <v>1204</v>
      </c>
      <c r="E451" s="1055" t="s">
        <v>427</v>
      </c>
      <c r="F451" s="1056">
        <v>-115</v>
      </c>
      <c r="G451" s="1056">
        <v>115</v>
      </c>
      <c r="H451" s="1056">
        <v>130</v>
      </c>
      <c r="I451" s="1056">
        <v>-130</v>
      </c>
      <c r="K451" s="995">
        <f t="shared" si="6"/>
        <v>8</v>
      </c>
    </row>
    <row r="452" spans="1:11">
      <c r="A452" s="1054">
        <v>22050101</v>
      </c>
      <c r="B452" s="1055" t="s">
        <v>893</v>
      </c>
      <c r="C452" s="1055" t="s">
        <v>520</v>
      </c>
      <c r="D452" s="1055" t="s">
        <v>1205</v>
      </c>
      <c r="E452" s="1055" t="s">
        <v>328</v>
      </c>
      <c r="F452" s="1056">
        <v>-3075</v>
      </c>
      <c r="G452" s="1056">
        <v>3075</v>
      </c>
      <c r="H452" s="1056">
        <v>3075</v>
      </c>
      <c r="I452" s="1056">
        <v>-3075</v>
      </c>
      <c r="K452" s="995">
        <f t="shared" si="6"/>
        <v>8</v>
      </c>
    </row>
    <row r="453" spans="1:11">
      <c r="A453" s="1054">
        <v>22050101</v>
      </c>
      <c r="B453" s="1055" t="s">
        <v>893</v>
      </c>
      <c r="C453" s="1055" t="s">
        <v>520</v>
      </c>
      <c r="D453" s="1055" t="s">
        <v>1076</v>
      </c>
      <c r="E453" s="1055" t="s">
        <v>1027</v>
      </c>
      <c r="F453" s="1056">
        <v>0</v>
      </c>
      <c r="G453" s="1056">
        <v>0</v>
      </c>
      <c r="H453" s="1056">
        <v>60</v>
      </c>
      <c r="I453" s="1056">
        <v>-60</v>
      </c>
      <c r="K453" s="995">
        <f t="shared" ref="K453:K516" si="7">+LEN(A453)</f>
        <v>8</v>
      </c>
    </row>
    <row r="454" spans="1:11">
      <c r="A454" s="1054">
        <v>22050101</v>
      </c>
      <c r="B454" s="1055" t="s">
        <v>893</v>
      </c>
      <c r="C454" s="1055" t="s">
        <v>520</v>
      </c>
      <c r="D454" s="1055" t="s">
        <v>1206</v>
      </c>
      <c r="E454" s="1055" t="s">
        <v>522</v>
      </c>
      <c r="F454" s="1056">
        <v>-92</v>
      </c>
      <c r="G454" s="1056">
        <v>92</v>
      </c>
      <c r="H454" s="1056">
        <v>246</v>
      </c>
      <c r="I454" s="1056">
        <v>-246</v>
      </c>
      <c r="K454" s="995">
        <f t="shared" si="7"/>
        <v>8</v>
      </c>
    </row>
    <row r="455" spans="1:11">
      <c r="A455" s="1054">
        <v>22050101</v>
      </c>
      <c r="B455" s="1055" t="s">
        <v>893</v>
      </c>
      <c r="C455" s="1055" t="s">
        <v>520</v>
      </c>
      <c r="D455" s="1055" t="s">
        <v>1170</v>
      </c>
      <c r="E455" s="1055" t="s">
        <v>696</v>
      </c>
      <c r="F455" s="1056">
        <v>0</v>
      </c>
      <c r="G455" s="1056">
        <v>1681</v>
      </c>
      <c r="H455" s="1056">
        <v>1681</v>
      </c>
      <c r="I455" s="1056">
        <v>0</v>
      </c>
      <c r="K455" s="995">
        <f t="shared" si="7"/>
        <v>8</v>
      </c>
    </row>
    <row r="456" spans="1:11">
      <c r="A456" s="1054">
        <v>22050101</v>
      </c>
      <c r="B456" s="1055" t="s">
        <v>893</v>
      </c>
      <c r="C456" s="1055" t="s">
        <v>520</v>
      </c>
      <c r="D456" s="1055" t="s">
        <v>1207</v>
      </c>
      <c r="E456" s="1055" t="s">
        <v>1028</v>
      </c>
      <c r="F456" s="1056">
        <v>0</v>
      </c>
      <c r="G456" s="1056">
        <v>15660</v>
      </c>
      <c r="H456" s="1056">
        <v>15660</v>
      </c>
      <c r="I456" s="1056">
        <v>0</v>
      </c>
      <c r="K456" s="995">
        <f t="shared" si="7"/>
        <v>8</v>
      </c>
    </row>
    <row r="457" spans="1:11">
      <c r="A457" s="1054">
        <v>22050101</v>
      </c>
      <c r="B457" s="1055" t="s">
        <v>893</v>
      </c>
      <c r="C457" s="1055" t="s">
        <v>520</v>
      </c>
      <c r="D457" s="1055" t="s">
        <v>1208</v>
      </c>
      <c r="E457" s="1055" t="s">
        <v>428</v>
      </c>
      <c r="F457" s="1056">
        <v>-10064</v>
      </c>
      <c r="G457" s="1056">
        <v>20842</v>
      </c>
      <c r="H457" s="1056">
        <v>29788</v>
      </c>
      <c r="I457" s="1056">
        <v>-19009</v>
      </c>
      <c r="K457" s="995">
        <f t="shared" si="7"/>
        <v>8</v>
      </c>
    </row>
    <row r="458" spans="1:11">
      <c r="A458" s="1054">
        <v>22050101</v>
      </c>
      <c r="B458" s="1055" t="s">
        <v>893</v>
      </c>
      <c r="C458" s="1055" t="s">
        <v>520</v>
      </c>
      <c r="D458" s="1055" t="s">
        <v>1315</v>
      </c>
      <c r="E458" s="1055" t="s">
        <v>996</v>
      </c>
      <c r="F458" s="1056">
        <v>-119</v>
      </c>
      <c r="G458" s="1056">
        <v>694</v>
      </c>
      <c r="H458" s="1056">
        <v>575</v>
      </c>
      <c r="I458" s="1056">
        <v>0</v>
      </c>
      <c r="K458" s="995">
        <f t="shared" si="7"/>
        <v>8</v>
      </c>
    </row>
    <row r="459" spans="1:11">
      <c r="A459" s="1054">
        <v>22050101</v>
      </c>
      <c r="B459" s="1055" t="s">
        <v>893</v>
      </c>
      <c r="C459" s="1055" t="s">
        <v>520</v>
      </c>
      <c r="D459" s="1055" t="s">
        <v>1294</v>
      </c>
      <c r="E459" s="1055" t="s">
        <v>779</v>
      </c>
      <c r="F459" s="1056">
        <v>-874</v>
      </c>
      <c r="G459" s="1056">
        <v>874</v>
      </c>
      <c r="H459" s="1056">
        <v>506</v>
      </c>
      <c r="I459" s="1056">
        <v>-506</v>
      </c>
      <c r="K459" s="995">
        <f t="shared" si="7"/>
        <v>8</v>
      </c>
    </row>
    <row r="460" spans="1:11">
      <c r="A460" s="1054">
        <v>22050101</v>
      </c>
      <c r="B460" s="1055" t="s">
        <v>893</v>
      </c>
      <c r="C460" s="1055" t="s">
        <v>520</v>
      </c>
      <c r="D460" s="1055" t="s">
        <v>1062</v>
      </c>
      <c r="E460" s="1055" t="s">
        <v>510</v>
      </c>
      <c r="F460" s="1056">
        <v>-2270</v>
      </c>
      <c r="G460" s="1056">
        <v>2455</v>
      </c>
      <c r="H460" s="1056">
        <v>185</v>
      </c>
      <c r="I460" s="1056">
        <v>0</v>
      </c>
      <c r="K460" s="995">
        <f t="shared" si="7"/>
        <v>8</v>
      </c>
    </row>
    <row r="461" spans="1:11">
      <c r="A461" s="1054">
        <v>22050101</v>
      </c>
      <c r="B461" s="1055" t="s">
        <v>893</v>
      </c>
      <c r="C461" s="1055" t="s">
        <v>520</v>
      </c>
      <c r="D461" s="1055" t="s">
        <v>1209</v>
      </c>
      <c r="E461" s="1055" t="s">
        <v>1029</v>
      </c>
      <c r="F461" s="1056">
        <v>0</v>
      </c>
      <c r="G461" s="1056">
        <v>2020</v>
      </c>
      <c r="H461" s="1056">
        <v>2020</v>
      </c>
      <c r="I461" s="1056">
        <v>0</v>
      </c>
      <c r="K461" s="995">
        <f t="shared" si="7"/>
        <v>8</v>
      </c>
    </row>
    <row r="462" spans="1:11">
      <c r="A462" s="1054">
        <v>22050101</v>
      </c>
      <c r="B462" s="1055" t="s">
        <v>893</v>
      </c>
      <c r="C462" s="1055" t="s">
        <v>520</v>
      </c>
      <c r="D462" s="1055" t="s">
        <v>1865</v>
      </c>
      <c r="E462" s="1055" t="s">
        <v>1866</v>
      </c>
      <c r="F462" s="1056">
        <v>-464</v>
      </c>
      <c r="G462" s="1056">
        <v>464</v>
      </c>
      <c r="H462" s="1056">
        <v>0</v>
      </c>
      <c r="I462" s="1056">
        <v>0</v>
      </c>
      <c r="K462" s="995">
        <f t="shared" si="7"/>
        <v>8</v>
      </c>
    </row>
    <row r="463" spans="1:11">
      <c r="A463" s="1054">
        <v>22050101</v>
      </c>
      <c r="B463" s="1055" t="s">
        <v>893</v>
      </c>
      <c r="C463" s="1055" t="s">
        <v>520</v>
      </c>
      <c r="D463" s="1055" t="s">
        <v>1920</v>
      </c>
      <c r="E463" s="1055" t="s">
        <v>1921</v>
      </c>
      <c r="F463" s="1056">
        <v>0</v>
      </c>
      <c r="G463" s="1056">
        <v>631</v>
      </c>
      <c r="H463" s="1056">
        <v>631</v>
      </c>
      <c r="I463" s="1056">
        <v>0</v>
      </c>
      <c r="K463" s="995">
        <f t="shared" si="7"/>
        <v>8</v>
      </c>
    </row>
    <row r="464" spans="1:11">
      <c r="A464" s="1054">
        <v>22050101</v>
      </c>
      <c r="B464" s="1055" t="s">
        <v>893</v>
      </c>
      <c r="C464" s="1055" t="s">
        <v>520</v>
      </c>
      <c r="D464" s="1055" t="s">
        <v>1316</v>
      </c>
      <c r="E464" s="1055" t="s">
        <v>985</v>
      </c>
      <c r="F464" s="1056">
        <v>-747</v>
      </c>
      <c r="G464" s="1056">
        <v>747</v>
      </c>
      <c r="H464" s="1056">
        <v>0</v>
      </c>
      <c r="I464" s="1056">
        <v>0</v>
      </c>
      <c r="K464" s="995">
        <f t="shared" si="7"/>
        <v>8</v>
      </c>
    </row>
    <row r="465" spans="1:11">
      <c r="A465" s="1054">
        <v>22050101</v>
      </c>
      <c r="B465" s="1055" t="s">
        <v>893</v>
      </c>
      <c r="C465" s="1055" t="s">
        <v>520</v>
      </c>
      <c r="D465" s="1055" t="s">
        <v>1702</v>
      </c>
      <c r="E465" s="1055" t="s">
        <v>1703</v>
      </c>
      <c r="F465" s="1056">
        <v>-2268</v>
      </c>
      <c r="G465" s="1056">
        <v>7426</v>
      </c>
      <c r="H465" s="1056">
        <v>5158</v>
      </c>
      <c r="I465" s="1056">
        <v>0</v>
      </c>
      <c r="K465" s="995">
        <f t="shared" si="7"/>
        <v>8</v>
      </c>
    </row>
    <row r="466" spans="1:11">
      <c r="A466" s="1054">
        <v>22050101</v>
      </c>
      <c r="B466" s="1055" t="s">
        <v>893</v>
      </c>
      <c r="C466" s="1055" t="s">
        <v>520</v>
      </c>
      <c r="D466" s="1055" t="s">
        <v>1307</v>
      </c>
      <c r="E466" s="1055" t="s">
        <v>992</v>
      </c>
      <c r="F466" s="1056">
        <v>-910</v>
      </c>
      <c r="G466" s="1056">
        <v>983</v>
      </c>
      <c r="H466" s="1056">
        <v>794</v>
      </c>
      <c r="I466" s="1056">
        <v>-721</v>
      </c>
      <c r="K466" s="995">
        <f t="shared" si="7"/>
        <v>8</v>
      </c>
    </row>
    <row r="467" spans="1:11">
      <c r="A467" s="1054">
        <v>22050101</v>
      </c>
      <c r="B467" s="1055" t="s">
        <v>893</v>
      </c>
      <c r="C467" s="1055" t="s">
        <v>520</v>
      </c>
      <c r="D467" s="1055" t="s">
        <v>1212</v>
      </c>
      <c r="E467" s="1055" t="s">
        <v>1030</v>
      </c>
      <c r="F467" s="1056">
        <v>0</v>
      </c>
      <c r="G467" s="1056">
        <v>633</v>
      </c>
      <c r="H467" s="1056">
        <v>633</v>
      </c>
      <c r="I467" s="1056">
        <v>0</v>
      </c>
      <c r="K467" s="995">
        <f t="shared" si="7"/>
        <v>8</v>
      </c>
    </row>
    <row r="468" spans="1:11">
      <c r="A468" s="1054">
        <v>22050101</v>
      </c>
      <c r="B468" s="1055" t="s">
        <v>893</v>
      </c>
      <c r="C468" s="1055" t="s">
        <v>520</v>
      </c>
      <c r="D468" s="1055" t="s">
        <v>1922</v>
      </c>
      <c r="E468" s="1055" t="s">
        <v>1923</v>
      </c>
      <c r="F468" s="1056">
        <v>0</v>
      </c>
      <c r="G468" s="1056">
        <v>0</v>
      </c>
      <c r="H468" s="1056">
        <v>85</v>
      </c>
      <c r="I468" s="1056">
        <v>-85</v>
      </c>
      <c r="K468" s="995">
        <f t="shared" si="7"/>
        <v>8</v>
      </c>
    </row>
    <row r="469" spans="1:11">
      <c r="A469" s="1054">
        <v>22050101</v>
      </c>
      <c r="B469" s="1055" t="s">
        <v>893</v>
      </c>
      <c r="C469" s="1055" t="s">
        <v>520</v>
      </c>
      <c r="D469" s="1055" t="s">
        <v>1924</v>
      </c>
      <c r="E469" s="1055" t="s">
        <v>1925</v>
      </c>
      <c r="F469" s="1056">
        <v>0</v>
      </c>
      <c r="G469" s="1056">
        <v>1046</v>
      </c>
      <c r="H469" s="1056">
        <v>1046</v>
      </c>
      <c r="I469" s="1056">
        <v>0</v>
      </c>
      <c r="K469" s="995">
        <f t="shared" si="7"/>
        <v>8</v>
      </c>
    </row>
    <row r="470" spans="1:11">
      <c r="A470" s="1054">
        <v>22050102</v>
      </c>
      <c r="B470" s="1055" t="s">
        <v>1489</v>
      </c>
      <c r="C470" s="1055" t="s">
        <v>507</v>
      </c>
      <c r="D470" s="1055" t="s">
        <v>893</v>
      </c>
      <c r="E470" s="1055" t="s">
        <v>893</v>
      </c>
      <c r="F470" s="1056">
        <v>0</v>
      </c>
      <c r="G470" s="1056">
        <v>2165</v>
      </c>
      <c r="H470" s="1056">
        <v>2165</v>
      </c>
      <c r="I470" s="1056">
        <v>0</v>
      </c>
      <c r="K470" s="995">
        <f t="shared" si="7"/>
        <v>8</v>
      </c>
    </row>
    <row r="471" spans="1:11">
      <c r="A471" s="1054">
        <v>22050102</v>
      </c>
      <c r="B471" s="1055" t="s">
        <v>1489</v>
      </c>
      <c r="C471" s="1055" t="s">
        <v>507</v>
      </c>
      <c r="D471" s="1055" t="s">
        <v>1053</v>
      </c>
      <c r="E471" s="1055" t="s">
        <v>1054</v>
      </c>
      <c r="F471" s="1056">
        <v>0</v>
      </c>
      <c r="G471" s="1056">
        <v>792</v>
      </c>
      <c r="H471" s="1056">
        <v>792</v>
      </c>
      <c r="I471" s="1056">
        <v>0</v>
      </c>
      <c r="K471" s="995">
        <f t="shared" si="7"/>
        <v>8</v>
      </c>
    </row>
    <row r="472" spans="1:11">
      <c r="A472" s="1054">
        <v>22050102</v>
      </c>
      <c r="B472" s="1055" t="s">
        <v>1489</v>
      </c>
      <c r="C472" s="1055" t="s">
        <v>507</v>
      </c>
      <c r="D472" s="1055" t="s">
        <v>1562</v>
      </c>
      <c r="E472" s="1055" t="s">
        <v>1563</v>
      </c>
      <c r="F472" s="1056">
        <v>0</v>
      </c>
      <c r="G472" s="1056">
        <v>90</v>
      </c>
      <c r="H472" s="1056">
        <v>90</v>
      </c>
      <c r="I472" s="1056">
        <v>0</v>
      </c>
      <c r="K472" s="995">
        <f t="shared" si="7"/>
        <v>8</v>
      </c>
    </row>
    <row r="473" spans="1:11">
      <c r="A473" s="1054">
        <v>22050102</v>
      </c>
      <c r="B473" s="1055" t="s">
        <v>1489</v>
      </c>
      <c r="C473" s="1055" t="s">
        <v>507</v>
      </c>
      <c r="D473" s="1055" t="s">
        <v>1272</v>
      </c>
      <c r="E473" s="1055" t="s">
        <v>1273</v>
      </c>
      <c r="F473" s="1056">
        <v>0</v>
      </c>
      <c r="G473" s="1056">
        <v>266</v>
      </c>
      <c r="H473" s="1056">
        <v>266</v>
      </c>
      <c r="I473" s="1056">
        <v>0</v>
      </c>
      <c r="K473" s="995">
        <f t="shared" si="7"/>
        <v>8</v>
      </c>
    </row>
    <row r="474" spans="1:11">
      <c r="A474" s="1054">
        <v>22050102</v>
      </c>
      <c r="B474" s="1055" t="s">
        <v>1489</v>
      </c>
      <c r="C474" s="1055" t="s">
        <v>507</v>
      </c>
      <c r="D474" s="1055" t="s">
        <v>1693</v>
      </c>
      <c r="E474" s="1055" t="s">
        <v>1694</v>
      </c>
      <c r="F474" s="1056">
        <v>0</v>
      </c>
      <c r="G474" s="1056">
        <v>90</v>
      </c>
      <c r="H474" s="1056">
        <v>90</v>
      </c>
      <c r="I474" s="1056">
        <v>0</v>
      </c>
      <c r="K474" s="995">
        <f t="shared" si="7"/>
        <v>8</v>
      </c>
    </row>
    <row r="475" spans="1:11">
      <c r="A475" s="1054">
        <v>22050102</v>
      </c>
      <c r="B475" s="1055" t="s">
        <v>1489</v>
      </c>
      <c r="C475" s="1055" t="s">
        <v>507</v>
      </c>
      <c r="D475" s="1055" t="s">
        <v>1299</v>
      </c>
      <c r="E475" s="1055" t="s">
        <v>1737</v>
      </c>
      <c r="F475" s="1056">
        <v>0</v>
      </c>
      <c r="G475" s="1056">
        <v>28</v>
      </c>
      <c r="H475" s="1056">
        <v>28</v>
      </c>
      <c r="I475" s="1056">
        <v>0</v>
      </c>
      <c r="K475" s="995">
        <f t="shared" si="7"/>
        <v>8</v>
      </c>
    </row>
    <row r="476" spans="1:11">
      <c r="A476" s="1054">
        <v>22050102</v>
      </c>
      <c r="B476" s="1055" t="s">
        <v>1489</v>
      </c>
      <c r="C476" s="1055" t="s">
        <v>507</v>
      </c>
      <c r="D476" s="1055" t="s">
        <v>1695</v>
      </c>
      <c r="E476" s="1055" t="s">
        <v>1696</v>
      </c>
      <c r="F476" s="1056">
        <v>0</v>
      </c>
      <c r="G476" s="1056">
        <v>4</v>
      </c>
      <c r="H476" s="1056">
        <v>4</v>
      </c>
      <c r="I476" s="1056">
        <v>0</v>
      </c>
      <c r="K476" s="995">
        <f t="shared" si="7"/>
        <v>8</v>
      </c>
    </row>
    <row r="477" spans="1:11">
      <c r="A477" s="1054">
        <v>22050102</v>
      </c>
      <c r="B477" s="1055" t="s">
        <v>1489</v>
      </c>
      <c r="C477" s="1055" t="s">
        <v>507</v>
      </c>
      <c r="D477" s="1055" t="s">
        <v>1300</v>
      </c>
      <c r="E477" s="1055" t="s">
        <v>1301</v>
      </c>
      <c r="F477" s="1056">
        <v>0</v>
      </c>
      <c r="G477" s="1056">
        <v>345</v>
      </c>
      <c r="H477" s="1056">
        <v>345</v>
      </c>
      <c r="I477" s="1056">
        <v>0</v>
      </c>
      <c r="K477" s="995">
        <f t="shared" si="7"/>
        <v>8</v>
      </c>
    </row>
    <row r="478" spans="1:11">
      <c r="A478" s="1054">
        <v>22050102</v>
      </c>
      <c r="B478" s="1055" t="s">
        <v>1489</v>
      </c>
      <c r="C478" s="1055" t="s">
        <v>507</v>
      </c>
      <c r="D478" s="1055" t="s">
        <v>1912</v>
      </c>
      <c r="E478" s="1055" t="s">
        <v>1913</v>
      </c>
      <c r="F478" s="1056">
        <v>0</v>
      </c>
      <c r="G478" s="1056">
        <v>550</v>
      </c>
      <c r="H478" s="1056">
        <v>550</v>
      </c>
      <c r="I478" s="1056">
        <v>0</v>
      </c>
      <c r="K478" s="995">
        <f t="shared" si="7"/>
        <v>8</v>
      </c>
    </row>
    <row r="479" spans="1:11">
      <c r="A479" s="1054">
        <v>23</v>
      </c>
      <c r="B479" s="1055" t="s">
        <v>893</v>
      </c>
      <c r="C479" s="1055" t="s">
        <v>115</v>
      </c>
      <c r="D479" s="1055" t="s">
        <v>893</v>
      </c>
      <c r="E479" s="1055" t="s">
        <v>893</v>
      </c>
      <c r="F479" s="1056">
        <v>-10256</v>
      </c>
      <c r="G479" s="1056">
        <v>35546</v>
      </c>
      <c r="H479" s="1056">
        <v>30869</v>
      </c>
      <c r="I479" s="1056">
        <v>-5580</v>
      </c>
      <c r="K479" s="995">
        <f t="shared" si="7"/>
        <v>2</v>
      </c>
    </row>
    <row r="480" spans="1:11">
      <c r="A480" s="1054">
        <v>2365</v>
      </c>
      <c r="B480" s="1055" t="s">
        <v>893</v>
      </c>
      <c r="C480" s="1055" t="s">
        <v>331</v>
      </c>
      <c r="D480" s="1055" t="s">
        <v>893</v>
      </c>
      <c r="E480" s="1055" t="s">
        <v>893</v>
      </c>
      <c r="F480" s="1056">
        <v>0</v>
      </c>
      <c r="G480" s="1056">
        <v>7674</v>
      </c>
      <c r="H480" s="1056">
        <v>7674</v>
      </c>
      <c r="I480" s="1056">
        <v>0</v>
      </c>
      <c r="K480" s="995">
        <f t="shared" si="7"/>
        <v>4</v>
      </c>
    </row>
    <row r="481" spans="1:11">
      <c r="A481" s="1054">
        <v>236515</v>
      </c>
      <c r="B481" s="1055" t="s">
        <v>893</v>
      </c>
      <c r="C481" s="1055" t="s">
        <v>117</v>
      </c>
      <c r="D481" s="1055" t="s">
        <v>893</v>
      </c>
      <c r="E481" s="1055" t="s">
        <v>893</v>
      </c>
      <c r="F481" s="1056">
        <v>-950</v>
      </c>
      <c r="G481" s="1056">
        <v>0</v>
      </c>
      <c r="H481" s="1056">
        <v>157</v>
      </c>
      <c r="I481" s="1056">
        <v>-1108</v>
      </c>
      <c r="K481" s="995">
        <f t="shared" si="7"/>
        <v>6</v>
      </c>
    </row>
    <row r="482" spans="1:11">
      <c r="A482" s="1054">
        <v>23651502</v>
      </c>
      <c r="B482" s="1055" t="s">
        <v>1489</v>
      </c>
      <c r="C482" s="1055" t="s">
        <v>914</v>
      </c>
      <c r="D482" s="1055" t="s">
        <v>893</v>
      </c>
      <c r="E482" s="1055" t="s">
        <v>893</v>
      </c>
      <c r="F482" s="1056">
        <v>-950</v>
      </c>
      <c r="G482" s="1056">
        <v>0</v>
      </c>
      <c r="H482" s="1056">
        <v>157</v>
      </c>
      <c r="I482" s="1056">
        <v>-1108</v>
      </c>
      <c r="K482" s="995">
        <f t="shared" si="7"/>
        <v>8</v>
      </c>
    </row>
    <row r="483" spans="1:11">
      <c r="A483" s="1054">
        <v>23651502</v>
      </c>
      <c r="B483" s="1055" t="s">
        <v>1489</v>
      </c>
      <c r="C483" s="1055" t="s">
        <v>914</v>
      </c>
      <c r="D483" s="1055" t="s">
        <v>1190</v>
      </c>
      <c r="E483" s="1055" t="s">
        <v>577</v>
      </c>
      <c r="F483" s="1056">
        <v>-593</v>
      </c>
      <c r="G483" s="1056">
        <v>0</v>
      </c>
      <c r="H483" s="1056">
        <v>157</v>
      </c>
      <c r="I483" s="1056">
        <v>-750</v>
      </c>
      <c r="K483" s="995">
        <f t="shared" si="7"/>
        <v>8</v>
      </c>
    </row>
    <row r="484" spans="1:11">
      <c r="A484" s="1054">
        <v>23651502</v>
      </c>
      <c r="B484" s="1055" t="s">
        <v>1489</v>
      </c>
      <c r="C484" s="1055" t="s">
        <v>914</v>
      </c>
      <c r="D484" s="1055" t="s">
        <v>1702</v>
      </c>
      <c r="E484" s="1055" t="s">
        <v>1703</v>
      </c>
      <c r="F484" s="1056">
        <v>-358</v>
      </c>
      <c r="G484" s="1056">
        <v>0</v>
      </c>
      <c r="H484" s="1056">
        <v>0</v>
      </c>
      <c r="I484" s="1056">
        <v>-358</v>
      </c>
      <c r="K484" s="995">
        <f t="shared" si="7"/>
        <v>8</v>
      </c>
    </row>
    <row r="485" spans="1:11">
      <c r="A485" s="1054">
        <v>236520</v>
      </c>
      <c r="B485" s="1055" t="s">
        <v>893</v>
      </c>
      <c r="C485" s="1055" t="s">
        <v>398</v>
      </c>
      <c r="D485" s="1055" t="s">
        <v>893</v>
      </c>
      <c r="E485" s="1055" t="s">
        <v>893</v>
      </c>
      <c r="F485" s="1056">
        <v>-413</v>
      </c>
      <c r="G485" s="1056">
        <v>0</v>
      </c>
      <c r="H485" s="1056">
        <v>0</v>
      </c>
      <c r="I485" s="1056">
        <v>-413</v>
      </c>
      <c r="K485" s="995">
        <f t="shared" si="7"/>
        <v>6</v>
      </c>
    </row>
    <row r="486" spans="1:11">
      <c r="A486" s="1054">
        <v>23652002</v>
      </c>
      <c r="B486" s="1055" t="s">
        <v>893</v>
      </c>
      <c r="C486" s="1055" t="s">
        <v>1706</v>
      </c>
      <c r="D486" s="1055" t="s">
        <v>893</v>
      </c>
      <c r="E486" s="1055" t="s">
        <v>893</v>
      </c>
      <c r="F486" s="1056">
        <v>-413</v>
      </c>
      <c r="G486" s="1056">
        <v>0</v>
      </c>
      <c r="H486" s="1056">
        <v>0</v>
      </c>
      <c r="I486" s="1056">
        <v>-413</v>
      </c>
      <c r="K486" s="995">
        <f t="shared" si="7"/>
        <v>8</v>
      </c>
    </row>
    <row r="487" spans="1:11">
      <c r="A487" s="1054">
        <v>23652002</v>
      </c>
      <c r="B487" s="1055" t="s">
        <v>893</v>
      </c>
      <c r="C487" s="1055" t="s">
        <v>1706</v>
      </c>
      <c r="D487" s="1055" t="s">
        <v>1704</v>
      </c>
      <c r="E487" s="1055" t="s">
        <v>1705</v>
      </c>
      <c r="F487" s="1056">
        <v>-413</v>
      </c>
      <c r="G487" s="1056">
        <v>0</v>
      </c>
      <c r="H487" s="1056">
        <v>0</v>
      </c>
      <c r="I487" s="1056">
        <v>-413</v>
      </c>
      <c r="K487" s="995">
        <f t="shared" si="7"/>
        <v>8</v>
      </c>
    </row>
    <row r="488" spans="1:11">
      <c r="A488" s="1054">
        <v>236525</v>
      </c>
      <c r="B488" s="1055" t="s">
        <v>1489</v>
      </c>
      <c r="C488" s="1055" t="s">
        <v>118</v>
      </c>
      <c r="D488" s="1055" t="s">
        <v>893</v>
      </c>
      <c r="E488" s="1055" t="s">
        <v>893</v>
      </c>
      <c r="F488" s="1056">
        <v>-6403</v>
      </c>
      <c r="G488" s="1056">
        <v>0</v>
      </c>
      <c r="H488" s="1056">
        <v>1531</v>
      </c>
      <c r="I488" s="1056">
        <v>-7934</v>
      </c>
      <c r="K488" s="995">
        <f t="shared" si="7"/>
        <v>6</v>
      </c>
    </row>
    <row r="489" spans="1:11">
      <c r="A489" s="1054">
        <v>23652501</v>
      </c>
      <c r="B489" s="1055" t="s">
        <v>893</v>
      </c>
      <c r="C489" s="1055" t="s">
        <v>557</v>
      </c>
      <c r="D489" s="1055" t="s">
        <v>893</v>
      </c>
      <c r="E489" s="1055" t="s">
        <v>893</v>
      </c>
      <c r="F489" s="1056">
        <v>-167</v>
      </c>
      <c r="G489" s="1056">
        <v>0</v>
      </c>
      <c r="H489" s="1056">
        <v>110</v>
      </c>
      <c r="I489" s="1056">
        <v>-277</v>
      </c>
      <c r="K489" s="995">
        <f t="shared" si="7"/>
        <v>8</v>
      </c>
    </row>
    <row r="490" spans="1:11">
      <c r="A490" s="1054">
        <v>23652501</v>
      </c>
      <c r="B490" s="1055" t="s">
        <v>893</v>
      </c>
      <c r="C490" s="1055" t="s">
        <v>557</v>
      </c>
      <c r="D490" s="1055" t="s">
        <v>1773</v>
      </c>
      <c r="E490" s="1055" t="s">
        <v>1774</v>
      </c>
      <c r="F490" s="1056">
        <v>-108</v>
      </c>
      <c r="G490" s="1056">
        <v>0</v>
      </c>
      <c r="H490" s="1056">
        <v>0</v>
      </c>
      <c r="I490" s="1056">
        <v>-108</v>
      </c>
      <c r="K490" s="995">
        <f t="shared" si="7"/>
        <v>8</v>
      </c>
    </row>
    <row r="491" spans="1:11">
      <c r="A491" s="1054">
        <v>23652501</v>
      </c>
      <c r="B491" s="1055" t="s">
        <v>893</v>
      </c>
      <c r="C491" s="1055" t="s">
        <v>557</v>
      </c>
      <c r="D491" s="1055" t="s">
        <v>1182</v>
      </c>
      <c r="E491" s="1055" t="s">
        <v>521</v>
      </c>
      <c r="F491" s="1056">
        <v>-13</v>
      </c>
      <c r="G491" s="1056">
        <v>0</v>
      </c>
      <c r="H491" s="1056">
        <v>26</v>
      </c>
      <c r="I491" s="1056">
        <v>-39</v>
      </c>
      <c r="K491" s="995">
        <f t="shared" si="7"/>
        <v>8</v>
      </c>
    </row>
    <row r="492" spans="1:11">
      <c r="A492" s="1054">
        <v>23652501</v>
      </c>
      <c r="B492" s="1055" t="s">
        <v>893</v>
      </c>
      <c r="C492" s="1055" t="s">
        <v>557</v>
      </c>
      <c r="D492" s="1055" t="s">
        <v>1311</v>
      </c>
      <c r="E492" s="1055" t="s">
        <v>995</v>
      </c>
      <c r="F492" s="1056">
        <v>-27</v>
      </c>
      <c r="G492" s="1056">
        <v>0</v>
      </c>
      <c r="H492" s="1056">
        <v>49</v>
      </c>
      <c r="I492" s="1056">
        <v>-76</v>
      </c>
      <c r="K492" s="995">
        <f t="shared" si="7"/>
        <v>8</v>
      </c>
    </row>
    <row r="493" spans="1:11">
      <c r="A493" s="1054">
        <v>23652501</v>
      </c>
      <c r="B493" s="1055" t="s">
        <v>893</v>
      </c>
      <c r="C493" s="1055" t="s">
        <v>557</v>
      </c>
      <c r="D493" s="1055" t="s">
        <v>1135</v>
      </c>
      <c r="E493" s="1055" t="s">
        <v>1016</v>
      </c>
      <c r="F493" s="1056">
        <v>-19</v>
      </c>
      <c r="G493" s="1056">
        <v>0</v>
      </c>
      <c r="H493" s="1056">
        <v>0</v>
      </c>
      <c r="I493" s="1056">
        <v>-19</v>
      </c>
      <c r="K493" s="995">
        <f t="shared" si="7"/>
        <v>8</v>
      </c>
    </row>
    <row r="494" spans="1:11">
      <c r="A494" s="1054">
        <v>23652501</v>
      </c>
      <c r="B494" s="1055" t="s">
        <v>893</v>
      </c>
      <c r="C494" s="1055" t="s">
        <v>557</v>
      </c>
      <c r="D494" s="1055" t="s">
        <v>1924</v>
      </c>
      <c r="E494" s="1055" t="s">
        <v>1925</v>
      </c>
      <c r="F494" s="1056">
        <v>0</v>
      </c>
      <c r="G494" s="1056">
        <v>0</v>
      </c>
      <c r="H494" s="1056">
        <v>36</v>
      </c>
      <c r="I494" s="1056">
        <v>-36</v>
      </c>
      <c r="K494" s="995">
        <f t="shared" si="7"/>
        <v>8</v>
      </c>
    </row>
    <row r="495" spans="1:11">
      <c r="A495" s="1054">
        <v>23652502</v>
      </c>
      <c r="B495" s="1055" t="s">
        <v>893</v>
      </c>
      <c r="C495" s="1055" t="s">
        <v>523</v>
      </c>
      <c r="D495" s="1055" t="s">
        <v>893</v>
      </c>
      <c r="E495" s="1055" t="s">
        <v>893</v>
      </c>
      <c r="F495" s="1056">
        <v>-4638</v>
      </c>
      <c r="G495" s="1056">
        <v>0</v>
      </c>
      <c r="H495" s="1056">
        <v>1272</v>
      </c>
      <c r="I495" s="1056">
        <v>-5910</v>
      </c>
      <c r="K495" s="995">
        <f t="shared" si="7"/>
        <v>8</v>
      </c>
    </row>
    <row r="496" spans="1:11">
      <c r="A496" s="1054">
        <v>23652502</v>
      </c>
      <c r="B496" s="1055" t="s">
        <v>893</v>
      </c>
      <c r="C496" s="1055" t="s">
        <v>523</v>
      </c>
      <c r="D496" s="1055" t="s">
        <v>1084</v>
      </c>
      <c r="E496" s="1055" t="s">
        <v>1010</v>
      </c>
      <c r="F496" s="1056">
        <v>-100</v>
      </c>
      <c r="G496" s="1056">
        <v>0</v>
      </c>
      <c r="H496" s="1056">
        <v>38</v>
      </c>
      <c r="I496" s="1056">
        <v>-138</v>
      </c>
      <c r="K496" s="995">
        <f t="shared" si="7"/>
        <v>8</v>
      </c>
    </row>
    <row r="497" spans="1:11">
      <c r="A497" s="1054">
        <v>23652502</v>
      </c>
      <c r="B497" s="1055" t="s">
        <v>893</v>
      </c>
      <c r="C497" s="1055" t="s">
        <v>523</v>
      </c>
      <c r="D497" s="1055" t="s">
        <v>1180</v>
      </c>
      <c r="E497" s="1055" t="s">
        <v>1014</v>
      </c>
      <c r="F497" s="1056">
        <v>-809</v>
      </c>
      <c r="G497" s="1056">
        <v>0</v>
      </c>
      <c r="H497" s="1056">
        <v>355</v>
      </c>
      <c r="I497" s="1056">
        <v>-1164</v>
      </c>
      <c r="K497" s="995">
        <f t="shared" si="7"/>
        <v>8</v>
      </c>
    </row>
    <row r="498" spans="1:11">
      <c r="A498" s="1054">
        <v>23652502</v>
      </c>
      <c r="B498" s="1055" t="s">
        <v>893</v>
      </c>
      <c r="C498" s="1055" t="s">
        <v>523</v>
      </c>
      <c r="D498" s="1055" t="s">
        <v>1135</v>
      </c>
      <c r="E498" s="1055" t="s">
        <v>1016</v>
      </c>
      <c r="F498" s="1056">
        <v>-15</v>
      </c>
      <c r="G498" s="1056">
        <v>0</v>
      </c>
      <c r="H498" s="1056">
        <v>31</v>
      </c>
      <c r="I498" s="1056">
        <v>-46</v>
      </c>
      <c r="K498" s="995">
        <f t="shared" si="7"/>
        <v>8</v>
      </c>
    </row>
    <row r="499" spans="1:11">
      <c r="A499" s="1054">
        <v>23652502</v>
      </c>
      <c r="B499" s="1055" t="s">
        <v>893</v>
      </c>
      <c r="C499" s="1055" t="s">
        <v>523</v>
      </c>
      <c r="D499" s="1055" t="s">
        <v>1185</v>
      </c>
      <c r="E499" s="1055" t="s">
        <v>1017</v>
      </c>
      <c r="F499" s="1056">
        <v>-319</v>
      </c>
      <c r="G499" s="1056">
        <v>0</v>
      </c>
      <c r="H499" s="1056">
        <v>79</v>
      </c>
      <c r="I499" s="1056">
        <v>-398</v>
      </c>
      <c r="K499" s="995">
        <f t="shared" si="7"/>
        <v>8</v>
      </c>
    </row>
    <row r="500" spans="1:11">
      <c r="A500" s="1054">
        <v>23652502</v>
      </c>
      <c r="B500" s="1055" t="s">
        <v>893</v>
      </c>
      <c r="C500" s="1055" t="s">
        <v>523</v>
      </c>
      <c r="D500" s="1055" t="s">
        <v>1295</v>
      </c>
      <c r="E500" s="1055" t="s">
        <v>963</v>
      </c>
      <c r="F500" s="1056">
        <v>-694</v>
      </c>
      <c r="G500" s="1056">
        <v>0</v>
      </c>
      <c r="H500" s="1056">
        <v>0</v>
      </c>
      <c r="I500" s="1056">
        <v>-694</v>
      </c>
      <c r="K500" s="995">
        <f t="shared" si="7"/>
        <v>8</v>
      </c>
    </row>
    <row r="501" spans="1:11">
      <c r="A501" s="1054">
        <v>23652502</v>
      </c>
      <c r="B501" s="1055" t="s">
        <v>893</v>
      </c>
      <c r="C501" s="1055" t="s">
        <v>523</v>
      </c>
      <c r="D501" s="1055" t="s">
        <v>1034</v>
      </c>
      <c r="E501" s="1055" t="s">
        <v>504</v>
      </c>
      <c r="F501" s="1056">
        <v>-908</v>
      </c>
      <c r="G501" s="1056">
        <v>0</v>
      </c>
      <c r="H501" s="1056">
        <v>306</v>
      </c>
      <c r="I501" s="1056">
        <v>-1214</v>
      </c>
      <c r="K501" s="995">
        <f t="shared" si="7"/>
        <v>8</v>
      </c>
    </row>
    <row r="502" spans="1:11">
      <c r="A502" s="1054">
        <v>23652502</v>
      </c>
      <c r="B502" s="1055" t="s">
        <v>893</v>
      </c>
      <c r="C502" s="1055" t="s">
        <v>523</v>
      </c>
      <c r="D502" s="1055" t="s">
        <v>1918</v>
      </c>
      <c r="E502" s="1055" t="s">
        <v>1919</v>
      </c>
      <c r="F502" s="1056">
        <v>0</v>
      </c>
      <c r="G502" s="1056">
        <v>0</v>
      </c>
      <c r="H502" s="1056">
        <v>12</v>
      </c>
      <c r="I502" s="1056">
        <v>-12</v>
      </c>
      <c r="K502" s="995">
        <f t="shared" si="7"/>
        <v>8</v>
      </c>
    </row>
    <row r="503" spans="1:11">
      <c r="A503" s="1054">
        <v>23652502</v>
      </c>
      <c r="B503" s="1055" t="s">
        <v>893</v>
      </c>
      <c r="C503" s="1055" t="s">
        <v>523</v>
      </c>
      <c r="D503" s="1055" t="s">
        <v>1202</v>
      </c>
      <c r="E503" s="1055" t="s">
        <v>446</v>
      </c>
      <c r="F503" s="1056">
        <v>-166</v>
      </c>
      <c r="G503" s="1056">
        <v>0</v>
      </c>
      <c r="H503" s="1056">
        <v>36</v>
      </c>
      <c r="I503" s="1056">
        <v>-202</v>
      </c>
      <c r="K503" s="995">
        <f t="shared" si="7"/>
        <v>8</v>
      </c>
    </row>
    <row r="504" spans="1:11">
      <c r="A504" s="1054">
        <v>23652502</v>
      </c>
      <c r="B504" s="1055" t="s">
        <v>893</v>
      </c>
      <c r="C504" s="1055" t="s">
        <v>523</v>
      </c>
      <c r="D504" s="1055" t="s">
        <v>1035</v>
      </c>
      <c r="E504" s="1055" t="s">
        <v>573</v>
      </c>
      <c r="F504" s="1056">
        <v>-146</v>
      </c>
      <c r="G504" s="1056">
        <v>0</v>
      </c>
      <c r="H504" s="1056">
        <v>60</v>
      </c>
      <c r="I504" s="1056">
        <v>-206</v>
      </c>
      <c r="K504" s="995">
        <f t="shared" si="7"/>
        <v>8</v>
      </c>
    </row>
    <row r="505" spans="1:11">
      <c r="A505" s="1054">
        <v>23652502</v>
      </c>
      <c r="B505" s="1055" t="s">
        <v>893</v>
      </c>
      <c r="C505" s="1055" t="s">
        <v>523</v>
      </c>
      <c r="D505" s="1055" t="s">
        <v>1207</v>
      </c>
      <c r="E505" s="1055" t="s">
        <v>1028</v>
      </c>
      <c r="F505" s="1056">
        <v>-737</v>
      </c>
      <c r="G505" s="1056">
        <v>0</v>
      </c>
      <c r="H505" s="1056">
        <v>238</v>
      </c>
      <c r="I505" s="1056">
        <v>-975</v>
      </c>
      <c r="K505" s="995">
        <f t="shared" si="7"/>
        <v>8</v>
      </c>
    </row>
    <row r="506" spans="1:11">
      <c r="A506" s="1054">
        <v>23652502</v>
      </c>
      <c r="B506" s="1055" t="s">
        <v>893</v>
      </c>
      <c r="C506" s="1055" t="s">
        <v>523</v>
      </c>
      <c r="D506" s="1055" t="s">
        <v>1315</v>
      </c>
      <c r="E506" s="1055" t="s">
        <v>996</v>
      </c>
      <c r="F506" s="1056">
        <v>-64</v>
      </c>
      <c r="G506" s="1056">
        <v>0</v>
      </c>
      <c r="H506" s="1056">
        <v>20</v>
      </c>
      <c r="I506" s="1056">
        <v>-84</v>
      </c>
      <c r="K506" s="995">
        <f t="shared" si="7"/>
        <v>8</v>
      </c>
    </row>
    <row r="507" spans="1:11">
      <c r="A507" s="1054">
        <v>23652502</v>
      </c>
      <c r="B507" s="1055" t="s">
        <v>893</v>
      </c>
      <c r="C507" s="1055" t="s">
        <v>523</v>
      </c>
      <c r="D507" s="1055" t="s">
        <v>1036</v>
      </c>
      <c r="E507" s="1055" t="s">
        <v>1037</v>
      </c>
      <c r="F507" s="1056">
        <v>-395</v>
      </c>
      <c r="G507" s="1056">
        <v>0</v>
      </c>
      <c r="H507" s="1056">
        <v>79</v>
      </c>
      <c r="I507" s="1056">
        <v>-473</v>
      </c>
      <c r="K507" s="995">
        <f t="shared" si="7"/>
        <v>8</v>
      </c>
    </row>
    <row r="508" spans="1:11">
      <c r="A508" s="1054">
        <v>23652502</v>
      </c>
      <c r="B508" s="1055" t="s">
        <v>893</v>
      </c>
      <c r="C508" s="1055" t="s">
        <v>523</v>
      </c>
      <c r="D508" s="1055" t="s">
        <v>1294</v>
      </c>
      <c r="E508" s="1055" t="s">
        <v>779</v>
      </c>
      <c r="F508" s="1056">
        <v>-26</v>
      </c>
      <c r="G508" s="1056">
        <v>0</v>
      </c>
      <c r="H508" s="1056">
        <v>18</v>
      </c>
      <c r="I508" s="1056">
        <v>-44</v>
      </c>
      <c r="K508" s="995">
        <f t="shared" si="7"/>
        <v>8</v>
      </c>
    </row>
    <row r="509" spans="1:11">
      <c r="A509" s="1054">
        <v>23652502</v>
      </c>
      <c r="B509" s="1055" t="s">
        <v>893</v>
      </c>
      <c r="C509" s="1055" t="s">
        <v>523</v>
      </c>
      <c r="D509" s="1055" t="s">
        <v>1062</v>
      </c>
      <c r="E509" s="1055" t="s">
        <v>510</v>
      </c>
      <c r="F509" s="1056">
        <v>-180</v>
      </c>
      <c r="G509" s="1056">
        <v>0</v>
      </c>
      <c r="H509" s="1056">
        <v>0</v>
      </c>
      <c r="I509" s="1056">
        <v>-180</v>
      </c>
      <c r="K509" s="995">
        <f t="shared" si="7"/>
        <v>8</v>
      </c>
    </row>
    <row r="510" spans="1:11">
      <c r="A510" s="1054">
        <v>23652502</v>
      </c>
      <c r="B510" s="1055" t="s">
        <v>893</v>
      </c>
      <c r="C510" s="1055" t="s">
        <v>523</v>
      </c>
      <c r="D510" s="1055" t="s">
        <v>1316</v>
      </c>
      <c r="E510" s="1055" t="s">
        <v>985</v>
      </c>
      <c r="F510" s="1056">
        <v>-61</v>
      </c>
      <c r="G510" s="1056">
        <v>0</v>
      </c>
      <c r="H510" s="1056">
        <v>0</v>
      </c>
      <c r="I510" s="1056">
        <v>-61</v>
      </c>
      <c r="K510" s="995">
        <f t="shared" si="7"/>
        <v>8</v>
      </c>
    </row>
    <row r="511" spans="1:11">
      <c r="A511" s="1054">
        <v>23652502</v>
      </c>
      <c r="B511" s="1055" t="s">
        <v>893</v>
      </c>
      <c r="C511" s="1055" t="s">
        <v>523</v>
      </c>
      <c r="D511" s="1055" t="s">
        <v>1859</v>
      </c>
      <c r="E511" s="1055" t="s">
        <v>1860</v>
      </c>
      <c r="F511" s="1056">
        <v>-18</v>
      </c>
      <c r="G511" s="1056">
        <v>0</v>
      </c>
      <c r="H511" s="1056">
        <v>0</v>
      </c>
      <c r="I511" s="1056">
        <v>-18</v>
      </c>
      <c r="K511" s="995">
        <f t="shared" si="7"/>
        <v>8</v>
      </c>
    </row>
    <row r="512" spans="1:11">
      <c r="A512" s="1054">
        <v>23652503</v>
      </c>
      <c r="B512" s="1055" t="s">
        <v>893</v>
      </c>
      <c r="C512" s="1055" t="s">
        <v>524</v>
      </c>
      <c r="D512" s="1055" t="s">
        <v>893</v>
      </c>
      <c r="E512" s="1055" t="s">
        <v>893</v>
      </c>
      <c r="F512" s="1056">
        <v>-167</v>
      </c>
      <c r="G512" s="1056">
        <v>0</v>
      </c>
      <c r="H512" s="1056">
        <v>33</v>
      </c>
      <c r="I512" s="1056">
        <v>-200</v>
      </c>
      <c r="K512" s="995">
        <f t="shared" si="7"/>
        <v>8</v>
      </c>
    </row>
    <row r="513" spans="1:11">
      <c r="A513" s="1054">
        <v>23652503</v>
      </c>
      <c r="B513" s="1055" t="s">
        <v>893</v>
      </c>
      <c r="C513" s="1055" t="s">
        <v>524</v>
      </c>
      <c r="D513" s="1055" t="s">
        <v>1051</v>
      </c>
      <c r="E513" s="1055" t="s">
        <v>1052</v>
      </c>
      <c r="F513" s="1056">
        <v>-3</v>
      </c>
      <c r="G513" s="1056">
        <v>0</v>
      </c>
      <c r="H513" s="1056">
        <v>0</v>
      </c>
      <c r="I513" s="1056">
        <v>-3</v>
      </c>
      <c r="K513" s="995">
        <f t="shared" si="7"/>
        <v>8</v>
      </c>
    </row>
    <row r="514" spans="1:11">
      <c r="A514" s="1054">
        <v>23652503</v>
      </c>
      <c r="B514" s="1055" t="s">
        <v>893</v>
      </c>
      <c r="C514" s="1055" t="s">
        <v>524</v>
      </c>
      <c r="D514" s="1055" t="s">
        <v>1780</v>
      </c>
      <c r="E514" s="1055" t="s">
        <v>1781</v>
      </c>
      <c r="F514" s="1056">
        <v>-8</v>
      </c>
      <c r="G514" s="1056">
        <v>0</v>
      </c>
      <c r="H514" s="1056">
        <v>0</v>
      </c>
      <c r="I514" s="1056">
        <v>-8</v>
      </c>
      <c r="K514" s="995">
        <f t="shared" si="7"/>
        <v>8</v>
      </c>
    </row>
    <row r="515" spans="1:11">
      <c r="A515" s="1054">
        <v>23652503</v>
      </c>
      <c r="B515" s="1055" t="s">
        <v>893</v>
      </c>
      <c r="C515" s="1055" t="s">
        <v>524</v>
      </c>
      <c r="D515" s="1055" t="s">
        <v>1034</v>
      </c>
      <c r="E515" s="1055" t="s">
        <v>504</v>
      </c>
      <c r="F515" s="1056">
        <v>-156</v>
      </c>
      <c r="G515" s="1056">
        <v>0</v>
      </c>
      <c r="H515" s="1056">
        <v>33</v>
      </c>
      <c r="I515" s="1056">
        <v>-188</v>
      </c>
      <c r="K515" s="995">
        <f t="shared" si="7"/>
        <v>8</v>
      </c>
    </row>
    <row r="516" spans="1:11">
      <c r="A516" s="1054">
        <v>23652506</v>
      </c>
      <c r="B516" s="1055" t="s">
        <v>893</v>
      </c>
      <c r="C516" s="1055" t="s">
        <v>525</v>
      </c>
      <c r="D516" s="1055" t="s">
        <v>893</v>
      </c>
      <c r="E516" s="1055" t="s">
        <v>893</v>
      </c>
      <c r="F516" s="1056">
        <v>-547</v>
      </c>
      <c r="G516" s="1056">
        <v>0</v>
      </c>
      <c r="H516" s="1056">
        <v>116</v>
      </c>
      <c r="I516" s="1056">
        <v>-664</v>
      </c>
      <c r="K516" s="995">
        <f t="shared" si="7"/>
        <v>8</v>
      </c>
    </row>
    <row r="517" spans="1:11">
      <c r="A517" s="1054">
        <v>23652506</v>
      </c>
      <c r="B517" s="1055" t="s">
        <v>893</v>
      </c>
      <c r="C517" s="1055" t="s">
        <v>525</v>
      </c>
      <c r="D517" s="1055" t="s">
        <v>1204</v>
      </c>
      <c r="E517" s="1055" t="s">
        <v>427</v>
      </c>
      <c r="F517" s="1056">
        <v>-19</v>
      </c>
      <c r="G517" s="1056">
        <v>0</v>
      </c>
      <c r="H517" s="1056">
        <v>5</v>
      </c>
      <c r="I517" s="1056">
        <v>-24</v>
      </c>
      <c r="K517" s="995">
        <f t="shared" ref="K517:K580" si="8">+LEN(A517)</f>
        <v>8</v>
      </c>
    </row>
    <row r="518" spans="1:11">
      <c r="A518" s="1054">
        <v>23652506</v>
      </c>
      <c r="B518" s="1055" t="s">
        <v>893</v>
      </c>
      <c r="C518" s="1055" t="s">
        <v>525</v>
      </c>
      <c r="D518" s="1055" t="s">
        <v>1205</v>
      </c>
      <c r="E518" s="1055" t="s">
        <v>328</v>
      </c>
      <c r="F518" s="1056">
        <v>-520</v>
      </c>
      <c r="G518" s="1056">
        <v>0</v>
      </c>
      <c r="H518" s="1056">
        <v>112</v>
      </c>
      <c r="I518" s="1056">
        <v>-631</v>
      </c>
      <c r="K518" s="995">
        <f t="shared" si="8"/>
        <v>8</v>
      </c>
    </row>
    <row r="519" spans="1:11">
      <c r="A519" s="1054">
        <v>23652506</v>
      </c>
      <c r="B519" s="1055" t="s">
        <v>893</v>
      </c>
      <c r="C519" s="1055" t="s">
        <v>525</v>
      </c>
      <c r="D519" s="1055" t="s">
        <v>1317</v>
      </c>
      <c r="E519" s="1055" t="s">
        <v>1318</v>
      </c>
      <c r="F519" s="1056">
        <v>-9</v>
      </c>
      <c r="G519" s="1056">
        <v>0</v>
      </c>
      <c r="H519" s="1056">
        <v>0</v>
      </c>
      <c r="I519" s="1056">
        <v>-9</v>
      </c>
      <c r="K519" s="995">
        <f t="shared" si="8"/>
        <v>8</v>
      </c>
    </row>
    <row r="520" spans="1:11">
      <c r="A520" s="1054">
        <v>23652507</v>
      </c>
      <c r="B520" s="1055" t="s">
        <v>893</v>
      </c>
      <c r="C520" s="1055" t="s">
        <v>1566</v>
      </c>
      <c r="D520" s="1055" t="s">
        <v>893</v>
      </c>
      <c r="E520" s="1055" t="s">
        <v>893</v>
      </c>
      <c r="F520" s="1056">
        <v>-872</v>
      </c>
      <c r="G520" s="1056">
        <v>0</v>
      </c>
      <c r="H520" s="1056">
        <v>0</v>
      </c>
      <c r="I520" s="1056">
        <v>-872</v>
      </c>
      <c r="K520" s="995">
        <f t="shared" si="8"/>
        <v>8</v>
      </c>
    </row>
    <row r="521" spans="1:11">
      <c r="A521" s="1054">
        <v>23652507</v>
      </c>
      <c r="B521" s="1055" t="s">
        <v>893</v>
      </c>
      <c r="C521" s="1055" t="s">
        <v>1566</v>
      </c>
      <c r="D521" s="1055" t="s">
        <v>1084</v>
      </c>
      <c r="E521" s="1055" t="s">
        <v>1010</v>
      </c>
      <c r="F521" s="1056">
        <v>-865</v>
      </c>
      <c r="G521" s="1056">
        <v>0</v>
      </c>
      <c r="H521" s="1056">
        <v>0</v>
      </c>
      <c r="I521" s="1056">
        <v>-865</v>
      </c>
      <c r="K521" s="995">
        <f t="shared" si="8"/>
        <v>8</v>
      </c>
    </row>
    <row r="522" spans="1:11">
      <c r="A522" s="1054">
        <v>23652507</v>
      </c>
      <c r="B522" s="1055" t="s">
        <v>893</v>
      </c>
      <c r="C522" s="1055" t="s">
        <v>1566</v>
      </c>
      <c r="D522" s="1055" t="s">
        <v>1206</v>
      </c>
      <c r="E522" s="1055" t="s">
        <v>522</v>
      </c>
      <c r="F522" s="1056">
        <v>-7</v>
      </c>
      <c r="G522" s="1056">
        <v>0</v>
      </c>
      <c r="H522" s="1056">
        <v>0</v>
      </c>
      <c r="I522" s="1056">
        <v>-7</v>
      </c>
      <c r="K522" s="995">
        <f t="shared" si="8"/>
        <v>8</v>
      </c>
    </row>
    <row r="523" spans="1:11">
      <c r="A523" s="1054">
        <v>23652510</v>
      </c>
      <c r="B523" s="1055" t="s">
        <v>1489</v>
      </c>
      <c r="C523" s="1055" t="s">
        <v>1610</v>
      </c>
      <c r="D523" s="1055" t="s">
        <v>893</v>
      </c>
      <c r="E523" s="1055" t="s">
        <v>893</v>
      </c>
      <c r="F523" s="1056">
        <v>-11</v>
      </c>
      <c r="G523" s="1056">
        <v>0</v>
      </c>
      <c r="H523" s="1056">
        <v>0</v>
      </c>
      <c r="I523" s="1056">
        <v>-11</v>
      </c>
      <c r="K523" s="995">
        <f t="shared" si="8"/>
        <v>8</v>
      </c>
    </row>
    <row r="524" spans="1:11">
      <c r="A524" s="1054">
        <v>23652510</v>
      </c>
      <c r="B524" s="1055" t="s">
        <v>1489</v>
      </c>
      <c r="C524" s="1055" t="s">
        <v>1610</v>
      </c>
      <c r="D524" s="1055" t="s">
        <v>1206</v>
      </c>
      <c r="E524" s="1055" t="s">
        <v>522</v>
      </c>
      <c r="F524" s="1056">
        <v>-11</v>
      </c>
      <c r="G524" s="1056">
        <v>0</v>
      </c>
      <c r="H524" s="1056">
        <v>0</v>
      </c>
      <c r="I524" s="1056">
        <v>-11</v>
      </c>
      <c r="K524" s="995">
        <f t="shared" si="8"/>
        <v>8</v>
      </c>
    </row>
    <row r="525" spans="1:11">
      <c r="A525" s="1054">
        <v>236530</v>
      </c>
      <c r="B525" s="1055" t="s">
        <v>893</v>
      </c>
      <c r="C525" s="1055" t="s">
        <v>730</v>
      </c>
      <c r="D525" s="1055" t="s">
        <v>893</v>
      </c>
      <c r="E525" s="1055" t="s">
        <v>893</v>
      </c>
      <c r="F525" s="1056">
        <v>-8622</v>
      </c>
      <c r="G525" s="1056">
        <v>0</v>
      </c>
      <c r="H525" s="1056">
        <v>1675</v>
      </c>
      <c r="I525" s="1056">
        <v>-10297</v>
      </c>
      <c r="K525" s="995">
        <f t="shared" si="8"/>
        <v>6</v>
      </c>
    </row>
    <row r="526" spans="1:11">
      <c r="A526" s="1054">
        <v>23653001</v>
      </c>
      <c r="B526" s="1055" t="s">
        <v>893</v>
      </c>
      <c r="C526" s="1055" t="s">
        <v>730</v>
      </c>
      <c r="D526" s="1055" t="s">
        <v>893</v>
      </c>
      <c r="E526" s="1055" t="s">
        <v>893</v>
      </c>
      <c r="F526" s="1056">
        <v>-8622</v>
      </c>
      <c r="G526" s="1056">
        <v>0</v>
      </c>
      <c r="H526" s="1056">
        <v>1675</v>
      </c>
      <c r="I526" s="1056">
        <v>-10297</v>
      </c>
      <c r="K526" s="995">
        <f t="shared" si="8"/>
        <v>8</v>
      </c>
    </row>
    <row r="527" spans="1:11">
      <c r="A527" s="1054">
        <v>23653001</v>
      </c>
      <c r="B527" s="1055" t="s">
        <v>893</v>
      </c>
      <c r="C527" s="1055" t="s">
        <v>730</v>
      </c>
      <c r="D527" s="1055" t="s">
        <v>1179</v>
      </c>
      <c r="E527" s="1055" t="s">
        <v>1013</v>
      </c>
      <c r="F527" s="1056">
        <v>-689</v>
      </c>
      <c r="G527" s="1056">
        <v>0</v>
      </c>
      <c r="H527" s="1056">
        <v>151</v>
      </c>
      <c r="I527" s="1056">
        <v>-840</v>
      </c>
      <c r="K527" s="995">
        <f t="shared" si="8"/>
        <v>8</v>
      </c>
    </row>
    <row r="528" spans="1:11">
      <c r="A528" s="1054">
        <v>23653001</v>
      </c>
      <c r="B528" s="1055" t="s">
        <v>893</v>
      </c>
      <c r="C528" s="1055" t="s">
        <v>730</v>
      </c>
      <c r="D528" s="1055" t="s">
        <v>1180</v>
      </c>
      <c r="E528" s="1055" t="s">
        <v>1014</v>
      </c>
      <c r="F528" s="1056">
        <v>-1390</v>
      </c>
      <c r="G528" s="1056">
        <v>0</v>
      </c>
      <c r="H528" s="1056">
        <v>267</v>
      </c>
      <c r="I528" s="1056">
        <v>-1657</v>
      </c>
      <c r="K528" s="995">
        <f t="shared" si="8"/>
        <v>8</v>
      </c>
    </row>
    <row r="529" spans="1:11">
      <c r="A529" s="1054">
        <v>23653001</v>
      </c>
      <c r="B529" s="1055" t="s">
        <v>893</v>
      </c>
      <c r="C529" s="1055" t="s">
        <v>730</v>
      </c>
      <c r="D529" s="1055" t="s">
        <v>1183</v>
      </c>
      <c r="E529" s="1055" t="s">
        <v>1015</v>
      </c>
      <c r="F529" s="1056">
        <v>-689</v>
      </c>
      <c r="G529" s="1056">
        <v>0</v>
      </c>
      <c r="H529" s="1056">
        <v>151</v>
      </c>
      <c r="I529" s="1056">
        <v>-840</v>
      </c>
      <c r="K529" s="995">
        <f t="shared" si="8"/>
        <v>8</v>
      </c>
    </row>
    <row r="530" spans="1:11">
      <c r="A530" s="1054">
        <v>23653001</v>
      </c>
      <c r="B530" s="1055" t="s">
        <v>893</v>
      </c>
      <c r="C530" s="1055" t="s">
        <v>730</v>
      </c>
      <c r="D530" s="1055" t="s">
        <v>1295</v>
      </c>
      <c r="E530" s="1055" t="s">
        <v>963</v>
      </c>
      <c r="F530" s="1056">
        <v>-263</v>
      </c>
      <c r="G530" s="1056">
        <v>0</v>
      </c>
      <c r="H530" s="1056">
        <v>0</v>
      </c>
      <c r="I530" s="1056">
        <v>-263</v>
      </c>
      <c r="K530" s="995">
        <f t="shared" si="8"/>
        <v>8</v>
      </c>
    </row>
    <row r="531" spans="1:11">
      <c r="A531" s="1054">
        <v>23653001</v>
      </c>
      <c r="B531" s="1055" t="s">
        <v>893</v>
      </c>
      <c r="C531" s="1055" t="s">
        <v>730</v>
      </c>
      <c r="D531" s="1055" t="s">
        <v>1213</v>
      </c>
      <c r="E531" s="1055" t="s">
        <v>1214</v>
      </c>
      <c r="F531" s="1056">
        <v>-945</v>
      </c>
      <c r="G531" s="1056">
        <v>0</v>
      </c>
      <c r="H531" s="1056">
        <v>189</v>
      </c>
      <c r="I531" s="1056">
        <v>-1134</v>
      </c>
      <c r="K531" s="995">
        <f t="shared" si="8"/>
        <v>8</v>
      </c>
    </row>
    <row r="532" spans="1:11">
      <c r="A532" s="1054">
        <v>23653001</v>
      </c>
      <c r="B532" s="1055" t="s">
        <v>893</v>
      </c>
      <c r="C532" s="1055" t="s">
        <v>730</v>
      </c>
      <c r="D532" s="1055" t="s">
        <v>1215</v>
      </c>
      <c r="E532" s="1055" t="s">
        <v>1216</v>
      </c>
      <c r="F532" s="1056">
        <v>-1463</v>
      </c>
      <c r="G532" s="1056">
        <v>0</v>
      </c>
      <c r="H532" s="1056">
        <v>293</v>
      </c>
      <c r="I532" s="1056">
        <v>-1755</v>
      </c>
      <c r="K532" s="995">
        <f t="shared" si="8"/>
        <v>8</v>
      </c>
    </row>
    <row r="533" spans="1:11">
      <c r="A533" s="1054">
        <v>23653001</v>
      </c>
      <c r="B533" s="1055" t="s">
        <v>893</v>
      </c>
      <c r="C533" s="1055" t="s">
        <v>730</v>
      </c>
      <c r="D533" s="1055" t="s">
        <v>1217</v>
      </c>
      <c r="E533" s="1055" t="s">
        <v>1218</v>
      </c>
      <c r="F533" s="1056">
        <v>-1793</v>
      </c>
      <c r="G533" s="1056">
        <v>0</v>
      </c>
      <c r="H533" s="1056">
        <v>359</v>
      </c>
      <c r="I533" s="1056">
        <v>-2151</v>
      </c>
      <c r="K533" s="995">
        <f t="shared" si="8"/>
        <v>8</v>
      </c>
    </row>
    <row r="534" spans="1:11">
      <c r="A534" s="1054">
        <v>23653001</v>
      </c>
      <c r="B534" s="1055" t="s">
        <v>893</v>
      </c>
      <c r="C534" s="1055" t="s">
        <v>730</v>
      </c>
      <c r="D534" s="1055" t="s">
        <v>1207</v>
      </c>
      <c r="E534" s="1055" t="s">
        <v>1028</v>
      </c>
      <c r="F534" s="1056">
        <v>-1390</v>
      </c>
      <c r="G534" s="1056">
        <v>0</v>
      </c>
      <c r="H534" s="1056">
        <v>267</v>
      </c>
      <c r="I534" s="1056">
        <v>-1657</v>
      </c>
      <c r="K534" s="995">
        <f t="shared" si="8"/>
        <v>8</v>
      </c>
    </row>
    <row r="535" spans="1:11">
      <c r="A535" s="1054">
        <v>236535</v>
      </c>
      <c r="B535" s="1055" t="s">
        <v>893</v>
      </c>
      <c r="C535" s="1055" t="s">
        <v>731</v>
      </c>
      <c r="D535" s="1055" t="s">
        <v>893</v>
      </c>
      <c r="E535" s="1055" t="s">
        <v>893</v>
      </c>
      <c r="F535" s="1056">
        <v>-188</v>
      </c>
      <c r="G535" s="1056">
        <v>0</v>
      </c>
      <c r="H535" s="1056">
        <v>38</v>
      </c>
      <c r="I535" s="1056">
        <v>-226</v>
      </c>
      <c r="K535" s="995">
        <f t="shared" si="8"/>
        <v>6</v>
      </c>
    </row>
    <row r="536" spans="1:11">
      <c r="A536" s="1054">
        <v>23653502</v>
      </c>
      <c r="B536" s="1055" t="s">
        <v>1489</v>
      </c>
      <c r="C536" s="1055" t="s">
        <v>732</v>
      </c>
      <c r="D536" s="1055" t="s">
        <v>893</v>
      </c>
      <c r="E536" s="1055" t="s">
        <v>893</v>
      </c>
      <c r="F536" s="1056">
        <v>-188</v>
      </c>
      <c r="G536" s="1056">
        <v>0</v>
      </c>
      <c r="H536" s="1056">
        <v>38</v>
      </c>
      <c r="I536" s="1056">
        <v>-226</v>
      </c>
      <c r="K536" s="995">
        <f t="shared" si="8"/>
        <v>8</v>
      </c>
    </row>
    <row r="537" spans="1:11">
      <c r="A537" s="1054">
        <v>23653502</v>
      </c>
      <c r="B537" s="1055" t="s">
        <v>1489</v>
      </c>
      <c r="C537" s="1055" t="s">
        <v>732</v>
      </c>
      <c r="D537" s="1055" t="s">
        <v>1177</v>
      </c>
      <c r="E537" s="1055" t="s">
        <v>1011</v>
      </c>
      <c r="F537" s="1056">
        <v>-59</v>
      </c>
      <c r="G537" s="1056">
        <v>0</v>
      </c>
      <c r="H537" s="1056">
        <v>12</v>
      </c>
      <c r="I537" s="1056">
        <v>-71</v>
      </c>
      <c r="K537" s="995">
        <f t="shared" si="8"/>
        <v>8</v>
      </c>
    </row>
    <row r="538" spans="1:11">
      <c r="A538" s="1054">
        <v>23653502</v>
      </c>
      <c r="B538" s="1055" t="s">
        <v>1489</v>
      </c>
      <c r="C538" s="1055" t="s">
        <v>732</v>
      </c>
      <c r="D538" s="1055" t="s">
        <v>1178</v>
      </c>
      <c r="E538" s="1055" t="s">
        <v>1012</v>
      </c>
      <c r="F538" s="1056">
        <v>-129</v>
      </c>
      <c r="G538" s="1056">
        <v>0</v>
      </c>
      <c r="H538" s="1056">
        <v>26</v>
      </c>
      <c r="I538" s="1056">
        <v>-155</v>
      </c>
      <c r="K538" s="995">
        <f t="shared" si="8"/>
        <v>8</v>
      </c>
    </row>
    <row r="539" spans="1:11">
      <c r="A539" s="1054">
        <v>236540</v>
      </c>
      <c r="B539" s="1055" t="s">
        <v>893</v>
      </c>
      <c r="C539" s="1055" t="s">
        <v>339</v>
      </c>
      <c r="D539" s="1055" t="s">
        <v>893</v>
      </c>
      <c r="E539" s="1055" t="s">
        <v>893</v>
      </c>
      <c r="F539" s="1056">
        <v>-21730</v>
      </c>
      <c r="G539" s="1056">
        <v>0</v>
      </c>
      <c r="H539" s="1056">
        <v>4273</v>
      </c>
      <c r="I539" s="1056">
        <v>-26003</v>
      </c>
      <c r="K539" s="995">
        <f t="shared" si="8"/>
        <v>6</v>
      </c>
    </row>
    <row r="540" spans="1:11">
      <c r="A540" s="1054">
        <v>23654001</v>
      </c>
      <c r="B540" s="1055" t="s">
        <v>893</v>
      </c>
      <c r="C540" s="1055" t="s">
        <v>1867</v>
      </c>
      <c r="D540" s="1055" t="s">
        <v>893</v>
      </c>
      <c r="E540" s="1055" t="s">
        <v>893</v>
      </c>
      <c r="F540" s="1056">
        <v>-112</v>
      </c>
      <c r="G540" s="1056">
        <v>0</v>
      </c>
      <c r="H540" s="1056">
        <v>0</v>
      </c>
      <c r="I540" s="1056">
        <v>-112</v>
      </c>
      <c r="K540" s="995">
        <f t="shared" si="8"/>
        <v>8</v>
      </c>
    </row>
    <row r="541" spans="1:11">
      <c r="A541" s="1054">
        <v>23654001</v>
      </c>
      <c r="B541" s="1055" t="s">
        <v>893</v>
      </c>
      <c r="C541" s="1055" t="s">
        <v>1867</v>
      </c>
      <c r="D541" s="1055" t="s">
        <v>1049</v>
      </c>
      <c r="E541" s="1055" t="s">
        <v>1050</v>
      </c>
      <c r="F541" s="1056">
        <v>-112</v>
      </c>
      <c r="G541" s="1056">
        <v>0</v>
      </c>
      <c r="H541" s="1056">
        <v>0</v>
      </c>
      <c r="I541" s="1056">
        <v>-112</v>
      </c>
      <c r="K541" s="995">
        <f t="shared" si="8"/>
        <v>8</v>
      </c>
    </row>
    <row r="542" spans="1:11">
      <c r="A542" s="1054">
        <v>23654004</v>
      </c>
      <c r="B542" s="1055" t="s">
        <v>893</v>
      </c>
      <c r="C542" s="1055" t="s">
        <v>526</v>
      </c>
      <c r="D542" s="1055" t="s">
        <v>893</v>
      </c>
      <c r="E542" s="1055" t="s">
        <v>893</v>
      </c>
      <c r="F542" s="1056">
        <v>-21618</v>
      </c>
      <c r="G542" s="1056">
        <v>0</v>
      </c>
      <c r="H542" s="1056">
        <v>4273</v>
      </c>
      <c r="I542" s="1056">
        <v>-25891</v>
      </c>
      <c r="K542" s="995">
        <f t="shared" si="8"/>
        <v>8</v>
      </c>
    </row>
    <row r="543" spans="1:11">
      <c r="A543" s="1054">
        <v>23654004</v>
      </c>
      <c r="B543" s="1055" t="s">
        <v>893</v>
      </c>
      <c r="C543" s="1055" t="s">
        <v>526</v>
      </c>
      <c r="D543" s="1055" t="s">
        <v>1140</v>
      </c>
      <c r="E543" s="1055" t="s">
        <v>1141</v>
      </c>
      <c r="F543" s="1056">
        <v>-148</v>
      </c>
      <c r="G543" s="1056">
        <v>0</v>
      </c>
      <c r="H543" s="1056">
        <v>0</v>
      </c>
      <c r="I543" s="1056">
        <v>-148</v>
      </c>
      <c r="K543" s="995">
        <f t="shared" si="8"/>
        <v>8</v>
      </c>
    </row>
    <row r="544" spans="1:11">
      <c r="A544" s="1054">
        <v>23654004</v>
      </c>
      <c r="B544" s="1055" t="s">
        <v>893</v>
      </c>
      <c r="C544" s="1055" t="s">
        <v>526</v>
      </c>
      <c r="D544" s="1055" t="s">
        <v>1197</v>
      </c>
      <c r="E544" s="1055" t="s">
        <v>481</v>
      </c>
      <c r="F544" s="1056">
        <v>-213</v>
      </c>
      <c r="G544" s="1056">
        <v>0</v>
      </c>
      <c r="H544" s="1056">
        <v>0</v>
      </c>
      <c r="I544" s="1056">
        <v>-213</v>
      </c>
      <c r="K544" s="995">
        <f t="shared" si="8"/>
        <v>8</v>
      </c>
    </row>
    <row r="545" spans="1:11">
      <c r="A545" s="1054">
        <v>23654004</v>
      </c>
      <c r="B545" s="1055" t="s">
        <v>893</v>
      </c>
      <c r="C545" s="1055" t="s">
        <v>526</v>
      </c>
      <c r="D545" s="1055" t="s">
        <v>1034</v>
      </c>
      <c r="E545" s="1055" t="s">
        <v>504</v>
      </c>
      <c r="F545" s="1056">
        <v>-18140</v>
      </c>
      <c r="G545" s="1056">
        <v>0</v>
      </c>
      <c r="H545" s="1056">
        <v>3708</v>
      </c>
      <c r="I545" s="1056">
        <v>-21848</v>
      </c>
      <c r="K545" s="995">
        <f t="shared" si="8"/>
        <v>8</v>
      </c>
    </row>
    <row r="546" spans="1:11">
      <c r="A546" s="1054">
        <v>23654004</v>
      </c>
      <c r="B546" s="1055" t="s">
        <v>893</v>
      </c>
      <c r="C546" s="1055" t="s">
        <v>526</v>
      </c>
      <c r="D546" s="1055" t="s">
        <v>1074</v>
      </c>
      <c r="E546" s="1055" t="s">
        <v>257</v>
      </c>
      <c r="F546" s="1056">
        <v>-3061</v>
      </c>
      <c r="G546" s="1056">
        <v>0</v>
      </c>
      <c r="H546" s="1056">
        <v>565</v>
      </c>
      <c r="I546" s="1056">
        <v>-3626</v>
      </c>
      <c r="K546" s="995">
        <f t="shared" si="8"/>
        <v>8</v>
      </c>
    </row>
    <row r="547" spans="1:11">
      <c r="A547" s="1054">
        <v>23654004</v>
      </c>
      <c r="B547" s="1055" t="s">
        <v>893</v>
      </c>
      <c r="C547" s="1055" t="s">
        <v>526</v>
      </c>
      <c r="D547" s="1055" t="s">
        <v>1127</v>
      </c>
      <c r="E547" s="1055" t="s">
        <v>1128</v>
      </c>
      <c r="F547" s="1056">
        <v>-56</v>
      </c>
      <c r="G547" s="1056">
        <v>0</v>
      </c>
      <c r="H547" s="1056">
        <v>0</v>
      </c>
      <c r="I547" s="1056">
        <v>-56</v>
      </c>
      <c r="K547" s="995">
        <f t="shared" si="8"/>
        <v>8</v>
      </c>
    </row>
    <row r="548" spans="1:11">
      <c r="A548" s="1054">
        <v>236599</v>
      </c>
      <c r="B548" s="1055" t="s">
        <v>893</v>
      </c>
      <c r="C548" s="1055" t="s">
        <v>340</v>
      </c>
      <c r="D548" s="1055" t="s">
        <v>893</v>
      </c>
      <c r="E548" s="1055" t="s">
        <v>893</v>
      </c>
      <c r="F548" s="1056">
        <v>38306</v>
      </c>
      <c r="G548" s="1056">
        <v>7674</v>
      </c>
      <c r="H548" s="1056">
        <v>0</v>
      </c>
      <c r="I548" s="1056">
        <v>45980</v>
      </c>
      <c r="K548" s="995">
        <f t="shared" si="8"/>
        <v>6</v>
      </c>
    </row>
    <row r="549" spans="1:11">
      <c r="A549" s="1054">
        <v>23659901</v>
      </c>
      <c r="B549" s="1055" t="s">
        <v>893</v>
      </c>
      <c r="C549" s="1055" t="s">
        <v>340</v>
      </c>
      <c r="D549" s="1055" t="s">
        <v>893</v>
      </c>
      <c r="E549" s="1055" t="s">
        <v>893</v>
      </c>
      <c r="F549" s="1056">
        <v>38306</v>
      </c>
      <c r="G549" s="1056">
        <v>7674</v>
      </c>
      <c r="H549" s="1056">
        <v>0</v>
      </c>
      <c r="I549" s="1056">
        <v>45980</v>
      </c>
      <c r="K549" s="995">
        <f t="shared" si="8"/>
        <v>8</v>
      </c>
    </row>
    <row r="550" spans="1:11">
      <c r="A550" s="1054">
        <v>2367</v>
      </c>
      <c r="B550" s="1055" t="s">
        <v>893</v>
      </c>
      <c r="C550" s="1055" t="s">
        <v>341</v>
      </c>
      <c r="D550" s="1055" t="s">
        <v>893</v>
      </c>
      <c r="E550" s="1055" t="s">
        <v>893</v>
      </c>
      <c r="F550" s="1056">
        <v>0</v>
      </c>
      <c r="G550" s="1056">
        <v>731</v>
      </c>
      <c r="H550" s="1056">
        <v>731</v>
      </c>
      <c r="I550" s="1056">
        <v>0</v>
      </c>
      <c r="K550" s="995">
        <f t="shared" si="8"/>
        <v>4</v>
      </c>
    </row>
    <row r="551" spans="1:11">
      <c r="A551" s="1054">
        <v>236710</v>
      </c>
      <c r="B551" s="1055" t="s">
        <v>893</v>
      </c>
      <c r="C551" s="1055" t="s">
        <v>342</v>
      </c>
      <c r="D551" s="1055" t="s">
        <v>893</v>
      </c>
      <c r="E551" s="1055" t="s">
        <v>893</v>
      </c>
      <c r="F551" s="1056">
        <v>-2232</v>
      </c>
      <c r="G551" s="1056">
        <v>0</v>
      </c>
      <c r="H551" s="1056">
        <v>731</v>
      </c>
      <c r="I551" s="1056">
        <v>-2963</v>
      </c>
      <c r="K551" s="995">
        <f t="shared" si="8"/>
        <v>6</v>
      </c>
    </row>
    <row r="552" spans="1:11">
      <c r="A552" s="1054">
        <v>23671001</v>
      </c>
      <c r="B552" s="1055" t="s">
        <v>893</v>
      </c>
      <c r="C552" s="1055" t="s">
        <v>342</v>
      </c>
      <c r="D552" s="1055" t="s">
        <v>893</v>
      </c>
      <c r="E552" s="1055" t="s">
        <v>893</v>
      </c>
      <c r="F552" s="1056">
        <v>-2232</v>
      </c>
      <c r="G552" s="1056">
        <v>0</v>
      </c>
      <c r="H552" s="1056">
        <v>731</v>
      </c>
      <c r="I552" s="1056">
        <v>-2963</v>
      </c>
      <c r="K552" s="995">
        <f t="shared" si="8"/>
        <v>8</v>
      </c>
    </row>
    <row r="553" spans="1:11">
      <c r="A553" s="1054">
        <v>23671001</v>
      </c>
      <c r="B553" s="1055" t="s">
        <v>893</v>
      </c>
      <c r="C553" s="1055" t="s">
        <v>342</v>
      </c>
      <c r="D553" s="1055" t="s">
        <v>1032</v>
      </c>
      <c r="E553" s="1055" t="s">
        <v>508</v>
      </c>
      <c r="F553" s="1056">
        <v>-21</v>
      </c>
      <c r="G553" s="1056">
        <v>0</v>
      </c>
      <c r="H553" s="1056">
        <v>0</v>
      </c>
      <c r="I553" s="1056">
        <v>-21</v>
      </c>
      <c r="K553" s="995">
        <f t="shared" si="8"/>
        <v>8</v>
      </c>
    </row>
    <row r="554" spans="1:11">
      <c r="A554" s="1054">
        <v>23671001</v>
      </c>
      <c r="B554" s="1055" t="s">
        <v>893</v>
      </c>
      <c r="C554" s="1055" t="s">
        <v>342</v>
      </c>
      <c r="D554" s="1055" t="s">
        <v>1208</v>
      </c>
      <c r="E554" s="1055" t="s">
        <v>428</v>
      </c>
      <c r="F554" s="1056">
        <v>-2210</v>
      </c>
      <c r="G554" s="1056">
        <v>0</v>
      </c>
      <c r="H554" s="1056">
        <v>731</v>
      </c>
      <c r="I554" s="1056">
        <v>-2941</v>
      </c>
      <c r="K554" s="995">
        <f t="shared" si="8"/>
        <v>8</v>
      </c>
    </row>
    <row r="555" spans="1:11">
      <c r="A555" s="1054">
        <v>236799</v>
      </c>
      <c r="B555" s="1055" t="s">
        <v>893</v>
      </c>
      <c r="C555" s="1055" t="s">
        <v>326</v>
      </c>
      <c r="D555" s="1055" t="s">
        <v>893</v>
      </c>
      <c r="E555" s="1055" t="s">
        <v>893</v>
      </c>
      <c r="F555" s="1056">
        <v>2232</v>
      </c>
      <c r="G555" s="1056">
        <v>731</v>
      </c>
      <c r="H555" s="1056">
        <v>0</v>
      </c>
      <c r="I555" s="1056">
        <v>2963</v>
      </c>
      <c r="K555" s="995">
        <f t="shared" si="8"/>
        <v>6</v>
      </c>
    </row>
    <row r="556" spans="1:11">
      <c r="A556" s="1054">
        <v>23679901</v>
      </c>
      <c r="B556" s="1055" t="s">
        <v>893</v>
      </c>
      <c r="C556" s="1055" t="s">
        <v>326</v>
      </c>
      <c r="D556" s="1055" t="s">
        <v>893</v>
      </c>
      <c r="E556" s="1055" t="s">
        <v>893</v>
      </c>
      <c r="F556" s="1056">
        <v>2232</v>
      </c>
      <c r="G556" s="1056">
        <v>731</v>
      </c>
      <c r="H556" s="1056">
        <v>0</v>
      </c>
      <c r="I556" s="1056">
        <v>2963</v>
      </c>
      <c r="K556" s="995">
        <f t="shared" si="8"/>
        <v>8</v>
      </c>
    </row>
    <row r="557" spans="1:11">
      <c r="A557" s="1054">
        <v>2369</v>
      </c>
      <c r="B557" s="1055" t="s">
        <v>893</v>
      </c>
      <c r="C557" s="1055" t="s">
        <v>733</v>
      </c>
      <c r="D557" s="1055" t="s">
        <v>893</v>
      </c>
      <c r="E557" s="1055" t="s">
        <v>893</v>
      </c>
      <c r="F557" s="1056">
        <v>0</v>
      </c>
      <c r="G557" s="1056">
        <v>18111</v>
      </c>
      <c r="H557" s="1056">
        <v>18111</v>
      </c>
      <c r="I557" s="1056">
        <v>0</v>
      </c>
      <c r="K557" s="995">
        <f t="shared" si="8"/>
        <v>4</v>
      </c>
    </row>
    <row r="558" spans="1:11">
      <c r="A558" s="1054">
        <v>236901</v>
      </c>
      <c r="B558" s="1055" t="s">
        <v>893</v>
      </c>
      <c r="C558" s="1055" t="s">
        <v>517</v>
      </c>
      <c r="D558" s="1055" t="s">
        <v>893</v>
      </c>
      <c r="E558" s="1055" t="s">
        <v>893</v>
      </c>
      <c r="F558" s="1056">
        <v>-26765</v>
      </c>
      <c r="G558" s="1056">
        <v>0</v>
      </c>
      <c r="H558" s="1056">
        <v>18111</v>
      </c>
      <c r="I558" s="1056">
        <v>-44876</v>
      </c>
      <c r="K558" s="995">
        <f t="shared" si="8"/>
        <v>6</v>
      </c>
    </row>
    <row r="559" spans="1:11">
      <c r="A559" s="1054">
        <v>23690107</v>
      </c>
      <c r="B559" s="1055" t="s">
        <v>1489</v>
      </c>
      <c r="C559" s="1055" t="s">
        <v>734</v>
      </c>
      <c r="D559" s="1055" t="s">
        <v>893</v>
      </c>
      <c r="E559" s="1055" t="s">
        <v>893</v>
      </c>
      <c r="F559" s="1056">
        <v>-26765</v>
      </c>
      <c r="G559" s="1056">
        <v>0</v>
      </c>
      <c r="H559" s="1056">
        <v>0</v>
      </c>
      <c r="I559" s="1056">
        <v>-26765</v>
      </c>
      <c r="K559" s="995">
        <f t="shared" si="8"/>
        <v>8</v>
      </c>
    </row>
    <row r="560" spans="1:11">
      <c r="A560" s="1054">
        <v>23690107</v>
      </c>
      <c r="B560" s="1055" t="s">
        <v>1489</v>
      </c>
      <c r="C560" s="1055" t="s">
        <v>734</v>
      </c>
      <c r="D560" s="1055" t="s">
        <v>1083</v>
      </c>
      <c r="E560" s="1055" t="s">
        <v>256</v>
      </c>
      <c r="F560" s="1056">
        <v>-26765</v>
      </c>
      <c r="G560" s="1056">
        <v>0</v>
      </c>
      <c r="H560" s="1056">
        <v>0</v>
      </c>
      <c r="I560" s="1056">
        <v>-26765</v>
      </c>
      <c r="K560" s="995">
        <f t="shared" si="8"/>
        <v>8</v>
      </c>
    </row>
    <row r="561" spans="1:11">
      <c r="A561" s="1054">
        <v>23690108</v>
      </c>
      <c r="B561" s="1055" t="s">
        <v>1489</v>
      </c>
      <c r="C561" s="1055" t="s">
        <v>1319</v>
      </c>
      <c r="D561" s="1055" t="s">
        <v>893</v>
      </c>
      <c r="E561" s="1055" t="s">
        <v>893</v>
      </c>
      <c r="F561" s="1056">
        <v>0</v>
      </c>
      <c r="G561" s="1056">
        <v>0</v>
      </c>
      <c r="H561" s="1056">
        <v>18111</v>
      </c>
      <c r="I561" s="1056">
        <v>-18111</v>
      </c>
      <c r="K561" s="995">
        <f t="shared" si="8"/>
        <v>8</v>
      </c>
    </row>
    <row r="562" spans="1:11">
      <c r="A562" s="1054">
        <v>23690108</v>
      </c>
      <c r="B562" s="1055" t="s">
        <v>1489</v>
      </c>
      <c r="C562" s="1055" t="s">
        <v>1319</v>
      </c>
      <c r="D562" s="1055" t="s">
        <v>1083</v>
      </c>
      <c r="E562" s="1055" t="s">
        <v>256</v>
      </c>
      <c r="F562" s="1056">
        <v>0</v>
      </c>
      <c r="G562" s="1056">
        <v>0</v>
      </c>
      <c r="H562" s="1056">
        <v>18111</v>
      </c>
      <c r="I562" s="1056">
        <v>-18111</v>
      </c>
      <c r="K562" s="995">
        <f t="shared" si="8"/>
        <v>8</v>
      </c>
    </row>
    <row r="563" spans="1:11">
      <c r="A563" s="1054">
        <v>236999</v>
      </c>
      <c r="B563" s="1055" t="s">
        <v>893</v>
      </c>
      <c r="C563" s="1055" t="s">
        <v>326</v>
      </c>
      <c r="D563" s="1055" t="s">
        <v>893</v>
      </c>
      <c r="E563" s="1055" t="s">
        <v>893</v>
      </c>
      <c r="F563" s="1056">
        <v>26765</v>
      </c>
      <c r="G563" s="1056">
        <v>18111</v>
      </c>
      <c r="H563" s="1056">
        <v>0</v>
      </c>
      <c r="I563" s="1056">
        <v>44876</v>
      </c>
      <c r="K563" s="995">
        <f t="shared" si="8"/>
        <v>6</v>
      </c>
    </row>
    <row r="564" spans="1:11">
      <c r="A564" s="1054">
        <v>2370</v>
      </c>
      <c r="B564" s="1055" t="s">
        <v>893</v>
      </c>
      <c r="C564" s="1055" t="s">
        <v>357</v>
      </c>
      <c r="D564" s="1055" t="s">
        <v>893</v>
      </c>
      <c r="E564" s="1055" t="s">
        <v>893</v>
      </c>
      <c r="F564" s="1056">
        <v>3003</v>
      </c>
      <c r="G564" s="1056">
        <v>0</v>
      </c>
      <c r="H564" s="1056">
        <v>853</v>
      </c>
      <c r="I564" s="1056">
        <v>2150</v>
      </c>
      <c r="K564" s="995">
        <f t="shared" si="8"/>
        <v>4</v>
      </c>
    </row>
    <row r="565" spans="1:11">
      <c r="A565" s="1054">
        <v>237030</v>
      </c>
      <c r="B565" s="1055" t="s">
        <v>1489</v>
      </c>
      <c r="C565" s="1055" t="s">
        <v>1567</v>
      </c>
      <c r="D565" s="1055" t="s">
        <v>893</v>
      </c>
      <c r="E565" s="1055" t="s">
        <v>893</v>
      </c>
      <c r="F565" s="1056">
        <v>2093</v>
      </c>
      <c r="G565" s="1056">
        <v>0</v>
      </c>
      <c r="H565" s="1056">
        <v>0</v>
      </c>
      <c r="I565" s="1056">
        <v>2093</v>
      </c>
      <c r="K565" s="995">
        <f t="shared" si="8"/>
        <v>6</v>
      </c>
    </row>
    <row r="566" spans="1:11">
      <c r="A566" s="1054">
        <v>23703001</v>
      </c>
      <c r="B566" s="1055" t="s">
        <v>1489</v>
      </c>
      <c r="C566" s="1055" t="s">
        <v>754</v>
      </c>
      <c r="D566" s="1055" t="s">
        <v>893</v>
      </c>
      <c r="E566" s="1055" t="s">
        <v>893</v>
      </c>
      <c r="F566" s="1056">
        <v>2093</v>
      </c>
      <c r="G566" s="1056">
        <v>0</v>
      </c>
      <c r="H566" s="1056">
        <v>0</v>
      </c>
      <c r="I566" s="1056">
        <v>2093</v>
      </c>
      <c r="K566" s="995">
        <f t="shared" si="8"/>
        <v>8</v>
      </c>
    </row>
    <row r="567" spans="1:11">
      <c r="A567" s="1054">
        <v>23703001</v>
      </c>
      <c r="B567" s="1055" t="s">
        <v>1489</v>
      </c>
      <c r="C567" s="1055" t="s">
        <v>754</v>
      </c>
      <c r="D567" s="1055" t="s">
        <v>1042</v>
      </c>
      <c r="E567" s="1055" t="s">
        <v>1732</v>
      </c>
      <c r="F567" s="1056">
        <v>2093</v>
      </c>
      <c r="G567" s="1056">
        <v>0</v>
      </c>
      <c r="H567" s="1056">
        <v>0</v>
      </c>
      <c r="I567" s="1056">
        <v>2093</v>
      </c>
      <c r="K567" s="995">
        <f t="shared" si="8"/>
        <v>8</v>
      </c>
    </row>
    <row r="568" spans="1:11">
      <c r="A568" s="1054">
        <v>237095</v>
      </c>
      <c r="B568" s="1055" t="s">
        <v>893</v>
      </c>
      <c r="C568" s="1055" t="s">
        <v>323</v>
      </c>
      <c r="D568" s="1055" t="s">
        <v>893</v>
      </c>
      <c r="E568" s="1055" t="s">
        <v>893</v>
      </c>
      <c r="F568" s="1056">
        <v>910</v>
      </c>
      <c r="G568" s="1056">
        <v>0</v>
      </c>
      <c r="H568" s="1056">
        <v>853</v>
      </c>
      <c r="I568" s="1056">
        <v>57</v>
      </c>
      <c r="K568" s="995">
        <f t="shared" si="8"/>
        <v>6</v>
      </c>
    </row>
    <row r="569" spans="1:11">
      <c r="A569" s="1054">
        <v>23709502</v>
      </c>
      <c r="B569" s="1055" t="s">
        <v>893</v>
      </c>
      <c r="C569" s="1055" t="s">
        <v>917</v>
      </c>
      <c r="D569" s="1055" t="s">
        <v>893</v>
      </c>
      <c r="E569" s="1055" t="s">
        <v>893</v>
      </c>
      <c r="F569" s="1056">
        <v>612</v>
      </c>
      <c r="G569" s="1056">
        <v>0</v>
      </c>
      <c r="H569" s="1056">
        <v>612</v>
      </c>
      <c r="I569" s="1056">
        <v>0</v>
      </c>
      <c r="K569" s="995">
        <f t="shared" si="8"/>
        <v>8</v>
      </c>
    </row>
    <row r="570" spans="1:11">
      <c r="A570" s="1054">
        <v>23709502</v>
      </c>
      <c r="B570" s="1055" t="s">
        <v>893</v>
      </c>
      <c r="C570" s="1055" t="s">
        <v>917</v>
      </c>
      <c r="D570" s="1055" t="s">
        <v>1271</v>
      </c>
      <c r="E570" s="1055" t="s">
        <v>782</v>
      </c>
      <c r="F570" s="1056">
        <v>128</v>
      </c>
      <c r="G570" s="1056">
        <v>0</v>
      </c>
      <c r="H570" s="1056">
        <v>128</v>
      </c>
      <c r="I570" s="1056">
        <v>0</v>
      </c>
      <c r="K570" s="995">
        <f t="shared" si="8"/>
        <v>8</v>
      </c>
    </row>
    <row r="571" spans="1:11">
      <c r="A571" s="1054">
        <v>23709502</v>
      </c>
      <c r="B571" s="1055" t="s">
        <v>893</v>
      </c>
      <c r="C571" s="1055" t="s">
        <v>917</v>
      </c>
      <c r="D571" s="1055" t="s">
        <v>1302</v>
      </c>
      <c r="E571" s="1055" t="s">
        <v>986</v>
      </c>
      <c r="F571" s="1056">
        <v>483</v>
      </c>
      <c r="G571" s="1056">
        <v>0</v>
      </c>
      <c r="H571" s="1056">
        <v>483</v>
      </c>
      <c r="I571" s="1056">
        <v>0</v>
      </c>
      <c r="K571" s="995">
        <f t="shared" si="8"/>
        <v>8</v>
      </c>
    </row>
    <row r="572" spans="1:11">
      <c r="A572" s="1054">
        <v>23709507</v>
      </c>
      <c r="B572" s="1055" t="s">
        <v>1489</v>
      </c>
      <c r="C572" s="1055" t="s">
        <v>1784</v>
      </c>
      <c r="D572" s="1055" t="s">
        <v>893</v>
      </c>
      <c r="E572" s="1055" t="s">
        <v>893</v>
      </c>
      <c r="F572" s="1056">
        <v>298</v>
      </c>
      <c r="G572" s="1056">
        <v>0</v>
      </c>
      <c r="H572" s="1056">
        <v>242</v>
      </c>
      <c r="I572" s="1056">
        <v>57</v>
      </c>
      <c r="K572" s="995">
        <f t="shared" si="8"/>
        <v>8</v>
      </c>
    </row>
    <row r="573" spans="1:11">
      <c r="A573" s="1054">
        <v>23709507</v>
      </c>
      <c r="B573" s="1055" t="s">
        <v>1489</v>
      </c>
      <c r="C573" s="1055" t="s">
        <v>1784</v>
      </c>
      <c r="D573" s="1055" t="s">
        <v>1302</v>
      </c>
      <c r="E573" s="1055" t="s">
        <v>986</v>
      </c>
      <c r="F573" s="1056">
        <v>242</v>
      </c>
      <c r="G573" s="1056">
        <v>0</v>
      </c>
      <c r="H573" s="1056">
        <v>242</v>
      </c>
      <c r="I573" s="1056">
        <v>0</v>
      </c>
      <c r="K573" s="995">
        <f t="shared" si="8"/>
        <v>8</v>
      </c>
    </row>
    <row r="574" spans="1:11">
      <c r="A574" s="1054">
        <v>23709507</v>
      </c>
      <c r="B574" s="1055" t="s">
        <v>1489</v>
      </c>
      <c r="C574" s="1055" t="s">
        <v>1784</v>
      </c>
      <c r="D574" s="1055" t="s">
        <v>1303</v>
      </c>
      <c r="E574" s="1055" t="s">
        <v>806</v>
      </c>
      <c r="F574" s="1056">
        <v>57</v>
      </c>
      <c r="G574" s="1056">
        <v>0</v>
      </c>
      <c r="H574" s="1056">
        <v>0</v>
      </c>
      <c r="I574" s="1056">
        <v>57</v>
      </c>
      <c r="K574" s="995">
        <f t="shared" si="8"/>
        <v>8</v>
      </c>
    </row>
    <row r="575" spans="1:11">
      <c r="A575" s="1054">
        <v>2380</v>
      </c>
      <c r="B575" s="1055" t="s">
        <v>893</v>
      </c>
      <c r="C575" s="1055" t="s">
        <v>343</v>
      </c>
      <c r="D575" s="1055" t="s">
        <v>893</v>
      </c>
      <c r="E575" s="1055" t="s">
        <v>893</v>
      </c>
      <c r="F575" s="1056">
        <v>-13259</v>
      </c>
      <c r="G575" s="1056">
        <v>9029</v>
      </c>
      <c r="H575" s="1056">
        <v>3499</v>
      </c>
      <c r="I575" s="1056">
        <v>-7729</v>
      </c>
      <c r="K575" s="995">
        <f t="shared" si="8"/>
        <v>4</v>
      </c>
    </row>
    <row r="576" spans="1:11">
      <c r="A576" s="1054">
        <v>238095</v>
      </c>
      <c r="B576" s="1055" t="s">
        <v>893</v>
      </c>
      <c r="C576" s="1055" t="s">
        <v>323</v>
      </c>
      <c r="D576" s="1055" t="s">
        <v>893</v>
      </c>
      <c r="E576" s="1055" t="s">
        <v>893</v>
      </c>
      <c r="F576" s="1056">
        <v>-13259</v>
      </c>
      <c r="G576" s="1056">
        <v>9029</v>
      </c>
      <c r="H576" s="1056">
        <v>3499</v>
      </c>
      <c r="I576" s="1056">
        <v>-7729</v>
      </c>
      <c r="K576" s="995">
        <f t="shared" si="8"/>
        <v>6</v>
      </c>
    </row>
    <row r="577" spans="1:11">
      <c r="A577" s="1054">
        <v>23809501</v>
      </c>
      <c r="B577" s="1055" t="s">
        <v>893</v>
      </c>
      <c r="C577" s="1055" t="s">
        <v>323</v>
      </c>
      <c r="D577" s="1055" t="s">
        <v>893</v>
      </c>
      <c r="E577" s="1055" t="s">
        <v>893</v>
      </c>
      <c r="F577" s="1056">
        <v>-4929</v>
      </c>
      <c r="G577" s="1056">
        <v>1459</v>
      </c>
      <c r="H577" s="1056">
        <v>341</v>
      </c>
      <c r="I577" s="1056">
        <v>-3811</v>
      </c>
      <c r="K577" s="995">
        <f t="shared" si="8"/>
        <v>8</v>
      </c>
    </row>
    <row r="578" spans="1:11">
      <c r="A578" s="1054">
        <v>23809501</v>
      </c>
      <c r="B578" s="1055" t="s">
        <v>893</v>
      </c>
      <c r="C578" s="1055" t="s">
        <v>323</v>
      </c>
      <c r="D578" s="1055" t="s">
        <v>1222</v>
      </c>
      <c r="E578" s="1055" t="s">
        <v>332</v>
      </c>
      <c r="F578" s="1056">
        <v>0</v>
      </c>
      <c r="G578" s="1056">
        <v>0</v>
      </c>
      <c r="H578" s="1056">
        <v>1</v>
      </c>
      <c r="I578" s="1056">
        <v>-1</v>
      </c>
      <c r="K578" s="995">
        <f t="shared" si="8"/>
        <v>8</v>
      </c>
    </row>
    <row r="579" spans="1:11">
      <c r="A579" s="1054">
        <v>23809501</v>
      </c>
      <c r="B579" s="1055" t="s">
        <v>893</v>
      </c>
      <c r="C579" s="1055" t="s">
        <v>323</v>
      </c>
      <c r="D579" s="1055" t="s">
        <v>1066</v>
      </c>
      <c r="E579" s="1055" t="s">
        <v>662</v>
      </c>
      <c r="F579" s="1056">
        <v>-32</v>
      </c>
      <c r="G579" s="1056">
        <v>0</v>
      </c>
      <c r="H579" s="1056">
        <v>0</v>
      </c>
      <c r="I579" s="1056">
        <v>-32</v>
      </c>
      <c r="K579" s="995">
        <f t="shared" si="8"/>
        <v>8</v>
      </c>
    </row>
    <row r="580" spans="1:11">
      <c r="A580" s="1054">
        <v>23809501</v>
      </c>
      <c r="B580" s="1055" t="s">
        <v>893</v>
      </c>
      <c r="C580" s="1055" t="s">
        <v>323</v>
      </c>
      <c r="D580" s="1055" t="s">
        <v>1034</v>
      </c>
      <c r="E580" s="1055" t="s">
        <v>504</v>
      </c>
      <c r="F580" s="1056">
        <v>-2704</v>
      </c>
      <c r="G580" s="1056">
        <v>0</v>
      </c>
      <c r="H580" s="1056">
        <v>263</v>
      </c>
      <c r="I580" s="1056">
        <v>-2967</v>
      </c>
      <c r="K580" s="995">
        <f t="shared" si="8"/>
        <v>8</v>
      </c>
    </row>
    <row r="581" spans="1:11">
      <c r="A581" s="1054">
        <v>23809501</v>
      </c>
      <c r="B581" s="1055" t="s">
        <v>893</v>
      </c>
      <c r="C581" s="1055" t="s">
        <v>323</v>
      </c>
      <c r="D581" s="1055" t="s">
        <v>1074</v>
      </c>
      <c r="E581" s="1055" t="s">
        <v>257</v>
      </c>
      <c r="F581" s="1056">
        <v>-735</v>
      </c>
      <c r="G581" s="1056">
        <v>0</v>
      </c>
      <c r="H581" s="1056">
        <v>76</v>
      </c>
      <c r="I581" s="1056">
        <v>-811</v>
      </c>
      <c r="K581" s="995">
        <f t="shared" ref="K581:K644" si="9">+LEN(A581)</f>
        <v>8</v>
      </c>
    </row>
    <row r="582" spans="1:11">
      <c r="A582" s="1054">
        <v>23809501</v>
      </c>
      <c r="B582" s="1055" t="s">
        <v>893</v>
      </c>
      <c r="C582" s="1055" t="s">
        <v>323</v>
      </c>
      <c r="D582" s="1055" t="s">
        <v>1062</v>
      </c>
      <c r="E582" s="1055" t="s">
        <v>510</v>
      </c>
      <c r="F582" s="1056">
        <v>-1459</v>
      </c>
      <c r="G582" s="1056">
        <v>1459</v>
      </c>
      <c r="H582" s="1056">
        <v>0</v>
      </c>
      <c r="I582" s="1056">
        <v>0</v>
      </c>
      <c r="K582" s="995">
        <f t="shared" si="9"/>
        <v>8</v>
      </c>
    </row>
    <row r="583" spans="1:11">
      <c r="A583" s="1054">
        <v>23809501</v>
      </c>
      <c r="B583" s="1055" t="s">
        <v>893</v>
      </c>
      <c r="C583" s="1055" t="s">
        <v>323</v>
      </c>
      <c r="D583" s="1055" t="s">
        <v>1039</v>
      </c>
      <c r="E583" s="1055" t="s">
        <v>681</v>
      </c>
      <c r="F583" s="1056">
        <v>0</v>
      </c>
      <c r="G583" s="1056">
        <v>0</v>
      </c>
      <c r="H583" s="1056">
        <v>0</v>
      </c>
      <c r="I583" s="1056">
        <v>0</v>
      </c>
      <c r="K583" s="995">
        <f t="shared" si="9"/>
        <v>8</v>
      </c>
    </row>
    <row r="584" spans="1:11">
      <c r="A584" s="1054">
        <v>23809501</v>
      </c>
      <c r="B584" s="1055" t="s">
        <v>893</v>
      </c>
      <c r="C584" s="1055" t="s">
        <v>323</v>
      </c>
      <c r="D584" s="1055" t="s">
        <v>1057</v>
      </c>
      <c r="E584" s="1055" t="s">
        <v>818</v>
      </c>
      <c r="F584" s="1056">
        <v>0</v>
      </c>
      <c r="G584" s="1056">
        <v>0</v>
      </c>
      <c r="H584" s="1056">
        <v>0</v>
      </c>
      <c r="I584" s="1056">
        <v>0</v>
      </c>
      <c r="K584" s="995">
        <f t="shared" si="9"/>
        <v>8</v>
      </c>
    </row>
    <row r="585" spans="1:11">
      <c r="A585" s="1054">
        <v>23809501</v>
      </c>
      <c r="B585" s="1055" t="s">
        <v>893</v>
      </c>
      <c r="C585" s="1055" t="s">
        <v>323</v>
      </c>
      <c r="D585" s="1055" t="s">
        <v>1059</v>
      </c>
      <c r="E585" s="1055" t="s">
        <v>819</v>
      </c>
      <c r="F585" s="1056">
        <v>0</v>
      </c>
      <c r="G585" s="1056">
        <v>0</v>
      </c>
      <c r="H585" s="1056">
        <v>0</v>
      </c>
      <c r="I585" s="1056">
        <v>0</v>
      </c>
      <c r="K585" s="995">
        <f t="shared" si="9"/>
        <v>8</v>
      </c>
    </row>
    <row r="586" spans="1:11">
      <c r="A586" s="1054">
        <v>23809501</v>
      </c>
      <c r="B586" s="1055" t="s">
        <v>893</v>
      </c>
      <c r="C586" s="1055" t="s">
        <v>323</v>
      </c>
      <c r="D586" s="1055" t="s">
        <v>1254</v>
      </c>
      <c r="E586" s="1055" t="s">
        <v>744</v>
      </c>
      <c r="F586" s="1056">
        <v>0</v>
      </c>
      <c r="G586" s="1056">
        <v>0</v>
      </c>
      <c r="H586" s="1056">
        <v>0</v>
      </c>
      <c r="I586" s="1056">
        <v>0</v>
      </c>
      <c r="K586" s="995">
        <f t="shared" si="9"/>
        <v>8</v>
      </c>
    </row>
    <row r="587" spans="1:11">
      <c r="A587" s="1054">
        <v>23809502</v>
      </c>
      <c r="B587" s="1055" t="s">
        <v>1489</v>
      </c>
      <c r="C587" s="1055" t="s">
        <v>1219</v>
      </c>
      <c r="D587" s="1055" t="s">
        <v>893</v>
      </c>
      <c r="E587" s="1055" t="s">
        <v>893</v>
      </c>
      <c r="F587" s="1056">
        <v>0</v>
      </c>
      <c r="G587" s="1056">
        <v>0</v>
      </c>
      <c r="H587" s="1056">
        <v>0</v>
      </c>
      <c r="I587" s="1056">
        <v>0</v>
      </c>
      <c r="K587" s="995">
        <f t="shared" si="9"/>
        <v>8</v>
      </c>
    </row>
    <row r="588" spans="1:11">
      <c r="A588" s="1054">
        <v>23809503</v>
      </c>
      <c r="B588" s="1055" t="s">
        <v>1489</v>
      </c>
      <c r="C588" s="1055" t="s">
        <v>735</v>
      </c>
      <c r="D588" s="1055" t="s">
        <v>893</v>
      </c>
      <c r="E588" s="1055" t="s">
        <v>893</v>
      </c>
      <c r="F588" s="1056">
        <v>-2560</v>
      </c>
      <c r="G588" s="1056">
        <v>238</v>
      </c>
      <c r="H588" s="1056">
        <v>48</v>
      </c>
      <c r="I588" s="1056">
        <v>-2370</v>
      </c>
      <c r="K588" s="995">
        <f t="shared" si="9"/>
        <v>8</v>
      </c>
    </row>
    <row r="589" spans="1:11">
      <c r="A589" s="1054">
        <v>23809503</v>
      </c>
      <c r="B589" s="1055" t="s">
        <v>1489</v>
      </c>
      <c r="C589" s="1055" t="s">
        <v>735</v>
      </c>
      <c r="D589" s="1055" t="s">
        <v>1042</v>
      </c>
      <c r="E589" s="1055" t="s">
        <v>1732</v>
      </c>
      <c r="F589" s="1056">
        <v>-16</v>
      </c>
      <c r="G589" s="1056">
        <v>16</v>
      </c>
      <c r="H589" s="1056">
        <v>0</v>
      </c>
      <c r="I589" s="1056">
        <v>0</v>
      </c>
      <c r="K589" s="995">
        <f t="shared" si="9"/>
        <v>8</v>
      </c>
    </row>
    <row r="590" spans="1:11">
      <c r="A590" s="1054">
        <v>23809503</v>
      </c>
      <c r="B590" s="1055" t="s">
        <v>1489</v>
      </c>
      <c r="C590" s="1055" t="s">
        <v>735</v>
      </c>
      <c r="D590" s="1055" t="s">
        <v>1320</v>
      </c>
      <c r="E590" s="1055" t="s">
        <v>1321</v>
      </c>
      <c r="F590" s="1056">
        <v>0</v>
      </c>
      <c r="G590" s="1056">
        <v>0</v>
      </c>
      <c r="H590" s="1056">
        <v>0</v>
      </c>
      <c r="I590" s="1056">
        <v>0</v>
      </c>
      <c r="K590" s="995">
        <f t="shared" si="9"/>
        <v>8</v>
      </c>
    </row>
    <row r="591" spans="1:11">
      <c r="A591" s="1054">
        <v>23809503</v>
      </c>
      <c r="B591" s="1055" t="s">
        <v>1489</v>
      </c>
      <c r="C591" s="1055" t="s">
        <v>735</v>
      </c>
      <c r="D591" s="1055" t="s">
        <v>1223</v>
      </c>
      <c r="E591" s="1055" t="s">
        <v>742</v>
      </c>
      <c r="F591" s="1056">
        <v>-2164</v>
      </c>
      <c r="G591" s="1056">
        <v>0</v>
      </c>
      <c r="H591" s="1056">
        <v>0</v>
      </c>
      <c r="I591" s="1056">
        <v>-2164</v>
      </c>
      <c r="K591" s="995">
        <f t="shared" si="9"/>
        <v>8</v>
      </c>
    </row>
    <row r="592" spans="1:11">
      <c r="A592" s="1054">
        <v>23809503</v>
      </c>
      <c r="B592" s="1055" t="s">
        <v>1489</v>
      </c>
      <c r="C592" s="1055" t="s">
        <v>735</v>
      </c>
      <c r="D592" s="1055" t="s">
        <v>1188</v>
      </c>
      <c r="E592" s="1055" t="s">
        <v>729</v>
      </c>
      <c r="F592" s="1056">
        <v>-191</v>
      </c>
      <c r="G592" s="1056">
        <v>0</v>
      </c>
      <c r="H592" s="1056">
        <v>0</v>
      </c>
      <c r="I592" s="1056">
        <v>-191</v>
      </c>
      <c r="K592" s="995">
        <f t="shared" si="9"/>
        <v>8</v>
      </c>
    </row>
    <row r="593" spans="1:11">
      <c r="A593" s="1054">
        <v>23809503</v>
      </c>
      <c r="B593" s="1055" t="s">
        <v>1489</v>
      </c>
      <c r="C593" s="1055" t="s">
        <v>735</v>
      </c>
      <c r="D593" s="1055" t="s">
        <v>1285</v>
      </c>
      <c r="E593" s="1055" t="s">
        <v>786</v>
      </c>
      <c r="F593" s="1056">
        <v>-214</v>
      </c>
      <c r="G593" s="1056">
        <v>214</v>
      </c>
      <c r="H593" s="1056">
        <v>8</v>
      </c>
      <c r="I593" s="1056">
        <v>-8</v>
      </c>
      <c r="K593" s="995">
        <f t="shared" si="9"/>
        <v>8</v>
      </c>
    </row>
    <row r="594" spans="1:11">
      <c r="A594" s="1054">
        <v>23809503</v>
      </c>
      <c r="B594" s="1055" t="s">
        <v>1489</v>
      </c>
      <c r="C594" s="1055" t="s">
        <v>735</v>
      </c>
      <c r="D594" s="1055" t="s">
        <v>1222</v>
      </c>
      <c r="E594" s="1055" t="s">
        <v>332</v>
      </c>
      <c r="F594" s="1056">
        <v>-1</v>
      </c>
      <c r="G594" s="1056">
        <v>1</v>
      </c>
      <c r="H594" s="1056">
        <v>0</v>
      </c>
      <c r="I594" s="1056">
        <v>0</v>
      </c>
      <c r="K594" s="995">
        <f t="shared" si="9"/>
        <v>8</v>
      </c>
    </row>
    <row r="595" spans="1:11">
      <c r="A595" s="1054">
        <v>23809503</v>
      </c>
      <c r="B595" s="1055" t="s">
        <v>1489</v>
      </c>
      <c r="C595" s="1055" t="s">
        <v>735</v>
      </c>
      <c r="D595" s="1055" t="s">
        <v>1171</v>
      </c>
      <c r="E595" s="1055" t="s">
        <v>335</v>
      </c>
      <c r="F595" s="1056">
        <v>-3</v>
      </c>
      <c r="G595" s="1056">
        <v>3</v>
      </c>
      <c r="H595" s="1056">
        <v>2</v>
      </c>
      <c r="I595" s="1056">
        <v>-2</v>
      </c>
      <c r="K595" s="995">
        <f t="shared" si="9"/>
        <v>8</v>
      </c>
    </row>
    <row r="596" spans="1:11">
      <c r="A596" s="1054">
        <v>23809503</v>
      </c>
      <c r="B596" s="1055" t="s">
        <v>1489</v>
      </c>
      <c r="C596" s="1055" t="s">
        <v>735</v>
      </c>
      <c r="D596" s="1055" t="s">
        <v>1168</v>
      </c>
      <c r="E596" s="1055" t="s">
        <v>1169</v>
      </c>
      <c r="F596" s="1056">
        <v>0</v>
      </c>
      <c r="G596" s="1056">
        <v>0</v>
      </c>
      <c r="H596" s="1056">
        <v>0</v>
      </c>
      <c r="I596" s="1056">
        <v>0</v>
      </c>
      <c r="K596" s="995">
        <f t="shared" si="9"/>
        <v>8</v>
      </c>
    </row>
    <row r="597" spans="1:11">
      <c r="A597" s="1054">
        <v>23809503</v>
      </c>
      <c r="B597" s="1055" t="s">
        <v>1489</v>
      </c>
      <c r="C597" s="1055" t="s">
        <v>735</v>
      </c>
      <c r="D597" s="1055" t="s">
        <v>1062</v>
      </c>
      <c r="E597" s="1055" t="s">
        <v>510</v>
      </c>
      <c r="F597" s="1056">
        <v>32</v>
      </c>
      <c r="G597" s="1056">
        <v>0</v>
      </c>
      <c r="H597" s="1056">
        <v>32</v>
      </c>
      <c r="I597" s="1056">
        <v>0</v>
      </c>
      <c r="K597" s="995">
        <f t="shared" si="9"/>
        <v>8</v>
      </c>
    </row>
    <row r="598" spans="1:11">
      <c r="A598" s="1054">
        <v>23809503</v>
      </c>
      <c r="B598" s="1055" t="s">
        <v>1489</v>
      </c>
      <c r="C598" s="1055" t="s">
        <v>735</v>
      </c>
      <c r="D598" s="1055" t="s">
        <v>1305</v>
      </c>
      <c r="E598" s="1055" t="s">
        <v>990</v>
      </c>
      <c r="F598" s="1056">
        <v>0</v>
      </c>
      <c r="G598" s="1056">
        <v>0</v>
      </c>
      <c r="H598" s="1056">
        <v>6</v>
      </c>
      <c r="I598" s="1056">
        <v>-6</v>
      </c>
      <c r="K598" s="995">
        <f t="shared" si="9"/>
        <v>8</v>
      </c>
    </row>
    <row r="599" spans="1:11">
      <c r="A599" s="1054">
        <v>23809503</v>
      </c>
      <c r="B599" s="1055" t="s">
        <v>1489</v>
      </c>
      <c r="C599" s="1055" t="s">
        <v>735</v>
      </c>
      <c r="D599" s="1055" t="s">
        <v>1322</v>
      </c>
      <c r="E599" s="1055" t="s">
        <v>1323</v>
      </c>
      <c r="F599" s="1056">
        <v>-4</v>
      </c>
      <c r="G599" s="1056">
        <v>4</v>
      </c>
      <c r="H599" s="1056">
        <v>0</v>
      </c>
      <c r="I599" s="1056">
        <v>0</v>
      </c>
      <c r="K599" s="995">
        <f t="shared" si="9"/>
        <v>8</v>
      </c>
    </row>
    <row r="600" spans="1:11">
      <c r="A600" s="1054">
        <v>23809503</v>
      </c>
      <c r="B600" s="1055" t="s">
        <v>1489</v>
      </c>
      <c r="C600" s="1055" t="s">
        <v>735</v>
      </c>
      <c r="D600" s="1055" t="s">
        <v>1254</v>
      </c>
      <c r="E600" s="1055" t="s">
        <v>744</v>
      </c>
      <c r="F600" s="1056">
        <v>0</v>
      </c>
      <c r="G600" s="1056">
        <v>0</v>
      </c>
      <c r="H600" s="1056">
        <v>0</v>
      </c>
      <c r="I600" s="1056">
        <v>0</v>
      </c>
      <c r="K600" s="995">
        <f t="shared" si="9"/>
        <v>8</v>
      </c>
    </row>
    <row r="601" spans="1:11">
      <c r="A601" s="1054">
        <v>23809504</v>
      </c>
      <c r="B601" s="1055" t="s">
        <v>1489</v>
      </c>
      <c r="C601" s="1055" t="s">
        <v>736</v>
      </c>
      <c r="D601" s="1055" t="s">
        <v>893</v>
      </c>
      <c r="E601" s="1055" t="s">
        <v>893</v>
      </c>
      <c r="F601" s="1056">
        <v>0</v>
      </c>
      <c r="G601" s="1056">
        <v>0</v>
      </c>
      <c r="H601" s="1056">
        <v>0</v>
      </c>
      <c r="I601" s="1056">
        <v>0</v>
      </c>
      <c r="K601" s="995">
        <f t="shared" si="9"/>
        <v>8</v>
      </c>
    </row>
    <row r="602" spans="1:11">
      <c r="A602" s="1054">
        <v>23809504</v>
      </c>
      <c r="B602" s="1055" t="s">
        <v>1489</v>
      </c>
      <c r="C602" s="1055" t="s">
        <v>736</v>
      </c>
      <c r="D602" s="1055" t="s">
        <v>1040</v>
      </c>
      <c r="E602" s="1055" t="s">
        <v>406</v>
      </c>
      <c r="F602" s="1056">
        <v>0</v>
      </c>
      <c r="G602" s="1056">
        <v>0</v>
      </c>
      <c r="H602" s="1056">
        <v>0</v>
      </c>
      <c r="I602" s="1056">
        <v>0</v>
      </c>
      <c r="K602" s="995">
        <f t="shared" si="9"/>
        <v>8</v>
      </c>
    </row>
    <row r="603" spans="1:11">
      <c r="A603" s="1054">
        <v>23809505</v>
      </c>
      <c r="B603" s="1055" t="s">
        <v>1489</v>
      </c>
      <c r="C603" s="1055" t="s">
        <v>1675</v>
      </c>
      <c r="D603" s="1055" t="s">
        <v>893</v>
      </c>
      <c r="E603" s="1055" t="s">
        <v>893</v>
      </c>
      <c r="F603" s="1056">
        <v>-5770</v>
      </c>
      <c r="G603" s="1056">
        <v>7124</v>
      </c>
      <c r="H603" s="1056">
        <v>2902</v>
      </c>
      <c r="I603" s="1056">
        <v>-1548</v>
      </c>
      <c r="K603" s="995">
        <f t="shared" si="9"/>
        <v>8</v>
      </c>
    </row>
    <row r="604" spans="1:11">
      <c r="A604" s="1054">
        <v>23809505</v>
      </c>
      <c r="B604" s="1055" t="s">
        <v>1489</v>
      </c>
      <c r="C604" s="1055" t="s">
        <v>1675</v>
      </c>
      <c r="D604" s="1055" t="s">
        <v>1083</v>
      </c>
      <c r="E604" s="1055" t="s">
        <v>256</v>
      </c>
      <c r="F604" s="1056">
        <v>-1548</v>
      </c>
      <c r="G604" s="1056">
        <v>1548</v>
      </c>
      <c r="H604" s="1056">
        <v>0</v>
      </c>
      <c r="I604" s="1056">
        <v>0</v>
      </c>
      <c r="K604" s="995">
        <f t="shared" si="9"/>
        <v>8</v>
      </c>
    </row>
    <row r="605" spans="1:11">
      <c r="A605" s="1054">
        <v>23809505</v>
      </c>
      <c r="B605" s="1055" t="s">
        <v>1489</v>
      </c>
      <c r="C605" s="1055" t="s">
        <v>1675</v>
      </c>
      <c r="D605" s="1055" t="s">
        <v>1041</v>
      </c>
      <c r="E605" s="1055" t="s">
        <v>661</v>
      </c>
      <c r="F605" s="1056">
        <v>-4222</v>
      </c>
      <c r="G605" s="1056">
        <v>5576</v>
      </c>
      <c r="H605" s="1056">
        <v>2902</v>
      </c>
      <c r="I605" s="1056">
        <v>-1548</v>
      </c>
      <c r="K605" s="995">
        <f t="shared" si="9"/>
        <v>8</v>
      </c>
    </row>
    <row r="606" spans="1:11">
      <c r="A606" s="1054">
        <v>23809506</v>
      </c>
      <c r="B606" s="1055" t="s">
        <v>1489</v>
      </c>
      <c r="C606" s="1055" t="s">
        <v>1926</v>
      </c>
      <c r="D606" s="1055" t="s">
        <v>893</v>
      </c>
      <c r="E606" s="1055" t="s">
        <v>893</v>
      </c>
      <c r="F606" s="1056">
        <v>0</v>
      </c>
      <c r="G606" s="1056">
        <v>209</v>
      </c>
      <c r="H606" s="1056">
        <v>209</v>
      </c>
      <c r="I606" s="1056">
        <v>0</v>
      </c>
      <c r="K606" s="995">
        <f t="shared" si="9"/>
        <v>8</v>
      </c>
    </row>
    <row r="607" spans="1:11">
      <c r="A607" s="1054">
        <v>23809506</v>
      </c>
      <c r="B607" s="1055" t="s">
        <v>1489</v>
      </c>
      <c r="C607" s="1055" t="s">
        <v>1926</v>
      </c>
      <c r="D607" s="1055" t="s">
        <v>1062</v>
      </c>
      <c r="E607" s="1055" t="s">
        <v>510</v>
      </c>
      <c r="F607" s="1056">
        <v>0</v>
      </c>
      <c r="G607" s="1056">
        <v>209</v>
      </c>
      <c r="H607" s="1056">
        <v>209</v>
      </c>
      <c r="I607" s="1056">
        <v>0</v>
      </c>
      <c r="K607" s="995">
        <f t="shared" si="9"/>
        <v>8</v>
      </c>
    </row>
    <row r="608" spans="1:11">
      <c r="A608" s="1054">
        <v>24</v>
      </c>
      <c r="B608" s="1055" t="s">
        <v>1489</v>
      </c>
      <c r="C608" s="1055" t="s">
        <v>737</v>
      </c>
      <c r="D608" s="1055" t="s">
        <v>893</v>
      </c>
      <c r="E608" s="1055" t="s">
        <v>893</v>
      </c>
      <c r="F608" s="1056">
        <v>-78151</v>
      </c>
      <c r="G608" s="1056">
        <v>73556</v>
      </c>
      <c r="H608" s="1056">
        <v>125753</v>
      </c>
      <c r="I608" s="1056">
        <v>-130347</v>
      </c>
      <c r="K608" s="995">
        <f t="shared" si="9"/>
        <v>2</v>
      </c>
    </row>
    <row r="609" spans="1:11">
      <c r="A609" s="1054">
        <v>2402</v>
      </c>
      <c r="B609" s="1055" t="s">
        <v>1489</v>
      </c>
      <c r="C609" s="1055" t="s">
        <v>738</v>
      </c>
      <c r="D609" s="1055" t="s">
        <v>893</v>
      </c>
      <c r="E609" s="1055" t="s">
        <v>893</v>
      </c>
      <c r="F609" s="1056">
        <v>-4118</v>
      </c>
      <c r="G609" s="1056">
        <v>0</v>
      </c>
      <c r="H609" s="1056">
        <v>0</v>
      </c>
      <c r="I609" s="1056">
        <v>-4118</v>
      </c>
      <c r="K609" s="995">
        <f t="shared" si="9"/>
        <v>4</v>
      </c>
    </row>
    <row r="610" spans="1:11">
      <c r="A610" s="1054">
        <v>240201</v>
      </c>
      <c r="B610" s="1055" t="s">
        <v>1489</v>
      </c>
      <c r="C610" s="1055" t="s">
        <v>738</v>
      </c>
      <c r="D610" s="1055" t="s">
        <v>893</v>
      </c>
      <c r="E610" s="1055" t="s">
        <v>893</v>
      </c>
      <c r="F610" s="1056">
        <v>-4118</v>
      </c>
      <c r="G610" s="1056">
        <v>0</v>
      </c>
      <c r="H610" s="1056">
        <v>0</v>
      </c>
      <c r="I610" s="1056">
        <v>-4118</v>
      </c>
      <c r="K610" s="995">
        <f t="shared" si="9"/>
        <v>6</v>
      </c>
    </row>
    <row r="611" spans="1:11">
      <c r="A611" s="1054">
        <v>240201</v>
      </c>
      <c r="B611" s="1055" t="s">
        <v>1489</v>
      </c>
      <c r="C611" s="1055" t="s">
        <v>738</v>
      </c>
      <c r="D611" s="1055" t="s">
        <v>1222</v>
      </c>
      <c r="E611" s="1055" t="s">
        <v>332</v>
      </c>
      <c r="F611" s="1056">
        <v>-4118</v>
      </c>
      <c r="G611" s="1056">
        <v>0</v>
      </c>
      <c r="H611" s="1056">
        <v>0</v>
      </c>
      <c r="I611" s="1056">
        <v>-4118</v>
      </c>
      <c r="K611" s="995">
        <f t="shared" si="9"/>
        <v>6</v>
      </c>
    </row>
    <row r="612" spans="1:11">
      <c r="A612" s="1054">
        <v>2404</v>
      </c>
      <c r="B612" s="1055" t="s">
        <v>893</v>
      </c>
      <c r="C612" s="1055" t="s">
        <v>527</v>
      </c>
      <c r="D612" s="1055" t="s">
        <v>893</v>
      </c>
      <c r="E612" s="1055" t="s">
        <v>893</v>
      </c>
      <c r="F612" s="1056">
        <v>-26309</v>
      </c>
      <c r="G612" s="1056">
        <v>0</v>
      </c>
      <c r="H612" s="1056">
        <v>362</v>
      </c>
      <c r="I612" s="1056">
        <v>-26671</v>
      </c>
      <c r="K612" s="995">
        <f t="shared" si="9"/>
        <v>4</v>
      </c>
    </row>
    <row r="613" spans="1:11">
      <c r="A613" s="1054">
        <v>240405</v>
      </c>
      <c r="B613" s="1055" t="s">
        <v>893</v>
      </c>
      <c r="C613" s="1055" t="s">
        <v>469</v>
      </c>
      <c r="D613" s="1055" t="s">
        <v>893</v>
      </c>
      <c r="E613" s="1055" t="s">
        <v>893</v>
      </c>
      <c r="F613" s="1056">
        <v>-26309</v>
      </c>
      <c r="G613" s="1056">
        <v>0</v>
      </c>
      <c r="H613" s="1056">
        <v>362</v>
      </c>
      <c r="I613" s="1056">
        <v>-26671</v>
      </c>
      <c r="K613" s="995">
        <f t="shared" si="9"/>
        <v>6</v>
      </c>
    </row>
    <row r="614" spans="1:11">
      <c r="A614" s="1054">
        <v>24040502</v>
      </c>
      <c r="B614" s="1055" t="s">
        <v>1489</v>
      </c>
      <c r="C614" s="1055" t="s">
        <v>469</v>
      </c>
      <c r="D614" s="1055" t="s">
        <v>893</v>
      </c>
      <c r="E614" s="1055" t="s">
        <v>893</v>
      </c>
      <c r="F614" s="1056">
        <v>-26309</v>
      </c>
      <c r="G614" s="1056">
        <v>0</v>
      </c>
      <c r="H614" s="1056">
        <v>362</v>
      </c>
      <c r="I614" s="1056">
        <v>-26671</v>
      </c>
      <c r="K614" s="995">
        <f t="shared" si="9"/>
        <v>8</v>
      </c>
    </row>
    <row r="615" spans="1:11">
      <c r="A615" s="1054">
        <v>2406</v>
      </c>
      <c r="B615" s="1055" t="s">
        <v>893</v>
      </c>
      <c r="C615" s="1055" t="s">
        <v>739</v>
      </c>
      <c r="D615" s="1055" t="s">
        <v>893</v>
      </c>
      <c r="E615" s="1055" t="s">
        <v>893</v>
      </c>
      <c r="F615" s="1056">
        <v>-14208</v>
      </c>
      <c r="G615" s="1056">
        <v>14208</v>
      </c>
      <c r="H615" s="1056">
        <v>26515</v>
      </c>
      <c r="I615" s="1056">
        <v>-26515</v>
      </c>
      <c r="K615" s="995">
        <f t="shared" si="9"/>
        <v>4</v>
      </c>
    </row>
    <row r="616" spans="1:11">
      <c r="A616" s="1054">
        <v>240605</v>
      </c>
      <c r="B616" s="1055" t="s">
        <v>893</v>
      </c>
      <c r="C616" s="1055" t="s">
        <v>740</v>
      </c>
      <c r="D616" s="1055" t="s">
        <v>893</v>
      </c>
      <c r="E616" s="1055" t="s">
        <v>893</v>
      </c>
      <c r="F616" s="1056">
        <v>-14208</v>
      </c>
      <c r="G616" s="1056">
        <v>14208</v>
      </c>
      <c r="H616" s="1056">
        <v>26515</v>
      </c>
      <c r="I616" s="1056">
        <v>-26515</v>
      </c>
      <c r="K616" s="995">
        <f t="shared" si="9"/>
        <v>6</v>
      </c>
    </row>
    <row r="617" spans="1:11">
      <c r="A617" s="1054">
        <v>240605</v>
      </c>
      <c r="B617" s="1055" t="s">
        <v>893</v>
      </c>
      <c r="C617" s="1055" t="s">
        <v>740</v>
      </c>
      <c r="D617" s="1055" t="s">
        <v>1222</v>
      </c>
      <c r="E617" s="1055" t="s">
        <v>332</v>
      </c>
      <c r="F617" s="1056">
        <v>-14208</v>
      </c>
      <c r="G617" s="1056">
        <v>14208</v>
      </c>
      <c r="H617" s="1056">
        <v>26515</v>
      </c>
      <c r="I617" s="1056">
        <v>-26515</v>
      </c>
      <c r="K617" s="995">
        <f t="shared" si="9"/>
        <v>6</v>
      </c>
    </row>
    <row r="618" spans="1:11">
      <c r="A618" s="1054">
        <v>240610</v>
      </c>
      <c r="B618" s="1055" t="s">
        <v>893</v>
      </c>
      <c r="C618" s="1055" t="s">
        <v>741</v>
      </c>
      <c r="D618" s="1055" t="s">
        <v>893</v>
      </c>
      <c r="E618" s="1055" t="s">
        <v>893</v>
      </c>
      <c r="F618" s="1056">
        <v>0</v>
      </c>
      <c r="G618" s="1056">
        <v>0</v>
      </c>
      <c r="H618" s="1056">
        <v>0</v>
      </c>
      <c r="I618" s="1056">
        <v>0</v>
      </c>
      <c r="K618" s="995">
        <f t="shared" si="9"/>
        <v>6</v>
      </c>
    </row>
    <row r="619" spans="1:11">
      <c r="A619" s="1054">
        <v>240610</v>
      </c>
      <c r="B619" s="1055" t="s">
        <v>893</v>
      </c>
      <c r="C619" s="1055" t="s">
        <v>741</v>
      </c>
      <c r="D619" s="1055" t="s">
        <v>1067</v>
      </c>
      <c r="E619" s="1055" t="s">
        <v>1068</v>
      </c>
      <c r="F619" s="1056">
        <v>0</v>
      </c>
      <c r="G619" s="1056">
        <v>0</v>
      </c>
      <c r="H619" s="1056">
        <v>0</v>
      </c>
      <c r="I619" s="1056">
        <v>0</v>
      </c>
      <c r="K619" s="995">
        <f t="shared" si="9"/>
        <v>6</v>
      </c>
    </row>
    <row r="620" spans="1:11">
      <c r="A620" s="1054">
        <v>2408</v>
      </c>
      <c r="B620" s="1055" t="s">
        <v>893</v>
      </c>
      <c r="C620" s="1055" t="s">
        <v>344</v>
      </c>
      <c r="D620" s="1055" t="s">
        <v>893</v>
      </c>
      <c r="E620" s="1055" t="s">
        <v>893</v>
      </c>
      <c r="F620" s="1056">
        <v>-33516</v>
      </c>
      <c r="G620" s="1056">
        <v>59348</v>
      </c>
      <c r="H620" s="1056">
        <v>98876</v>
      </c>
      <c r="I620" s="1056">
        <v>-73043</v>
      </c>
      <c r="K620" s="995">
        <f t="shared" si="9"/>
        <v>4</v>
      </c>
    </row>
    <row r="621" spans="1:11">
      <c r="A621" s="1054">
        <v>240805</v>
      </c>
      <c r="B621" s="1055" t="s">
        <v>893</v>
      </c>
      <c r="C621" s="1055" t="s">
        <v>345</v>
      </c>
      <c r="D621" s="1055" t="s">
        <v>893</v>
      </c>
      <c r="E621" s="1055" t="s">
        <v>893</v>
      </c>
      <c r="F621" s="1056">
        <v>-463186</v>
      </c>
      <c r="G621" s="1056">
        <v>466</v>
      </c>
      <c r="H621" s="1056">
        <v>98775</v>
      </c>
      <c r="I621" s="1056">
        <v>-561495</v>
      </c>
      <c r="K621" s="995">
        <f t="shared" si="9"/>
        <v>6</v>
      </c>
    </row>
    <row r="622" spans="1:11">
      <c r="A622" s="1054">
        <v>24080506</v>
      </c>
      <c r="B622" s="1055" t="s">
        <v>893</v>
      </c>
      <c r="C622" s="1055" t="s">
        <v>528</v>
      </c>
      <c r="D622" s="1055" t="s">
        <v>893</v>
      </c>
      <c r="E622" s="1055" t="s">
        <v>893</v>
      </c>
      <c r="F622" s="1056">
        <v>-460426</v>
      </c>
      <c r="G622" s="1056">
        <v>0</v>
      </c>
      <c r="H622" s="1056">
        <v>98757</v>
      </c>
      <c r="I622" s="1056">
        <v>-559183</v>
      </c>
      <c r="K622" s="995">
        <f t="shared" si="9"/>
        <v>8</v>
      </c>
    </row>
    <row r="623" spans="1:11">
      <c r="A623" s="1054">
        <v>24080506</v>
      </c>
      <c r="B623" s="1055" t="s">
        <v>893</v>
      </c>
      <c r="C623" s="1055" t="s">
        <v>528</v>
      </c>
      <c r="D623" s="1055" t="s">
        <v>1298</v>
      </c>
      <c r="E623" s="1055" t="s">
        <v>987</v>
      </c>
      <c r="F623" s="1056">
        <v>-6</v>
      </c>
      <c r="G623" s="1056">
        <v>0</v>
      </c>
      <c r="H623" s="1056">
        <v>0</v>
      </c>
      <c r="I623" s="1056">
        <v>-6</v>
      </c>
      <c r="K623" s="995">
        <f t="shared" si="9"/>
        <v>8</v>
      </c>
    </row>
    <row r="624" spans="1:11">
      <c r="A624" s="1054">
        <v>24080506</v>
      </c>
      <c r="B624" s="1055" t="s">
        <v>893</v>
      </c>
      <c r="C624" s="1055" t="s">
        <v>528</v>
      </c>
      <c r="D624" s="1055" t="s">
        <v>1601</v>
      </c>
      <c r="E624" s="1055" t="s">
        <v>1602</v>
      </c>
      <c r="F624" s="1056">
        <v>-19</v>
      </c>
      <c r="G624" s="1056">
        <v>0</v>
      </c>
      <c r="H624" s="1056">
        <v>4</v>
      </c>
      <c r="I624" s="1056">
        <v>-24</v>
      </c>
      <c r="K624" s="995">
        <f t="shared" si="9"/>
        <v>8</v>
      </c>
    </row>
    <row r="625" spans="1:11">
      <c r="A625" s="1054">
        <v>24080506</v>
      </c>
      <c r="B625" s="1055" t="s">
        <v>893</v>
      </c>
      <c r="C625" s="1055" t="s">
        <v>528</v>
      </c>
      <c r="D625" s="1055" t="s">
        <v>1271</v>
      </c>
      <c r="E625" s="1055" t="s">
        <v>782</v>
      </c>
      <c r="F625" s="1056">
        <v>-33</v>
      </c>
      <c r="G625" s="1056">
        <v>0</v>
      </c>
      <c r="H625" s="1056">
        <v>7</v>
      </c>
      <c r="I625" s="1056">
        <v>-40</v>
      </c>
      <c r="K625" s="995">
        <f t="shared" si="9"/>
        <v>8</v>
      </c>
    </row>
    <row r="626" spans="1:11">
      <c r="A626" s="1054">
        <v>24080506</v>
      </c>
      <c r="B626" s="1055" t="s">
        <v>893</v>
      </c>
      <c r="C626" s="1055" t="s">
        <v>528</v>
      </c>
      <c r="D626" s="1055" t="s">
        <v>1274</v>
      </c>
      <c r="E626" s="1055" t="s">
        <v>989</v>
      </c>
      <c r="F626" s="1056">
        <v>-5</v>
      </c>
      <c r="G626" s="1056">
        <v>0</v>
      </c>
      <c r="H626" s="1056">
        <v>0</v>
      </c>
      <c r="I626" s="1056">
        <v>-5</v>
      </c>
      <c r="K626" s="995">
        <f t="shared" si="9"/>
        <v>8</v>
      </c>
    </row>
    <row r="627" spans="1:11">
      <c r="A627" s="1054">
        <v>24080506</v>
      </c>
      <c r="B627" s="1055" t="s">
        <v>893</v>
      </c>
      <c r="C627" s="1055" t="s">
        <v>528</v>
      </c>
      <c r="D627" s="1055" t="s">
        <v>1223</v>
      </c>
      <c r="E627" s="1055" t="s">
        <v>742</v>
      </c>
      <c r="F627" s="1056">
        <v>-459626</v>
      </c>
      <c r="G627" s="1056">
        <v>0</v>
      </c>
      <c r="H627" s="1056">
        <v>98462</v>
      </c>
      <c r="I627" s="1056">
        <v>-558088</v>
      </c>
      <c r="K627" s="995">
        <f t="shared" si="9"/>
        <v>8</v>
      </c>
    </row>
    <row r="628" spans="1:11">
      <c r="A628" s="1054">
        <v>24080506</v>
      </c>
      <c r="B628" s="1055" t="s">
        <v>893</v>
      </c>
      <c r="C628" s="1055" t="s">
        <v>528</v>
      </c>
      <c r="D628" s="1055" t="s">
        <v>1324</v>
      </c>
      <c r="E628" s="1055" t="s">
        <v>1325</v>
      </c>
      <c r="F628" s="1056">
        <v>-12</v>
      </c>
      <c r="G628" s="1056">
        <v>0</v>
      </c>
      <c r="H628" s="1056">
        <v>0</v>
      </c>
      <c r="I628" s="1056">
        <v>-12</v>
      </c>
      <c r="K628" s="995">
        <f t="shared" si="9"/>
        <v>8</v>
      </c>
    </row>
    <row r="629" spans="1:11">
      <c r="A629" s="1054">
        <v>24080506</v>
      </c>
      <c r="B629" s="1055" t="s">
        <v>893</v>
      </c>
      <c r="C629" s="1055" t="s">
        <v>528</v>
      </c>
      <c r="D629" s="1055" t="s">
        <v>1676</v>
      </c>
      <c r="E629" s="1055" t="s">
        <v>1677</v>
      </c>
      <c r="F629" s="1056">
        <v>-6</v>
      </c>
      <c r="G629" s="1056">
        <v>0</v>
      </c>
      <c r="H629" s="1056">
        <v>0</v>
      </c>
      <c r="I629" s="1056">
        <v>-6</v>
      </c>
      <c r="K629" s="995">
        <f t="shared" si="9"/>
        <v>8</v>
      </c>
    </row>
    <row r="630" spans="1:11">
      <c r="A630" s="1054">
        <v>24080506</v>
      </c>
      <c r="B630" s="1055" t="s">
        <v>893</v>
      </c>
      <c r="C630" s="1055" t="s">
        <v>528</v>
      </c>
      <c r="D630" s="1055" t="s">
        <v>1033</v>
      </c>
      <c r="E630" s="1055" t="s">
        <v>695</v>
      </c>
      <c r="F630" s="1056">
        <v>-172</v>
      </c>
      <c r="G630" s="1056">
        <v>0</v>
      </c>
      <c r="H630" s="1056">
        <v>0</v>
      </c>
      <c r="I630" s="1056">
        <v>-172</v>
      </c>
      <c r="K630" s="995">
        <f t="shared" si="9"/>
        <v>8</v>
      </c>
    </row>
    <row r="631" spans="1:11">
      <c r="A631" s="1054">
        <v>24080506</v>
      </c>
      <c r="B631" s="1055" t="s">
        <v>893</v>
      </c>
      <c r="C631" s="1055" t="s">
        <v>528</v>
      </c>
      <c r="D631" s="1055" t="s">
        <v>1707</v>
      </c>
      <c r="E631" s="1055" t="s">
        <v>1708</v>
      </c>
      <c r="F631" s="1056">
        <v>-8</v>
      </c>
      <c r="G631" s="1056">
        <v>0</v>
      </c>
      <c r="H631" s="1056">
        <v>0</v>
      </c>
      <c r="I631" s="1056">
        <v>-8</v>
      </c>
      <c r="K631" s="995">
        <f t="shared" si="9"/>
        <v>8</v>
      </c>
    </row>
    <row r="632" spans="1:11">
      <c r="A632" s="1054">
        <v>24080506</v>
      </c>
      <c r="B632" s="1055" t="s">
        <v>893</v>
      </c>
      <c r="C632" s="1055" t="s">
        <v>528</v>
      </c>
      <c r="D632" s="1055" t="s">
        <v>1034</v>
      </c>
      <c r="E632" s="1055" t="s">
        <v>504</v>
      </c>
      <c r="F632" s="1056">
        <v>-469</v>
      </c>
      <c r="G632" s="1056">
        <v>0</v>
      </c>
      <c r="H632" s="1056">
        <v>270</v>
      </c>
      <c r="I632" s="1056">
        <v>-739</v>
      </c>
      <c r="K632" s="995">
        <f t="shared" si="9"/>
        <v>8</v>
      </c>
    </row>
    <row r="633" spans="1:11">
      <c r="A633" s="1054">
        <v>24080506</v>
      </c>
      <c r="B633" s="1055" t="s">
        <v>893</v>
      </c>
      <c r="C633" s="1055" t="s">
        <v>528</v>
      </c>
      <c r="D633" s="1055" t="s">
        <v>1855</v>
      </c>
      <c r="E633" s="1055" t="s">
        <v>1856</v>
      </c>
      <c r="F633" s="1056">
        <v>-23</v>
      </c>
      <c r="G633" s="1056">
        <v>0</v>
      </c>
      <c r="H633" s="1056">
        <v>0</v>
      </c>
      <c r="I633" s="1056">
        <v>-23</v>
      </c>
      <c r="K633" s="995">
        <f t="shared" si="9"/>
        <v>8</v>
      </c>
    </row>
    <row r="634" spans="1:11">
      <c r="A634" s="1054">
        <v>24080506</v>
      </c>
      <c r="B634" s="1055" t="s">
        <v>893</v>
      </c>
      <c r="C634" s="1055" t="s">
        <v>528</v>
      </c>
      <c r="D634" s="1055" t="s">
        <v>1062</v>
      </c>
      <c r="E634" s="1055" t="s">
        <v>510</v>
      </c>
      <c r="F634" s="1056">
        <v>-28</v>
      </c>
      <c r="G634" s="1056">
        <v>0</v>
      </c>
      <c r="H634" s="1056">
        <v>0</v>
      </c>
      <c r="I634" s="1056">
        <v>-28</v>
      </c>
      <c r="K634" s="995">
        <f t="shared" si="9"/>
        <v>8</v>
      </c>
    </row>
    <row r="635" spans="1:11">
      <c r="A635" s="1054">
        <v>24080506</v>
      </c>
      <c r="B635" s="1055" t="s">
        <v>893</v>
      </c>
      <c r="C635" s="1055" t="s">
        <v>528</v>
      </c>
      <c r="D635" s="1055" t="s">
        <v>1613</v>
      </c>
      <c r="E635" s="1055" t="s">
        <v>1614</v>
      </c>
      <c r="F635" s="1056">
        <v>-7</v>
      </c>
      <c r="G635" s="1056">
        <v>0</v>
      </c>
      <c r="H635" s="1056">
        <v>0</v>
      </c>
      <c r="I635" s="1056">
        <v>-7</v>
      </c>
      <c r="K635" s="995">
        <f t="shared" si="9"/>
        <v>8</v>
      </c>
    </row>
    <row r="636" spans="1:11">
      <c r="A636" s="1054">
        <v>24080506</v>
      </c>
      <c r="B636" s="1055" t="s">
        <v>893</v>
      </c>
      <c r="C636" s="1055" t="s">
        <v>528</v>
      </c>
      <c r="D636" s="1055" t="s">
        <v>1605</v>
      </c>
      <c r="E636" s="1055" t="s">
        <v>1606</v>
      </c>
      <c r="F636" s="1056">
        <v>-4</v>
      </c>
      <c r="G636" s="1056">
        <v>0</v>
      </c>
      <c r="H636" s="1056">
        <v>13</v>
      </c>
      <c r="I636" s="1056">
        <v>-17</v>
      </c>
      <c r="K636" s="995">
        <f t="shared" si="9"/>
        <v>8</v>
      </c>
    </row>
    <row r="637" spans="1:11">
      <c r="A637" s="1054">
        <v>24080506</v>
      </c>
      <c r="B637" s="1055" t="s">
        <v>893</v>
      </c>
      <c r="C637" s="1055" t="s">
        <v>528</v>
      </c>
      <c r="D637" s="1055" t="s">
        <v>1254</v>
      </c>
      <c r="E637" s="1055" t="s">
        <v>744</v>
      </c>
      <c r="F637" s="1056">
        <v>-1</v>
      </c>
      <c r="G637" s="1056">
        <v>0</v>
      </c>
      <c r="H637" s="1056">
        <v>0</v>
      </c>
      <c r="I637" s="1056">
        <v>-1</v>
      </c>
      <c r="K637" s="995">
        <f t="shared" si="9"/>
        <v>8</v>
      </c>
    </row>
    <row r="638" spans="1:11">
      <c r="A638" s="1054">
        <v>24080506</v>
      </c>
      <c r="B638" s="1055" t="s">
        <v>893</v>
      </c>
      <c r="C638" s="1055" t="s">
        <v>528</v>
      </c>
      <c r="D638" s="1055" t="s">
        <v>1044</v>
      </c>
      <c r="E638" s="1055" t="s">
        <v>1045</v>
      </c>
      <c r="F638" s="1056">
        <v>-8</v>
      </c>
      <c r="G638" s="1056">
        <v>0</v>
      </c>
      <c r="H638" s="1056">
        <v>0</v>
      </c>
      <c r="I638" s="1056">
        <v>-8</v>
      </c>
      <c r="K638" s="995">
        <f t="shared" si="9"/>
        <v>8</v>
      </c>
    </row>
    <row r="639" spans="1:11">
      <c r="A639" s="1054">
        <v>24080515</v>
      </c>
      <c r="B639" s="1055" t="s">
        <v>893</v>
      </c>
      <c r="C639" s="1055" t="s">
        <v>529</v>
      </c>
      <c r="D639" s="1055" t="s">
        <v>893</v>
      </c>
      <c r="E639" s="1055" t="s">
        <v>893</v>
      </c>
      <c r="F639" s="1056">
        <v>-1446</v>
      </c>
      <c r="G639" s="1056">
        <v>0</v>
      </c>
      <c r="H639" s="1056">
        <v>18</v>
      </c>
      <c r="I639" s="1056">
        <v>-1464</v>
      </c>
      <c r="K639" s="995">
        <f t="shared" si="9"/>
        <v>8</v>
      </c>
    </row>
    <row r="640" spans="1:11">
      <c r="A640" s="1054">
        <v>24080515</v>
      </c>
      <c r="B640" s="1055" t="s">
        <v>893</v>
      </c>
      <c r="C640" s="1055" t="s">
        <v>529</v>
      </c>
      <c r="D640" s="1055" t="s">
        <v>1326</v>
      </c>
      <c r="E640" s="1055" t="s">
        <v>1327</v>
      </c>
      <c r="F640" s="1056">
        <v>-59</v>
      </c>
      <c r="G640" s="1056">
        <v>0</v>
      </c>
      <c r="H640" s="1056">
        <v>0</v>
      </c>
      <c r="I640" s="1056">
        <v>-59</v>
      </c>
      <c r="K640" s="995">
        <f t="shared" si="9"/>
        <v>8</v>
      </c>
    </row>
    <row r="641" spans="1:11">
      <c r="A641" s="1054">
        <v>24080515</v>
      </c>
      <c r="B641" s="1055" t="s">
        <v>893</v>
      </c>
      <c r="C641" s="1055" t="s">
        <v>529</v>
      </c>
      <c r="D641" s="1055" t="s">
        <v>1071</v>
      </c>
      <c r="E641" s="1055" t="s">
        <v>700</v>
      </c>
      <c r="F641" s="1056">
        <v>-224</v>
      </c>
      <c r="G641" s="1056">
        <v>0</v>
      </c>
      <c r="H641" s="1056">
        <v>12</v>
      </c>
      <c r="I641" s="1056">
        <v>-236</v>
      </c>
      <c r="K641" s="995">
        <f t="shared" si="9"/>
        <v>8</v>
      </c>
    </row>
    <row r="642" spans="1:11">
      <c r="A642" s="1054">
        <v>24080515</v>
      </c>
      <c r="B642" s="1055" t="s">
        <v>893</v>
      </c>
      <c r="C642" s="1055" t="s">
        <v>529</v>
      </c>
      <c r="D642" s="1055" t="s">
        <v>1072</v>
      </c>
      <c r="E642" s="1055" t="s">
        <v>512</v>
      </c>
      <c r="F642" s="1056">
        <v>-21</v>
      </c>
      <c r="G642" s="1056">
        <v>0</v>
      </c>
      <c r="H642" s="1056">
        <v>1</v>
      </c>
      <c r="I642" s="1056">
        <v>-22</v>
      </c>
      <c r="K642" s="995">
        <f t="shared" si="9"/>
        <v>8</v>
      </c>
    </row>
    <row r="643" spans="1:11">
      <c r="A643" s="1054">
        <v>24080515</v>
      </c>
      <c r="B643" s="1055" t="s">
        <v>893</v>
      </c>
      <c r="C643" s="1055" t="s">
        <v>529</v>
      </c>
      <c r="D643" s="1055" t="s">
        <v>1034</v>
      </c>
      <c r="E643" s="1055" t="s">
        <v>504</v>
      </c>
      <c r="F643" s="1056">
        <v>-6</v>
      </c>
      <c r="G643" s="1056">
        <v>0</v>
      </c>
      <c r="H643" s="1056">
        <v>0</v>
      </c>
      <c r="I643" s="1056">
        <v>-6</v>
      </c>
      <c r="K643" s="995">
        <f t="shared" si="9"/>
        <v>8</v>
      </c>
    </row>
    <row r="644" spans="1:11">
      <c r="A644" s="1054">
        <v>24080515</v>
      </c>
      <c r="B644" s="1055" t="s">
        <v>893</v>
      </c>
      <c r="C644" s="1055" t="s">
        <v>529</v>
      </c>
      <c r="D644" s="1055" t="s">
        <v>1073</v>
      </c>
      <c r="E644" s="1055" t="s">
        <v>701</v>
      </c>
      <c r="F644" s="1056">
        <v>-57</v>
      </c>
      <c r="G644" s="1056">
        <v>0</v>
      </c>
      <c r="H644" s="1056">
        <v>0</v>
      </c>
      <c r="I644" s="1056">
        <v>-57</v>
      </c>
      <c r="K644" s="995">
        <f t="shared" si="9"/>
        <v>8</v>
      </c>
    </row>
    <row r="645" spans="1:11">
      <c r="A645" s="1054">
        <v>24080515</v>
      </c>
      <c r="B645" s="1055" t="s">
        <v>893</v>
      </c>
      <c r="C645" s="1055" t="s">
        <v>529</v>
      </c>
      <c r="D645" s="1055" t="s">
        <v>1215</v>
      </c>
      <c r="E645" s="1055" t="s">
        <v>1216</v>
      </c>
      <c r="F645" s="1056">
        <v>-108</v>
      </c>
      <c r="G645" s="1056">
        <v>0</v>
      </c>
      <c r="H645" s="1056">
        <v>0</v>
      </c>
      <c r="I645" s="1056">
        <v>-108</v>
      </c>
      <c r="K645" s="995">
        <f t="shared" ref="K645:K708" si="10">+LEN(A645)</f>
        <v>8</v>
      </c>
    </row>
    <row r="646" spans="1:11">
      <c r="A646" s="1054">
        <v>24080515</v>
      </c>
      <c r="B646" s="1055" t="s">
        <v>893</v>
      </c>
      <c r="C646" s="1055" t="s">
        <v>529</v>
      </c>
      <c r="D646" s="1055" t="s">
        <v>1074</v>
      </c>
      <c r="E646" s="1055" t="s">
        <v>257</v>
      </c>
      <c r="F646" s="1056">
        <v>-36</v>
      </c>
      <c r="G646" s="1056">
        <v>0</v>
      </c>
      <c r="H646" s="1056">
        <v>0</v>
      </c>
      <c r="I646" s="1056">
        <v>-36</v>
      </c>
      <c r="K646" s="995">
        <f t="shared" si="10"/>
        <v>8</v>
      </c>
    </row>
    <row r="647" spans="1:11">
      <c r="A647" s="1054">
        <v>24080515</v>
      </c>
      <c r="B647" s="1055" t="s">
        <v>893</v>
      </c>
      <c r="C647" s="1055" t="s">
        <v>529</v>
      </c>
      <c r="D647" s="1055" t="s">
        <v>1207</v>
      </c>
      <c r="E647" s="1055" t="s">
        <v>1028</v>
      </c>
      <c r="F647" s="1056">
        <v>-708</v>
      </c>
      <c r="G647" s="1056">
        <v>0</v>
      </c>
      <c r="H647" s="1056">
        <v>0</v>
      </c>
      <c r="I647" s="1056">
        <v>-708</v>
      </c>
      <c r="K647" s="995">
        <f t="shared" si="10"/>
        <v>8</v>
      </c>
    </row>
    <row r="648" spans="1:11">
      <c r="A648" s="1054">
        <v>24080515</v>
      </c>
      <c r="B648" s="1055" t="s">
        <v>893</v>
      </c>
      <c r="C648" s="1055" t="s">
        <v>529</v>
      </c>
      <c r="D648" s="1055" t="s">
        <v>1294</v>
      </c>
      <c r="E648" s="1055" t="s">
        <v>779</v>
      </c>
      <c r="F648" s="1056">
        <v>-182</v>
      </c>
      <c r="G648" s="1056">
        <v>0</v>
      </c>
      <c r="H648" s="1056">
        <v>0</v>
      </c>
      <c r="I648" s="1056">
        <v>-182</v>
      </c>
      <c r="K648" s="995">
        <f t="shared" si="10"/>
        <v>8</v>
      </c>
    </row>
    <row r="649" spans="1:11">
      <c r="A649" s="1054">
        <v>24080515</v>
      </c>
      <c r="B649" s="1055" t="s">
        <v>893</v>
      </c>
      <c r="C649" s="1055" t="s">
        <v>529</v>
      </c>
      <c r="D649" s="1055" t="s">
        <v>1062</v>
      </c>
      <c r="E649" s="1055" t="s">
        <v>510</v>
      </c>
      <c r="F649" s="1056">
        <v>-37</v>
      </c>
      <c r="G649" s="1056">
        <v>0</v>
      </c>
      <c r="H649" s="1056">
        <v>4</v>
      </c>
      <c r="I649" s="1056">
        <v>-42</v>
      </c>
      <c r="K649" s="995">
        <f t="shared" si="10"/>
        <v>8</v>
      </c>
    </row>
    <row r="650" spans="1:11">
      <c r="A650" s="1054">
        <v>24080515</v>
      </c>
      <c r="B650" s="1055" t="s">
        <v>893</v>
      </c>
      <c r="C650" s="1055" t="s">
        <v>529</v>
      </c>
      <c r="D650" s="1055" t="s">
        <v>1307</v>
      </c>
      <c r="E650" s="1055" t="s">
        <v>992</v>
      </c>
      <c r="F650" s="1056">
        <v>-8</v>
      </c>
      <c r="G650" s="1056">
        <v>0</v>
      </c>
      <c r="H650" s="1056">
        <v>0</v>
      </c>
      <c r="I650" s="1056">
        <v>-8</v>
      </c>
      <c r="K650" s="995">
        <f t="shared" si="10"/>
        <v>8</v>
      </c>
    </row>
    <row r="651" spans="1:11">
      <c r="A651" s="1054">
        <v>24080599</v>
      </c>
      <c r="B651" s="1055" t="s">
        <v>1489</v>
      </c>
      <c r="C651" s="1055" t="s">
        <v>915</v>
      </c>
      <c r="D651" s="1055" t="s">
        <v>893</v>
      </c>
      <c r="E651" s="1055" t="s">
        <v>893</v>
      </c>
      <c r="F651" s="1056">
        <v>-1314</v>
      </c>
      <c r="G651" s="1056">
        <v>466</v>
      </c>
      <c r="H651" s="1056">
        <v>0</v>
      </c>
      <c r="I651" s="1056">
        <v>-848</v>
      </c>
      <c r="K651" s="995">
        <f t="shared" si="10"/>
        <v>8</v>
      </c>
    </row>
    <row r="652" spans="1:11">
      <c r="A652" s="1054">
        <v>24080599</v>
      </c>
      <c r="B652" s="1055" t="s">
        <v>1489</v>
      </c>
      <c r="C652" s="1055" t="s">
        <v>915</v>
      </c>
      <c r="D652" s="1055" t="s">
        <v>1223</v>
      </c>
      <c r="E652" s="1055" t="s">
        <v>742</v>
      </c>
      <c r="F652" s="1056">
        <v>-2003</v>
      </c>
      <c r="G652" s="1056">
        <v>466</v>
      </c>
      <c r="H652" s="1056">
        <v>0</v>
      </c>
      <c r="I652" s="1056">
        <v>-1537</v>
      </c>
      <c r="K652" s="995">
        <f t="shared" si="10"/>
        <v>8</v>
      </c>
    </row>
    <row r="653" spans="1:11">
      <c r="A653" s="1054">
        <v>24080599</v>
      </c>
      <c r="B653" s="1055" t="s">
        <v>1489</v>
      </c>
      <c r="C653" s="1055" t="s">
        <v>915</v>
      </c>
      <c r="D653" s="1055" t="s">
        <v>1083</v>
      </c>
      <c r="E653" s="1055" t="s">
        <v>256</v>
      </c>
      <c r="F653" s="1056">
        <v>690</v>
      </c>
      <c r="G653" s="1056">
        <v>0</v>
      </c>
      <c r="H653" s="1056">
        <v>0</v>
      </c>
      <c r="I653" s="1056">
        <v>690</v>
      </c>
      <c r="K653" s="995">
        <f t="shared" si="10"/>
        <v>8</v>
      </c>
    </row>
    <row r="654" spans="1:11">
      <c r="A654" s="1054">
        <v>240810</v>
      </c>
      <c r="B654" s="1055" t="s">
        <v>893</v>
      </c>
      <c r="C654" s="1055" t="s">
        <v>346</v>
      </c>
      <c r="D654" s="1055" t="s">
        <v>893</v>
      </c>
      <c r="E654" s="1055" t="s">
        <v>893</v>
      </c>
      <c r="F654" s="1056">
        <v>259084</v>
      </c>
      <c r="G654" s="1056">
        <v>52305</v>
      </c>
      <c r="H654" s="1056">
        <v>0</v>
      </c>
      <c r="I654" s="1056">
        <v>311389</v>
      </c>
      <c r="K654" s="995">
        <f t="shared" si="10"/>
        <v>6</v>
      </c>
    </row>
    <row r="655" spans="1:11">
      <c r="A655" s="1054">
        <v>24081004</v>
      </c>
      <c r="B655" s="1055" t="s">
        <v>893</v>
      </c>
      <c r="C655" s="1055" t="s">
        <v>530</v>
      </c>
      <c r="D655" s="1055" t="s">
        <v>893</v>
      </c>
      <c r="E655" s="1055" t="s">
        <v>893</v>
      </c>
      <c r="F655" s="1056">
        <v>101845</v>
      </c>
      <c r="G655" s="1056">
        <v>23483</v>
      </c>
      <c r="H655" s="1056">
        <v>0</v>
      </c>
      <c r="I655" s="1056">
        <v>125328</v>
      </c>
      <c r="K655" s="995">
        <f t="shared" si="10"/>
        <v>8</v>
      </c>
    </row>
    <row r="656" spans="1:11">
      <c r="A656" s="1054">
        <v>24081004</v>
      </c>
      <c r="B656" s="1055" t="s">
        <v>893</v>
      </c>
      <c r="C656" s="1055" t="s">
        <v>530</v>
      </c>
      <c r="D656" s="1055" t="s">
        <v>1180</v>
      </c>
      <c r="E656" s="1055" t="s">
        <v>1014</v>
      </c>
      <c r="F656" s="1056">
        <v>11388</v>
      </c>
      <c r="G656" s="1056">
        <v>3138</v>
      </c>
      <c r="H656" s="1056">
        <v>0</v>
      </c>
      <c r="I656" s="1056">
        <v>14526</v>
      </c>
      <c r="K656" s="995">
        <f t="shared" si="10"/>
        <v>8</v>
      </c>
    </row>
    <row r="657" spans="1:11">
      <c r="A657" s="1054">
        <v>24081004</v>
      </c>
      <c r="B657" s="1055" t="s">
        <v>893</v>
      </c>
      <c r="C657" s="1055" t="s">
        <v>530</v>
      </c>
      <c r="D657" s="1055" t="s">
        <v>1032</v>
      </c>
      <c r="E657" s="1055" t="s">
        <v>508</v>
      </c>
      <c r="F657" s="1056">
        <v>359</v>
      </c>
      <c r="G657" s="1056">
        <v>0</v>
      </c>
      <c r="H657" s="1056">
        <v>0</v>
      </c>
      <c r="I657" s="1056">
        <v>359</v>
      </c>
      <c r="K657" s="995">
        <f t="shared" si="10"/>
        <v>8</v>
      </c>
    </row>
    <row r="658" spans="1:11">
      <c r="A658" s="1054">
        <v>24081004</v>
      </c>
      <c r="B658" s="1055" t="s">
        <v>893</v>
      </c>
      <c r="C658" s="1055" t="s">
        <v>530</v>
      </c>
      <c r="D658" s="1055" t="s">
        <v>1176</v>
      </c>
      <c r="E658" s="1055" t="s">
        <v>910</v>
      </c>
      <c r="F658" s="1056">
        <v>388</v>
      </c>
      <c r="G658" s="1056">
        <v>376</v>
      </c>
      <c r="H658" s="1056">
        <v>0</v>
      </c>
      <c r="I658" s="1056">
        <v>764</v>
      </c>
      <c r="K658" s="995">
        <f t="shared" si="10"/>
        <v>8</v>
      </c>
    </row>
    <row r="659" spans="1:11">
      <c r="A659" s="1054">
        <v>24081004</v>
      </c>
      <c r="B659" s="1055" t="s">
        <v>893</v>
      </c>
      <c r="C659" s="1055" t="s">
        <v>530</v>
      </c>
      <c r="D659" s="1055" t="s">
        <v>1185</v>
      </c>
      <c r="E659" s="1055" t="s">
        <v>1017</v>
      </c>
      <c r="F659" s="1056">
        <v>1515</v>
      </c>
      <c r="G659" s="1056">
        <v>377</v>
      </c>
      <c r="H659" s="1056">
        <v>0</v>
      </c>
      <c r="I659" s="1056">
        <v>1892</v>
      </c>
      <c r="K659" s="995">
        <f t="shared" si="10"/>
        <v>8</v>
      </c>
    </row>
    <row r="660" spans="1:11">
      <c r="A660" s="1054">
        <v>24081004</v>
      </c>
      <c r="B660" s="1055" t="s">
        <v>893</v>
      </c>
      <c r="C660" s="1055" t="s">
        <v>530</v>
      </c>
      <c r="D660" s="1055" t="s">
        <v>1186</v>
      </c>
      <c r="E660" s="1055" t="s">
        <v>1018</v>
      </c>
      <c r="F660" s="1056">
        <v>4130</v>
      </c>
      <c r="G660" s="1056">
        <v>861</v>
      </c>
      <c r="H660" s="1056">
        <v>0</v>
      </c>
      <c r="I660" s="1056">
        <v>4991</v>
      </c>
      <c r="K660" s="995">
        <f t="shared" si="10"/>
        <v>8</v>
      </c>
    </row>
    <row r="661" spans="1:11">
      <c r="A661" s="1054">
        <v>24081004</v>
      </c>
      <c r="B661" s="1055" t="s">
        <v>893</v>
      </c>
      <c r="C661" s="1055" t="s">
        <v>530</v>
      </c>
      <c r="D661" s="1055" t="s">
        <v>1295</v>
      </c>
      <c r="E661" s="1055" t="s">
        <v>963</v>
      </c>
      <c r="F661" s="1056">
        <v>4720</v>
      </c>
      <c r="G661" s="1056">
        <v>0</v>
      </c>
      <c r="H661" s="1056">
        <v>0</v>
      </c>
      <c r="I661" s="1056">
        <v>4720</v>
      </c>
      <c r="K661" s="995">
        <f t="shared" si="10"/>
        <v>8</v>
      </c>
    </row>
    <row r="662" spans="1:11">
      <c r="A662" s="1054">
        <v>24081004</v>
      </c>
      <c r="B662" s="1055" t="s">
        <v>893</v>
      </c>
      <c r="C662" s="1055" t="s">
        <v>530</v>
      </c>
      <c r="D662" s="1055" t="s">
        <v>1224</v>
      </c>
      <c r="E662" s="1055" t="s">
        <v>1225</v>
      </c>
      <c r="F662" s="1056">
        <v>3403</v>
      </c>
      <c r="G662" s="1056">
        <v>681</v>
      </c>
      <c r="H662" s="1056">
        <v>0</v>
      </c>
      <c r="I662" s="1056">
        <v>4083</v>
      </c>
      <c r="K662" s="995">
        <f t="shared" si="10"/>
        <v>8</v>
      </c>
    </row>
    <row r="663" spans="1:11">
      <c r="A663" s="1054">
        <v>24081004</v>
      </c>
      <c r="B663" s="1055" t="s">
        <v>893</v>
      </c>
      <c r="C663" s="1055" t="s">
        <v>530</v>
      </c>
      <c r="D663" s="1055" t="s">
        <v>1190</v>
      </c>
      <c r="E663" s="1055" t="s">
        <v>577</v>
      </c>
      <c r="F663" s="1056">
        <v>1007</v>
      </c>
      <c r="G663" s="1056">
        <v>272</v>
      </c>
      <c r="H663" s="1056">
        <v>0</v>
      </c>
      <c r="I663" s="1056">
        <v>1279</v>
      </c>
      <c r="K663" s="995">
        <f t="shared" si="10"/>
        <v>8</v>
      </c>
    </row>
    <row r="664" spans="1:11">
      <c r="A664" s="1054">
        <v>24081004</v>
      </c>
      <c r="B664" s="1055" t="s">
        <v>893</v>
      </c>
      <c r="C664" s="1055" t="s">
        <v>530</v>
      </c>
      <c r="D664" s="1055" t="s">
        <v>1171</v>
      </c>
      <c r="E664" s="1055" t="s">
        <v>335</v>
      </c>
      <c r="F664" s="1056">
        <v>43</v>
      </c>
      <c r="G664" s="1056">
        <v>10</v>
      </c>
      <c r="H664" s="1056">
        <v>0</v>
      </c>
      <c r="I664" s="1056">
        <v>54</v>
      </c>
      <c r="K664" s="995">
        <f t="shared" si="10"/>
        <v>8</v>
      </c>
    </row>
    <row r="665" spans="1:11">
      <c r="A665" s="1054">
        <v>24081004</v>
      </c>
      <c r="B665" s="1055" t="s">
        <v>893</v>
      </c>
      <c r="C665" s="1055" t="s">
        <v>530</v>
      </c>
      <c r="D665" s="1055" t="s">
        <v>1691</v>
      </c>
      <c r="E665" s="1055" t="s">
        <v>1692</v>
      </c>
      <c r="F665" s="1056">
        <v>213</v>
      </c>
      <c r="G665" s="1056">
        <v>0</v>
      </c>
      <c r="H665" s="1056">
        <v>0</v>
      </c>
      <c r="I665" s="1056">
        <v>213</v>
      </c>
      <c r="K665" s="995">
        <f t="shared" si="10"/>
        <v>8</v>
      </c>
    </row>
    <row r="666" spans="1:11">
      <c r="A666" s="1054">
        <v>24081004</v>
      </c>
      <c r="B666" s="1055" t="s">
        <v>893</v>
      </c>
      <c r="C666" s="1055" t="s">
        <v>530</v>
      </c>
      <c r="D666" s="1055" t="s">
        <v>1172</v>
      </c>
      <c r="E666" s="1055" t="s">
        <v>1173</v>
      </c>
      <c r="F666" s="1056">
        <v>274</v>
      </c>
      <c r="G666" s="1056">
        <v>11</v>
      </c>
      <c r="H666" s="1056">
        <v>0</v>
      </c>
      <c r="I666" s="1056">
        <v>285</v>
      </c>
      <c r="K666" s="995">
        <f t="shared" si="10"/>
        <v>8</v>
      </c>
    </row>
    <row r="667" spans="1:11">
      <c r="A667" s="1054">
        <v>24081004</v>
      </c>
      <c r="B667" s="1055" t="s">
        <v>893</v>
      </c>
      <c r="C667" s="1055" t="s">
        <v>530</v>
      </c>
      <c r="D667" s="1055" t="s">
        <v>1168</v>
      </c>
      <c r="E667" s="1055" t="s">
        <v>1169</v>
      </c>
      <c r="F667" s="1056">
        <v>1905</v>
      </c>
      <c r="G667" s="1056">
        <v>412</v>
      </c>
      <c r="H667" s="1056">
        <v>0</v>
      </c>
      <c r="I667" s="1056">
        <v>2318</v>
      </c>
      <c r="K667" s="995">
        <f t="shared" si="10"/>
        <v>8</v>
      </c>
    </row>
    <row r="668" spans="1:11">
      <c r="A668" s="1054">
        <v>24081004</v>
      </c>
      <c r="B668" s="1055" t="s">
        <v>893</v>
      </c>
      <c r="C668" s="1055" t="s">
        <v>530</v>
      </c>
      <c r="D668" s="1055" t="s">
        <v>1213</v>
      </c>
      <c r="E668" s="1055" t="s">
        <v>1214</v>
      </c>
      <c r="F668" s="1056">
        <v>5132</v>
      </c>
      <c r="G668" s="1056">
        <v>1026</v>
      </c>
      <c r="H668" s="1056">
        <v>0</v>
      </c>
      <c r="I668" s="1056">
        <v>6158</v>
      </c>
      <c r="K668" s="995">
        <f t="shared" si="10"/>
        <v>8</v>
      </c>
    </row>
    <row r="669" spans="1:11">
      <c r="A669" s="1054">
        <v>24081004</v>
      </c>
      <c r="B669" s="1055" t="s">
        <v>893</v>
      </c>
      <c r="C669" s="1055" t="s">
        <v>530</v>
      </c>
      <c r="D669" s="1055" t="s">
        <v>1195</v>
      </c>
      <c r="E669" s="1055" t="s">
        <v>1022</v>
      </c>
      <c r="F669" s="1056">
        <v>11677</v>
      </c>
      <c r="G669" s="1056">
        <v>2352</v>
      </c>
      <c r="H669" s="1056">
        <v>0</v>
      </c>
      <c r="I669" s="1056">
        <v>14029</v>
      </c>
      <c r="K669" s="995">
        <f t="shared" si="10"/>
        <v>8</v>
      </c>
    </row>
    <row r="670" spans="1:11">
      <c r="A670" s="1054">
        <v>24081004</v>
      </c>
      <c r="B670" s="1055" t="s">
        <v>893</v>
      </c>
      <c r="C670" s="1055" t="s">
        <v>530</v>
      </c>
      <c r="D670" s="1055" t="s">
        <v>1198</v>
      </c>
      <c r="E670" s="1055" t="s">
        <v>337</v>
      </c>
      <c r="F670" s="1056">
        <v>25</v>
      </c>
      <c r="G670" s="1056">
        <v>114</v>
      </c>
      <c r="H670" s="1056">
        <v>0</v>
      </c>
      <c r="I670" s="1056">
        <v>139</v>
      </c>
      <c r="K670" s="995">
        <f t="shared" si="10"/>
        <v>8</v>
      </c>
    </row>
    <row r="671" spans="1:11">
      <c r="A671" s="1054">
        <v>24081004</v>
      </c>
      <c r="B671" s="1055" t="s">
        <v>893</v>
      </c>
      <c r="C671" s="1055" t="s">
        <v>530</v>
      </c>
      <c r="D671" s="1055" t="s">
        <v>1201</v>
      </c>
      <c r="E671" s="1055" t="s">
        <v>679</v>
      </c>
      <c r="F671" s="1056">
        <v>107</v>
      </c>
      <c r="G671" s="1056">
        <v>19</v>
      </c>
      <c r="H671" s="1056">
        <v>0</v>
      </c>
      <c r="I671" s="1056">
        <v>126</v>
      </c>
      <c r="K671" s="995">
        <f t="shared" si="10"/>
        <v>8</v>
      </c>
    </row>
    <row r="672" spans="1:11">
      <c r="A672" s="1054">
        <v>24081004</v>
      </c>
      <c r="B672" s="1055" t="s">
        <v>893</v>
      </c>
      <c r="C672" s="1055" t="s">
        <v>530</v>
      </c>
      <c r="D672" s="1055" t="s">
        <v>1046</v>
      </c>
      <c r="E672" s="1055" t="s">
        <v>1026</v>
      </c>
      <c r="F672" s="1056">
        <v>15</v>
      </c>
      <c r="G672" s="1056">
        <v>3</v>
      </c>
      <c r="H672" s="1056">
        <v>0</v>
      </c>
      <c r="I672" s="1056">
        <v>18</v>
      </c>
      <c r="K672" s="995">
        <f t="shared" si="10"/>
        <v>8</v>
      </c>
    </row>
    <row r="673" spans="1:11">
      <c r="A673" s="1054">
        <v>24081004</v>
      </c>
      <c r="B673" s="1055" t="s">
        <v>893</v>
      </c>
      <c r="C673" s="1055" t="s">
        <v>530</v>
      </c>
      <c r="D673" s="1055" t="s">
        <v>1034</v>
      </c>
      <c r="E673" s="1055" t="s">
        <v>504</v>
      </c>
      <c r="F673" s="1056">
        <v>4510</v>
      </c>
      <c r="G673" s="1056">
        <v>1453</v>
      </c>
      <c r="H673" s="1056">
        <v>0</v>
      </c>
      <c r="I673" s="1056">
        <v>5963</v>
      </c>
      <c r="K673" s="995">
        <f t="shared" si="10"/>
        <v>8</v>
      </c>
    </row>
    <row r="674" spans="1:11">
      <c r="A674" s="1054">
        <v>24081004</v>
      </c>
      <c r="B674" s="1055" t="s">
        <v>893</v>
      </c>
      <c r="C674" s="1055" t="s">
        <v>530</v>
      </c>
      <c r="D674" s="1055" t="s">
        <v>1215</v>
      </c>
      <c r="E674" s="1055" t="s">
        <v>1216</v>
      </c>
      <c r="F674" s="1056">
        <v>8047</v>
      </c>
      <c r="G674" s="1056">
        <v>1588</v>
      </c>
      <c r="H674" s="1056">
        <v>0</v>
      </c>
      <c r="I674" s="1056">
        <v>9635</v>
      </c>
      <c r="K674" s="995">
        <f t="shared" si="10"/>
        <v>8</v>
      </c>
    </row>
    <row r="675" spans="1:11">
      <c r="A675" s="1054">
        <v>24081004</v>
      </c>
      <c r="B675" s="1055" t="s">
        <v>893</v>
      </c>
      <c r="C675" s="1055" t="s">
        <v>530</v>
      </c>
      <c r="D675" s="1055" t="s">
        <v>1237</v>
      </c>
      <c r="E675" s="1055" t="s">
        <v>338</v>
      </c>
      <c r="F675" s="1056">
        <v>14</v>
      </c>
      <c r="G675" s="1056">
        <v>0</v>
      </c>
      <c r="H675" s="1056">
        <v>0</v>
      </c>
      <c r="I675" s="1056">
        <v>14</v>
      </c>
      <c r="K675" s="995">
        <f t="shared" si="10"/>
        <v>8</v>
      </c>
    </row>
    <row r="676" spans="1:11">
      <c r="A676" s="1054">
        <v>24081004</v>
      </c>
      <c r="B676" s="1055" t="s">
        <v>893</v>
      </c>
      <c r="C676" s="1055" t="s">
        <v>530</v>
      </c>
      <c r="D676" s="1055" t="s">
        <v>1217</v>
      </c>
      <c r="E676" s="1055" t="s">
        <v>1218</v>
      </c>
      <c r="F676" s="1056">
        <v>9732</v>
      </c>
      <c r="G676" s="1056">
        <v>1946</v>
      </c>
      <c r="H676" s="1056">
        <v>0</v>
      </c>
      <c r="I676" s="1056">
        <v>11678</v>
      </c>
      <c r="K676" s="995">
        <f t="shared" si="10"/>
        <v>8</v>
      </c>
    </row>
    <row r="677" spans="1:11">
      <c r="A677" s="1054">
        <v>24081004</v>
      </c>
      <c r="B677" s="1055" t="s">
        <v>893</v>
      </c>
      <c r="C677" s="1055" t="s">
        <v>530</v>
      </c>
      <c r="D677" s="1055" t="s">
        <v>1825</v>
      </c>
      <c r="E677" s="1055" t="s">
        <v>1826</v>
      </c>
      <c r="F677" s="1056">
        <v>0</v>
      </c>
      <c r="G677" s="1056">
        <v>29</v>
      </c>
      <c r="H677" s="1056">
        <v>0</v>
      </c>
      <c r="I677" s="1056">
        <v>29</v>
      </c>
      <c r="K677" s="995">
        <f t="shared" si="10"/>
        <v>8</v>
      </c>
    </row>
    <row r="678" spans="1:11">
      <c r="A678" s="1054">
        <v>24081004</v>
      </c>
      <c r="B678" s="1055" t="s">
        <v>893</v>
      </c>
      <c r="C678" s="1055" t="s">
        <v>530</v>
      </c>
      <c r="D678" s="1055" t="s">
        <v>1918</v>
      </c>
      <c r="E678" s="1055" t="s">
        <v>1919</v>
      </c>
      <c r="F678" s="1056">
        <v>0</v>
      </c>
      <c r="G678" s="1056">
        <v>55</v>
      </c>
      <c r="H678" s="1056">
        <v>0</v>
      </c>
      <c r="I678" s="1056">
        <v>55</v>
      </c>
      <c r="K678" s="995">
        <f t="shared" si="10"/>
        <v>8</v>
      </c>
    </row>
    <row r="679" spans="1:11">
      <c r="A679" s="1054">
        <v>24081004</v>
      </c>
      <c r="B679" s="1055" t="s">
        <v>893</v>
      </c>
      <c r="C679" s="1055" t="s">
        <v>530</v>
      </c>
      <c r="D679" s="1055" t="s">
        <v>1202</v>
      </c>
      <c r="E679" s="1055" t="s">
        <v>446</v>
      </c>
      <c r="F679" s="1056">
        <v>787</v>
      </c>
      <c r="G679" s="1056">
        <v>170</v>
      </c>
      <c r="H679" s="1056">
        <v>0</v>
      </c>
      <c r="I679" s="1056">
        <v>958</v>
      </c>
      <c r="K679" s="995">
        <f t="shared" si="10"/>
        <v>8</v>
      </c>
    </row>
    <row r="680" spans="1:11">
      <c r="A680" s="1054">
        <v>24081004</v>
      </c>
      <c r="B680" s="1055" t="s">
        <v>893</v>
      </c>
      <c r="C680" s="1055" t="s">
        <v>530</v>
      </c>
      <c r="D680" s="1055" t="s">
        <v>1203</v>
      </c>
      <c r="E680" s="1055" t="s">
        <v>1827</v>
      </c>
      <c r="F680" s="1056">
        <v>984</v>
      </c>
      <c r="G680" s="1056">
        <v>197</v>
      </c>
      <c r="H680" s="1056">
        <v>0</v>
      </c>
      <c r="I680" s="1056">
        <v>1181</v>
      </c>
      <c r="K680" s="995">
        <f t="shared" si="10"/>
        <v>8</v>
      </c>
    </row>
    <row r="681" spans="1:11">
      <c r="A681" s="1054">
        <v>24081004</v>
      </c>
      <c r="B681" s="1055" t="s">
        <v>893</v>
      </c>
      <c r="C681" s="1055" t="s">
        <v>530</v>
      </c>
      <c r="D681" s="1055" t="s">
        <v>1035</v>
      </c>
      <c r="E681" s="1055" t="s">
        <v>573</v>
      </c>
      <c r="F681" s="1056">
        <v>694</v>
      </c>
      <c r="G681" s="1056">
        <v>284</v>
      </c>
      <c r="H681" s="1056">
        <v>0</v>
      </c>
      <c r="I681" s="1056">
        <v>978</v>
      </c>
      <c r="K681" s="995">
        <f t="shared" si="10"/>
        <v>8</v>
      </c>
    </row>
    <row r="682" spans="1:11">
      <c r="A682" s="1054">
        <v>24081004</v>
      </c>
      <c r="B682" s="1055" t="s">
        <v>893</v>
      </c>
      <c r="C682" s="1055" t="s">
        <v>530</v>
      </c>
      <c r="D682" s="1055" t="s">
        <v>1207</v>
      </c>
      <c r="E682" s="1055" t="s">
        <v>1028</v>
      </c>
      <c r="F682" s="1056">
        <v>11757</v>
      </c>
      <c r="G682" s="1056">
        <v>2581</v>
      </c>
      <c r="H682" s="1056">
        <v>0</v>
      </c>
      <c r="I682" s="1056">
        <v>14338</v>
      </c>
      <c r="K682" s="995">
        <f t="shared" si="10"/>
        <v>8</v>
      </c>
    </row>
    <row r="683" spans="1:11">
      <c r="A683" s="1054">
        <v>24081004</v>
      </c>
      <c r="B683" s="1055" t="s">
        <v>893</v>
      </c>
      <c r="C683" s="1055" t="s">
        <v>530</v>
      </c>
      <c r="D683" s="1055" t="s">
        <v>1208</v>
      </c>
      <c r="E683" s="1055" t="s">
        <v>428</v>
      </c>
      <c r="F683" s="1056">
        <v>14735</v>
      </c>
      <c r="G683" s="1056">
        <v>4873</v>
      </c>
      <c r="H683" s="1056">
        <v>0</v>
      </c>
      <c r="I683" s="1056">
        <v>19608</v>
      </c>
      <c r="K683" s="995">
        <f t="shared" si="10"/>
        <v>8</v>
      </c>
    </row>
    <row r="684" spans="1:11">
      <c r="A684" s="1054">
        <v>24081004</v>
      </c>
      <c r="B684" s="1055" t="s">
        <v>893</v>
      </c>
      <c r="C684" s="1055" t="s">
        <v>530</v>
      </c>
      <c r="D684" s="1055" t="s">
        <v>1315</v>
      </c>
      <c r="E684" s="1055" t="s">
        <v>996</v>
      </c>
      <c r="F684" s="1056">
        <v>323</v>
      </c>
      <c r="G684" s="1056">
        <v>95</v>
      </c>
      <c r="H684" s="1056">
        <v>0</v>
      </c>
      <c r="I684" s="1056">
        <v>418</v>
      </c>
      <c r="K684" s="995">
        <f t="shared" si="10"/>
        <v>8</v>
      </c>
    </row>
    <row r="685" spans="1:11">
      <c r="A685" s="1054">
        <v>24081004</v>
      </c>
      <c r="B685" s="1055" t="s">
        <v>893</v>
      </c>
      <c r="C685" s="1055" t="s">
        <v>530</v>
      </c>
      <c r="D685" s="1055" t="s">
        <v>1036</v>
      </c>
      <c r="E685" s="1055" t="s">
        <v>1037</v>
      </c>
      <c r="F685" s="1056">
        <v>1893</v>
      </c>
      <c r="G685" s="1056">
        <v>375</v>
      </c>
      <c r="H685" s="1056">
        <v>0</v>
      </c>
      <c r="I685" s="1056">
        <v>2268</v>
      </c>
      <c r="K685" s="995">
        <f t="shared" si="10"/>
        <v>8</v>
      </c>
    </row>
    <row r="686" spans="1:11">
      <c r="A686" s="1054">
        <v>24081004</v>
      </c>
      <c r="B686" s="1055" t="s">
        <v>893</v>
      </c>
      <c r="C686" s="1055" t="s">
        <v>530</v>
      </c>
      <c r="D686" s="1055" t="s">
        <v>1294</v>
      </c>
      <c r="E686" s="1055" t="s">
        <v>779</v>
      </c>
      <c r="F686" s="1056">
        <v>162</v>
      </c>
      <c r="G686" s="1056">
        <v>84</v>
      </c>
      <c r="H686" s="1056">
        <v>0</v>
      </c>
      <c r="I686" s="1056">
        <v>246</v>
      </c>
      <c r="K686" s="995">
        <f t="shared" si="10"/>
        <v>8</v>
      </c>
    </row>
    <row r="687" spans="1:11">
      <c r="A687" s="1054">
        <v>24081004</v>
      </c>
      <c r="B687" s="1055" t="s">
        <v>893</v>
      </c>
      <c r="C687" s="1055" t="s">
        <v>530</v>
      </c>
      <c r="D687" s="1055" t="s">
        <v>1062</v>
      </c>
      <c r="E687" s="1055" t="s">
        <v>510</v>
      </c>
      <c r="F687" s="1056">
        <v>854</v>
      </c>
      <c r="G687" s="1056">
        <v>0</v>
      </c>
      <c r="H687" s="1056">
        <v>0</v>
      </c>
      <c r="I687" s="1056">
        <v>854</v>
      </c>
      <c r="K687" s="995">
        <f t="shared" si="10"/>
        <v>8</v>
      </c>
    </row>
    <row r="688" spans="1:11">
      <c r="A688" s="1054">
        <v>24081004</v>
      </c>
      <c r="B688" s="1055" t="s">
        <v>893</v>
      </c>
      <c r="C688" s="1055" t="s">
        <v>530</v>
      </c>
      <c r="D688" s="1055" t="s">
        <v>1920</v>
      </c>
      <c r="E688" s="1055" t="s">
        <v>1921</v>
      </c>
      <c r="F688" s="1056">
        <v>0</v>
      </c>
      <c r="G688" s="1056">
        <v>101</v>
      </c>
      <c r="H688" s="1056">
        <v>0</v>
      </c>
      <c r="I688" s="1056">
        <v>101</v>
      </c>
      <c r="K688" s="995">
        <f t="shared" si="10"/>
        <v>8</v>
      </c>
    </row>
    <row r="689" spans="1:11">
      <c r="A689" s="1054">
        <v>24081004</v>
      </c>
      <c r="B689" s="1055" t="s">
        <v>893</v>
      </c>
      <c r="C689" s="1055" t="s">
        <v>530</v>
      </c>
      <c r="D689" s="1055" t="s">
        <v>1316</v>
      </c>
      <c r="E689" s="1055" t="s">
        <v>985</v>
      </c>
      <c r="F689" s="1056">
        <v>434</v>
      </c>
      <c r="G689" s="1056">
        <v>0</v>
      </c>
      <c r="H689" s="1056">
        <v>0</v>
      </c>
      <c r="I689" s="1056">
        <v>434</v>
      </c>
      <c r="K689" s="995">
        <f t="shared" si="10"/>
        <v>8</v>
      </c>
    </row>
    <row r="690" spans="1:11">
      <c r="A690" s="1054">
        <v>24081004</v>
      </c>
      <c r="B690" s="1055" t="s">
        <v>893</v>
      </c>
      <c r="C690" s="1055" t="s">
        <v>530</v>
      </c>
      <c r="D690" s="1055" t="s">
        <v>1702</v>
      </c>
      <c r="E690" s="1055" t="s">
        <v>1703</v>
      </c>
      <c r="F690" s="1056">
        <v>617</v>
      </c>
      <c r="G690" s="1056">
        <v>0</v>
      </c>
      <c r="H690" s="1056">
        <v>0</v>
      </c>
      <c r="I690" s="1056">
        <v>617</v>
      </c>
      <c r="K690" s="995">
        <f t="shared" si="10"/>
        <v>8</v>
      </c>
    </row>
    <row r="691" spans="1:11">
      <c r="A691" s="1054">
        <v>24081009</v>
      </c>
      <c r="B691" s="1055" t="s">
        <v>893</v>
      </c>
      <c r="C691" s="1055" t="s">
        <v>531</v>
      </c>
      <c r="D691" s="1055" t="s">
        <v>893</v>
      </c>
      <c r="E691" s="1055" t="s">
        <v>893</v>
      </c>
      <c r="F691" s="1056">
        <v>15114</v>
      </c>
      <c r="G691" s="1056">
        <v>423</v>
      </c>
      <c r="H691" s="1056">
        <v>0</v>
      </c>
      <c r="I691" s="1056">
        <v>15538</v>
      </c>
      <c r="K691" s="995">
        <f t="shared" si="10"/>
        <v>8</v>
      </c>
    </row>
    <row r="692" spans="1:11">
      <c r="A692" s="1054">
        <v>24081009</v>
      </c>
      <c r="B692" s="1055" t="s">
        <v>893</v>
      </c>
      <c r="C692" s="1055" t="s">
        <v>531</v>
      </c>
      <c r="D692" s="1055" t="s">
        <v>1328</v>
      </c>
      <c r="E692" s="1055" t="s">
        <v>1737</v>
      </c>
      <c r="F692" s="1056">
        <v>1</v>
      </c>
      <c r="G692" s="1056">
        <v>0</v>
      </c>
      <c r="H692" s="1056">
        <v>0</v>
      </c>
      <c r="I692" s="1056">
        <v>1</v>
      </c>
      <c r="K692" s="995">
        <f t="shared" si="10"/>
        <v>8</v>
      </c>
    </row>
    <row r="693" spans="1:11">
      <c r="A693" s="1054">
        <v>24081009</v>
      </c>
      <c r="B693" s="1055" t="s">
        <v>893</v>
      </c>
      <c r="C693" s="1055" t="s">
        <v>531</v>
      </c>
      <c r="D693" s="1055" t="s">
        <v>1791</v>
      </c>
      <c r="E693" s="1055" t="s">
        <v>1792</v>
      </c>
      <c r="F693" s="1056">
        <v>2</v>
      </c>
      <c r="G693" s="1056">
        <v>0</v>
      </c>
      <c r="H693" s="1056">
        <v>0</v>
      </c>
      <c r="I693" s="1056">
        <v>2</v>
      </c>
      <c r="K693" s="995">
        <f t="shared" si="10"/>
        <v>8</v>
      </c>
    </row>
    <row r="694" spans="1:11">
      <c r="A694" s="1054">
        <v>24081009</v>
      </c>
      <c r="B694" s="1055" t="s">
        <v>893</v>
      </c>
      <c r="C694" s="1055" t="s">
        <v>531</v>
      </c>
      <c r="D694" s="1055" t="s">
        <v>1329</v>
      </c>
      <c r="E694" s="1055" t="s">
        <v>1330</v>
      </c>
      <c r="F694" s="1056">
        <v>60</v>
      </c>
      <c r="G694" s="1056">
        <v>10</v>
      </c>
      <c r="H694" s="1056">
        <v>0</v>
      </c>
      <c r="I694" s="1056">
        <v>69</v>
      </c>
      <c r="K694" s="995">
        <f t="shared" si="10"/>
        <v>8</v>
      </c>
    </row>
    <row r="695" spans="1:11">
      <c r="A695" s="1054">
        <v>24081009</v>
      </c>
      <c r="B695" s="1055" t="s">
        <v>893</v>
      </c>
      <c r="C695" s="1055" t="s">
        <v>531</v>
      </c>
      <c r="D695" s="1055" t="s">
        <v>1310</v>
      </c>
      <c r="E695" s="1055" t="s">
        <v>994</v>
      </c>
      <c r="F695" s="1056">
        <v>9</v>
      </c>
      <c r="G695" s="1056">
        <v>0</v>
      </c>
      <c r="H695" s="1056">
        <v>0</v>
      </c>
      <c r="I695" s="1056">
        <v>9</v>
      </c>
      <c r="K695" s="995">
        <f t="shared" si="10"/>
        <v>8</v>
      </c>
    </row>
    <row r="696" spans="1:11">
      <c r="A696" s="1054">
        <v>24081009</v>
      </c>
      <c r="B696" s="1055" t="s">
        <v>893</v>
      </c>
      <c r="C696" s="1055" t="s">
        <v>531</v>
      </c>
      <c r="D696" s="1055" t="s">
        <v>1331</v>
      </c>
      <c r="E696" s="1055" t="s">
        <v>1332</v>
      </c>
      <c r="F696" s="1056">
        <v>110</v>
      </c>
      <c r="G696" s="1056">
        <v>18</v>
      </c>
      <c r="H696" s="1056">
        <v>0</v>
      </c>
      <c r="I696" s="1056">
        <v>128</v>
      </c>
      <c r="K696" s="995">
        <f t="shared" si="10"/>
        <v>8</v>
      </c>
    </row>
    <row r="697" spans="1:11">
      <c r="A697" s="1054">
        <v>24081009</v>
      </c>
      <c r="B697" s="1055" t="s">
        <v>893</v>
      </c>
      <c r="C697" s="1055" t="s">
        <v>531</v>
      </c>
      <c r="D697" s="1055" t="s">
        <v>1228</v>
      </c>
      <c r="E697" s="1055" t="s">
        <v>1229</v>
      </c>
      <c r="F697" s="1056">
        <v>68</v>
      </c>
      <c r="G697" s="1056">
        <v>3</v>
      </c>
      <c r="H697" s="1056">
        <v>0</v>
      </c>
      <c r="I697" s="1056">
        <v>71</v>
      </c>
      <c r="K697" s="995">
        <f t="shared" si="10"/>
        <v>8</v>
      </c>
    </row>
    <row r="698" spans="1:11">
      <c r="A698" s="1054">
        <v>24081009</v>
      </c>
      <c r="B698" s="1055" t="s">
        <v>893</v>
      </c>
      <c r="C698" s="1055" t="s">
        <v>531</v>
      </c>
      <c r="D698" s="1055" t="s">
        <v>1333</v>
      </c>
      <c r="E698" s="1055" t="s">
        <v>1334</v>
      </c>
      <c r="F698" s="1056">
        <v>2</v>
      </c>
      <c r="G698" s="1056">
        <v>0</v>
      </c>
      <c r="H698" s="1056">
        <v>0</v>
      </c>
      <c r="I698" s="1056">
        <v>2</v>
      </c>
      <c r="K698" s="995">
        <f t="shared" si="10"/>
        <v>8</v>
      </c>
    </row>
    <row r="699" spans="1:11">
      <c r="A699" s="1054">
        <v>24081009</v>
      </c>
      <c r="B699" s="1055" t="s">
        <v>893</v>
      </c>
      <c r="C699" s="1055" t="s">
        <v>531</v>
      </c>
      <c r="D699" s="1055" t="s">
        <v>1105</v>
      </c>
      <c r="E699" s="1055" t="s">
        <v>1106</v>
      </c>
      <c r="F699" s="1056">
        <v>0</v>
      </c>
      <c r="G699" s="1056">
        <v>29</v>
      </c>
      <c r="H699" s="1056">
        <v>0</v>
      </c>
      <c r="I699" s="1056">
        <v>29</v>
      </c>
      <c r="K699" s="995">
        <f t="shared" si="10"/>
        <v>8</v>
      </c>
    </row>
    <row r="700" spans="1:11">
      <c r="A700" s="1054">
        <v>24081009</v>
      </c>
      <c r="B700" s="1055" t="s">
        <v>893</v>
      </c>
      <c r="C700" s="1055" t="s">
        <v>531</v>
      </c>
      <c r="D700" s="1055" t="s">
        <v>1335</v>
      </c>
      <c r="E700" s="1055" t="s">
        <v>1737</v>
      </c>
      <c r="F700" s="1056">
        <v>16</v>
      </c>
      <c r="G700" s="1056">
        <v>0</v>
      </c>
      <c r="H700" s="1056">
        <v>0</v>
      </c>
      <c r="I700" s="1056">
        <v>16</v>
      </c>
      <c r="K700" s="995">
        <f t="shared" si="10"/>
        <v>8</v>
      </c>
    </row>
    <row r="701" spans="1:11">
      <c r="A701" s="1054">
        <v>24081009</v>
      </c>
      <c r="B701" s="1055" t="s">
        <v>893</v>
      </c>
      <c r="C701" s="1055" t="s">
        <v>531</v>
      </c>
      <c r="D701" s="1055" t="s">
        <v>1336</v>
      </c>
      <c r="E701" s="1055" t="s">
        <v>1337</v>
      </c>
      <c r="F701" s="1056">
        <v>3</v>
      </c>
      <c r="G701" s="1056">
        <v>0</v>
      </c>
      <c r="H701" s="1056">
        <v>0</v>
      </c>
      <c r="I701" s="1056">
        <v>3</v>
      </c>
      <c r="K701" s="995">
        <f t="shared" si="10"/>
        <v>8</v>
      </c>
    </row>
    <row r="702" spans="1:11">
      <c r="A702" s="1054">
        <v>24081009</v>
      </c>
      <c r="B702" s="1055" t="s">
        <v>893</v>
      </c>
      <c r="C702" s="1055" t="s">
        <v>531</v>
      </c>
      <c r="D702" s="1055" t="s">
        <v>1066</v>
      </c>
      <c r="E702" s="1055" t="s">
        <v>662</v>
      </c>
      <c r="F702" s="1056">
        <v>267</v>
      </c>
      <c r="G702" s="1056">
        <v>0</v>
      </c>
      <c r="H702" s="1056">
        <v>0</v>
      </c>
      <c r="I702" s="1056">
        <v>267</v>
      </c>
      <c r="K702" s="995">
        <f t="shared" si="10"/>
        <v>8</v>
      </c>
    </row>
    <row r="703" spans="1:11">
      <c r="A703" s="1054">
        <v>24081009</v>
      </c>
      <c r="B703" s="1055" t="s">
        <v>893</v>
      </c>
      <c r="C703" s="1055" t="s">
        <v>531</v>
      </c>
      <c r="D703" s="1055" t="s">
        <v>1230</v>
      </c>
      <c r="E703" s="1055" t="s">
        <v>1231</v>
      </c>
      <c r="F703" s="1056">
        <v>262</v>
      </c>
      <c r="G703" s="1056">
        <v>2</v>
      </c>
      <c r="H703" s="1056">
        <v>0</v>
      </c>
      <c r="I703" s="1056">
        <v>264</v>
      </c>
      <c r="K703" s="995">
        <f t="shared" si="10"/>
        <v>8</v>
      </c>
    </row>
    <row r="704" spans="1:11">
      <c r="A704" s="1054">
        <v>24081009</v>
      </c>
      <c r="B704" s="1055" t="s">
        <v>893</v>
      </c>
      <c r="C704" s="1055" t="s">
        <v>531</v>
      </c>
      <c r="D704" s="1055" t="s">
        <v>1558</v>
      </c>
      <c r="E704" s="1055" t="s">
        <v>1559</v>
      </c>
      <c r="F704" s="1056">
        <v>371</v>
      </c>
      <c r="G704" s="1056">
        <v>0</v>
      </c>
      <c r="H704" s="1056">
        <v>0</v>
      </c>
      <c r="I704" s="1056">
        <v>371</v>
      </c>
      <c r="K704" s="995">
        <f t="shared" si="10"/>
        <v>8</v>
      </c>
    </row>
    <row r="705" spans="1:11">
      <c r="A705" s="1054">
        <v>24081009</v>
      </c>
      <c r="B705" s="1055" t="s">
        <v>893</v>
      </c>
      <c r="C705" s="1055" t="s">
        <v>531</v>
      </c>
      <c r="D705" s="1055" t="s">
        <v>1615</v>
      </c>
      <c r="E705" s="1055" t="s">
        <v>1616</v>
      </c>
      <c r="F705" s="1056">
        <v>38</v>
      </c>
      <c r="G705" s="1056">
        <v>0</v>
      </c>
      <c r="H705" s="1056">
        <v>0</v>
      </c>
      <c r="I705" s="1056">
        <v>38</v>
      </c>
      <c r="K705" s="995">
        <f t="shared" si="10"/>
        <v>8</v>
      </c>
    </row>
    <row r="706" spans="1:11">
      <c r="A706" s="1054">
        <v>24081009</v>
      </c>
      <c r="B706" s="1055" t="s">
        <v>893</v>
      </c>
      <c r="C706" s="1055" t="s">
        <v>531</v>
      </c>
      <c r="D706" s="1055" t="s">
        <v>1326</v>
      </c>
      <c r="E706" s="1055" t="s">
        <v>1327</v>
      </c>
      <c r="F706" s="1056">
        <v>59</v>
      </c>
      <c r="G706" s="1056">
        <v>0</v>
      </c>
      <c r="H706" s="1056">
        <v>0</v>
      </c>
      <c r="I706" s="1056">
        <v>59</v>
      </c>
      <c r="K706" s="995">
        <f t="shared" si="10"/>
        <v>8</v>
      </c>
    </row>
    <row r="707" spans="1:11">
      <c r="A707" s="1054">
        <v>24081009</v>
      </c>
      <c r="B707" s="1055" t="s">
        <v>893</v>
      </c>
      <c r="C707" s="1055" t="s">
        <v>531</v>
      </c>
      <c r="D707" s="1055" t="s">
        <v>1338</v>
      </c>
      <c r="E707" s="1055" t="s">
        <v>1339</v>
      </c>
      <c r="F707" s="1056">
        <v>5</v>
      </c>
      <c r="G707" s="1056">
        <v>0</v>
      </c>
      <c r="H707" s="1056">
        <v>0</v>
      </c>
      <c r="I707" s="1056">
        <v>5</v>
      </c>
      <c r="K707" s="995">
        <f t="shared" si="10"/>
        <v>8</v>
      </c>
    </row>
    <row r="708" spans="1:11">
      <c r="A708" s="1054">
        <v>24081009</v>
      </c>
      <c r="B708" s="1055" t="s">
        <v>893</v>
      </c>
      <c r="C708" s="1055" t="s">
        <v>531</v>
      </c>
      <c r="D708" s="1055" t="s">
        <v>1340</v>
      </c>
      <c r="E708" s="1055" t="s">
        <v>1737</v>
      </c>
      <c r="F708" s="1056">
        <v>9</v>
      </c>
      <c r="G708" s="1056">
        <v>5</v>
      </c>
      <c r="H708" s="1056">
        <v>0</v>
      </c>
      <c r="I708" s="1056">
        <v>14</v>
      </c>
      <c r="K708" s="995">
        <f t="shared" si="10"/>
        <v>8</v>
      </c>
    </row>
    <row r="709" spans="1:11">
      <c r="A709" s="1054">
        <v>24081009</v>
      </c>
      <c r="B709" s="1055" t="s">
        <v>893</v>
      </c>
      <c r="C709" s="1055" t="s">
        <v>531</v>
      </c>
      <c r="D709" s="1055" t="s">
        <v>1868</v>
      </c>
      <c r="E709" s="1055" t="s">
        <v>1869</v>
      </c>
      <c r="F709" s="1056">
        <v>4</v>
      </c>
      <c r="G709" s="1056">
        <v>0</v>
      </c>
      <c r="H709" s="1056">
        <v>0</v>
      </c>
      <c r="I709" s="1056">
        <v>4</v>
      </c>
      <c r="K709" s="995">
        <f t="shared" ref="K709:K772" si="11">+LEN(A709)</f>
        <v>8</v>
      </c>
    </row>
    <row r="710" spans="1:11">
      <c r="A710" s="1054">
        <v>24081009</v>
      </c>
      <c r="B710" s="1055" t="s">
        <v>893</v>
      </c>
      <c r="C710" s="1055" t="s">
        <v>531</v>
      </c>
      <c r="D710" s="1055" t="s">
        <v>1190</v>
      </c>
      <c r="E710" s="1055" t="s">
        <v>577</v>
      </c>
      <c r="F710" s="1056">
        <v>17</v>
      </c>
      <c r="G710" s="1056">
        <v>0</v>
      </c>
      <c r="H710" s="1056">
        <v>0</v>
      </c>
      <c r="I710" s="1056">
        <v>17</v>
      </c>
      <c r="K710" s="995">
        <f t="shared" si="11"/>
        <v>8</v>
      </c>
    </row>
    <row r="711" spans="1:11">
      <c r="A711" s="1054">
        <v>24081009</v>
      </c>
      <c r="B711" s="1055" t="s">
        <v>893</v>
      </c>
      <c r="C711" s="1055" t="s">
        <v>531</v>
      </c>
      <c r="D711" s="1055" t="s">
        <v>1232</v>
      </c>
      <c r="E711" s="1055" t="s">
        <v>1233</v>
      </c>
      <c r="F711" s="1056">
        <v>47</v>
      </c>
      <c r="G711" s="1056">
        <v>0</v>
      </c>
      <c r="H711" s="1056">
        <v>0</v>
      </c>
      <c r="I711" s="1056">
        <v>47</v>
      </c>
      <c r="K711" s="995">
        <f t="shared" si="11"/>
        <v>8</v>
      </c>
    </row>
    <row r="712" spans="1:11">
      <c r="A712" s="1054">
        <v>24081009</v>
      </c>
      <c r="B712" s="1055" t="s">
        <v>893</v>
      </c>
      <c r="C712" s="1055" t="s">
        <v>531</v>
      </c>
      <c r="D712" s="1055" t="s">
        <v>1617</v>
      </c>
      <c r="E712" s="1055" t="s">
        <v>1618</v>
      </c>
      <c r="F712" s="1056">
        <v>0</v>
      </c>
      <c r="G712" s="1056">
        <v>0</v>
      </c>
      <c r="H712" s="1056">
        <v>0</v>
      </c>
      <c r="I712" s="1056">
        <v>0</v>
      </c>
      <c r="K712" s="995">
        <f t="shared" si="11"/>
        <v>8</v>
      </c>
    </row>
    <row r="713" spans="1:11">
      <c r="A713" s="1054">
        <v>24081009</v>
      </c>
      <c r="B713" s="1055" t="s">
        <v>893</v>
      </c>
      <c r="C713" s="1055" t="s">
        <v>531</v>
      </c>
      <c r="D713" s="1055" t="s">
        <v>1234</v>
      </c>
      <c r="E713" s="1055" t="s">
        <v>913</v>
      </c>
      <c r="F713" s="1056">
        <v>2675</v>
      </c>
      <c r="G713" s="1056">
        <v>0</v>
      </c>
      <c r="H713" s="1056">
        <v>0</v>
      </c>
      <c r="I713" s="1056">
        <v>2675</v>
      </c>
      <c r="K713" s="995">
        <f t="shared" si="11"/>
        <v>8</v>
      </c>
    </row>
    <row r="714" spans="1:11">
      <c r="A714" s="1054">
        <v>24081009</v>
      </c>
      <c r="B714" s="1055" t="s">
        <v>893</v>
      </c>
      <c r="C714" s="1055" t="s">
        <v>531</v>
      </c>
      <c r="D714" s="1055" t="s">
        <v>1171</v>
      </c>
      <c r="E714" s="1055" t="s">
        <v>335</v>
      </c>
      <c r="F714" s="1056">
        <v>12</v>
      </c>
      <c r="G714" s="1056">
        <v>0</v>
      </c>
      <c r="H714" s="1056">
        <v>0</v>
      </c>
      <c r="I714" s="1056">
        <v>12</v>
      </c>
      <c r="K714" s="995">
        <f t="shared" si="11"/>
        <v>8</v>
      </c>
    </row>
    <row r="715" spans="1:11">
      <c r="A715" s="1054">
        <v>24081009</v>
      </c>
      <c r="B715" s="1055" t="s">
        <v>893</v>
      </c>
      <c r="C715" s="1055" t="s">
        <v>531</v>
      </c>
      <c r="D715" s="1055" t="s">
        <v>1777</v>
      </c>
      <c r="E715" s="1055" t="s">
        <v>1778</v>
      </c>
      <c r="F715" s="1056">
        <v>650</v>
      </c>
      <c r="G715" s="1056">
        <v>0</v>
      </c>
      <c r="H715" s="1056">
        <v>0</v>
      </c>
      <c r="I715" s="1056">
        <v>650</v>
      </c>
      <c r="K715" s="995">
        <f t="shared" si="11"/>
        <v>8</v>
      </c>
    </row>
    <row r="716" spans="1:11">
      <c r="A716" s="1054">
        <v>24081009</v>
      </c>
      <c r="B716" s="1055" t="s">
        <v>893</v>
      </c>
      <c r="C716" s="1055" t="s">
        <v>531</v>
      </c>
      <c r="D716" s="1055" t="s">
        <v>1172</v>
      </c>
      <c r="E716" s="1055" t="s">
        <v>1173</v>
      </c>
      <c r="F716" s="1056">
        <v>11</v>
      </c>
      <c r="G716" s="1056">
        <v>0</v>
      </c>
      <c r="H716" s="1056">
        <v>0</v>
      </c>
      <c r="I716" s="1056">
        <v>11</v>
      </c>
      <c r="K716" s="995">
        <f t="shared" si="11"/>
        <v>8</v>
      </c>
    </row>
    <row r="717" spans="1:11">
      <c r="A717" s="1054">
        <v>24081009</v>
      </c>
      <c r="B717" s="1055" t="s">
        <v>893</v>
      </c>
      <c r="C717" s="1055" t="s">
        <v>531</v>
      </c>
      <c r="D717" s="1055" t="s">
        <v>1109</v>
      </c>
      <c r="E717" s="1055" t="s">
        <v>1110</v>
      </c>
      <c r="F717" s="1056">
        <v>93</v>
      </c>
      <c r="G717" s="1056">
        <v>0</v>
      </c>
      <c r="H717" s="1056">
        <v>0</v>
      </c>
      <c r="I717" s="1056">
        <v>93</v>
      </c>
      <c r="K717" s="995">
        <f t="shared" si="11"/>
        <v>8</v>
      </c>
    </row>
    <row r="718" spans="1:11">
      <c r="A718" s="1054">
        <v>24081009</v>
      </c>
      <c r="B718" s="1055" t="s">
        <v>893</v>
      </c>
      <c r="C718" s="1055" t="s">
        <v>531</v>
      </c>
      <c r="D718" s="1055" t="s">
        <v>1140</v>
      </c>
      <c r="E718" s="1055" t="s">
        <v>1141</v>
      </c>
      <c r="F718" s="1056">
        <v>1128</v>
      </c>
      <c r="G718" s="1056">
        <v>0</v>
      </c>
      <c r="H718" s="1056">
        <v>0</v>
      </c>
      <c r="I718" s="1056">
        <v>1128</v>
      </c>
      <c r="K718" s="995">
        <f t="shared" si="11"/>
        <v>8</v>
      </c>
    </row>
    <row r="719" spans="1:11">
      <c r="A719" s="1054">
        <v>24081009</v>
      </c>
      <c r="B719" s="1055" t="s">
        <v>893</v>
      </c>
      <c r="C719" s="1055" t="s">
        <v>531</v>
      </c>
      <c r="D719" s="1055" t="s">
        <v>1341</v>
      </c>
      <c r="E719" s="1055" t="s">
        <v>1342</v>
      </c>
      <c r="F719" s="1056">
        <v>22</v>
      </c>
      <c r="G719" s="1056">
        <v>0</v>
      </c>
      <c r="H719" s="1056">
        <v>0</v>
      </c>
      <c r="I719" s="1056">
        <v>22</v>
      </c>
      <c r="K719" s="995">
        <f t="shared" si="11"/>
        <v>8</v>
      </c>
    </row>
    <row r="720" spans="1:11">
      <c r="A720" s="1054">
        <v>24081009</v>
      </c>
      <c r="B720" s="1055" t="s">
        <v>893</v>
      </c>
      <c r="C720" s="1055" t="s">
        <v>531</v>
      </c>
      <c r="D720" s="1055" t="s">
        <v>1619</v>
      </c>
      <c r="E720" s="1055" t="s">
        <v>1620</v>
      </c>
      <c r="F720" s="1056">
        <v>11</v>
      </c>
      <c r="G720" s="1056">
        <v>0</v>
      </c>
      <c r="H720" s="1056">
        <v>0</v>
      </c>
      <c r="I720" s="1056">
        <v>11</v>
      </c>
      <c r="K720" s="995">
        <f t="shared" si="11"/>
        <v>8</v>
      </c>
    </row>
    <row r="721" spans="1:11">
      <c r="A721" s="1054">
        <v>24081009</v>
      </c>
      <c r="B721" s="1055" t="s">
        <v>893</v>
      </c>
      <c r="C721" s="1055" t="s">
        <v>531</v>
      </c>
      <c r="D721" s="1055" t="s">
        <v>1069</v>
      </c>
      <c r="E721" s="1055" t="s">
        <v>1070</v>
      </c>
      <c r="F721" s="1056">
        <v>81</v>
      </c>
      <c r="G721" s="1056">
        <v>8</v>
      </c>
      <c r="H721" s="1056">
        <v>0</v>
      </c>
      <c r="I721" s="1056">
        <v>90</v>
      </c>
      <c r="K721" s="995">
        <f t="shared" si="11"/>
        <v>8</v>
      </c>
    </row>
    <row r="722" spans="1:11">
      <c r="A722" s="1054">
        <v>24081009</v>
      </c>
      <c r="B722" s="1055" t="s">
        <v>893</v>
      </c>
      <c r="C722" s="1055" t="s">
        <v>531</v>
      </c>
      <c r="D722" s="1055" t="s">
        <v>1168</v>
      </c>
      <c r="E722" s="1055" t="s">
        <v>1169</v>
      </c>
      <c r="F722" s="1056">
        <v>5182</v>
      </c>
      <c r="G722" s="1056">
        <v>0</v>
      </c>
      <c r="H722" s="1056">
        <v>0</v>
      </c>
      <c r="I722" s="1056">
        <v>5182</v>
      </c>
      <c r="K722" s="995">
        <f t="shared" si="11"/>
        <v>8</v>
      </c>
    </row>
    <row r="723" spans="1:11">
      <c r="A723" s="1054">
        <v>24081009</v>
      </c>
      <c r="B723" s="1055" t="s">
        <v>893</v>
      </c>
      <c r="C723" s="1055" t="s">
        <v>531</v>
      </c>
      <c r="D723" s="1055" t="s">
        <v>1343</v>
      </c>
      <c r="E723" s="1055" t="s">
        <v>1344</v>
      </c>
      <c r="F723" s="1056">
        <v>6</v>
      </c>
      <c r="G723" s="1056">
        <v>0</v>
      </c>
      <c r="H723" s="1056">
        <v>0</v>
      </c>
      <c r="I723" s="1056">
        <v>6</v>
      </c>
      <c r="K723" s="995">
        <f t="shared" si="11"/>
        <v>8</v>
      </c>
    </row>
    <row r="724" spans="1:11">
      <c r="A724" s="1054">
        <v>24081009</v>
      </c>
      <c r="B724" s="1055" t="s">
        <v>893</v>
      </c>
      <c r="C724" s="1055" t="s">
        <v>531</v>
      </c>
      <c r="D724" s="1055" t="s">
        <v>1197</v>
      </c>
      <c r="E724" s="1055" t="s">
        <v>481</v>
      </c>
      <c r="F724" s="1056">
        <v>1868</v>
      </c>
      <c r="G724" s="1056">
        <v>0</v>
      </c>
      <c r="H724" s="1056">
        <v>0</v>
      </c>
      <c r="I724" s="1056">
        <v>1868</v>
      </c>
      <c r="K724" s="995">
        <f t="shared" si="11"/>
        <v>8</v>
      </c>
    </row>
    <row r="725" spans="1:11">
      <c r="A725" s="1054">
        <v>24081009</v>
      </c>
      <c r="B725" s="1055" t="s">
        <v>893</v>
      </c>
      <c r="C725" s="1055" t="s">
        <v>531</v>
      </c>
      <c r="D725" s="1055" t="s">
        <v>1198</v>
      </c>
      <c r="E725" s="1055" t="s">
        <v>337</v>
      </c>
      <c r="F725" s="1056">
        <v>296</v>
      </c>
      <c r="G725" s="1056">
        <v>111</v>
      </c>
      <c r="H725" s="1056">
        <v>0</v>
      </c>
      <c r="I725" s="1056">
        <v>408</v>
      </c>
      <c r="K725" s="995">
        <f t="shared" si="11"/>
        <v>8</v>
      </c>
    </row>
    <row r="726" spans="1:11">
      <c r="A726" s="1054">
        <v>24081009</v>
      </c>
      <c r="B726" s="1055" t="s">
        <v>893</v>
      </c>
      <c r="C726" s="1055" t="s">
        <v>531</v>
      </c>
      <c r="D726" s="1055" t="s">
        <v>1290</v>
      </c>
      <c r="E726" s="1055" t="s">
        <v>1291</v>
      </c>
      <c r="F726" s="1056">
        <v>9</v>
      </c>
      <c r="G726" s="1056">
        <v>0</v>
      </c>
      <c r="H726" s="1056">
        <v>0</v>
      </c>
      <c r="I726" s="1056">
        <v>9</v>
      </c>
      <c r="K726" s="995">
        <f t="shared" si="11"/>
        <v>8</v>
      </c>
    </row>
    <row r="727" spans="1:11">
      <c r="A727" s="1054">
        <v>24081009</v>
      </c>
      <c r="B727" s="1055" t="s">
        <v>893</v>
      </c>
      <c r="C727" s="1055" t="s">
        <v>531</v>
      </c>
      <c r="D727" s="1055" t="s">
        <v>1345</v>
      </c>
      <c r="E727" s="1055" t="s">
        <v>1754</v>
      </c>
      <c r="F727" s="1056">
        <v>8</v>
      </c>
      <c r="G727" s="1056">
        <v>0</v>
      </c>
      <c r="H727" s="1056">
        <v>0</v>
      </c>
      <c r="I727" s="1056">
        <v>8</v>
      </c>
      <c r="K727" s="995">
        <f t="shared" si="11"/>
        <v>8</v>
      </c>
    </row>
    <row r="728" spans="1:11">
      <c r="A728" s="1054">
        <v>24081009</v>
      </c>
      <c r="B728" s="1055" t="s">
        <v>893</v>
      </c>
      <c r="C728" s="1055" t="s">
        <v>531</v>
      </c>
      <c r="D728" s="1055" t="s">
        <v>1597</v>
      </c>
      <c r="E728" s="1055" t="s">
        <v>1598</v>
      </c>
      <c r="F728" s="1056">
        <v>6</v>
      </c>
      <c r="G728" s="1056">
        <v>0</v>
      </c>
      <c r="H728" s="1056">
        <v>0</v>
      </c>
      <c r="I728" s="1056">
        <v>6</v>
      </c>
      <c r="K728" s="995">
        <f t="shared" si="11"/>
        <v>8</v>
      </c>
    </row>
    <row r="729" spans="1:11">
      <c r="A729" s="1054">
        <v>24081009</v>
      </c>
      <c r="B729" s="1055" t="s">
        <v>893</v>
      </c>
      <c r="C729" s="1055" t="s">
        <v>531</v>
      </c>
      <c r="D729" s="1055" t="s">
        <v>1235</v>
      </c>
      <c r="E729" s="1055" t="s">
        <v>1236</v>
      </c>
      <c r="F729" s="1056">
        <v>87</v>
      </c>
      <c r="G729" s="1056">
        <v>0</v>
      </c>
      <c r="H729" s="1056">
        <v>0</v>
      </c>
      <c r="I729" s="1056">
        <v>87</v>
      </c>
      <c r="K729" s="995">
        <f t="shared" si="11"/>
        <v>8</v>
      </c>
    </row>
    <row r="730" spans="1:11">
      <c r="A730" s="1054">
        <v>24081009</v>
      </c>
      <c r="B730" s="1055" t="s">
        <v>893</v>
      </c>
      <c r="C730" s="1055" t="s">
        <v>531</v>
      </c>
      <c r="D730" s="1055" t="s">
        <v>1346</v>
      </c>
      <c r="E730" s="1055" t="s">
        <v>1347</v>
      </c>
      <c r="F730" s="1056">
        <v>25</v>
      </c>
      <c r="G730" s="1056">
        <v>0</v>
      </c>
      <c r="H730" s="1056">
        <v>0</v>
      </c>
      <c r="I730" s="1056">
        <v>25</v>
      </c>
      <c r="K730" s="995">
        <f t="shared" si="11"/>
        <v>8</v>
      </c>
    </row>
    <row r="731" spans="1:11">
      <c r="A731" s="1054">
        <v>24081009</v>
      </c>
      <c r="B731" s="1055" t="s">
        <v>893</v>
      </c>
      <c r="C731" s="1055" t="s">
        <v>531</v>
      </c>
      <c r="D731" s="1055" t="s">
        <v>1348</v>
      </c>
      <c r="E731" s="1055" t="s">
        <v>1349</v>
      </c>
      <c r="F731" s="1056">
        <v>1</v>
      </c>
      <c r="G731" s="1056">
        <v>0</v>
      </c>
      <c r="H731" s="1056">
        <v>0</v>
      </c>
      <c r="I731" s="1056">
        <v>1</v>
      </c>
      <c r="K731" s="995">
        <f t="shared" si="11"/>
        <v>8</v>
      </c>
    </row>
    <row r="732" spans="1:11">
      <c r="A732" s="1054">
        <v>24081009</v>
      </c>
      <c r="B732" s="1055" t="s">
        <v>893</v>
      </c>
      <c r="C732" s="1055" t="s">
        <v>531</v>
      </c>
      <c r="D732" s="1055" t="s">
        <v>1237</v>
      </c>
      <c r="E732" s="1055" t="s">
        <v>338</v>
      </c>
      <c r="F732" s="1056">
        <v>23</v>
      </c>
      <c r="G732" s="1056">
        <v>0</v>
      </c>
      <c r="H732" s="1056">
        <v>0</v>
      </c>
      <c r="I732" s="1056">
        <v>23</v>
      </c>
      <c r="K732" s="995">
        <f t="shared" si="11"/>
        <v>8</v>
      </c>
    </row>
    <row r="733" spans="1:11">
      <c r="A733" s="1054">
        <v>24081009</v>
      </c>
      <c r="B733" s="1055" t="s">
        <v>893</v>
      </c>
      <c r="C733" s="1055" t="s">
        <v>531</v>
      </c>
      <c r="D733" s="1055" t="s">
        <v>1621</v>
      </c>
      <c r="E733" s="1055" t="s">
        <v>1622</v>
      </c>
      <c r="F733" s="1056">
        <v>2</v>
      </c>
      <c r="G733" s="1056">
        <v>0</v>
      </c>
      <c r="H733" s="1056">
        <v>0</v>
      </c>
      <c r="I733" s="1056">
        <v>2</v>
      </c>
      <c r="K733" s="995">
        <f t="shared" si="11"/>
        <v>8</v>
      </c>
    </row>
    <row r="734" spans="1:11">
      <c r="A734" s="1054">
        <v>24081009</v>
      </c>
      <c r="B734" s="1055" t="s">
        <v>893</v>
      </c>
      <c r="C734" s="1055" t="s">
        <v>531</v>
      </c>
      <c r="D734" s="1055" t="s">
        <v>1350</v>
      </c>
      <c r="E734" s="1055" t="s">
        <v>1351</v>
      </c>
      <c r="F734" s="1056">
        <v>28</v>
      </c>
      <c r="G734" s="1056">
        <v>4</v>
      </c>
      <c r="H734" s="1056">
        <v>0</v>
      </c>
      <c r="I734" s="1056">
        <v>32</v>
      </c>
      <c r="K734" s="995">
        <f t="shared" si="11"/>
        <v>8</v>
      </c>
    </row>
    <row r="735" spans="1:11">
      <c r="A735" s="1054">
        <v>24081009</v>
      </c>
      <c r="B735" s="1055" t="s">
        <v>893</v>
      </c>
      <c r="C735" s="1055" t="s">
        <v>531</v>
      </c>
      <c r="D735" s="1055" t="s">
        <v>1793</v>
      </c>
      <c r="E735" s="1055" t="s">
        <v>1794</v>
      </c>
      <c r="F735" s="1056">
        <v>4</v>
      </c>
      <c r="G735" s="1056">
        <v>0</v>
      </c>
      <c r="H735" s="1056">
        <v>0</v>
      </c>
      <c r="I735" s="1056">
        <v>4</v>
      </c>
      <c r="K735" s="995">
        <f t="shared" si="11"/>
        <v>8</v>
      </c>
    </row>
    <row r="736" spans="1:11">
      <c r="A736" s="1054">
        <v>24081009</v>
      </c>
      <c r="B736" s="1055" t="s">
        <v>893</v>
      </c>
      <c r="C736" s="1055" t="s">
        <v>531</v>
      </c>
      <c r="D736" s="1055" t="s">
        <v>1308</v>
      </c>
      <c r="E736" s="1055" t="s">
        <v>993</v>
      </c>
      <c r="F736" s="1056">
        <v>131</v>
      </c>
      <c r="G736" s="1056">
        <v>0</v>
      </c>
      <c r="H736" s="1056">
        <v>0</v>
      </c>
      <c r="I736" s="1056">
        <v>131</v>
      </c>
      <c r="K736" s="995">
        <f t="shared" si="11"/>
        <v>8</v>
      </c>
    </row>
    <row r="737" spans="1:11">
      <c r="A737" s="1054">
        <v>24081009</v>
      </c>
      <c r="B737" s="1055" t="s">
        <v>893</v>
      </c>
      <c r="C737" s="1055" t="s">
        <v>531</v>
      </c>
      <c r="D737" s="1055" t="s">
        <v>1075</v>
      </c>
      <c r="E737" s="1055" t="s">
        <v>325</v>
      </c>
      <c r="F737" s="1056">
        <v>691</v>
      </c>
      <c r="G737" s="1056">
        <v>126</v>
      </c>
      <c r="H737" s="1056">
        <v>0</v>
      </c>
      <c r="I737" s="1056">
        <v>817</v>
      </c>
      <c r="K737" s="995">
        <f t="shared" si="11"/>
        <v>8</v>
      </c>
    </row>
    <row r="738" spans="1:11">
      <c r="A738" s="1054">
        <v>24081009</v>
      </c>
      <c r="B738" s="1055" t="s">
        <v>893</v>
      </c>
      <c r="C738" s="1055" t="s">
        <v>531</v>
      </c>
      <c r="D738" s="1055" t="s">
        <v>1755</v>
      </c>
      <c r="E738" s="1055" t="s">
        <v>1756</v>
      </c>
      <c r="F738" s="1056">
        <v>0</v>
      </c>
      <c r="G738" s="1056">
        <v>30</v>
      </c>
      <c r="H738" s="1056">
        <v>0</v>
      </c>
      <c r="I738" s="1056">
        <v>30</v>
      </c>
      <c r="K738" s="995">
        <f t="shared" si="11"/>
        <v>8</v>
      </c>
    </row>
    <row r="739" spans="1:11">
      <c r="A739" s="1054">
        <v>24081009</v>
      </c>
      <c r="B739" s="1055" t="s">
        <v>893</v>
      </c>
      <c r="C739" s="1055" t="s">
        <v>531</v>
      </c>
      <c r="D739" s="1055" t="s">
        <v>1352</v>
      </c>
      <c r="E739" s="1055" t="s">
        <v>1353</v>
      </c>
      <c r="F739" s="1056">
        <v>29</v>
      </c>
      <c r="G739" s="1056">
        <v>3</v>
      </c>
      <c r="H739" s="1056">
        <v>0</v>
      </c>
      <c r="I739" s="1056">
        <v>32</v>
      </c>
      <c r="K739" s="995">
        <f t="shared" si="11"/>
        <v>8</v>
      </c>
    </row>
    <row r="740" spans="1:11">
      <c r="A740" s="1054">
        <v>24081009</v>
      </c>
      <c r="B740" s="1055" t="s">
        <v>893</v>
      </c>
      <c r="C740" s="1055" t="s">
        <v>531</v>
      </c>
      <c r="D740" s="1055" t="s">
        <v>1709</v>
      </c>
      <c r="E740" s="1055" t="s">
        <v>1710</v>
      </c>
      <c r="F740" s="1056">
        <v>4</v>
      </c>
      <c r="G740" s="1056">
        <v>0</v>
      </c>
      <c r="H740" s="1056">
        <v>0</v>
      </c>
      <c r="I740" s="1056">
        <v>4</v>
      </c>
      <c r="K740" s="995">
        <f t="shared" si="11"/>
        <v>8</v>
      </c>
    </row>
    <row r="741" spans="1:11">
      <c r="A741" s="1054">
        <v>24081009</v>
      </c>
      <c r="B741" s="1055" t="s">
        <v>893</v>
      </c>
      <c r="C741" s="1055" t="s">
        <v>531</v>
      </c>
      <c r="D741" s="1055" t="s">
        <v>1795</v>
      </c>
      <c r="E741" s="1055" t="s">
        <v>1796</v>
      </c>
      <c r="F741" s="1056">
        <v>1</v>
      </c>
      <c r="G741" s="1056">
        <v>0</v>
      </c>
      <c r="H741" s="1056">
        <v>0</v>
      </c>
      <c r="I741" s="1056">
        <v>1</v>
      </c>
      <c r="K741" s="995">
        <f t="shared" si="11"/>
        <v>8</v>
      </c>
    </row>
    <row r="742" spans="1:11">
      <c r="A742" s="1054">
        <v>24081009</v>
      </c>
      <c r="B742" s="1055" t="s">
        <v>893</v>
      </c>
      <c r="C742" s="1055" t="s">
        <v>531</v>
      </c>
      <c r="D742" s="1055" t="s">
        <v>1238</v>
      </c>
      <c r="E742" s="1055" t="s">
        <v>1239</v>
      </c>
      <c r="F742" s="1056">
        <v>106</v>
      </c>
      <c r="G742" s="1056">
        <v>65</v>
      </c>
      <c r="H742" s="1056">
        <v>0</v>
      </c>
      <c r="I742" s="1056">
        <v>171</v>
      </c>
      <c r="K742" s="995">
        <f t="shared" si="11"/>
        <v>8</v>
      </c>
    </row>
    <row r="743" spans="1:11">
      <c r="A743" s="1054">
        <v>24081009</v>
      </c>
      <c r="B743" s="1055" t="s">
        <v>893</v>
      </c>
      <c r="C743" s="1055" t="s">
        <v>531</v>
      </c>
      <c r="D743" s="1055" t="s">
        <v>1623</v>
      </c>
      <c r="E743" s="1055" t="s">
        <v>1624</v>
      </c>
      <c r="F743" s="1056">
        <v>23</v>
      </c>
      <c r="G743" s="1056">
        <v>0</v>
      </c>
      <c r="H743" s="1056">
        <v>0</v>
      </c>
      <c r="I743" s="1056">
        <v>23</v>
      </c>
      <c r="K743" s="995">
        <f t="shared" si="11"/>
        <v>8</v>
      </c>
    </row>
    <row r="744" spans="1:11">
      <c r="A744" s="1054">
        <v>24081009</v>
      </c>
      <c r="B744" s="1055" t="s">
        <v>893</v>
      </c>
      <c r="C744" s="1055" t="s">
        <v>531</v>
      </c>
      <c r="D744" s="1055" t="s">
        <v>1240</v>
      </c>
      <c r="E744" s="1055" t="s">
        <v>1241</v>
      </c>
      <c r="F744" s="1056">
        <v>13</v>
      </c>
      <c r="G744" s="1056">
        <v>0</v>
      </c>
      <c r="H744" s="1056">
        <v>0</v>
      </c>
      <c r="I744" s="1056">
        <v>13</v>
      </c>
      <c r="K744" s="995">
        <f t="shared" si="11"/>
        <v>8</v>
      </c>
    </row>
    <row r="745" spans="1:11">
      <c r="A745" s="1054">
        <v>24081009</v>
      </c>
      <c r="B745" s="1055" t="s">
        <v>893</v>
      </c>
      <c r="C745" s="1055" t="s">
        <v>531</v>
      </c>
      <c r="D745" s="1055" t="s">
        <v>1170</v>
      </c>
      <c r="E745" s="1055" t="s">
        <v>696</v>
      </c>
      <c r="F745" s="1056">
        <v>14</v>
      </c>
      <c r="G745" s="1056">
        <v>0</v>
      </c>
      <c r="H745" s="1056">
        <v>0</v>
      </c>
      <c r="I745" s="1056">
        <v>14</v>
      </c>
      <c r="K745" s="995">
        <f t="shared" si="11"/>
        <v>8</v>
      </c>
    </row>
    <row r="746" spans="1:11">
      <c r="A746" s="1054">
        <v>24081009</v>
      </c>
      <c r="B746" s="1055" t="s">
        <v>893</v>
      </c>
      <c r="C746" s="1055" t="s">
        <v>531</v>
      </c>
      <c r="D746" s="1055" t="s">
        <v>1711</v>
      </c>
      <c r="E746" s="1055" t="s">
        <v>1712</v>
      </c>
      <c r="F746" s="1056">
        <v>3</v>
      </c>
      <c r="G746" s="1056">
        <v>0</v>
      </c>
      <c r="H746" s="1056">
        <v>0</v>
      </c>
      <c r="I746" s="1056">
        <v>3</v>
      </c>
      <c r="K746" s="995">
        <f t="shared" si="11"/>
        <v>8</v>
      </c>
    </row>
    <row r="747" spans="1:11">
      <c r="A747" s="1054">
        <v>24081009</v>
      </c>
      <c r="B747" s="1055" t="s">
        <v>893</v>
      </c>
      <c r="C747" s="1055" t="s">
        <v>531</v>
      </c>
      <c r="D747" s="1055" t="s">
        <v>1713</v>
      </c>
      <c r="E747" s="1055" t="s">
        <v>1714</v>
      </c>
      <c r="F747" s="1056">
        <v>8</v>
      </c>
      <c r="G747" s="1056">
        <v>0</v>
      </c>
      <c r="H747" s="1056">
        <v>0</v>
      </c>
      <c r="I747" s="1056">
        <v>8</v>
      </c>
      <c r="K747" s="995">
        <f t="shared" si="11"/>
        <v>8</v>
      </c>
    </row>
    <row r="748" spans="1:11">
      <c r="A748" s="1054">
        <v>24081009</v>
      </c>
      <c r="B748" s="1055" t="s">
        <v>893</v>
      </c>
      <c r="C748" s="1055" t="s">
        <v>531</v>
      </c>
      <c r="D748" s="1055" t="s">
        <v>1226</v>
      </c>
      <c r="E748" s="1055" t="s">
        <v>1227</v>
      </c>
      <c r="F748" s="1056">
        <v>41</v>
      </c>
      <c r="G748" s="1056">
        <v>0</v>
      </c>
      <c r="H748" s="1056">
        <v>0</v>
      </c>
      <c r="I748" s="1056">
        <v>41</v>
      </c>
      <c r="K748" s="995">
        <f t="shared" si="11"/>
        <v>8</v>
      </c>
    </row>
    <row r="749" spans="1:11">
      <c r="A749" s="1054">
        <v>24081009</v>
      </c>
      <c r="B749" s="1055" t="s">
        <v>893</v>
      </c>
      <c r="C749" s="1055" t="s">
        <v>531</v>
      </c>
      <c r="D749" s="1055" t="s">
        <v>1036</v>
      </c>
      <c r="E749" s="1055" t="s">
        <v>1037</v>
      </c>
      <c r="F749" s="1056">
        <v>49</v>
      </c>
      <c r="G749" s="1056">
        <v>6</v>
      </c>
      <c r="H749" s="1056">
        <v>0</v>
      </c>
      <c r="I749" s="1056">
        <v>55</v>
      </c>
      <c r="K749" s="995">
        <f t="shared" si="11"/>
        <v>8</v>
      </c>
    </row>
    <row r="750" spans="1:11">
      <c r="A750" s="1054">
        <v>24081009</v>
      </c>
      <c r="B750" s="1055" t="s">
        <v>893</v>
      </c>
      <c r="C750" s="1055" t="s">
        <v>531</v>
      </c>
      <c r="D750" s="1055" t="s">
        <v>1077</v>
      </c>
      <c r="E750" s="1055" t="s">
        <v>1078</v>
      </c>
      <c r="F750" s="1056">
        <v>9</v>
      </c>
      <c r="G750" s="1056">
        <v>2</v>
      </c>
      <c r="H750" s="1056">
        <v>0</v>
      </c>
      <c r="I750" s="1056">
        <v>10</v>
      </c>
      <c r="K750" s="995">
        <f t="shared" si="11"/>
        <v>8</v>
      </c>
    </row>
    <row r="751" spans="1:11">
      <c r="A751" s="1054">
        <v>24081009</v>
      </c>
      <c r="B751" s="1055" t="s">
        <v>893</v>
      </c>
      <c r="C751" s="1055" t="s">
        <v>531</v>
      </c>
      <c r="D751" s="1055" t="s">
        <v>1294</v>
      </c>
      <c r="E751" s="1055" t="s">
        <v>779</v>
      </c>
      <c r="F751" s="1056">
        <v>208</v>
      </c>
      <c r="G751" s="1056">
        <v>0</v>
      </c>
      <c r="H751" s="1056">
        <v>0</v>
      </c>
      <c r="I751" s="1056">
        <v>208</v>
      </c>
      <c r="K751" s="995">
        <f t="shared" si="11"/>
        <v>8</v>
      </c>
    </row>
    <row r="752" spans="1:11">
      <c r="A752" s="1054">
        <v>24081009</v>
      </c>
      <c r="B752" s="1055" t="s">
        <v>893</v>
      </c>
      <c r="C752" s="1055" t="s">
        <v>531</v>
      </c>
      <c r="D752" s="1055" t="s">
        <v>1062</v>
      </c>
      <c r="E752" s="1055" t="s">
        <v>510</v>
      </c>
      <c r="F752" s="1056">
        <v>4</v>
      </c>
      <c r="G752" s="1056">
        <v>0</v>
      </c>
      <c r="H752" s="1056">
        <v>0</v>
      </c>
      <c r="I752" s="1056">
        <v>4</v>
      </c>
      <c r="K752" s="995">
        <f t="shared" si="11"/>
        <v>8</v>
      </c>
    </row>
    <row r="753" spans="1:11">
      <c r="A753" s="1054">
        <v>24081009</v>
      </c>
      <c r="B753" s="1055" t="s">
        <v>893</v>
      </c>
      <c r="C753" s="1055" t="s">
        <v>531</v>
      </c>
      <c r="D753" s="1055" t="s">
        <v>1242</v>
      </c>
      <c r="E753" s="1055" t="s">
        <v>1243</v>
      </c>
      <c r="F753" s="1056">
        <v>20</v>
      </c>
      <c r="G753" s="1056">
        <v>0</v>
      </c>
      <c r="H753" s="1056">
        <v>0</v>
      </c>
      <c r="I753" s="1056">
        <v>20</v>
      </c>
      <c r="K753" s="995">
        <f t="shared" si="11"/>
        <v>8</v>
      </c>
    </row>
    <row r="754" spans="1:11">
      <c r="A754" s="1054">
        <v>24081009</v>
      </c>
      <c r="B754" s="1055" t="s">
        <v>893</v>
      </c>
      <c r="C754" s="1055" t="s">
        <v>531</v>
      </c>
      <c r="D754" s="1055" t="s">
        <v>1684</v>
      </c>
      <c r="E754" s="1055" t="s">
        <v>1685</v>
      </c>
      <c r="F754" s="1056">
        <v>10</v>
      </c>
      <c r="G754" s="1056">
        <v>0</v>
      </c>
      <c r="H754" s="1056">
        <v>0</v>
      </c>
      <c r="I754" s="1056">
        <v>10</v>
      </c>
      <c r="K754" s="995">
        <f t="shared" si="11"/>
        <v>8</v>
      </c>
    </row>
    <row r="755" spans="1:11">
      <c r="A755" s="1054">
        <v>24081009</v>
      </c>
      <c r="B755" s="1055" t="s">
        <v>893</v>
      </c>
      <c r="C755" s="1055" t="s">
        <v>531</v>
      </c>
      <c r="D755" s="1055" t="s">
        <v>1354</v>
      </c>
      <c r="E755" s="1055" t="s">
        <v>1355</v>
      </c>
      <c r="F755" s="1056">
        <v>35</v>
      </c>
      <c r="G755" s="1056">
        <v>0</v>
      </c>
      <c r="H755" s="1056">
        <v>0</v>
      </c>
      <c r="I755" s="1056">
        <v>35</v>
      </c>
      <c r="K755" s="995">
        <f t="shared" si="11"/>
        <v>8</v>
      </c>
    </row>
    <row r="756" spans="1:11">
      <c r="A756" s="1054">
        <v>24081009</v>
      </c>
      <c r="B756" s="1055" t="s">
        <v>893</v>
      </c>
      <c r="C756" s="1055" t="s">
        <v>531</v>
      </c>
      <c r="D756" s="1055" t="s">
        <v>1782</v>
      </c>
      <c r="E756" s="1055" t="s">
        <v>1783</v>
      </c>
      <c r="F756" s="1056">
        <v>7</v>
      </c>
      <c r="G756" s="1056">
        <v>0</v>
      </c>
      <c r="H756" s="1056">
        <v>0</v>
      </c>
      <c r="I756" s="1056">
        <v>7</v>
      </c>
      <c r="K756" s="995">
        <f t="shared" si="11"/>
        <v>8</v>
      </c>
    </row>
    <row r="757" spans="1:11">
      <c r="A757" s="1054">
        <v>24081009</v>
      </c>
      <c r="B757" s="1055" t="s">
        <v>893</v>
      </c>
      <c r="C757" s="1055" t="s">
        <v>531</v>
      </c>
      <c r="D757" s="1055" t="s">
        <v>1356</v>
      </c>
      <c r="E757" s="1055" t="s">
        <v>1357</v>
      </c>
      <c r="F757" s="1056">
        <v>6</v>
      </c>
      <c r="G757" s="1056">
        <v>2</v>
      </c>
      <c r="H757" s="1056">
        <v>0</v>
      </c>
      <c r="I757" s="1056">
        <v>8</v>
      </c>
      <c r="K757" s="995">
        <f t="shared" si="11"/>
        <v>8</v>
      </c>
    </row>
    <row r="758" spans="1:11">
      <c r="A758" s="1054">
        <v>24081009</v>
      </c>
      <c r="B758" s="1055" t="s">
        <v>893</v>
      </c>
      <c r="C758" s="1055" t="s">
        <v>531</v>
      </c>
      <c r="D758" s="1055" t="s">
        <v>1865</v>
      </c>
      <c r="E758" s="1055" t="s">
        <v>1866</v>
      </c>
      <c r="F758" s="1056">
        <v>74</v>
      </c>
      <c r="G758" s="1056">
        <v>0</v>
      </c>
      <c r="H758" s="1056">
        <v>0</v>
      </c>
      <c r="I758" s="1056">
        <v>74</v>
      </c>
      <c r="K758" s="995">
        <f t="shared" si="11"/>
        <v>8</v>
      </c>
    </row>
    <row r="759" spans="1:11">
      <c r="A759" s="1054">
        <v>24081009</v>
      </c>
      <c r="B759" s="1055" t="s">
        <v>893</v>
      </c>
      <c r="C759" s="1055" t="s">
        <v>531</v>
      </c>
      <c r="D759" s="1055" t="s">
        <v>1715</v>
      </c>
      <c r="E759" s="1055" t="s">
        <v>1716</v>
      </c>
      <c r="F759" s="1056">
        <v>6</v>
      </c>
      <c r="G759" s="1056">
        <v>0</v>
      </c>
      <c r="H759" s="1056">
        <v>0</v>
      </c>
      <c r="I759" s="1056">
        <v>6</v>
      </c>
      <c r="K759" s="995">
        <f t="shared" si="11"/>
        <v>8</v>
      </c>
    </row>
    <row r="760" spans="1:11">
      <c r="A760" s="1054">
        <v>24081009</v>
      </c>
      <c r="B760" s="1055" t="s">
        <v>893</v>
      </c>
      <c r="C760" s="1055" t="s">
        <v>531</v>
      </c>
      <c r="D760" s="1055" t="s">
        <v>1358</v>
      </c>
      <c r="E760" s="1055" t="s">
        <v>1359</v>
      </c>
      <c r="F760" s="1056">
        <v>5</v>
      </c>
      <c r="G760" s="1056">
        <v>0</v>
      </c>
      <c r="H760" s="1056">
        <v>0</v>
      </c>
      <c r="I760" s="1056">
        <v>5</v>
      </c>
      <c r="K760" s="995">
        <f t="shared" si="11"/>
        <v>8</v>
      </c>
    </row>
    <row r="761" spans="1:11">
      <c r="A761" s="1054">
        <v>24081009</v>
      </c>
      <c r="B761" s="1055" t="s">
        <v>893</v>
      </c>
      <c r="C761" s="1055" t="s">
        <v>531</v>
      </c>
      <c r="D761" s="1055" t="s">
        <v>1717</v>
      </c>
      <c r="E761" s="1055" t="s">
        <v>1732</v>
      </c>
      <c r="F761" s="1056">
        <v>24</v>
      </c>
      <c r="G761" s="1056">
        <v>0</v>
      </c>
      <c r="H761" s="1056">
        <v>0</v>
      </c>
      <c r="I761" s="1056">
        <v>24</v>
      </c>
      <c r="K761" s="995">
        <f t="shared" si="11"/>
        <v>8</v>
      </c>
    </row>
    <row r="762" spans="1:11">
      <c r="A762" s="1054">
        <v>24081009</v>
      </c>
      <c r="B762" s="1055" t="s">
        <v>893</v>
      </c>
      <c r="C762" s="1055" t="s">
        <v>531</v>
      </c>
      <c r="D762" s="1055" t="s">
        <v>1244</v>
      </c>
      <c r="E762" s="1055" t="s">
        <v>1245</v>
      </c>
      <c r="F762" s="1056">
        <v>18</v>
      </c>
      <c r="G762" s="1056">
        <v>0</v>
      </c>
      <c r="H762" s="1056">
        <v>0</v>
      </c>
      <c r="I762" s="1056">
        <v>18</v>
      </c>
      <c r="K762" s="995">
        <f t="shared" si="11"/>
        <v>8</v>
      </c>
    </row>
    <row r="763" spans="1:11">
      <c r="A763" s="1054">
        <v>24081011</v>
      </c>
      <c r="B763" s="1055" t="s">
        <v>893</v>
      </c>
      <c r="C763" s="1055" t="s">
        <v>532</v>
      </c>
      <c r="D763" s="1055" t="s">
        <v>893</v>
      </c>
      <c r="E763" s="1055" t="s">
        <v>893</v>
      </c>
      <c r="F763" s="1056">
        <v>5807</v>
      </c>
      <c r="G763" s="1056">
        <v>1257</v>
      </c>
      <c r="H763" s="1056">
        <v>0</v>
      </c>
      <c r="I763" s="1056">
        <v>7064</v>
      </c>
      <c r="K763" s="995">
        <f t="shared" si="11"/>
        <v>8</v>
      </c>
    </row>
    <row r="764" spans="1:11">
      <c r="A764" s="1054">
        <v>24081011</v>
      </c>
      <c r="B764" s="1055" t="s">
        <v>893</v>
      </c>
      <c r="C764" s="1055" t="s">
        <v>532</v>
      </c>
      <c r="D764" s="1055" t="s">
        <v>1034</v>
      </c>
      <c r="E764" s="1055" t="s">
        <v>504</v>
      </c>
      <c r="F764" s="1056">
        <v>5807</v>
      </c>
      <c r="G764" s="1056">
        <v>1257</v>
      </c>
      <c r="H764" s="1056">
        <v>0</v>
      </c>
      <c r="I764" s="1056">
        <v>7064</v>
      </c>
      <c r="K764" s="995">
        <f t="shared" si="11"/>
        <v>8</v>
      </c>
    </row>
    <row r="765" spans="1:11">
      <c r="A765" s="1054">
        <v>24081012</v>
      </c>
      <c r="B765" s="1055" t="s">
        <v>893</v>
      </c>
      <c r="C765" s="1055" t="s">
        <v>533</v>
      </c>
      <c r="D765" s="1055" t="s">
        <v>893</v>
      </c>
      <c r="E765" s="1055" t="s">
        <v>893</v>
      </c>
      <c r="F765" s="1056">
        <v>135607</v>
      </c>
      <c r="G765" s="1056">
        <v>27008</v>
      </c>
      <c r="H765" s="1056">
        <v>0</v>
      </c>
      <c r="I765" s="1056">
        <v>162615</v>
      </c>
      <c r="K765" s="995">
        <f t="shared" si="11"/>
        <v>8</v>
      </c>
    </row>
    <row r="766" spans="1:11">
      <c r="A766" s="1054">
        <v>24081012</v>
      </c>
      <c r="B766" s="1055" t="s">
        <v>893</v>
      </c>
      <c r="C766" s="1055" t="s">
        <v>533</v>
      </c>
      <c r="D766" s="1055" t="s">
        <v>1069</v>
      </c>
      <c r="E766" s="1055" t="s">
        <v>1070</v>
      </c>
      <c r="F766" s="1056">
        <v>11</v>
      </c>
      <c r="G766" s="1056">
        <v>0</v>
      </c>
      <c r="H766" s="1056">
        <v>0</v>
      </c>
      <c r="I766" s="1056">
        <v>11</v>
      </c>
      <c r="K766" s="995">
        <f t="shared" si="11"/>
        <v>8</v>
      </c>
    </row>
    <row r="767" spans="1:11">
      <c r="A767" s="1054">
        <v>24081012</v>
      </c>
      <c r="B767" s="1055" t="s">
        <v>893</v>
      </c>
      <c r="C767" s="1055" t="s">
        <v>533</v>
      </c>
      <c r="D767" s="1055" t="s">
        <v>1071</v>
      </c>
      <c r="E767" s="1055" t="s">
        <v>700</v>
      </c>
      <c r="F767" s="1056">
        <v>3903</v>
      </c>
      <c r="G767" s="1056">
        <v>826</v>
      </c>
      <c r="H767" s="1056">
        <v>0</v>
      </c>
      <c r="I767" s="1056">
        <v>4729</v>
      </c>
      <c r="K767" s="995">
        <f t="shared" si="11"/>
        <v>8</v>
      </c>
    </row>
    <row r="768" spans="1:11">
      <c r="A768" s="1054">
        <v>24081012</v>
      </c>
      <c r="B768" s="1055" t="s">
        <v>893</v>
      </c>
      <c r="C768" s="1055" t="s">
        <v>533</v>
      </c>
      <c r="D768" s="1055" t="s">
        <v>1072</v>
      </c>
      <c r="E768" s="1055" t="s">
        <v>512</v>
      </c>
      <c r="F768" s="1056">
        <v>1027</v>
      </c>
      <c r="G768" s="1056">
        <v>217</v>
      </c>
      <c r="H768" s="1056">
        <v>0</v>
      </c>
      <c r="I768" s="1056">
        <v>1245</v>
      </c>
      <c r="K768" s="995">
        <f t="shared" si="11"/>
        <v>8</v>
      </c>
    </row>
    <row r="769" spans="1:11">
      <c r="A769" s="1054">
        <v>24081012</v>
      </c>
      <c r="B769" s="1055" t="s">
        <v>893</v>
      </c>
      <c r="C769" s="1055" t="s">
        <v>533</v>
      </c>
      <c r="D769" s="1055" t="s">
        <v>1034</v>
      </c>
      <c r="E769" s="1055" t="s">
        <v>504</v>
      </c>
      <c r="F769" s="1056">
        <v>102591</v>
      </c>
      <c r="G769" s="1056">
        <v>20712</v>
      </c>
      <c r="H769" s="1056">
        <v>0</v>
      </c>
      <c r="I769" s="1056">
        <v>123303</v>
      </c>
      <c r="K769" s="995">
        <f t="shared" si="11"/>
        <v>8</v>
      </c>
    </row>
    <row r="770" spans="1:11">
      <c r="A770" s="1054">
        <v>24081012</v>
      </c>
      <c r="B770" s="1055" t="s">
        <v>893</v>
      </c>
      <c r="C770" s="1055" t="s">
        <v>533</v>
      </c>
      <c r="D770" s="1055" t="s">
        <v>1073</v>
      </c>
      <c r="E770" s="1055" t="s">
        <v>701</v>
      </c>
      <c r="F770" s="1056">
        <v>3832</v>
      </c>
      <c r="G770" s="1056">
        <v>795</v>
      </c>
      <c r="H770" s="1056">
        <v>0</v>
      </c>
      <c r="I770" s="1056">
        <v>4627</v>
      </c>
      <c r="K770" s="995">
        <f t="shared" si="11"/>
        <v>8</v>
      </c>
    </row>
    <row r="771" spans="1:11">
      <c r="A771" s="1054">
        <v>24081012</v>
      </c>
      <c r="B771" s="1055" t="s">
        <v>893</v>
      </c>
      <c r="C771" s="1055" t="s">
        <v>533</v>
      </c>
      <c r="D771" s="1055" t="s">
        <v>1074</v>
      </c>
      <c r="E771" s="1055" t="s">
        <v>257</v>
      </c>
      <c r="F771" s="1056">
        <v>22948</v>
      </c>
      <c r="G771" s="1056">
        <v>4217</v>
      </c>
      <c r="H771" s="1056">
        <v>0</v>
      </c>
      <c r="I771" s="1056">
        <v>27165</v>
      </c>
      <c r="K771" s="995">
        <f t="shared" si="11"/>
        <v>8</v>
      </c>
    </row>
    <row r="772" spans="1:11">
      <c r="A772" s="1054">
        <v>24081012</v>
      </c>
      <c r="B772" s="1055" t="s">
        <v>893</v>
      </c>
      <c r="C772" s="1055" t="s">
        <v>533</v>
      </c>
      <c r="D772" s="1055" t="s">
        <v>1075</v>
      </c>
      <c r="E772" s="1055" t="s">
        <v>325</v>
      </c>
      <c r="F772" s="1056">
        <v>42</v>
      </c>
      <c r="G772" s="1056">
        <v>27</v>
      </c>
      <c r="H772" s="1056">
        <v>0</v>
      </c>
      <c r="I772" s="1056">
        <v>69</v>
      </c>
      <c r="K772" s="995">
        <f t="shared" si="11"/>
        <v>8</v>
      </c>
    </row>
    <row r="773" spans="1:11">
      <c r="A773" s="1054">
        <v>24081012</v>
      </c>
      <c r="B773" s="1055" t="s">
        <v>893</v>
      </c>
      <c r="C773" s="1055" t="s">
        <v>533</v>
      </c>
      <c r="D773" s="1055" t="s">
        <v>1697</v>
      </c>
      <c r="E773" s="1055" t="s">
        <v>1698</v>
      </c>
      <c r="F773" s="1056">
        <v>3</v>
      </c>
      <c r="G773" s="1056">
        <v>0</v>
      </c>
      <c r="H773" s="1056">
        <v>0</v>
      </c>
      <c r="I773" s="1056">
        <v>3</v>
      </c>
      <c r="K773" s="995">
        <f t="shared" ref="K773:K836" si="12">+LEN(A773)</f>
        <v>8</v>
      </c>
    </row>
    <row r="774" spans="1:11">
      <c r="A774" s="1054">
        <v>24081012</v>
      </c>
      <c r="B774" s="1055" t="s">
        <v>893</v>
      </c>
      <c r="C774" s="1055" t="s">
        <v>533</v>
      </c>
      <c r="D774" s="1055" t="s">
        <v>1076</v>
      </c>
      <c r="E774" s="1055" t="s">
        <v>1027</v>
      </c>
      <c r="F774" s="1056">
        <v>186</v>
      </c>
      <c r="G774" s="1056">
        <v>10</v>
      </c>
      <c r="H774" s="1056">
        <v>0</v>
      </c>
      <c r="I774" s="1056">
        <v>196</v>
      </c>
      <c r="K774" s="995">
        <f t="shared" si="12"/>
        <v>8</v>
      </c>
    </row>
    <row r="775" spans="1:11">
      <c r="A775" s="1054">
        <v>24081012</v>
      </c>
      <c r="B775" s="1055" t="s">
        <v>893</v>
      </c>
      <c r="C775" s="1055" t="s">
        <v>533</v>
      </c>
      <c r="D775" s="1055" t="s">
        <v>1077</v>
      </c>
      <c r="E775" s="1055" t="s">
        <v>1078</v>
      </c>
      <c r="F775" s="1056">
        <v>225</v>
      </c>
      <c r="G775" s="1056">
        <v>71</v>
      </c>
      <c r="H775" s="1056">
        <v>0</v>
      </c>
      <c r="I775" s="1056">
        <v>296</v>
      </c>
      <c r="K775" s="995">
        <f t="shared" si="12"/>
        <v>8</v>
      </c>
    </row>
    <row r="776" spans="1:11">
      <c r="A776" s="1054">
        <v>24081012</v>
      </c>
      <c r="B776" s="1055" t="s">
        <v>893</v>
      </c>
      <c r="C776" s="1055" t="s">
        <v>533</v>
      </c>
      <c r="D776" s="1055" t="s">
        <v>1294</v>
      </c>
      <c r="E776" s="1055" t="s">
        <v>779</v>
      </c>
      <c r="F776" s="1056">
        <v>163</v>
      </c>
      <c r="G776" s="1056">
        <v>0</v>
      </c>
      <c r="H776" s="1056">
        <v>0</v>
      </c>
      <c r="I776" s="1056">
        <v>163</v>
      </c>
      <c r="K776" s="995">
        <f t="shared" si="12"/>
        <v>8</v>
      </c>
    </row>
    <row r="777" spans="1:11">
      <c r="A777" s="1054">
        <v>24081012</v>
      </c>
      <c r="B777" s="1055" t="s">
        <v>893</v>
      </c>
      <c r="C777" s="1055" t="s">
        <v>533</v>
      </c>
      <c r="D777" s="1055" t="s">
        <v>1062</v>
      </c>
      <c r="E777" s="1055" t="s">
        <v>510</v>
      </c>
      <c r="F777" s="1056">
        <v>115</v>
      </c>
      <c r="G777" s="1056">
        <v>30</v>
      </c>
      <c r="H777" s="1056">
        <v>0</v>
      </c>
      <c r="I777" s="1056">
        <v>144</v>
      </c>
      <c r="K777" s="995">
        <f t="shared" si="12"/>
        <v>8</v>
      </c>
    </row>
    <row r="778" spans="1:11">
      <c r="A778" s="1054">
        <v>24081012</v>
      </c>
      <c r="B778" s="1055" t="s">
        <v>893</v>
      </c>
      <c r="C778" s="1055" t="s">
        <v>533</v>
      </c>
      <c r="D778" s="1055" t="s">
        <v>1307</v>
      </c>
      <c r="E778" s="1055" t="s">
        <v>992</v>
      </c>
      <c r="F778" s="1056">
        <v>560</v>
      </c>
      <c r="G778" s="1056">
        <v>105</v>
      </c>
      <c r="H778" s="1056">
        <v>0</v>
      </c>
      <c r="I778" s="1056">
        <v>665</v>
      </c>
      <c r="K778" s="995">
        <f t="shared" si="12"/>
        <v>8</v>
      </c>
    </row>
    <row r="779" spans="1:11">
      <c r="A779" s="1054">
        <v>24081099</v>
      </c>
      <c r="B779" s="1055" t="s">
        <v>1489</v>
      </c>
      <c r="C779" s="1055" t="s">
        <v>916</v>
      </c>
      <c r="D779" s="1055" t="s">
        <v>893</v>
      </c>
      <c r="E779" s="1055" t="s">
        <v>893</v>
      </c>
      <c r="F779" s="1056">
        <v>710</v>
      </c>
      <c r="G779" s="1056">
        <v>134</v>
      </c>
      <c r="H779" s="1056">
        <v>0</v>
      </c>
      <c r="I779" s="1056">
        <v>843</v>
      </c>
      <c r="K779" s="995">
        <f t="shared" si="12"/>
        <v>8</v>
      </c>
    </row>
    <row r="780" spans="1:11">
      <c r="A780" s="1054">
        <v>24081099</v>
      </c>
      <c r="B780" s="1055" t="s">
        <v>1489</v>
      </c>
      <c r="C780" s="1055" t="s">
        <v>916</v>
      </c>
      <c r="D780" s="1055" t="s">
        <v>1223</v>
      </c>
      <c r="E780" s="1055" t="s">
        <v>742</v>
      </c>
      <c r="F780" s="1056">
        <v>305</v>
      </c>
      <c r="G780" s="1056">
        <v>134</v>
      </c>
      <c r="H780" s="1056">
        <v>0</v>
      </c>
      <c r="I780" s="1056">
        <v>438</v>
      </c>
      <c r="K780" s="995">
        <f t="shared" si="12"/>
        <v>8</v>
      </c>
    </row>
    <row r="781" spans="1:11">
      <c r="A781" s="1054">
        <v>24081099</v>
      </c>
      <c r="B781" s="1055" t="s">
        <v>1489</v>
      </c>
      <c r="C781" s="1055" t="s">
        <v>916</v>
      </c>
      <c r="D781" s="1055" t="s">
        <v>1083</v>
      </c>
      <c r="E781" s="1055" t="s">
        <v>256</v>
      </c>
      <c r="F781" s="1056">
        <v>405</v>
      </c>
      <c r="G781" s="1056">
        <v>0</v>
      </c>
      <c r="H781" s="1056">
        <v>0</v>
      </c>
      <c r="I781" s="1056">
        <v>405</v>
      </c>
      <c r="K781" s="995">
        <f t="shared" si="12"/>
        <v>8</v>
      </c>
    </row>
    <row r="782" spans="1:11">
      <c r="A782" s="1054">
        <v>240811</v>
      </c>
      <c r="B782" s="1055" t="s">
        <v>893</v>
      </c>
      <c r="C782" s="1055" t="s">
        <v>930</v>
      </c>
      <c r="D782" s="1055" t="s">
        <v>893</v>
      </c>
      <c r="E782" s="1055" t="s">
        <v>893</v>
      </c>
      <c r="F782" s="1056">
        <v>-982</v>
      </c>
      <c r="G782" s="1056">
        <v>0</v>
      </c>
      <c r="H782" s="1056">
        <v>101</v>
      </c>
      <c r="I782" s="1056">
        <v>-1082</v>
      </c>
      <c r="K782" s="995">
        <f t="shared" si="12"/>
        <v>6</v>
      </c>
    </row>
    <row r="783" spans="1:11">
      <c r="A783" s="1054">
        <v>24081106</v>
      </c>
      <c r="B783" s="1055" t="s">
        <v>1489</v>
      </c>
      <c r="C783" s="1055" t="s">
        <v>1574</v>
      </c>
      <c r="D783" s="1055" t="s">
        <v>893</v>
      </c>
      <c r="E783" s="1055" t="s">
        <v>893</v>
      </c>
      <c r="F783" s="1056">
        <v>-982</v>
      </c>
      <c r="G783" s="1056">
        <v>0</v>
      </c>
      <c r="H783" s="1056">
        <v>0</v>
      </c>
      <c r="I783" s="1056">
        <v>-982</v>
      </c>
      <c r="K783" s="995">
        <f t="shared" si="12"/>
        <v>8</v>
      </c>
    </row>
    <row r="784" spans="1:11">
      <c r="A784" s="1054">
        <v>24081106</v>
      </c>
      <c r="B784" s="1055" t="s">
        <v>1489</v>
      </c>
      <c r="C784" s="1055" t="s">
        <v>1574</v>
      </c>
      <c r="D784" s="1055" t="s">
        <v>1331</v>
      </c>
      <c r="E784" s="1055" t="s">
        <v>1332</v>
      </c>
      <c r="F784" s="1056">
        <v>-26</v>
      </c>
      <c r="G784" s="1056">
        <v>0</v>
      </c>
      <c r="H784" s="1056">
        <v>0</v>
      </c>
      <c r="I784" s="1056">
        <v>-26</v>
      </c>
      <c r="K784" s="995">
        <f t="shared" si="12"/>
        <v>8</v>
      </c>
    </row>
    <row r="785" spans="1:11">
      <c r="A785" s="1054">
        <v>24081106</v>
      </c>
      <c r="B785" s="1055" t="s">
        <v>1489</v>
      </c>
      <c r="C785" s="1055" t="s">
        <v>1574</v>
      </c>
      <c r="D785" s="1055" t="s">
        <v>1234</v>
      </c>
      <c r="E785" s="1055" t="s">
        <v>913</v>
      </c>
      <c r="F785" s="1056">
        <v>-849</v>
      </c>
      <c r="G785" s="1056">
        <v>0</v>
      </c>
      <c r="H785" s="1056">
        <v>0</v>
      </c>
      <c r="I785" s="1056">
        <v>-849</v>
      </c>
      <c r="K785" s="995">
        <f t="shared" si="12"/>
        <v>8</v>
      </c>
    </row>
    <row r="786" spans="1:11">
      <c r="A786" s="1054">
        <v>24081106</v>
      </c>
      <c r="B786" s="1055" t="s">
        <v>1489</v>
      </c>
      <c r="C786" s="1055" t="s">
        <v>1574</v>
      </c>
      <c r="D786" s="1055" t="s">
        <v>1109</v>
      </c>
      <c r="E786" s="1055" t="s">
        <v>1110</v>
      </c>
      <c r="F786" s="1056">
        <v>-11</v>
      </c>
      <c r="G786" s="1056">
        <v>0</v>
      </c>
      <c r="H786" s="1056">
        <v>0</v>
      </c>
      <c r="I786" s="1056">
        <v>-11</v>
      </c>
      <c r="K786" s="995">
        <f t="shared" si="12"/>
        <v>8</v>
      </c>
    </row>
    <row r="787" spans="1:11">
      <c r="A787" s="1054">
        <v>24081106</v>
      </c>
      <c r="B787" s="1055" t="s">
        <v>1489</v>
      </c>
      <c r="C787" s="1055" t="s">
        <v>1574</v>
      </c>
      <c r="D787" s="1055" t="s">
        <v>1235</v>
      </c>
      <c r="E787" s="1055" t="s">
        <v>1236</v>
      </c>
      <c r="F787" s="1056">
        <v>-26</v>
      </c>
      <c r="G787" s="1056">
        <v>0</v>
      </c>
      <c r="H787" s="1056">
        <v>0</v>
      </c>
      <c r="I787" s="1056">
        <v>-26</v>
      </c>
      <c r="K787" s="995">
        <f t="shared" si="12"/>
        <v>8</v>
      </c>
    </row>
    <row r="788" spans="1:11">
      <c r="A788" s="1054">
        <v>24081106</v>
      </c>
      <c r="B788" s="1055" t="s">
        <v>1489</v>
      </c>
      <c r="C788" s="1055" t="s">
        <v>1574</v>
      </c>
      <c r="D788" s="1055" t="s">
        <v>1308</v>
      </c>
      <c r="E788" s="1055" t="s">
        <v>993</v>
      </c>
      <c r="F788" s="1056">
        <v>-70</v>
      </c>
      <c r="G788" s="1056">
        <v>0</v>
      </c>
      <c r="H788" s="1056">
        <v>0</v>
      </c>
      <c r="I788" s="1056">
        <v>-70</v>
      </c>
      <c r="K788" s="995">
        <f t="shared" si="12"/>
        <v>8</v>
      </c>
    </row>
    <row r="789" spans="1:11">
      <c r="A789" s="1054">
        <v>24081107</v>
      </c>
      <c r="B789" s="1055" t="s">
        <v>1489</v>
      </c>
      <c r="C789" s="1055" t="s">
        <v>1007</v>
      </c>
      <c r="D789" s="1055" t="s">
        <v>893</v>
      </c>
      <c r="E789" s="1055" t="s">
        <v>893</v>
      </c>
      <c r="F789" s="1056">
        <v>0</v>
      </c>
      <c r="G789" s="1056">
        <v>0</v>
      </c>
      <c r="H789" s="1056">
        <v>101</v>
      </c>
      <c r="I789" s="1056">
        <v>-101</v>
      </c>
      <c r="K789" s="995">
        <f t="shared" si="12"/>
        <v>8</v>
      </c>
    </row>
    <row r="790" spans="1:11">
      <c r="A790" s="1054">
        <v>24081107</v>
      </c>
      <c r="B790" s="1055" t="s">
        <v>1489</v>
      </c>
      <c r="C790" s="1055" t="s">
        <v>1007</v>
      </c>
      <c r="D790" s="1055" t="s">
        <v>1920</v>
      </c>
      <c r="E790" s="1055" t="s">
        <v>1921</v>
      </c>
      <c r="F790" s="1056">
        <v>0</v>
      </c>
      <c r="G790" s="1056">
        <v>0</v>
      </c>
      <c r="H790" s="1056">
        <v>101</v>
      </c>
      <c r="I790" s="1056">
        <v>-101</v>
      </c>
      <c r="K790" s="995">
        <f t="shared" si="12"/>
        <v>8</v>
      </c>
    </row>
    <row r="791" spans="1:11">
      <c r="A791" s="1054">
        <v>240825</v>
      </c>
      <c r="B791" s="1055" t="s">
        <v>893</v>
      </c>
      <c r="C791" s="1055" t="s">
        <v>826</v>
      </c>
      <c r="D791" s="1055" t="s">
        <v>893</v>
      </c>
      <c r="E791" s="1055" t="s">
        <v>893</v>
      </c>
      <c r="F791" s="1056">
        <v>31368</v>
      </c>
      <c r="G791" s="1056">
        <v>6577</v>
      </c>
      <c r="H791" s="1056">
        <v>0</v>
      </c>
      <c r="I791" s="1056">
        <v>37945</v>
      </c>
      <c r="K791" s="995">
        <f t="shared" si="12"/>
        <v>6</v>
      </c>
    </row>
    <row r="792" spans="1:11">
      <c r="A792" s="1054">
        <v>24082505</v>
      </c>
      <c r="B792" s="1055" t="s">
        <v>893</v>
      </c>
      <c r="C792" s="1055" t="s">
        <v>826</v>
      </c>
      <c r="D792" s="1055" t="s">
        <v>893</v>
      </c>
      <c r="E792" s="1055" t="s">
        <v>893</v>
      </c>
      <c r="F792" s="1056">
        <v>31368</v>
      </c>
      <c r="G792" s="1056">
        <v>6577</v>
      </c>
      <c r="H792" s="1056">
        <v>0</v>
      </c>
      <c r="I792" s="1056">
        <v>37945</v>
      </c>
      <c r="K792" s="995">
        <f t="shared" si="12"/>
        <v>8</v>
      </c>
    </row>
    <row r="793" spans="1:11">
      <c r="A793" s="1054">
        <v>24082505</v>
      </c>
      <c r="B793" s="1055" t="s">
        <v>893</v>
      </c>
      <c r="C793" s="1055" t="s">
        <v>826</v>
      </c>
      <c r="D793" s="1055" t="s">
        <v>1033</v>
      </c>
      <c r="E793" s="1055" t="s">
        <v>695</v>
      </c>
      <c r="F793" s="1056">
        <v>26</v>
      </c>
      <c r="G793" s="1056">
        <v>0</v>
      </c>
      <c r="H793" s="1056">
        <v>0</v>
      </c>
      <c r="I793" s="1056">
        <v>26</v>
      </c>
      <c r="K793" s="995">
        <f t="shared" si="12"/>
        <v>8</v>
      </c>
    </row>
    <row r="794" spans="1:11">
      <c r="A794" s="1054">
        <v>24082505</v>
      </c>
      <c r="B794" s="1055" t="s">
        <v>893</v>
      </c>
      <c r="C794" s="1055" t="s">
        <v>826</v>
      </c>
      <c r="D794" s="1055" t="s">
        <v>1168</v>
      </c>
      <c r="E794" s="1055" t="s">
        <v>1169</v>
      </c>
      <c r="F794" s="1056">
        <v>31342</v>
      </c>
      <c r="G794" s="1056">
        <v>6577</v>
      </c>
      <c r="H794" s="1056">
        <v>0</v>
      </c>
      <c r="I794" s="1056">
        <v>37919</v>
      </c>
      <c r="K794" s="995">
        <f t="shared" si="12"/>
        <v>8</v>
      </c>
    </row>
    <row r="795" spans="1:11">
      <c r="A795" s="1054">
        <v>240899</v>
      </c>
      <c r="B795" s="1055" t="s">
        <v>893</v>
      </c>
      <c r="C795" s="1055" t="s">
        <v>340</v>
      </c>
      <c r="D795" s="1055" t="s">
        <v>893</v>
      </c>
      <c r="E795" s="1055" t="s">
        <v>893</v>
      </c>
      <c r="F795" s="1056">
        <v>140200</v>
      </c>
      <c r="G795" s="1056">
        <v>0</v>
      </c>
      <c r="H795" s="1056">
        <v>0</v>
      </c>
      <c r="I795" s="1056">
        <v>140200</v>
      </c>
      <c r="K795" s="995">
        <f t="shared" si="12"/>
        <v>6</v>
      </c>
    </row>
    <row r="796" spans="1:11">
      <c r="A796" s="1054">
        <v>24089901</v>
      </c>
      <c r="B796" s="1055" t="s">
        <v>893</v>
      </c>
      <c r="C796" s="1055" t="s">
        <v>340</v>
      </c>
      <c r="D796" s="1055" t="s">
        <v>893</v>
      </c>
      <c r="E796" s="1055" t="s">
        <v>893</v>
      </c>
      <c r="F796" s="1056">
        <v>140200</v>
      </c>
      <c r="G796" s="1056">
        <v>0</v>
      </c>
      <c r="H796" s="1056">
        <v>0</v>
      </c>
      <c r="I796" s="1056">
        <v>140200</v>
      </c>
      <c r="K796" s="995">
        <f t="shared" si="12"/>
        <v>8</v>
      </c>
    </row>
    <row r="797" spans="1:11">
      <c r="A797" s="1054">
        <v>25</v>
      </c>
      <c r="B797" s="1055" t="s">
        <v>893</v>
      </c>
      <c r="C797" s="1055" t="s">
        <v>534</v>
      </c>
      <c r="D797" s="1055" t="s">
        <v>893</v>
      </c>
      <c r="E797" s="1055" t="s">
        <v>893</v>
      </c>
      <c r="F797" s="1056">
        <v>-102687</v>
      </c>
      <c r="G797" s="1056">
        <v>161630</v>
      </c>
      <c r="H797" s="1056">
        <v>138593</v>
      </c>
      <c r="I797" s="1056">
        <v>-79650</v>
      </c>
      <c r="K797" s="995">
        <f t="shared" si="12"/>
        <v>2</v>
      </c>
    </row>
    <row r="798" spans="1:11">
      <c r="A798" s="1054">
        <v>2505</v>
      </c>
      <c r="B798" s="1055" t="s">
        <v>893</v>
      </c>
      <c r="C798" s="1055" t="s">
        <v>120</v>
      </c>
      <c r="D798" s="1055" t="s">
        <v>893</v>
      </c>
      <c r="E798" s="1055" t="s">
        <v>893</v>
      </c>
      <c r="F798" s="1056">
        <v>0</v>
      </c>
      <c r="G798" s="1056">
        <v>103042</v>
      </c>
      <c r="H798" s="1056">
        <v>103471</v>
      </c>
      <c r="I798" s="1056">
        <v>-428</v>
      </c>
      <c r="K798" s="995">
        <f t="shared" si="12"/>
        <v>4</v>
      </c>
    </row>
    <row r="799" spans="1:11">
      <c r="A799" s="1054">
        <v>250505</v>
      </c>
      <c r="B799" s="1055" t="s">
        <v>893</v>
      </c>
      <c r="C799" s="1055" t="s">
        <v>120</v>
      </c>
      <c r="D799" s="1055" t="s">
        <v>893</v>
      </c>
      <c r="E799" s="1055" t="s">
        <v>893</v>
      </c>
      <c r="F799" s="1056">
        <v>0</v>
      </c>
      <c r="G799" s="1056">
        <v>103042</v>
      </c>
      <c r="H799" s="1056">
        <v>103471</v>
      </c>
      <c r="I799" s="1056">
        <v>-428</v>
      </c>
      <c r="K799" s="995">
        <f t="shared" si="12"/>
        <v>6</v>
      </c>
    </row>
    <row r="800" spans="1:11">
      <c r="A800" s="1054">
        <v>25050501</v>
      </c>
      <c r="B800" s="1055" t="s">
        <v>893</v>
      </c>
      <c r="C800" s="1055" t="s">
        <v>120</v>
      </c>
      <c r="D800" s="1055" t="s">
        <v>893</v>
      </c>
      <c r="E800" s="1055" t="s">
        <v>893</v>
      </c>
      <c r="F800" s="1056">
        <v>0</v>
      </c>
      <c r="G800" s="1056">
        <v>103042</v>
      </c>
      <c r="H800" s="1056">
        <v>103471</v>
      </c>
      <c r="I800" s="1056">
        <v>-428</v>
      </c>
      <c r="K800" s="995">
        <f t="shared" si="12"/>
        <v>8</v>
      </c>
    </row>
    <row r="801" spans="1:11">
      <c r="A801" s="1054">
        <v>25050501</v>
      </c>
      <c r="B801" s="1055" t="s">
        <v>893</v>
      </c>
      <c r="C801" s="1055" t="s">
        <v>120</v>
      </c>
      <c r="D801" s="1055" t="s">
        <v>1360</v>
      </c>
      <c r="E801" s="1055" t="s">
        <v>1361</v>
      </c>
      <c r="F801" s="1056">
        <v>0</v>
      </c>
      <c r="G801" s="1056">
        <v>3106</v>
      </c>
      <c r="H801" s="1056">
        <v>3106</v>
      </c>
      <c r="I801" s="1056">
        <v>0</v>
      </c>
      <c r="K801" s="995">
        <f t="shared" si="12"/>
        <v>8</v>
      </c>
    </row>
    <row r="802" spans="1:11">
      <c r="A802" s="1054">
        <v>25050501</v>
      </c>
      <c r="B802" s="1055" t="s">
        <v>893</v>
      </c>
      <c r="C802" s="1055" t="s">
        <v>120</v>
      </c>
      <c r="D802" s="1055" t="s">
        <v>1298</v>
      </c>
      <c r="E802" s="1055" t="s">
        <v>987</v>
      </c>
      <c r="F802" s="1056">
        <v>0</v>
      </c>
      <c r="G802" s="1056">
        <v>3253</v>
      </c>
      <c r="H802" s="1056">
        <v>3253</v>
      </c>
      <c r="I802" s="1056">
        <v>0</v>
      </c>
      <c r="K802" s="995">
        <f t="shared" si="12"/>
        <v>8</v>
      </c>
    </row>
    <row r="803" spans="1:11">
      <c r="A803" s="1054">
        <v>25050501</v>
      </c>
      <c r="B803" s="1055" t="s">
        <v>893</v>
      </c>
      <c r="C803" s="1055" t="s">
        <v>120</v>
      </c>
      <c r="D803" s="1055" t="s">
        <v>1362</v>
      </c>
      <c r="E803" s="1055" t="s">
        <v>1363</v>
      </c>
      <c r="F803" s="1056">
        <v>0</v>
      </c>
      <c r="G803" s="1056">
        <v>2445</v>
      </c>
      <c r="H803" s="1056">
        <v>2445</v>
      </c>
      <c r="I803" s="1056">
        <v>0</v>
      </c>
      <c r="K803" s="995">
        <f t="shared" si="12"/>
        <v>8</v>
      </c>
    </row>
    <row r="804" spans="1:11">
      <c r="A804" s="1054">
        <v>25050501</v>
      </c>
      <c r="B804" s="1055" t="s">
        <v>893</v>
      </c>
      <c r="C804" s="1055" t="s">
        <v>120</v>
      </c>
      <c r="D804" s="1055" t="s">
        <v>1364</v>
      </c>
      <c r="E804" s="1055" t="s">
        <v>1365</v>
      </c>
      <c r="F804" s="1056">
        <v>0</v>
      </c>
      <c r="G804" s="1056">
        <v>2799</v>
      </c>
      <c r="H804" s="1056">
        <v>2799</v>
      </c>
      <c r="I804" s="1056">
        <v>0</v>
      </c>
      <c r="K804" s="995">
        <f t="shared" si="12"/>
        <v>8</v>
      </c>
    </row>
    <row r="805" spans="1:11">
      <c r="A805" s="1054">
        <v>25050501</v>
      </c>
      <c r="B805" s="1055" t="s">
        <v>893</v>
      </c>
      <c r="C805" s="1055" t="s">
        <v>120</v>
      </c>
      <c r="D805" s="1055" t="s">
        <v>1601</v>
      </c>
      <c r="E805" s="1055" t="s">
        <v>1602</v>
      </c>
      <c r="F805" s="1056">
        <v>0</v>
      </c>
      <c r="G805" s="1056">
        <v>7242</v>
      </c>
      <c r="H805" s="1056">
        <v>7242</v>
      </c>
      <c r="I805" s="1056">
        <v>0</v>
      </c>
      <c r="K805" s="995">
        <f t="shared" si="12"/>
        <v>8</v>
      </c>
    </row>
    <row r="806" spans="1:11">
      <c r="A806" s="1054">
        <v>25050501</v>
      </c>
      <c r="B806" s="1055" t="s">
        <v>893</v>
      </c>
      <c r="C806" s="1055" t="s">
        <v>120</v>
      </c>
      <c r="D806" s="1055" t="s">
        <v>1270</v>
      </c>
      <c r="E806" s="1055" t="s">
        <v>988</v>
      </c>
      <c r="F806" s="1056">
        <v>0</v>
      </c>
      <c r="G806" s="1056">
        <v>3413</v>
      </c>
      <c r="H806" s="1056">
        <v>3413</v>
      </c>
      <c r="I806" s="1056">
        <v>0</v>
      </c>
      <c r="K806" s="995">
        <f t="shared" si="12"/>
        <v>8</v>
      </c>
    </row>
    <row r="807" spans="1:11">
      <c r="A807" s="1054">
        <v>25050501</v>
      </c>
      <c r="B807" s="1055" t="s">
        <v>893</v>
      </c>
      <c r="C807" s="1055" t="s">
        <v>120</v>
      </c>
      <c r="D807" s="1055" t="s">
        <v>1271</v>
      </c>
      <c r="E807" s="1055" t="s">
        <v>782</v>
      </c>
      <c r="F807" s="1056">
        <v>0</v>
      </c>
      <c r="G807" s="1056">
        <v>3441</v>
      </c>
      <c r="H807" s="1056">
        <v>3441</v>
      </c>
      <c r="I807" s="1056">
        <v>0</v>
      </c>
      <c r="K807" s="995">
        <f t="shared" si="12"/>
        <v>8</v>
      </c>
    </row>
    <row r="808" spans="1:11">
      <c r="A808" s="1054">
        <v>25050501</v>
      </c>
      <c r="B808" s="1055" t="s">
        <v>893</v>
      </c>
      <c r="C808" s="1055" t="s">
        <v>120</v>
      </c>
      <c r="D808" s="1055" t="s">
        <v>1366</v>
      </c>
      <c r="E808" s="1055" t="s">
        <v>1367</v>
      </c>
      <c r="F808" s="1056">
        <v>0</v>
      </c>
      <c r="G808" s="1056">
        <v>2784</v>
      </c>
      <c r="H808" s="1056">
        <v>2784</v>
      </c>
      <c r="I808" s="1056">
        <v>0</v>
      </c>
      <c r="K808" s="995">
        <f t="shared" si="12"/>
        <v>8</v>
      </c>
    </row>
    <row r="809" spans="1:11">
      <c r="A809" s="1054">
        <v>25050501</v>
      </c>
      <c r="B809" s="1055" t="s">
        <v>893</v>
      </c>
      <c r="C809" s="1055" t="s">
        <v>120</v>
      </c>
      <c r="D809" s="1055" t="s">
        <v>1302</v>
      </c>
      <c r="E809" s="1055" t="s">
        <v>986</v>
      </c>
      <c r="F809" s="1056">
        <v>0</v>
      </c>
      <c r="G809" s="1056">
        <v>2487</v>
      </c>
      <c r="H809" s="1056">
        <v>2487</v>
      </c>
      <c r="I809" s="1056">
        <v>0</v>
      </c>
      <c r="K809" s="995">
        <f t="shared" si="12"/>
        <v>8</v>
      </c>
    </row>
    <row r="810" spans="1:11">
      <c r="A810" s="1054">
        <v>25050501</v>
      </c>
      <c r="B810" s="1055" t="s">
        <v>893</v>
      </c>
      <c r="C810" s="1055" t="s">
        <v>120</v>
      </c>
      <c r="D810" s="1055" t="s">
        <v>1368</v>
      </c>
      <c r="E810" s="1055" t="s">
        <v>1369</v>
      </c>
      <c r="F810" s="1056">
        <v>0</v>
      </c>
      <c r="G810" s="1056">
        <v>2062</v>
      </c>
      <c r="H810" s="1056">
        <v>2062</v>
      </c>
      <c r="I810" s="1056">
        <v>0</v>
      </c>
      <c r="K810" s="995">
        <f t="shared" si="12"/>
        <v>8</v>
      </c>
    </row>
    <row r="811" spans="1:11">
      <c r="A811" s="1054">
        <v>25050501</v>
      </c>
      <c r="B811" s="1055" t="s">
        <v>893</v>
      </c>
      <c r="C811" s="1055" t="s">
        <v>120</v>
      </c>
      <c r="D811" s="1055" t="s">
        <v>1246</v>
      </c>
      <c r="E811" s="1055" t="s">
        <v>743</v>
      </c>
      <c r="F811" s="1056">
        <v>0</v>
      </c>
      <c r="G811" s="1056">
        <v>0</v>
      </c>
      <c r="H811" s="1056">
        <v>664</v>
      </c>
      <c r="I811" s="1056">
        <v>-664</v>
      </c>
      <c r="K811" s="995">
        <f t="shared" si="12"/>
        <v>8</v>
      </c>
    </row>
    <row r="812" spans="1:11">
      <c r="A812" s="1054">
        <v>25050501</v>
      </c>
      <c r="B812" s="1055" t="s">
        <v>893</v>
      </c>
      <c r="C812" s="1055" t="s">
        <v>120</v>
      </c>
      <c r="D812" s="1055" t="s">
        <v>1320</v>
      </c>
      <c r="E812" s="1055" t="s">
        <v>1321</v>
      </c>
      <c r="F812" s="1056">
        <v>0</v>
      </c>
      <c r="G812" s="1056">
        <v>2863</v>
      </c>
      <c r="H812" s="1056">
        <v>2863</v>
      </c>
      <c r="I812" s="1056">
        <v>0</v>
      </c>
      <c r="K812" s="995">
        <f t="shared" si="12"/>
        <v>8</v>
      </c>
    </row>
    <row r="813" spans="1:11">
      <c r="A813" s="1054">
        <v>25050501</v>
      </c>
      <c r="B813" s="1055" t="s">
        <v>893</v>
      </c>
      <c r="C813" s="1055" t="s">
        <v>120</v>
      </c>
      <c r="D813" s="1055" t="s">
        <v>1274</v>
      </c>
      <c r="E813" s="1055" t="s">
        <v>989</v>
      </c>
      <c r="F813" s="1056">
        <v>0</v>
      </c>
      <c r="G813" s="1056">
        <v>3680</v>
      </c>
      <c r="H813" s="1056">
        <v>3680</v>
      </c>
      <c r="I813" s="1056">
        <v>0</v>
      </c>
      <c r="K813" s="995">
        <f t="shared" si="12"/>
        <v>8</v>
      </c>
    </row>
    <row r="814" spans="1:11">
      <c r="A814" s="1054">
        <v>25050501</v>
      </c>
      <c r="B814" s="1055" t="s">
        <v>893</v>
      </c>
      <c r="C814" s="1055" t="s">
        <v>120</v>
      </c>
      <c r="D814" s="1055" t="s">
        <v>1247</v>
      </c>
      <c r="E814" s="1055" t="s">
        <v>1248</v>
      </c>
      <c r="F814" s="1056">
        <v>0</v>
      </c>
      <c r="G814" s="1056">
        <v>3257</v>
      </c>
      <c r="H814" s="1056">
        <v>3257</v>
      </c>
      <c r="I814" s="1056">
        <v>0</v>
      </c>
      <c r="K814" s="995">
        <f t="shared" si="12"/>
        <v>8</v>
      </c>
    </row>
    <row r="815" spans="1:11">
      <c r="A815" s="1054">
        <v>25050501</v>
      </c>
      <c r="B815" s="1055" t="s">
        <v>893</v>
      </c>
      <c r="C815" s="1055" t="s">
        <v>120</v>
      </c>
      <c r="D815" s="1055" t="s">
        <v>1370</v>
      </c>
      <c r="E815" s="1055" t="s">
        <v>1371</v>
      </c>
      <c r="F815" s="1056">
        <v>0</v>
      </c>
      <c r="G815" s="1056">
        <v>2727</v>
      </c>
      <c r="H815" s="1056">
        <v>2727</v>
      </c>
      <c r="I815" s="1056">
        <v>0</v>
      </c>
      <c r="K815" s="995">
        <f t="shared" si="12"/>
        <v>8</v>
      </c>
    </row>
    <row r="816" spans="1:11">
      <c r="A816" s="1054">
        <v>25050501</v>
      </c>
      <c r="B816" s="1055" t="s">
        <v>893</v>
      </c>
      <c r="C816" s="1055" t="s">
        <v>120</v>
      </c>
      <c r="D816" s="1055" t="s">
        <v>1870</v>
      </c>
      <c r="E816" s="1055" t="s">
        <v>1871</v>
      </c>
      <c r="F816" s="1056">
        <v>0</v>
      </c>
      <c r="G816" s="1056">
        <v>3303</v>
      </c>
      <c r="H816" s="1056">
        <v>3303</v>
      </c>
      <c r="I816" s="1056">
        <v>0</v>
      </c>
      <c r="K816" s="995">
        <f t="shared" si="12"/>
        <v>8</v>
      </c>
    </row>
    <row r="817" spans="1:11">
      <c r="A817" s="1054">
        <v>25050501</v>
      </c>
      <c r="B817" s="1055" t="s">
        <v>893</v>
      </c>
      <c r="C817" s="1055" t="s">
        <v>120</v>
      </c>
      <c r="D817" s="1055" t="s">
        <v>1372</v>
      </c>
      <c r="E817" s="1055" t="s">
        <v>1373</v>
      </c>
      <c r="F817" s="1056">
        <v>0</v>
      </c>
      <c r="G817" s="1056">
        <v>2606</v>
      </c>
      <c r="H817" s="1056">
        <v>2606</v>
      </c>
      <c r="I817" s="1056">
        <v>0</v>
      </c>
      <c r="K817" s="995">
        <f t="shared" si="12"/>
        <v>8</v>
      </c>
    </row>
    <row r="818" spans="1:11">
      <c r="A818" s="1054">
        <v>25050501</v>
      </c>
      <c r="B818" s="1055" t="s">
        <v>893</v>
      </c>
      <c r="C818" s="1055" t="s">
        <v>120</v>
      </c>
      <c r="D818" s="1055" t="s">
        <v>1785</v>
      </c>
      <c r="E818" s="1055" t="s">
        <v>1786</v>
      </c>
      <c r="F818" s="1056">
        <v>0</v>
      </c>
      <c r="G818" s="1056">
        <v>2522</v>
      </c>
      <c r="H818" s="1056">
        <v>2522</v>
      </c>
      <c r="I818" s="1056">
        <v>0</v>
      </c>
      <c r="K818" s="995">
        <f t="shared" si="12"/>
        <v>8</v>
      </c>
    </row>
    <row r="819" spans="1:11">
      <c r="A819" s="1054">
        <v>25050501</v>
      </c>
      <c r="B819" s="1055" t="s">
        <v>893</v>
      </c>
      <c r="C819" s="1055" t="s">
        <v>120</v>
      </c>
      <c r="D819" s="1055" t="s">
        <v>1374</v>
      </c>
      <c r="E819" s="1055" t="s">
        <v>1375</v>
      </c>
      <c r="F819" s="1056">
        <v>0</v>
      </c>
      <c r="G819" s="1056">
        <v>1952</v>
      </c>
      <c r="H819" s="1056">
        <v>1952</v>
      </c>
      <c r="I819" s="1056">
        <v>0</v>
      </c>
      <c r="K819" s="995">
        <f t="shared" si="12"/>
        <v>8</v>
      </c>
    </row>
    <row r="820" spans="1:11">
      <c r="A820" s="1054">
        <v>25050501</v>
      </c>
      <c r="B820" s="1055" t="s">
        <v>893</v>
      </c>
      <c r="C820" s="1055" t="s">
        <v>120</v>
      </c>
      <c r="D820" s="1055" t="s">
        <v>1249</v>
      </c>
      <c r="E820" s="1055" t="s">
        <v>583</v>
      </c>
      <c r="F820" s="1056">
        <v>0</v>
      </c>
      <c r="G820" s="1056">
        <v>4640</v>
      </c>
      <c r="H820" s="1056">
        <v>4640</v>
      </c>
      <c r="I820" s="1056">
        <v>0</v>
      </c>
      <c r="K820" s="995">
        <f t="shared" si="12"/>
        <v>8</v>
      </c>
    </row>
    <row r="821" spans="1:11">
      <c r="A821" s="1054">
        <v>25050501</v>
      </c>
      <c r="B821" s="1055" t="s">
        <v>893</v>
      </c>
      <c r="C821" s="1055" t="s">
        <v>120</v>
      </c>
      <c r="D821" s="1055" t="s">
        <v>1376</v>
      </c>
      <c r="E821" s="1055" t="s">
        <v>1377</v>
      </c>
      <c r="F821" s="1056">
        <v>0</v>
      </c>
      <c r="G821" s="1056">
        <v>3053</v>
      </c>
      <c r="H821" s="1056">
        <v>3053</v>
      </c>
      <c r="I821" s="1056">
        <v>0</v>
      </c>
      <c r="K821" s="995">
        <f t="shared" si="12"/>
        <v>8</v>
      </c>
    </row>
    <row r="822" spans="1:11">
      <c r="A822" s="1054">
        <v>25050501</v>
      </c>
      <c r="B822" s="1055" t="s">
        <v>893</v>
      </c>
      <c r="C822" s="1055" t="s">
        <v>120</v>
      </c>
      <c r="D822" s="1055" t="s">
        <v>1613</v>
      </c>
      <c r="E822" s="1055" t="s">
        <v>1614</v>
      </c>
      <c r="F822" s="1056">
        <v>0</v>
      </c>
      <c r="G822" s="1056">
        <v>2278</v>
      </c>
      <c r="H822" s="1056">
        <v>2278</v>
      </c>
      <c r="I822" s="1056">
        <v>0</v>
      </c>
      <c r="K822" s="995">
        <f t="shared" si="12"/>
        <v>8</v>
      </c>
    </row>
    <row r="823" spans="1:11">
      <c r="A823" s="1054">
        <v>25050501</v>
      </c>
      <c r="B823" s="1055" t="s">
        <v>893</v>
      </c>
      <c r="C823" s="1055" t="s">
        <v>120</v>
      </c>
      <c r="D823" s="1055" t="s">
        <v>1305</v>
      </c>
      <c r="E823" s="1055" t="s">
        <v>990</v>
      </c>
      <c r="F823" s="1056">
        <v>0</v>
      </c>
      <c r="G823" s="1056">
        <v>2365</v>
      </c>
      <c r="H823" s="1056">
        <v>2365</v>
      </c>
      <c r="I823" s="1056">
        <v>0</v>
      </c>
      <c r="K823" s="995">
        <f t="shared" si="12"/>
        <v>8</v>
      </c>
    </row>
    <row r="824" spans="1:11">
      <c r="A824" s="1054">
        <v>25050501</v>
      </c>
      <c r="B824" s="1055" t="s">
        <v>893</v>
      </c>
      <c r="C824" s="1055" t="s">
        <v>120</v>
      </c>
      <c r="D824" s="1055" t="s">
        <v>1306</v>
      </c>
      <c r="E824" s="1055" t="s">
        <v>997</v>
      </c>
      <c r="F824" s="1056">
        <v>0</v>
      </c>
      <c r="G824" s="1056">
        <v>3048</v>
      </c>
      <c r="H824" s="1056">
        <v>3048</v>
      </c>
      <c r="I824" s="1056">
        <v>0</v>
      </c>
      <c r="K824" s="995">
        <f t="shared" si="12"/>
        <v>8</v>
      </c>
    </row>
    <row r="825" spans="1:11">
      <c r="A825" s="1054">
        <v>25050501</v>
      </c>
      <c r="B825" s="1055" t="s">
        <v>893</v>
      </c>
      <c r="C825" s="1055" t="s">
        <v>120</v>
      </c>
      <c r="D825" s="1055" t="s">
        <v>1250</v>
      </c>
      <c r="E825" s="1055" t="s">
        <v>1251</v>
      </c>
      <c r="F825" s="1056">
        <v>0</v>
      </c>
      <c r="G825" s="1056">
        <v>2925</v>
      </c>
      <c r="H825" s="1056">
        <v>2925</v>
      </c>
      <c r="I825" s="1056">
        <v>0</v>
      </c>
      <c r="K825" s="995">
        <f t="shared" si="12"/>
        <v>8</v>
      </c>
    </row>
    <row r="826" spans="1:11">
      <c r="A826" s="1054">
        <v>25050501</v>
      </c>
      <c r="B826" s="1055" t="s">
        <v>893</v>
      </c>
      <c r="C826" s="1055" t="s">
        <v>120</v>
      </c>
      <c r="D826" s="1055" t="s">
        <v>1787</v>
      </c>
      <c r="E826" s="1055" t="s">
        <v>1788</v>
      </c>
      <c r="F826" s="1056">
        <v>0</v>
      </c>
      <c r="G826" s="1056">
        <v>2513</v>
      </c>
      <c r="H826" s="1056">
        <v>2513</v>
      </c>
      <c r="I826" s="1056">
        <v>0</v>
      </c>
      <c r="K826" s="995">
        <f t="shared" si="12"/>
        <v>8</v>
      </c>
    </row>
    <row r="827" spans="1:11">
      <c r="A827" s="1054">
        <v>25050501</v>
      </c>
      <c r="B827" s="1055" t="s">
        <v>893</v>
      </c>
      <c r="C827" s="1055" t="s">
        <v>120</v>
      </c>
      <c r="D827" s="1055" t="s">
        <v>1378</v>
      </c>
      <c r="E827" s="1055" t="s">
        <v>1379</v>
      </c>
      <c r="F827" s="1056">
        <v>0</v>
      </c>
      <c r="G827" s="1056">
        <v>236</v>
      </c>
      <c r="H827" s="1056">
        <v>0</v>
      </c>
      <c r="I827" s="1056">
        <v>236</v>
      </c>
      <c r="K827" s="995">
        <f t="shared" si="12"/>
        <v>8</v>
      </c>
    </row>
    <row r="828" spans="1:11">
      <c r="A828" s="1054">
        <v>25050501</v>
      </c>
      <c r="B828" s="1055" t="s">
        <v>893</v>
      </c>
      <c r="C828" s="1055" t="s">
        <v>120</v>
      </c>
      <c r="D828" s="1055" t="s">
        <v>1303</v>
      </c>
      <c r="E828" s="1055" t="s">
        <v>806</v>
      </c>
      <c r="F828" s="1056">
        <v>0</v>
      </c>
      <c r="G828" s="1056">
        <v>2489</v>
      </c>
      <c r="H828" s="1056">
        <v>2489</v>
      </c>
      <c r="I828" s="1056">
        <v>0</v>
      </c>
      <c r="K828" s="995">
        <f t="shared" si="12"/>
        <v>8</v>
      </c>
    </row>
    <row r="829" spans="1:11">
      <c r="A829" s="1054">
        <v>25050501</v>
      </c>
      <c r="B829" s="1055" t="s">
        <v>893</v>
      </c>
      <c r="C829" s="1055" t="s">
        <v>120</v>
      </c>
      <c r="D829" s="1055" t="s">
        <v>1605</v>
      </c>
      <c r="E829" s="1055" t="s">
        <v>1606</v>
      </c>
      <c r="F829" s="1056">
        <v>0</v>
      </c>
      <c r="G829" s="1056">
        <v>3712</v>
      </c>
      <c r="H829" s="1056">
        <v>3712</v>
      </c>
      <c r="I829" s="1056">
        <v>0</v>
      </c>
      <c r="K829" s="995">
        <f t="shared" si="12"/>
        <v>8</v>
      </c>
    </row>
    <row r="830" spans="1:11">
      <c r="A830" s="1054">
        <v>25050501</v>
      </c>
      <c r="B830" s="1055" t="s">
        <v>893</v>
      </c>
      <c r="C830" s="1055" t="s">
        <v>120</v>
      </c>
      <c r="D830" s="1055" t="s">
        <v>1789</v>
      </c>
      <c r="E830" s="1055" t="s">
        <v>1790</v>
      </c>
      <c r="F830" s="1056">
        <v>0</v>
      </c>
      <c r="G830" s="1056">
        <v>2717</v>
      </c>
      <c r="H830" s="1056">
        <v>2717</v>
      </c>
      <c r="I830" s="1056">
        <v>0</v>
      </c>
      <c r="K830" s="995">
        <f t="shared" si="12"/>
        <v>8</v>
      </c>
    </row>
    <row r="831" spans="1:11">
      <c r="A831" s="1054">
        <v>25050501</v>
      </c>
      <c r="B831" s="1055" t="s">
        <v>893</v>
      </c>
      <c r="C831" s="1055" t="s">
        <v>120</v>
      </c>
      <c r="D831" s="1055" t="s">
        <v>1254</v>
      </c>
      <c r="E831" s="1055" t="s">
        <v>744</v>
      </c>
      <c r="F831" s="1056">
        <v>0</v>
      </c>
      <c r="G831" s="1056">
        <v>3369</v>
      </c>
      <c r="H831" s="1056">
        <v>3369</v>
      </c>
      <c r="I831" s="1056">
        <v>0</v>
      </c>
      <c r="K831" s="995">
        <f t="shared" si="12"/>
        <v>8</v>
      </c>
    </row>
    <row r="832" spans="1:11">
      <c r="A832" s="1054">
        <v>25050501</v>
      </c>
      <c r="B832" s="1055" t="s">
        <v>893</v>
      </c>
      <c r="C832" s="1055" t="s">
        <v>120</v>
      </c>
      <c r="D832" s="1055" t="s">
        <v>1275</v>
      </c>
      <c r="E832" s="1055" t="s">
        <v>991</v>
      </c>
      <c r="F832" s="1056">
        <v>0</v>
      </c>
      <c r="G832" s="1056">
        <v>3199</v>
      </c>
      <c r="H832" s="1056">
        <v>3199</v>
      </c>
      <c r="I832" s="1056">
        <v>0</v>
      </c>
      <c r="K832" s="995">
        <f t="shared" si="12"/>
        <v>8</v>
      </c>
    </row>
    <row r="833" spans="1:11">
      <c r="A833" s="1054">
        <v>25050501</v>
      </c>
      <c r="B833" s="1055" t="s">
        <v>893</v>
      </c>
      <c r="C833" s="1055" t="s">
        <v>120</v>
      </c>
      <c r="D833" s="1055" t="s">
        <v>1380</v>
      </c>
      <c r="E833" s="1055" t="s">
        <v>1381</v>
      </c>
      <c r="F833" s="1056">
        <v>0</v>
      </c>
      <c r="G833" s="1056">
        <v>1206</v>
      </c>
      <c r="H833" s="1056">
        <v>1206</v>
      </c>
      <c r="I833" s="1056">
        <v>0</v>
      </c>
      <c r="K833" s="995">
        <f t="shared" si="12"/>
        <v>8</v>
      </c>
    </row>
    <row r="834" spans="1:11">
      <c r="A834" s="1054">
        <v>25050501</v>
      </c>
      <c r="B834" s="1055" t="s">
        <v>893</v>
      </c>
      <c r="C834" s="1055" t="s">
        <v>120</v>
      </c>
      <c r="D834" s="1055" t="s">
        <v>1044</v>
      </c>
      <c r="E834" s="1055" t="s">
        <v>1045</v>
      </c>
      <c r="F834" s="1056">
        <v>0</v>
      </c>
      <c r="G834" s="1056">
        <v>3498</v>
      </c>
      <c r="H834" s="1056">
        <v>3498</v>
      </c>
      <c r="I834" s="1056">
        <v>0</v>
      </c>
      <c r="K834" s="995">
        <f t="shared" si="12"/>
        <v>8</v>
      </c>
    </row>
    <row r="835" spans="1:11">
      <c r="A835" s="1054">
        <v>25050501</v>
      </c>
      <c r="B835" s="1055" t="s">
        <v>893</v>
      </c>
      <c r="C835" s="1055" t="s">
        <v>120</v>
      </c>
      <c r="D835" s="1055" t="s">
        <v>1382</v>
      </c>
      <c r="E835" s="1055" t="s">
        <v>1763</v>
      </c>
      <c r="F835" s="1056">
        <v>0</v>
      </c>
      <c r="G835" s="1056">
        <v>3398</v>
      </c>
      <c r="H835" s="1056">
        <v>3398</v>
      </c>
      <c r="I835" s="1056">
        <v>0</v>
      </c>
      <c r="K835" s="995">
        <f t="shared" si="12"/>
        <v>8</v>
      </c>
    </row>
    <row r="836" spans="1:11">
      <c r="A836" s="1054">
        <v>25050501</v>
      </c>
      <c r="B836" s="1055" t="s">
        <v>893</v>
      </c>
      <c r="C836" s="1055" t="s">
        <v>120</v>
      </c>
      <c r="D836" s="1055" t="s">
        <v>1383</v>
      </c>
      <c r="E836" s="1055" t="s">
        <v>1384</v>
      </c>
      <c r="F836" s="1056">
        <v>0</v>
      </c>
      <c r="G836" s="1056">
        <v>2453</v>
      </c>
      <c r="H836" s="1056">
        <v>2453</v>
      </c>
      <c r="I836" s="1056">
        <v>0</v>
      </c>
      <c r="K836" s="995">
        <f t="shared" si="12"/>
        <v>8</v>
      </c>
    </row>
    <row r="837" spans="1:11">
      <c r="A837" s="1054">
        <v>2510</v>
      </c>
      <c r="B837" s="1055" t="s">
        <v>893</v>
      </c>
      <c r="C837" s="1055" t="s">
        <v>347</v>
      </c>
      <c r="D837" s="1055" t="s">
        <v>893</v>
      </c>
      <c r="E837" s="1055" t="s">
        <v>893</v>
      </c>
      <c r="F837" s="1056">
        <v>0</v>
      </c>
      <c r="G837" s="1056">
        <v>0</v>
      </c>
      <c r="H837" s="1056">
        <v>0</v>
      </c>
      <c r="I837" s="1056">
        <v>0</v>
      </c>
      <c r="K837" s="995">
        <f t="shared" ref="K837:K900" si="13">+LEN(A837)</f>
        <v>4</v>
      </c>
    </row>
    <row r="838" spans="1:11">
      <c r="A838" s="1054">
        <v>251010</v>
      </c>
      <c r="B838" s="1055" t="s">
        <v>893</v>
      </c>
      <c r="C838" s="1055" t="s">
        <v>348</v>
      </c>
      <c r="D838" s="1055" t="s">
        <v>893</v>
      </c>
      <c r="E838" s="1055" t="s">
        <v>893</v>
      </c>
      <c r="F838" s="1056">
        <v>0</v>
      </c>
      <c r="G838" s="1056">
        <v>0</v>
      </c>
      <c r="H838" s="1056">
        <v>0</v>
      </c>
      <c r="I838" s="1056">
        <v>0</v>
      </c>
      <c r="K838" s="995">
        <f t="shared" si="13"/>
        <v>6</v>
      </c>
    </row>
    <row r="839" spans="1:11">
      <c r="A839" s="1054">
        <v>25101001</v>
      </c>
      <c r="B839" s="1055" t="s">
        <v>893</v>
      </c>
      <c r="C839" s="1055" t="s">
        <v>348</v>
      </c>
      <c r="D839" s="1055" t="s">
        <v>893</v>
      </c>
      <c r="E839" s="1055" t="s">
        <v>893</v>
      </c>
      <c r="F839" s="1056">
        <v>0</v>
      </c>
      <c r="G839" s="1056">
        <v>0</v>
      </c>
      <c r="H839" s="1056">
        <v>0</v>
      </c>
      <c r="I839" s="1056">
        <v>0</v>
      </c>
      <c r="K839" s="995">
        <f t="shared" si="13"/>
        <v>8</v>
      </c>
    </row>
    <row r="840" spans="1:11">
      <c r="A840" s="1054">
        <v>2515</v>
      </c>
      <c r="B840" s="1055" t="s">
        <v>893</v>
      </c>
      <c r="C840" s="1055" t="s">
        <v>349</v>
      </c>
      <c r="D840" s="1055" t="s">
        <v>893</v>
      </c>
      <c r="E840" s="1055" t="s">
        <v>893</v>
      </c>
      <c r="F840" s="1056">
        <v>0</v>
      </c>
      <c r="G840" s="1056">
        <v>0</v>
      </c>
      <c r="H840" s="1056">
        <v>0</v>
      </c>
      <c r="I840" s="1056">
        <v>0</v>
      </c>
      <c r="K840" s="995">
        <f t="shared" si="13"/>
        <v>4</v>
      </c>
    </row>
    <row r="841" spans="1:11">
      <c r="A841" s="1054">
        <v>251505</v>
      </c>
      <c r="B841" s="1055" t="s">
        <v>893</v>
      </c>
      <c r="C841" s="1055" t="s">
        <v>349</v>
      </c>
      <c r="D841" s="1055" t="s">
        <v>893</v>
      </c>
      <c r="E841" s="1055" t="s">
        <v>893</v>
      </c>
      <c r="F841" s="1056">
        <v>0</v>
      </c>
      <c r="G841" s="1056">
        <v>0</v>
      </c>
      <c r="H841" s="1056">
        <v>0</v>
      </c>
      <c r="I841" s="1056">
        <v>0</v>
      </c>
      <c r="K841" s="995">
        <f t="shared" si="13"/>
        <v>6</v>
      </c>
    </row>
    <row r="842" spans="1:11">
      <c r="A842" s="1054">
        <v>25150501</v>
      </c>
      <c r="B842" s="1055" t="s">
        <v>893</v>
      </c>
      <c r="C842" s="1055" t="s">
        <v>349</v>
      </c>
      <c r="D842" s="1055" t="s">
        <v>893</v>
      </c>
      <c r="E842" s="1055" t="s">
        <v>893</v>
      </c>
      <c r="F842" s="1056">
        <v>0</v>
      </c>
      <c r="G842" s="1056">
        <v>0</v>
      </c>
      <c r="H842" s="1056">
        <v>0</v>
      </c>
      <c r="I842" s="1056">
        <v>0</v>
      </c>
      <c r="K842" s="995">
        <f t="shared" si="13"/>
        <v>8</v>
      </c>
    </row>
    <row r="843" spans="1:11">
      <c r="A843" s="1054">
        <v>25150502</v>
      </c>
      <c r="B843" s="1055" t="s">
        <v>1489</v>
      </c>
      <c r="C843" s="1055" t="s">
        <v>535</v>
      </c>
      <c r="D843" s="1055" t="s">
        <v>893</v>
      </c>
      <c r="E843" s="1055" t="s">
        <v>893</v>
      </c>
      <c r="F843" s="1056">
        <v>0</v>
      </c>
      <c r="G843" s="1056">
        <v>0</v>
      </c>
      <c r="H843" s="1056">
        <v>0</v>
      </c>
      <c r="I843" s="1056">
        <v>0</v>
      </c>
      <c r="K843" s="995">
        <f t="shared" si="13"/>
        <v>8</v>
      </c>
    </row>
    <row r="844" spans="1:11">
      <c r="A844" s="1054">
        <v>2520</v>
      </c>
      <c r="B844" s="1055" t="s">
        <v>893</v>
      </c>
      <c r="C844" s="1055" t="s">
        <v>350</v>
      </c>
      <c r="D844" s="1055" t="s">
        <v>893</v>
      </c>
      <c r="E844" s="1055" t="s">
        <v>893</v>
      </c>
      <c r="F844" s="1056">
        <v>0</v>
      </c>
      <c r="G844" s="1056">
        <v>0</v>
      </c>
      <c r="H844" s="1056">
        <v>0</v>
      </c>
      <c r="I844" s="1056">
        <v>0</v>
      </c>
      <c r="K844" s="995">
        <f t="shared" si="13"/>
        <v>4</v>
      </c>
    </row>
    <row r="845" spans="1:11">
      <c r="A845" s="1054">
        <v>252005</v>
      </c>
      <c r="B845" s="1055" t="s">
        <v>893</v>
      </c>
      <c r="C845" s="1055" t="s">
        <v>350</v>
      </c>
      <c r="D845" s="1055" t="s">
        <v>893</v>
      </c>
      <c r="E845" s="1055" t="s">
        <v>893</v>
      </c>
      <c r="F845" s="1056">
        <v>0</v>
      </c>
      <c r="G845" s="1056">
        <v>0</v>
      </c>
      <c r="H845" s="1056">
        <v>0</v>
      </c>
      <c r="I845" s="1056">
        <v>0</v>
      </c>
      <c r="K845" s="995">
        <f t="shared" si="13"/>
        <v>6</v>
      </c>
    </row>
    <row r="846" spans="1:11">
      <c r="A846" s="1054">
        <v>25200501</v>
      </c>
      <c r="B846" s="1055" t="s">
        <v>893</v>
      </c>
      <c r="C846" s="1055" t="s">
        <v>350</v>
      </c>
      <c r="D846" s="1055" t="s">
        <v>893</v>
      </c>
      <c r="E846" s="1055" t="s">
        <v>893</v>
      </c>
      <c r="F846" s="1056">
        <v>0</v>
      </c>
      <c r="G846" s="1056">
        <v>0</v>
      </c>
      <c r="H846" s="1056">
        <v>0</v>
      </c>
      <c r="I846" s="1056">
        <v>0</v>
      </c>
      <c r="K846" s="995">
        <f t="shared" si="13"/>
        <v>8</v>
      </c>
    </row>
    <row r="847" spans="1:11">
      <c r="A847" s="1054">
        <v>2525</v>
      </c>
      <c r="B847" s="1055" t="s">
        <v>893</v>
      </c>
      <c r="C847" s="1055" t="s">
        <v>351</v>
      </c>
      <c r="D847" s="1055" t="s">
        <v>893</v>
      </c>
      <c r="E847" s="1055" t="s">
        <v>893</v>
      </c>
      <c r="F847" s="1056">
        <v>-7720</v>
      </c>
      <c r="G847" s="1056">
        <v>705</v>
      </c>
      <c r="H847" s="1056">
        <v>0</v>
      </c>
      <c r="I847" s="1056">
        <v>-7015</v>
      </c>
      <c r="K847" s="995">
        <f t="shared" si="13"/>
        <v>4</v>
      </c>
    </row>
    <row r="848" spans="1:11">
      <c r="A848" s="1054">
        <v>252505</v>
      </c>
      <c r="B848" s="1055" t="s">
        <v>893</v>
      </c>
      <c r="C848" s="1055" t="s">
        <v>351</v>
      </c>
      <c r="D848" s="1055" t="s">
        <v>893</v>
      </c>
      <c r="E848" s="1055" t="s">
        <v>893</v>
      </c>
      <c r="F848" s="1056">
        <v>-7720</v>
      </c>
      <c r="G848" s="1056">
        <v>705</v>
      </c>
      <c r="H848" s="1056">
        <v>0</v>
      </c>
      <c r="I848" s="1056">
        <v>-7015</v>
      </c>
      <c r="K848" s="995">
        <f t="shared" si="13"/>
        <v>6</v>
      </c>
    </row>
    <row r="849" spans="1:11">
      <c r="A849" s="1054">
        <v>25250501</v>
      </c>
      <c r="B849" s="1055" t="s">
        <v>893</v>
      </c>
      <c r="C849" s="1055" t="s">
        <v>351</v>
      </c>
      <c r="D849" s="1055" t="s">
        <v>893</v>
      </c>
      <c r="E849" s="1055" t="s">
        <v>893</v>
      </c>
      <c r="F849" s="1056">
        <v>-7720</v>
      </c>
      <c r="G849" s="1056">
        <v>705</v>
      </c>
      <c r="H849" s="1056">
        <v>0</v>
      </c>
      <c r="I849" s="1056">
        <v>-7015</v>
      </c>
      <c r="K849" s="995">
        <f t="shared" si="13"/>
        <v>8</v>
      </c>
    </row>
    <row r="850" spans="1:11">
      <c r="A850" s="1054">
        <v>25250501</v>
      </c>
      <c r="B850" s="1055" t="s">
        <v>893</v>
      </c>
      <c r="C850" s="1055" t="s">
        <v>351</v>
      </c>
      <c r="D850" s="1055" t="s">
        <v>1360</v>
      </c>
      <c r="E850" s="1055" t="s">
        <v>1361</v>
      </c>
      <c r="F850" s="1056">
        <v>-51</v>
      </c>
      <c r="G850" s="1056">
        <v>0</v>
      </c>
      <c r="H850" s="1056">
        <v>0</v>
      </c>
      <c r="I850" s="1056">
        <v>-51</v>
      </c>
      <c r="K850" s="995">
        <f t="shared" si="13"/>
        <v>8</v>
      </c>
    </row>
    <row r="851" spans="1:11">
      <c r="A851" s="1054">
        <v>25250501</v>
      </c>
      <c r="B851" s="1055" t="s">
        <v>893</v>
      </c>
      <c r="C851" s="1055" t="s">
        <v>351</v>
      </c>
      <c r="D851" s="1055" t="s">
        <v>1362</v>
      </c>
      <c r="E851" s="1055" t="s">
        <v>1363</v>
      </c>
      <c r="F851" s="1056">
        <v>-369</v>
      </c>
      <c r="G851" s="1056">
        <v>0</v>
      </c>
      <c r="H851" s="1056">
        <v>0</v>
      </c>
      <c r="I851" s="1056">
        <v>-369</v>
      </c>
      <c r="K851" s="995">
        <f t="shared" si="13"/>
        <v>8</v>
      </c>
    </row>
    <row r="852" spans="1:11">
      <c r="A852" s="1054">
        <v>25250501</v>
      </c>
      <c r="B852" s="1055" t="s">
        <v>893</v>
      </c>
      <c r="C852" s="1055" t="s">
        <v>351</v>
      </c>
      <c r="D852" s="1055" t="s">
        <v>1364</v>
      </c>
      <c r="E852" s="1055" t="s">
        <v>1365</v>
      </c>
      <c r="F852" s="1056">
        <v>-46</v>
      </c>
      <c r="G852" s="1056">
        <v>0</v>
      </c>
      <c r="H852" s="1056">
        <v>0</v>
      </c>
      <c r="I852" s="1056">
        <v>-46</v>
      </c>
      <c r="K852" s="995">
        <f t="shared" si="13"/>
        <v>8</v>
      </c>
    </row>
    <row r="853" spans="1:11">
      <c r="A853" s="1054">
        <v>25250501</v>
      </c>
      <c r="B853" s="1055" t="s">
        <v>893</v>
      </c>
      <c r="C853" s="1055" t="s">
        <v>351</v>
      </c>
      <c r="D853" s="1055" t="s">
        <v>1270</v>
      </c>
      <c r="E853" s="1055" t="s">
        <v>988</v>
      </c>
      <c r="F853" s="1056">
        <v>-285</v>
      </c>
      <c r="G853" s="1056">
        <v>0</v>
      </c>
      <c r="H853" s="1056">
        <v>0</v>
      </c>
      <c r="I853" s="1056">
        <v>-285</v>
      </c>
      <c r="K853" s="995">
        <f t="shared" si="13"/>
        <v>8</v>
      </c>
    </row>
    <row r="854" spans="1:11">
      <c r="A854" s="1054">
        <v>25250501</v>
      </c>
      <c r="B854" s="1055" t="s">
        <v>893</v>
      </c>
      <c r="C854" s="1055" t="s">
        <v>351</v>
      </c>
      <c r="D854" s="1055" t="s">
        <v>1366</v>
      </c>
      <c r="E854" s="1055" t="s">
        <v>1367</v>
      </c>
      <c r="F854" s="1056">
        <v>-338</v>
      </c>
      <c r="G854" s="1056">
        <v>0</v>
      </c>
      <c r="H854" s="1056">
        <v>0</v>
      </c>
      <c r="I854" s="1056">
        <v>-338</v>
      </c>
      <c r="K854" s="995">
        <f t="shared" si="13"/>
        <v>8</v>
      </c>
    </row>
    <row r="855" spans="1:11">
      <c r="A855" s="1054">
        <v>25250501</v>
      </c>
      <c r="B855" s="1055" t="s">
        <v>893</v>
      </c>
      <c r="C855" s="1055" t="s">
        <v>351</v>
      </c>
      <c r="D855" s="1055" t="s">
        <v>1320</v>
      </c>
      <c r="E855" s="1055" t="s">
        <v>1321</v>
      </c>
      <c r="F855" s="1056">
        <v>-430</v>
      </c>
      <c r="G855" s="1056">
        <v>0</v>
      </c>
      <c r="H855" s="1056">
        <v>0</v>
      </c>
      <c r="I855" s="1056">
        <v>-430</v>
      </c>
      <c r="K855" s="995">
        <f t="shared" si="13"/>
        <v>8</v>
      </c>
    </row>
    <row r="856" spans="1:11">
      <c r="A856" s="1054">
        <v>25250501</v>
      </c>
      <c r="B856" s="1055" t="s">
        <v>893</v>
      </c>
      <c r="C856" s="1055" t="s">
        <v>351</v>
      </c>
      <c r="D856" s="1055" t="s">
        <v>1274</v>
      </c>
      <c r="E856" s="1055" t="s">
        <v>989</v>
      </c>
      <c r="F856" s="1056">
        <v>-73</v>
      </c>
      <c r="G856" s="1056">
        <v>0</v>
      </c>
      <c r="H856" s="1056">
        <v>0</v>
      </c>
      <c r="I856" s="1056">
        <v>-73</v>
      </c>
      <c r="K856" s="995">
        <f t="shared" si="13"/>
        <v>8</v>
      </c>
    </row>
    <row r="857" spans="1:11">
      <c r="A857" s="1054">
        <v>25250501</v>
      </c>
      <c r="B857" s="1055" t="s">
        <v>893</v>
      </c>
      <c r="C857" s="1055" t="s">
        <v>351</v>
      </c>
      <c r="D857" s="1055" t="s">
        <v>1249</v>
      </c>
      <c r="E857" s="1055" t="s">
        <v>583</v>
      </c>
      <c r="F857" s="1056">
        <v>-1289</v>
      </c>
      <c r="G857" s="1056">
        <v>0</v>
      </c>
      <c r="H857" s="1056">
        <v>0</v>
      </c>
      <c r="I857" s="1056">
        <v>-1289</v>
      </c>
      <c r="K857" s="995">
        <f t="shared" si="13"/>
        <v>8</v>
      </c>
    </row>
    <row r="858" spans="1:11">
      <c r="A858" s="1054">
        <v>25250501</v>
      </c>
      <c r="B858" s="1055" t="s">
        <v>893</v>
      </c>
      <c r="C858" s="1055" t="s">
        <v>351</v>
      </c>
      <c r="D858" s="1055" t="s">
        <v>1305</v>
      </c>
      <c r="E858" s="1055" t="s">
        <v>990</v>
      </c>
      <c r="F858" s="1056">
        <v>-716</v>
      </c>
      <c r="G858" s="1056">
        <v>0</v>
      </c>
      <c r="H858" s="1056">
        <v>0</v>
      </c>
      <c r="I858" s="1056">
        <v>-716</v>
      </c>
      <c r="K858" s="995">
        <f t="shared" si="13"/>
        <v>8</v>
      </c>
    </row>
    <row r="859" spans="1:11">
      <c r="A859" s="1054">
        <v>25250501</v>
      </c>
      <c r="B859" s="1055" t="s">
        <v>893</v>
      </c>
      <c r="C859" s="1055" t="s">
        <v>351</v>
      </c>
      <c r="D859" s="1055" t="s">
        <v>1306</v>
      </c>
      <c r="E859" s="1055" t="s">
        <v>997</v>
      </c>
      <c r="F859" s="1056">
        <v>-385</v>
      </c>
      <c r="G859" s="1056">
        <v>0</v>
      </c>
      <c r="H859" s="1056">
        <v>0</v>
      </c>
      <c r="I859" s="1056">
        <v>-385</v>
      </c>
      <c r="K859" s="995">
        <f t="shared" si="13"/>
        <v>8</v>
      </c>
    </row>
    <row r="860" spans="1:11">
      <c r="A860" s="1054">
        <v>25250501</v>
      </c>
      <c r="B860" s="1055" t="s">
        <v>893</v>
      </c>
      <c r="C860" s="1055" t="s">
        <v>351</v>
      </c>
      <c r="D860" s="1055" t="s">
        <v>1250</v>
      </c>
      <c r="E860" s="1055" t="s">
        <v>1251</v>
      </c>
      <c r="F860" s="1056">
        <v>-271</v>
      </c>
      <c r="G860" s="1056">
        <v>0</v>
      </c>
      <c r="H860" s="1056">
        <v>0</v>
      </c>
      <c r="I860" s="1056">
        <v>-271</v>
      </c>
      <c r="K860" s="995">
        <f t="shared" si="13"/>
        <v>8</v>
      </c>
    </row>
    <row r="861" spans="1:11">
      <c r="A861" s="1054">
        <v>25250501</v>
      </c>
      <c r="B861" s="1055" t="s">
        <v>893</v>
      </c>
      <c r="C861" s="1055" t="s">
        <v>351</v>
      </c>
      <c r="D861" s="1055" t="s">
        <v>1378</v>
      </c>
      <c r="E861" s="1055" t="s">
        <v>1379</v>
      </c>
      <c r="F861" s="1056">
        <v>-236</v>
      </c>
      <c r="G861" s="1056">
        <v>0</v>
      </c>
      <c r="H861" s="1056">
        <v>0</v>
      </c>
      <c r="I861" s="1056">
        <v>-236</v>
      </c>
      <c r="K861" s="995">
        <f t="shared" si="13"/>
        <v>8</v>
      </c>
    </row>
    <row r="862" spans="1:11">
      <c r="A862" s="1054">
        <v>25250501</v>
      </c>
      <c r="B862" s="1055" t="s">
        <v>893</v>
      </c>
      <c r="C862" s="1055" t="s">
        <v>351</v>
      </c>
      <c r="D862" s="1055" t="s">
        <v>1303</v>
      </c>
      <c r="E862" s="1055" t="s">
        <v>806</v>
      </c>
      <c r="F862" s="1056">
        <v>-976</v>
      </c>
      <c r="G862" s="1056">
        <v>0</v>
      </c>
      <c r="H862" s="1056">
        <v>0</v>
      </c>
      <c r="I862" s="1056">
        <v>-976</v>
      </c>
      <c r="K862" s="995">
        <f t="shared" si="13"/>
        <v>8</v>
      </c>
    </row>
    <row r="863" spans="1:11">
      <c r="A863" s="1054">
        <v>25250501</v>
      </c>
      <c r="B863" s="1055" t="s">
        <v>893</v>
      </c>
      <c r="C863" s="1055" t="s">
        <v>351</v>
      </c>
      <c r="D863" s="1055" t="s">
        <v>1254</v>
      </c>
      <c r="E863" s="1055" t="s">
        <v>744</v>
      </c>
      <c r="F863" s="1056">
        <v>-226</v>
      </c>
      <c r="G863" s="1056">
        <v>0</v>
      </c>
      <c r="H863" s="1056">
        <v>0</v>
      </c>
      <c r="I863" s="1056">
        <v>-226</v>
      </c>
      <c r="K863" s="995">
        <f t="shared" si="13"/>
        <v>8</v>
      </c>
    </row>
    <row r="864" spans="1:11">
      <c r="A864" s="1054">
        <v>25250501</v>
      </c>
      <c r="B864" s="1055" t="s">
        <v>893</v>
      </c>
      <c r="C864" s="1055" t="s">
        <v>351</v>
      </c>
      <c r="D864" s="1055" t="s">
        <v>1275</v>
      </c>
      <c r="E864" s="1055" t="s">
        <v>991</v>
      </c>
      <c r="F864" s="1056">
        <v>-1012</v>
      </c>
      <c r="G864" s="1056">
        <v>0</v>
      </c>
      <c r="H864" s="1056">
        <v>0</v>
      </c>
      <c r="I864" s="1056">
        <v>-1012</v>
      </c>
      <c r="K864" s="995">
        <f t="shared" si="13"/>
        <v>8</v>
      </c>
    </row>
    <row r="865" spans="1:11">
      <c r="A865" s="1054">
        <v>25250501</v>
      </c>
      <c r="B865" s="1055" t="s">
        <v>893</v>
      </c>
      <c r="C865" s="1055" t="s">
        <v>351</v>
      </c>
      <c r="D865" s="1055" t="s">
        <v>1044</v>
      </c>
      <c r="E865" s="1055" t="s">
        <v>1045</v>
      </c>
      <c r="F865" s="1056">
        <v>-705</v>
      </c>
      <c r="G865" s="1056">
        <v>705</v>
      </c>
      <c r="H865" s="1056">
        <v>0</v>
      </c>
      <c r="I865" s="1056">
        <v>0</v>
      </c>
      <c r="K865" s="995">
        <f t="shared" si="13"/>
        <v>8</v>
      </c>
    </row>
    <row r="866" spans="1:11">
      <c r="A866" s="1054">
        <v>25250501</v>
      </c>
      <c r="B866" s="1055" t="s">
        <v>893</v>
      </c>
      <c r="C866" s="1055" t="s">
        <v>351</v>
      </c>
      <c r="D866" s="1055" t="s">
        <v>1383</v>
      </c>
      <c r="E866" s="1055" t="s">
        <v>1384</v>
      </c>
      <c r="F866" s="1056">
        <v>-311</v>
      </c>
      <c r="G866" s="1056">
        <v>0</v>
      </c>
      <c r="H866" s="1056">
        <v>0</v>
      </c>
      <c r="I866" s="1056">
        <v>-311</v>
      </c>
      <c r="K866" s="995">
        <f t="shared" si="13"/>
        <v>8</v>
      </c>
    </row>
    <row r="867" spans="1:11">
      <c r="A867" s="1054">
        <v>2530</v>
      </c>
      <c r="B867" s="1055" t="s">
        <v>1489</v>
      </c>
      <c r="C867" s="1055" t="s">
        <v>745</v>
      </c>
      <c r="D867" s="1055" t="s">
        <v>893</v>
      </c>
      <c r="E867" s="1055" t="s">
        <v>893</v>
      </c>
      <c r="F867" s="1056">
        <v>-71457</v>
      </c>
      <c r="G867" s="1056">
        <v>38180</v>
      </c>
      <c r="H867" s="1056">
        <v>17534</v>
      </c>
      <c r="I867" s="1056">
        <v>-50810</v>
      </c>
      <c r="K867" s="995">
        <f t="shared" si="13"/>
        <v>4</v>
      </c>
    </row>
    <row r="868" spans="1:11">
      <c r="A868" s="1054">
        <v>253005</v>
      </c>
      <c r="B868" s="1055" t="s">
        <v>893</v>
      </c>
      <c r="C868" s="1055" t="s">
        <v>352</v>
      </c>
      <c r="D868" s="1055" t="s">
        <v>893</v>
      </c>
      <c r="E868" s="1055" t="s">
        <v>893</v>
      </c>
      <c r="F868" s="1056">
        <v>-25353</v>
      </c>
      <c r="G868" s="1056">
        <v>2749</v>
      </c>
      <c r="H868" s="1056">
        <v>6351</v>
      </c>
      <c r="I868" s="1056">
        <v>-28955</v>
      </c>
      <c r="K868" s="995">
        <f t="shared" si="13"/>
        <v>6</v>
      </c>
    </row>
    <row r="869" spans="1:11">
      <c r="A869" s="1054">
        <v>25300505</v>
      </c>
      <c r="B869" s="1055" t="s">
        <v>893</v>
      </c>
      <c r="C869" s="1055" t="s">
        <v>408</v>
      </c>
      <c r="D869" s="1055" t="s">
        <v>893</v>
      </c>
      <c r="E869" s="1055" t="s">
        <v>893</v>
      </c>
      <c r="F869" s="1056">
        <v>-29523</v>
      </c>
      <c r="G869" s="1056">
        <v>0</v>
      </c>
      <c r="H869" s="1056">
        <v>6351</v>
      </c>
      <c r="I869" s="1056">
        <v>-35875</v>
      </c>
      <c r="K869" s="995">
        <f t="shared" si="13"/>
        <v>8</v>
      </c>
    </row>
    <row r="870" spans="1:11">
      <c r="A870" s="1054">
        <v>25300505</v>
      </c>
      <c r="B870" s="1055" t="s">
        <v>893</v>
      </c>
      <c r="C870" s="1055" t="s">
        <v>408</v>
      </c>
      <c r="D870" s="1055" t="s">
        <v>1360</v>
      </c>
      <c r="E870" s="1055" t="s">
        <v>1361</v>
      </c>
      <c r="F870" s="1056">
        <v>-867</v>
      </c>
      <c r="G870" s="1056">
        <v>0</v>
      </c>
      <c r="H870" s="1056">
        <v>179</v>
      </c>
      <c r="I870" s="1056">
        <v>-1046</v>
      </c>
      <c r="K870" s="995">
        <f t="shared" si="13"/>
        <v>8</v>
      </c>
    </row>
    <row r="871" spans="1:11">
      <c r="A871" s="1054">
        <v>25300505</v>
      </c>
      <c r="B871" s="1055" t="s">
        <v>893</v>
      </c>
      <c r="C871" s="1055" t="s">
        <v>408</v>
      </c>
      <c r="D871" s="1055" t="s">
        <v>1298</v>
      </c>
      <c r="E871" s="1055" t="s">
        <v>987</v>
      </c>
      <c r="F871" s="1056">
        <v>-908</v>
      </c>
      <c r="G871" s="1056">
        <v>0</v>
      </c>
      <c r="H871" s="1056">
        <v>215</v>
      </c>
      <c r="I871" s="1056">
        <v>-1124</v>
      </c>
      <c r="K871" s="995">
        <f t="shared" si="13"/>
        <v>8</v>
      </c>
    </row>
    <row r="872" spans="1:11">
      <c r="A872" s="1054">
        <v>25300505</v>
      </c>
      <c r="B872" s="1055" t="s">
        <v>893</v>
      </c>
      <c r="C872" s="1055" t="s">
        <v>408</v>
      </c>
      <c r="D872" s="1055" t="s">
        <v>1397</v>
      </c>
      <c r="E872" s="1055" t="s">
        <v>1398</v>
      </c>
      <c r="F872" s="1056">
        <v>-93</v>
      </c>
      <c r="G872" s="1056">
        <v>0</v>
      </c>
      <c r="H872" s="1056">
        <v>0</v>
      </c>
      <c r="I872" s="1056">
        <v>-93</v>
      </c>
      <c r="K872" s="995">
        <f t="shared" si="13"/>
        <v>8</v>
      </c>
    </row>
    <row r="873" spans="1:11">
      <c r="A873" s="1054">
        <v>25300505</v>
      </c>
      <c r="B873" s="1055" t="s">
        <v>893</v>
      </c>
      <c r="C873" s="1055" t="s">
        <v>408</v>
      </c>
      <c r="D873" s="1055" t="s">
        <v>1362</v>
      </c>
      <c r="E873" s="1055" t="s">
        <v>1363</v>
      </c>
      <c r="F873" s="1056">
        <v>-766</v>
      </c>
      <c r="G873" s="1056">
        <v>0</v>
      </c>
      <c r="H873" s="1056">
        <v>137</v>
      </c>
      <c r="I873" s="1056">
        <v>-903</v>
      </c>
      <c r="K873" s="995">
        <f t="shared" si="13"/>
        <v>8</v>
      </c>
    </row>
    <row r="874" spans="1:11">
      <c r="A874" s="1054">
        <v>25300505</v>
      </c>
      <c r="B874" s="1055" t="s">
        <v>893</v>
      </c>
      <c r="C874" s="1055" t="s">
        <v>408</v>
      </c>
      <c r="D874" s="1055" t="s">
        <v>1364</v>
      </c>
      <c r="E874" s="1055" t="s">
        <v>1365</v>
      </c>
      <c r="F874" s="1056">
        <v>-881</v>
      </c>
      <c r="G874" s="1056">
        <v>0</v>
      </c>
      <c r="H874" s="1056">
        <v>166</v>
      </c>
      <c r="I874" s="1056">
        <v>-1047</v>
      </c>
      <c r="K874" s="995">
        <f t="shared" si="13"/>
        <v>8</v>
      </c>
    </row>
    <row r="875" spans="1:11">
      <c r="A875" s="1054">
        <v>25300505</v>
      </c>
      <c r="B875" s="1055" t="s">
        <v>893</v>
      </c>
      <c r="C875" s="1055" t="s">
        <v>408</v>
      </c>
      <c r="D875" s="1055" t="s">
        <v>1601</v>
      </c>
      <c r="E875" s="1055" t="s">
        <v>1602</v>
      </c>
      <c r="F875" s="1056">
        <v>-1233</v>
      </c>
      <c r="G875" s="1056">
        <v>0</v>
      </c>
      <c r="H875" s="1056">
        <v>812</v>
      </c>
      <c r="I875" s="1056">
        <v>-2046</v>
      </c>
      <c r="K875" s="995">
        <f t="shared" si="13"/>
        <v>8</v>
      </c>
    </row>
    <row r="876" spans="1:11">
      <c r="A876" s="1054">
        <v>25300505</v>
      </c>
      <c r="B876" s="1055" t="s">
        <v>893</v>
      </c>
      <c r="C876" s="1055" t="s">
        <v>408</v>
      </c>
      <c r="D876" s="1055" t="s">
        <v>1270</v>
      </c>
      <c r="E876" s="1055" t="s">
        <v>988</v>
      </c>
      <c r="F876" s="1056">
        <v>-995</v>
      </c>
      <c r="G876" s="1056">
        <v>0</v>
      </c>
      <c r="H876" s="1056">
        <v>199</v>
      </c>
      <c r="I876" s="1056">
        <v>-1194</v>
      </c>
      <c r="K876" s="995">
        <f t="shared" si="13"/>
        <v>8</v>
      </c>
    </row>
    <row r="877" spans="1:11">
      <c r="A877" s="1054">
        <v>25300505</v>
      </c>
      <c r="B877" s="1055" t="s">
        <v>893</v>
      </c>
      <c r="C877" s="1055" t="s">
        <v>408</v>
      </c>
      <c r="D877" s="1055" t="s">
        <v>1271</v>
      </c>
      <c r="E877" s="1055" t="s">
        <v>782</v>
      </c>
      <c r="F877" s="1056">
        <v>-990</v>
      </c>
      <c r="G877" s="1056">
        <v>0</v>
      </c>
      <c r="H877" s="1056">
        <v>198</v>
      </c>
      <c r="I877" s="1056">
        <v>-1188</v>
      </c>
      <c r="K877" s="995">
        <f t="shared" si="13"/>
        <v>8</v>
      </c>
    </row>
    <row r="878" spans="1:11">
      <c r="A878" s="1054">
        <v>25300505</v>
      </c>
      <c r="B878" s="1055" t="s">
        <v>893</v>
      </c>
      <c r="C878" s="1055" t="s">
        <v>408</v>
      </c>
      <c r="D878" s="1055" t="s">
        <v>1366</v>
      </c>
      <c r="E878" s="1055" t="s">
        <v>1367</v>
      </c>
      <c r="F878" s="1056">
        <v>-778</v>
      </c>
      <c r="G878" s="1056">
        <v>0</v>
      </c>
      <c r="H878" s="1056">
        <v>161</v>
      </c>
      <c r="I878" s="1056">
        <v>-939</v>
      </c>
      <c r="K878" s="995">
        <f t="shared" si="13"/>
        <v>8</v>
      </c>
    </row>
    <row r="879" spans="1:11">
      <c r="A879" s="1054">
        <v>25300505</v>
      </c>
      <c r="B879" s="1055" t="s">
        <v>893</v>
      </c>
      <c r="C879" s="1055" t="s">
        <v>408</v>
      </c>
      <c r="D879" s="1055" t="s">
        <v>1302</v>
      </c>
      <c r="E879" s="1055" t="s">
        <v>986</v>
      </c>
      <c r="F879" s="1056">
        <v>-751</v>
      </c>
      <c r="G879" s="1056">
        <v>0</v>
      </c>
      <c r="H879" s="1056">
        <v>142</v>
      </c>
      <c r="I879" s="1056">
        <v>-893</v>
      </c>
      <c r="K879" s="995">
        <f t="shared" si="13"/>
        <v>8</v>
      </c>
    </row>
    <row r="880" spans="1:11">
      <c r="A880" s="1054">
        <v>25300505</v>
      </c>
      <c r="B880" s="1055" t="s">
        <v>893</v>
      </c>
      <c r="C880" s="1055" t="s">
        <v>408</v>
      </c>
      <c r="D880" s="1055" t="s">
        <v>1042</v>
      </c>
      <c r="E880" s="1055" t="s">
        <v>1732</v>
      </c>
      <c r="F880" s="1056">
        <v>-790</v>
      </c>
      <c r="G880" s="1056">
        <v>0</v>
      </c>
      <c r="H880" s="1056">
        <v>0</v>
      </c>
      <c r="I880" s="1056">
        <v>-790</v>
      </c>
      <c r="K880" s="995">
        <f t="shared" si="13"/>
        <v>8</v>
      </c>
    </row>
    <row r="881" spans="1:11">
      <c r="A881" s="1054">
        <v>25300505</v>
      </c>
      <c r="B881" s="1055" t="s">
        <v>893</v>
      </c>
      <c r="C881" s="1055" t="s">
        <v>408</v>
      </c>
      <c r="D881" s="1055" t="s">
        <v>1611</v>
      </c>
      <c r="E881" s="1055" t="s">
        <v>1612</v>
      </c>
      <c r="F881" s="1056">
        <v>-142</v>
      </c>
      <c r="G881" s="1056">
        <v>0</v>
      </c>
      <c r="H881" s="1056">
        <v>0</v>
      </c>
      <c r="I881" s="1056">
        <v>-142</v>
      </c>
      <c r="K881" s="995">
        <f t="shared" si="13"/>
        <v>8</v>
      </c>
    </row>
    <row r="882" spans="1:11">
      <c r="A882" s="1054">
        <v>25300505</v>
      </c>
      <c r="B882" s="1055" t="s">
        <v>893</v>
      </c>
      <c r="C882" s="1055" t="s">
        <v>408</v>
      </c>
      <c r="D882" s="1055" t="s">
        <v>1368</v>
      </c>
      <c r="E882" s="1055" t="s">
        <v>1369</v>
      </c>
      <c r="F882" s="1056">
        <v>-207</v>
      </c>
      <c r="G882" s="1056">
        <v>0</v>
      </c>
      <c r="H882" s="1056">
        <v>147</v>
      </c>
      <c r="I882" s="1056">
        <v>-354</v>
      </c>
      <c r="K882" s="995">
        <f t="shared" si="13"/>
        <v>8</v>
      </c>
    </row>
    <row r="883" spans="1:11">
      <c r="A883" s="1054">
        <v>25300505</v>
      </c>
      <c r="B883" s="1055" t="s">
        <v>893</v>
      </c>
      <c r="C883" s="1055" t="s">
        <v>408</v>
      </c>
      <c r="D883" s="1055" t="s">
        <v>1246</v>
      </c>
      <c r="E883" s="1055" t="s">
        <v>743</v>
      </c>
      <c r="F883" s="1056">
        <v>-135</v>
      </c>
      <c r="G883" s="1056">
        <v>0</v>
      </c>
      <c r="H883" s="1056">
        <v>0</v>
      </c>
      <c r="I883" s="1056">
        <v>-135</v>
      </c>
      <c r="K883" s="995">
        <f t="shared" si="13"/>
        <v>8</v>
      </c>
    </row>
    <row r="884" spans="1:11">
      <c r="A884" s="1054">
        <v>25300505</v>
      </c>
      <c r="B884" s="1055" t="s">
        <v>893</v>
      </c>
      <c r="C884" s="1055" t="s">
        <v>408</v>
      </c>
      <c r="D884" s="1055" t="s">
        <v>1320</v>
      </c>
      <c r="E884" s="1055" t="s">
        <v>1321</v>
      </c>
      <c r="F884" s="1056">
        <v>-756</v>
      </c>
      <c r="G884" s="1056">
        <v>0</v>
      </c>
      <c r="H884" s="1056">
        <v>167</v>
      </c>
      <c r="I884" s="1056">
        <v>-924</v>
      </c>
      <c r="K884" s="995">
        <f t="shared" si="13"/>
        <v>8</v>
      </c>
    </row>
    <row r="885" spans="1:11">
      <c r="A885" s="1054">
        <v>25300505</v>
      </c>
      <c r="B885" s="1055" t="s">
        <v>893</v>
      </c>
      <c r="C885" s="1055" t="s">
        <v>408</v>
      </c>
      <c r="D885" s="1055" t="s">
        <v>1274</v>
      </c>
      <c r="E885" s="1055" t="s">
        <v>989</v>
      </c>
      <c r="F885" s="1056">
        <v>-1092</v>
      </c>
      <c r="G885" s="1056">
        <v>0</v>
      </c>
      <c r="H885" s="1056">
        <v>223</v>
      </c>
      <c r="I885" s="1056">
        <v>-1315</v>
      </c>
      <c r="K885" s="995">
        <f t="shared" si="13"/>
        <v>8</v>
      </c>
    </row>
    <row r="886" spans="1:11">
      <c r="A886" s="1054">
        <v>25300505</v>
      </c>
      <c r="B886" s="1055" t="s">
        <v>893</v>
      </c>
      <c r="C886" s="1055" t="s">
        <v>408</v>
      </c>
      <c r="D886" s="1055" t="s">
        <v>1247</v>
      </c>
      <c r="E886" s="1055" t="s">
        <v>1248</v>
      </c>
      <c r="F886" s="1056">
        <v>-844</v>
      </c>
      <c r="G886" s="1056">
        <v>0</v>
      </c>
      <c r="H886" s="1056">
        <v>197</v>
      </c>
      <c r="I886" s="1056">
        <v>-1041</v>
      </c>
      <c r="K886" s="995">
        <f t="shared" si="13"/>
        <v>8</v>
      </c>
    </row>
    <row r="887" spans="1:11">
      <c r="A887" s="1054">
        <v>25300505</v>
      </c>
      <c r="B887" s="1055" t="s">
        <v>893</v>
      </c>
      <c r="C887" s="1055" t="s">
        <v>408</v>
      </c>
      <c r="D887" s="1055" t="s">
        <v>1387</v>
      </c>
      <c r="E887" s="1055" t="s">
        <v>1388</v>
      </c>
      <c r="F887" s="1056">
        <v>-40</v>
      </c>
      <c r="G887" s="1056">
        <v>0</v>
      </c>
      <c r="H887" s="1056">
        <v>0</v>
      </c>
      <c r="I887" s="1056">
        <v>-40</v>
      </c>
      <c r="K887" s="995">
        <f t="shared" si="13"/>
        <v>8</v>
      </c>
    </row>
    <row r="888" spans="1:11">
      <c r="A888" s="1054">
        <v>25300505</v>
      </c>
      <c r="B888" s="1055" t="s">
        <v>893</v>
      </c>
      <c r="C888" s="1055" t="s">
        <v>408</v>
      </c>
      <c r="D888" s="1055" t="s">
        <v>1370</v>
      </c>
      <c r="E888" s="1055" t="s">
        <v>1371</v>
      </c>
      <c r="F888" s="1056">
        <v>-815</v>
      </c>
      <c r="G888" s="1056">
        <v>0</v>
      </c>
      <c r="H888" s="1056">
        <v>158</v>
      </c>
      <c r="I888" s="1056">
        <v>-973</v>
      </c>
      <c r="K888" s="995">
        <f t="shared" si="13"/>
        <v>8</v>
      </c>
    </row>
    <row r="889" spans="1:11">
      <c r="A889" s="1054">
        <v>25300505</v>
      </c>
      <c r="B889" s="1055" t="s">
        <v>893</v>
      </c>
      <c r="C889" s="1055" t="s">
        <v>408</v>
      </c>
      <c r="D889" s="1055" t="s">
        <v>1870</v>
      </c>
      <c r="E889" s="1055" t="s">
        <v>1871</v>
      </c>
      <c r="F889" s="1056">
        <v>-840</v>
      </c>
      <c r="G889" s="1056">
        <v>0</v>
      </c>
      <c r="H889" s="1056">
        <v>113</v>
      </c>
      <c r="I889" s="1056">
        <v>-952</v>
      </c>
      <c r="K889" s="995">
        <f t="shared" si="13"/>
        <v>8</v>
      </c>
    </row>
    <row r="890" spans="1:11">
      <c r="A890" s="1054">
        <v>25300505</v>
      </c>
      <c r="B890" s="1055" t="s">
        <v>893</v>
      </c>
      <c r="C890" s="1055" t="s">
        <v>408</v>
      </c>
      <c r="D890" s="1055" t="s">
        <v>1372</v>
      </c>
      <c r="E890" s="1055" t="s">
        <v>1373</v>
      </c>
      <c r="F890" s="1056">
        <v>-787</v>
      </c>
      <c r="G890" s="1056">
        <v>0</v>
      </c>
      <c r="H890" s="1056">
        <v>158</v>
      </c>
      <c r="I890" s="1056">
        <v>-946</v>
      </c>
      <c r="K890" s="995">
        <f t="shared" si="13"/>
        <v>8</v>
      </c>
    </row>
    <row r="891" spans="1:11">
      <c r="A891" s="1054">
        <v>25300505</v>
      </c>
      <c r="B891" s="1055" t="s">
        <v>893</v>
      </c>
      <c r="C891" s="1055" t="s">
        <v>408</v>
      </c>
      <c r="D891" s="1055" t="s">
        <v>1785</v>
      </c>
      <c r="E891" s="1055" t="s">
        <v>1786</v>
      </c>
      <c r="F891" s="1056">
        <v>-738</v>
      </c>
      <c r="G891" s="1056">
        <v>0</v>
      </c>
      <c r="H891" s="1056">
        <v>147</v>
      </c>
      <c r="I891" s="1056">
        <v>-886</v>
      </c>
      <c r="K891" s="995">
        <f t="shared" si="13"/>
        <v>8</v>
      </c>
    </row>
    <row r="892" spans="1:11">
      <c r="A892" s="1054">
        <v>25300505</v>
      </c>
      <c r="B892" s="1055" t="s">
        <v>893</v>
      </c>
      <c r="C892" s="1055" t="s">
        <v>408</v>
      </c>
      <c r="D892" s="1055" t="s">
        <v>1374</v>
      </c>
      <c r="E892" s="1055" t="s">
        <v>1375</v>
      </c>
      <c r="F892" s="1056">
        <v>-187</v>
      </c>
      <c r="G892" s="1056">
        <v>0</v>
      </c>
      <c r="H892" s="1056">
        <v>146</v>
      </c>
      <c r="I892" s="1056">
        <v>-333</v>
      </c>
      <c r="K892" s="995">
        <f t="shared" si="13"/>
        <v>8</v>
      </c>
    </row>
    <row r="893" spans="1:11">
      <c r="A893" s="1054">
        <v>25300505</v>
      </c>
      <c r="B893" s="1055" t="s">
        <v>893</v>
      </c>
      <c r="C893" s="1055" t="s">
        <v>408</v>
      </c>
      <c r="D893" s="1055" t="s">
        <v>1389</v>
      </c>
      <c r="E893" s="1055" t="s">
        <v>1390</v>
      </c>
      <c r="F893" s="1056">
        <v>-149</v>
      </c>
      <c r="G893" s="1056">
        <v>0</v>
      </c>
      <c r="H893" s="1056">
        <v>0</v>
      </c>
      <c r="I893" s="1056">
        <v>-149</v>
      </c>
      <c r="K893" s="995">
        <f t="shared" si="13"/>
        <v>8</v>
      </c>
    </row>
    <row r="894" spans="1:11">
      <c r="A894" s="1054">
        <v>25300505</v>
      </c>
      <c r="B894" s="1055" t="s">
        <v>893</v>
      </c>
      <c r="C894" s="1055" t="s">
        <v>408</v>
      </c>
      <c r="D894" s="1055" t="s">
        <v>1249</v>
      </c>
      <c r="E894" s="1055" t="s">
        <v>583</v>
      </c>
      <c r="F894" s="1056">
        <v>-1288</v>
      </c>
      <c r="G894" s="1056">
        <v>0</v>
      </c>
      <c r="H894" s="1056">
        <v>255</v>
      </c>
      <c r="I894" s="1056">
        <v>-1543</v>
      </c>
      <c r="K894" s="995">
        <f t="shared" si="13"/>
        <v>8</v>
      </c>
    </row>
    <row r="895" spans="1:11">
      <c r="A895" s="1054">
        <v>25300505</v>
      </c>
      <c r="B895" s="1055" t="s">
        <v>893</v>
      </c>
      <c r="C895" s="1055" t="s">
        <v>408</v>
      </c>
      <c r="D895" s="1055" t="s">
        <v>1376</v>
      </c>
      <c r="E895" s="1055" t="s">
        <v>1377</v>
      </c>
      <c r="F895" s="1056">
        <v>-826</v>
      </c>
      <c r="G895" s="1056">
        <v>0</v>
      </c>
      <c r="H895" s="1056">
        <v>177</v>
      </c>
      <c r="I895" s="1056">
        <v>-1003</v>
      </c>
      <c r="K895" s="995">
        <f t="shared" si="13"/>
        <v>8</v>
      </c>
    </row>
    <row r="896" spans="1:11">
      <c r="A896" s="1054">
        <v>25300505</v>
      </c>
      <c r="B896" s="1055" t="s">
        <v>893</v>
      </c>
      <c r="C896" s="1055" t="s">
        <v>408</v>
      </c>
      <c r="D896" s="1055" t="s">
        <v>1613</v>
      </c>
      <c r="E896" s="1055" t="s">
        <v>1614</v>
      </c>
      <c r="F896" s="1056">
        <v>0</v>
      </c>
      <c r="G896" s="1056">
        <v>0</v>
      </c>
      <c r="H896" s="1056">
        <v>36</v>
      </c>
      <c r="I896" s="1056">
        <v>-36</v>
      </c>
      <c r="K896" s="995">
        <f t="shared" si="13"/>
        <v>8</v>
      </c>
    </row>
    <row r="897" spans="1:11">
      <c r="A897" s="1054">
        <v>25300505</v>
      </c>
      <c r="B897" s="1055" t="s">
        <v>893</v>
      </c>
      <c r="C897" s="1055" t="s">
        <v>408</v>
      </c>
      <c r="D897" s="1055" t="s">
        <v>1305</v>
      </c>
      <c r="E897" s="1055" t="s">
        <v>990</v>
      </c>
      <c r="F897" s="1056">
        <v>-937</v>
      </c>
      <c r="G897" s="1056">
        <v>0</v>
      </c>
      <c r="H897" s="1056">
        <v>181</v>
      </c>
      <c r="I897" s="1056">
        <v>-1118</v>
      </c>
      <c r="K897" s="995">
        <f t="shared" si="13"/>
        <v>8</v>
      </c>
    </row>
    <row r="898" spans="1:11">
      <c r="A898" s="1054">
        <v>25300505</v>
      </c>
      <c r="B898" s="1055" t="s">
        <v>893</v>
      </c>
      <c r="C898" s="1055" t="s">
        <v>408</v>
      </c>
      <c r="D898" s="1055" t="s">
        <v>1306</v>
      </c>
      <c r="E898" s="1055" t="s">
        <v>997</v>
      </c>
      <c r="F898" s="1056">
        <v>-846</v>
      </c>
      <c r="G898" s="1056">
        <v>0</v>
      </c>
      <c r="H898" s="1056">
        <v>191</v>
      </c>
      <c r="I898" s="1056">
        <v>-1037</v>
      </c>
      <c r="K898" s="995">
        <f t="shared" si="13"/>
        <v>8</v>
      </c>
    </row>
    <row r="899" spans="1:11">
      <c r="A899" s="1054">
        <v>25300505</v>
      </c>
      <c r="B899" s="1055" t="s">
        <v>893</v>
      </c>
      <c r="C899" s="1055" t="s">
        <v>408</v>
      </c>
      <c r="D899" s="1055" t="s">
        <v>1322</v>
      </c>
      <c r="E899" s="1055" t="s">
        <v>1323</v>
      </c>
      <c r="F899" s="1056">
        <v>-556</v>
      </c>
      <c r="G899" s="1056">
        <v>0</v>
      </c>
      <c r="H899" s="1056">
        <v>0</v>
      </c>
      <c r="I899" s="1056">
        <v>-556</v>
      </c>
      <c r="K899" s="995">
        <f t="shared" si="13"/>
        <v>8</v>
      </c>
    </row>
    <row r="900" spans="1:11">
      <c r="A900" s="1054">
        <v>25300505</v>
      </c>
      <c r="B900" s="1055" t="s">
        <v>893</v>
      </c>
      <c r="C900" s="1055" t="s">
        <v>408</v>
      </c>
      <c r="D900" s="1055" t="s">
        <v>1391</v>
      </c>
      <c r="E900" s="1055" t="s">
        <v>1392</v>
      </c>
      <c r="F900" s="1056">
        <v>-68</v>
      </c>
      <c r="G900" s="1056">
        <v>0</v>
      </c>
      <c r="H900" s="1056">
        <v>0</v>
      </c>
      <c r="I900" s="1056">
        <v>-68</v>
      </c>
      <c r="K900" s="995">
        <f t="shared" si="13"/>
        <v>8</v>
      </c>
    </row>
    <row r="901" spans="1:11">
      <c r="A901" s="1054">
        <v>25300505</v>
      </c>
      <c r="B901" s="1055" t="s">
        <v>893</v>
      </c>
      <c r="C901" s="1055" t="s">
        <v>408</v>
      </c>
      <c r="D901" s="1055" t="s">
        <v>1250</v>
      </c>
      <c r="E901" s="1055" t="s">
        <v>1251</v>
      </c>
      <c r="F901" s="1056">
        <v>-846</v>
      </c>
      <c r="G901" s="1056">
        <v>0</v>
      </c>
      <c r="H901" s="1056">
        <v>163</v>
      </c>
      <c r="I901" s="1056">
        <v>-1009</v>
      </c>
      <c r="K901" s="995">
        <f t="shared" ref="K901:K964" si="14">+LEN(A901)</f>
        <v>8</v>
      </c>
    </row>
    <row r="902" spans="1:11">
      <c r="A902" s="1054">
        <v>25300505</v>
      </c>
      <c r="B902" s="1055" t="s">
        <v>893</v>
      </c>
      <c r="C902" s="1055" t="s">
        <v>408</v>
      </c>
      <c r="D902" s="1055" t="s">
        <v>1787</v>
      </c>
      <c r="E902" s="1055" t="s">
        <v>1788</v>
      </c>
      <c r="F902" s="1056">
        <v>-216</v>
      </c>
      <c r="G902" s="1056">
        <v>0</v>
      </c>
      <c r="H902" s="1056">
        <v>181</v>
      </c>
      <c r="I902" s="1056">
        <v>-397</v>
      </c>
      <c r="K902" s="995">
        <f t="shared" si="14"/>
        <v>8</v>
      </c>
    </row>
    <row r="903" spans="1:11">
      <c r="A903" s="1054">
        <v>25300505</v>
      </c>
      <c r="B903" s="1055" t="s">
        <v>893</v>
      </c>
      <c r="C903" s="1055" t="s">
        <v>408</v>
      </c>
      <c r="D903" s="1055" t="s">
        <v>1378</v>
      </c>
      <c r="E903" s="1055" t="s">
        <v>1379</v>
      </c>
      <c r="F903" s="1056">
        <v>-807</v>
      </c>
      <c r="G903" s="1056">
        <v>0</v>
      </c>
      <c r="H903" s="1056">
        <v>0</v>
      </c>
      <c r="I903" s="1056">
        <v>-807</v>
      </c>
      <c r="K903" s="995">
        <f t="shared" si="14"/>
        <v>8</v>
      </c>
    </row>
    <row r="904" spans="1:11">
      <c r="A904" s="1054">
        <v>25300505</v>
      </c>
      <c r="B904" s="1055" t="s">
        <v>893</v>
      </c>
      <c r="C904" s="1055" t="s">
        <v>408</v>
      </c>
      <c r="D904" s="1055" t="s">
        <v>1303</v>
      </c>
      <c r="E904" s="1055" t="s">
        <v>806</v>
      </c>
      <c r="F904" s="1056">
        <v>-765</v>
      </c>
      <c r="G904" s="1056">
        <v>0</v>
      </c>
      <c r="H904" s="1056">
        <v>143</v>
      </c>
      <c r="I904" s="1056">
        <v>-908</v>
      </c>
      <c r="K904" s="995">
        <f t="shared" si="14"/>
        <v>8</v>
      </c>
    </row>
    <row r="905" spans="1:11">
      <c r="A905" s="1054">
        <v>25300505</v>
      </c>
      <c r="B905" s="1055" t="s">
        <v>893</v>
      </c>
      <c r="C905" s="1055" t="s">
        <v>408</v>
      </c>
      <c r="D905" s="1055" t="s">
        <v>1605</v>
      </c>
      <c r="E905" s="1055" t="s">
        <v>1606</v>
      </c>
      <c r="F905" s="1056">
        <v>-963</v>
      </c>
      <c r="G905" s="1056">
        <v>0</v>
      </c>
      <c r="H905" s="1056">
        <v>223</v>
      </c>
      <c r="I905" s="1056">
        <v>-1185</v>
      </c>
      <c r="K905" s="995">
        <f t="shared" si="14"/>
        <v>8</v>
      </c>
    </row>
    <row r="906" spans="1:11">
      <c r="A906" s="1054">
        <v>25300505</v>
      </c>
      <c r="B906" s="1055" t="s">
        <v>893</v>
      </c>
      <c r="C906" s="1055" t="s">
        <v>408</v>
      </c>
      <c r="D906" s="1055" t="s">
        <v>1789</v>
      </c>
      <c r="E906" s="1055" t="s">
        <v>1790</v>
      </c>
      <c r="F906" s="1056">
        <v>-776</v>
      </c>
      <c r="G906" s="1056">
        <v>0</v>
      </c>
      <c r="H906" s="1056">
        <v>153</v>
      </c>
      <c r="I906" s="1056">
        <v>-930</v>
      </c>
      <c r="K906" s="995">
        <f t="shared" si="14"/>
        <v>8</v>
      </c>
    </row>
    <row r="907" spans="1:11">
      <c r="A907" s="1054">
        <v>25300505</v>
      </c>
      <c r="B907" s="1055" t="s">
        <v>893</v>
      </c>
      <c r="C907" s="1055" t="s">
        <v>408</v>
      </c>
      <c r="D907" s="1055" t="s">
        <v>1254</v>
      </c>
      <c r="E907" s="1055" t="s">
        <v>744</v>
      </c>
      <c r="F907" s="1056">
        <v>-916</v>
      </c>
      <c r="G907" s="1056">
        <v>0</v>
      </c>
      <c r="H907" s="1056">
        <v>199</v>
      </c>
      <c r="I907" s="1056">
        <v>-1115</v>
      </c>
      <c r="K907" s="995">
        <f t="shared" si="14"/>
        <v>8</v>
      </c>
    </row>
    <row r="908" spans="1:11">
      <c r="A908" s="1054">
        <v>25300505</v>
      </c>
      <c r="B908" s="1055" t="s">
        <v>893</v>
      </c>
      <c r="C908" s="1055" t="s">
        <v>408</v>
      </c>
      <c r="D908" s="1055" t="s">
        <v>1275</v>
      </c>
      <c r="E908" s="1055" t="s">
        <v>991</v>
      </c>
      <c r="F908" s="1056">
        <v>-790</v>
      </c>
      <c r="G908" s="1056">
        <v>0</v>
      </c>
      <c r="H908" s="1056">
        <v>320</v>
      </c>
      <c r="I908" s="1056">
        <v>-1111</v>
      </c>
      <c r="K908" s="995">
        <f t="shared" si="14"/>
        <v>8</v>
      </c>
    </row>
    <row r="909" spans="1:11">
      <c r="A909" s="1054">
        <v>25300505</v>
      </c>
      <c r="B909" s="1055" t="s">
        <v>893</v>
      </c>
      <c r="C909" s="1055" t="s">
        <v>408</v>
      </c>
      <c r="D909" s="1055" t="s">
        <v>1380</v>
      </c>
      <c r="E909" s="1055" t="s">
        <v>1381</v>
      </c>
      <c r="F909" s="1056">
        <v>0</v>
      </c>
      <c r="G909" s="1056">
        <v>0</v>
      </c>
      <c r="H909" s="1056">
        <v>99</v>
      </c>
      <c r="I909" s="1056">
        <v>-99</v>
      </c>
      <c r="K909" s="995">
        <f t="shared" si="14"/>
        <v>8</v>
      </c>
    </row>
    <row r="910" spans="1:11">
      <c r="A910" s="1054">
        <v>25300505</v>
      </c>
      <c r="B910" s="1055" t="s">
        <v>893</v>
      </c>
      <c r="C910" s="1055" t="s">
        <v>408</v>
      </c>
      <c r="D910" s="1055" t="s">
        <v>1044</v>
      </c>
      <c r="E910" s="1055" t="s">
        <v>1045</v>
      </c>
      <c r="F910" s="1056">
        <v>-941</v>
      </c>
      <c r="G910" s="1056">
        <v>0</v>
      </c>
      <c r="H910" s="1056">
        <v>13</v>
      </c>
      <c r="I910" s="1056">
        <v>-954</v>
      </c>
      <c r="K910" s="995">
        <f t="shared" si="14"/>
        <v>8</v>
      </c>
    </row>
    <row r="911" spans="1:11">
      <c r="A911" s="1054">
        <v>25300505</v>
      </c>
      <c r="B911" s="1055" t="s">
        <v>893</v>
      </c>
      <c r="C911" s="1055" t="s">
        <v>408</v>
      </c>
      <c r="D911" s="1055" t="s">
        <v>1395</v>
      </c>
      <c r="E911" s="1055" t="s">
        <v>1396</v>
      </c>
      <c r="F911" s="1056">
        <v>-449</v>
      </c>
      <c r="G911" s="1056">
        <v>0</v>
      </c>
      <c r="H911" s="1056">
        <v>0</v>
      </c>
      <c r="I911" s="1056">
        <v>-449</v>
      </c>
      <c r="K911" s="995">
        <f t="shared" si="14"/>
        <v>8</v>
      </c>
    </row>
    <row r="912" spans="1:11">
      <c r="A912" s="1054">
        <v>25300505</v>
      </c>
      <c r="B912" s="1055" t="s">
        <v>893</v>
      </c>
      <c r="C912" s="1055" t="s">
        <v>408</v>
      </c>
      <c r="D912" s="1055" t="s">
        <v>1382</v>
      </c>
      <c r="E912" s="1055" t="s">
        <v>1763</v>
      </c>
      <c r="F912" s="1056">
        <v>-995</v>
      </c>
      <c r="G912" s="1056">
        <v>0</v>
      </c>
      <c r="H912" s="1056">
        <v>199</v>
      </c>
      <c r="I912" s="1056">
        <v>-1194</v>
      </c>
      <c r="K912" s="995">
        <f t="shared" si="14"/>
        <v>8</v>
      </c>
    </row>
    <row r="913" spans="1:11">
      <c r="A913" s="1054">
        <v>25300505</v>
      </c>
      <c r="B913" s="1055" t="s">
        <v>893</v>
      </c>
      <c r="C913" s="1055" t="s">
        <v>408</v>
      </c>
      <c r="D913" s="1055" t="s">
        <v>1383</v>
      </c>
      <c r="E913" s="1055" t="s">
        <v>1384</v>
      </c>
      <c r="F913" s="1056">
        <v>-751</v>
      </c>
      <c r="G913" s="1056">
        <v>0</v>
      </c>
      <c r="H913" s="1056">
        <v>151</v>
      </c>
      <c r="I913" s="1056">
        <v>-902</v>
      </c>
      <c r="K913" s="995">
        <f t="shared" si="14"/>
        <v>8</v>
      </c>
    </row>
    <row r="914" spans="1:11">
      <c r="A914" s="1054">
        <v>25300510</v>
      </c>
      <c r="B914" s="1055" t="s">
        <v>893</v>
      </c>
      <c r="C914" s="1055" t="s">
        <v>353</v>
      </c>
      <c r="D914" s="1055" t="s">
        <v>893</v>
      </c>
      <c r="E914" s="1055" t="s">
        <v>893</v>
      </c>
      <c r="F914" s="1056">
        <v>4170</v>
      </c>
      <c r="G914" s="1056">
        <v>2749</v>
      </c>
      <c r="H914" s="1056">
        <v>0</v>
      </c>
      <c r="I914" s="1056">
        <v>6920</v>
      </c>
      <c r="K914" s="995">
        <f t="shared" si="14"/>
        <v>8</v>
      </c>
    </row>
    <row r="915" spans="1:11">
      <c r="A915" s="1054">
        <v>25300510</v>
      </c>
      <c r="B915" s="1055" t="s">
        <v>893</v>
      </c>
      <c r="C915" s="1055" t="s">
        <v>353</v>
      </c>
      <c r="D915" s="1055" t="s">
        <v>1385</v>
      </c>
      <c r="E915" s="1055" t="s">
        <v>1386</v>
      </c>
      <c r="F915" s="1056">
        <v>2</v>
      </c>
      <c r="G915" s="1056">
        <v>0</v>
      </c>
      <c r="H915" s="1056">
        <v>0</v>
      </c>
      <c r="I915" s="1056">
        <v>2</v>
      </c>
      <c r="K915" s="995">
        <f t="shared" si="14"/>
        <v>8</v>
      </c>
    </row>
    <row r="916" spans="1:11">
      <c r="A916" s="1054">
        <v>25300510</v>
      </c>
      <c r="B916" s="1055" t="s">
        <v>893</v>
      </c>
      <c r="C916" s="1055" t="s">
        <v>353</v>
      </c>
      <c r="D916" s="1055" t="s">
        <v>1397</v>
      </c>
      <c r="E916" s="1055" t="s">
        <v>1398</v>
      </c>
      <c r="F916" s="1056">
        <v>93</v>
      </c>
      <c r="G916" s="1056">
        <v>0</v>
      </c>
      <c r="H916" s="1056">
        <v>0</v>
      </c>
      <c r="I916" s="1056">
        <v>93</v>
      </c>
      <c r="K916" s="995">
        <f t="shared" si="14"/>
        <v>8</v>
      </c>
    </row>
    <row r="917" spans="1:11">
      <c r="A917" s="1054">
        <v>25300510</v>
      </c>
      <c r="B917" s="1055" t="s">
        <v>893</v>
      </c>
      <c r="C917" s="1055" t="s">
        <v>353</v>
      </c>
      <c r="D917" s="1055" t="s">
        <v>1042</v>
      </c>
      <c r="E917" s="1055" t="s">
        <v>1732</v>
      </c>
      <c r="F917" s="1056">
        <v>790</v>
      </c>
      <c r="G917" s="1056">
        <v>0</v>
      </c>
      <c r="H917" s="1056">
        <v>0</v>
      </c>
      <c r="I917" s="1056">
        <v>790</v>
      </c>
      <c r="K917" s="995">
        <f t="shared" si="14"/>
        <v>8</v>
      </c>
    </row>
    <row r="918" spans="1:11">
      <c r="A918" s="1054">
        <v>25300510</v>
      </c>
      <c r="B918" s="1055" t="s">
        <v>893</v>
      </c>
      <c r="C918" s="1055" t="s">
        <v>353</v>
      </c>
      <c r="D918" s="1055" t="s">
        <v>1611</v>
      </c>
      <c r="E918" s="1055" t="s">
        <v>1612</v>
      </c>
      <c r="F918" s="1056">
        <v>142</v>
      </c>
      <c r="G918" s="1056">
        <v>0</v>
      </c>
      <c r="H918" s="1056">
        <v>0</v>
      </c>
      <c r="I918" s="1056">
        <v>142</v>
      </c>
      <c r="K918" s="995">
        <f t="shared" si="14"/>
        <v>8</v>
      </c>
    </row>
    <row r="919" spans="1:11">
      <c r="A919" s="1054">
        <v>25300510</v>
      </c>
      <c r="B919" s="1055" t="s">
        <v>893</v>
      </c>
      <c r="C919" s="1055" t="s">
        <v>353</v>
      </c>
      <c r="D919" s="1055" t="s">
        <v>1246</v>
      </c>
      <c r="E919" s="1055" t="s">
        <v>743</v>
      </c>
      <c r="F919" s="1056">
        <v>135</v>
      </c>
      <c r="G919" s="1056">
        <v>0</v>
      </c>
      <c r="H919" s="1056">
        <v>0</v>
      </c>
      <c r="I919" s="1056">
        <v>135</v>
      </c>
      <c r="K919" s="995">
        <f t="shared" si="14"/>
        <v>8</v>
      </c>
    </row>
    <row r="920" spans="1:11">
      <c r="A920" s="1054">
        <v>25300510</v>
      </c>
      <c r="B920" s="1055" t="s">
        <v>893</v>
      </c>
      <c r="C920" s="1055" t="s">
        <v>353</v>
      </c>
      <c r="D920" s="1055" t="s">
        <v>1387</v>
      </c>
      <c r="E920" s="1055" t="s">
        <v>1388</v>
      </c>
      <c r="F920" s="1056">
        <v>40</v>
      </c>
      <c r="G920" s="1056">
        <v>0</v>
      </c>
      <c r="H920" s="1056">
        <v>0</v>
      </c>
      <c r="I920" s="1056">
        <v>40</v>
      </c>
      <c r="K920" s="995">
        <f t="shared" si="14"/>
        <v>8</v>
      </c>
    </row>
    <row r="921" spans="1:11">
      <c r="A921" s="1054">
        <v>25300510</v>
      </c>
      <c r="B921" s="1055" t="s">
        <v>893</v>
      </c>
      <c r="C921" s="1055" t="s">
        <v>353</v>
      </c>
      <c r="D921" s="1055" t="s">
        <v>1870</v>
      </c>
      <c r="E921" s="1055" t="s">
        <v>1871</v>
      </c>
      <c r="F921" s="1056">
        <v>0</v>
      </c>
      <c r="G921" s="1056">
        <v>952</v>
      </c>
      <c r="H921" s="1056">
        <v>0</v>
      </c>
      <c r="I921" s="1056">
        <v>952</v>
      </c>
      <c r="K921" s="995">
        <f t="shared" si="14"/>
        <v>8</v>
      </c>
    </row>
    <row r="922" spans="1:11">
      <c r="A922" s="1054">
        <v>25300510</v>
      </c>
      <c r="B922" s="1055" t="s">
        <v>893</v>
      </c>
      <c r="C922" s="1055" t="s">
        <v>353</v>
      </c>
      <c r="D922" s="1055" t="s">
        <v>1389</v>
      </c>
      <c r="E922" s="1055" t="s">
        <v>1390</v>
      </c>
      <c r="F922" s="1056">
        <v>149</v>
      </c>
      <c r="G922" s="1056">
        <v>0</v>
      </c>
      <c r="H922" s="1056">
        <v>0</v>
      </c>
      <c r="I922" s="1056">
        <v>149</v>
      </c>
      <c r="K922" s="995">
        <f t="shared" si="14"/>
        <v>8</v>
      </c>
    </row>
    <row r="923" spans="1:11">
      <c r="A923" s="1054">
        <v>25300510</v>
      </c>
      <c r="B923" s="1055" t="s">
        <v>893</v>
      </c>
      <c r="C923" s="1055" t="s">
        <v>353</v>
      </c>
      <c r="D923" s="1055" t="s">
        <v>1613</v>
      </c>
      <c r="E923" s="1055" t="s">
        <v>1614</v>
      </c>
      <c r="F923" s="1056">
        <v>0</v>
      </c>
      <c r="G923" s="1056">
        <v>755</v>
      </c>
      <c r="H923" s="1056">
        <v>0</v>
      </c>
      <c r="I923" s="1056">
        <v>755</v>
      </c>
      <c r="K923" s="995">
        <f t="shared" si="14"/>
        <v>8</v>
      </c>
    </row>
    <row r="924" spans="1:11">
      <c r="A924" s="1054">
        <v>25300510</v>
      </c>
      <c r="B924" s="1055" t="s">
        <v>893</v>
      </c>
      <c r="C924" s="1055" t="s">
        <v>353</v>
      </c>
      <c r="D924" s="1055" t="s">
        <v>1322</v>
      </c>
      <c r="E924" s="1055" t="s">
        <v>1323</v>
      </c>
      <c r="F924" s="1056">
        <v>556</v>
      </c>
      <c r="G924" s="1056">
        <v>0</v>
      </c>
      <c r="H924" s="1056">
        <v>0</v>
      </c>
      <c r="I924" s="1056">
        <v>556</v>
      </c>
      <c r="K924" s="995">
        <f t="shared" si="14"/>
        <v>8</v>
      </c>
    </row>
    <row r="925" spans="1:11">
      <c r="A925" s="1054">
        <v>25300510</v>
      </c>
      <c r="B925" s="1055" t="s">
        <v>893</v>
      </c>
      <c r="C925" s="1055" t="s">
        <v>353</v>
      </c>
      <c r="D925" s="1055" t="s">
        <v>1391</v>
      </c>
      <c r="E925" s="1055" t="s">
        <v>1392</v>
      </c>
      <c r="F925" s="1056">
        <v>1807</v>
      </c>
      <c r="G925" s="1056">
        <v>0</v>
      </c>
      <c r="H925" s="1056">
        <v>0</v>
      </c>
      <c r="I925" s="1056">
        <v>1807</v>
      </c>
      <c r="K925" s="995">
        <f t="shared" si="14"/>
        <v>8</v>
      </c>
    </row>
    <row r="926" spans="1:11">
      <c r="A926" s="1054">
        <v>25300510</v>
      </c>
      <c r="B926" s="1055" t="s">
        <v>893</v>
      </c>
      <c r="C926" s="1055" t="s">
        <v>353</v>
      </c>
      <c r="D926" s="1055" t="s">
        <v>1378</v>
      </c>
      <c r="E926" s="1055" t="s">
        <v>1379</v>
      </c>
      <c r="F926" s="1056">
        <v>0</v>
      </c>
      <c r="G926" s="1056">
        <v>88</v>
      </c>
      <c r="H926" s="1056">
        <v>0</v>
      </c>
      <c r="I926" s="1056">
        <v>88</v>
      </c>
      <c r="K926" s="995">
        <f t="shared" si="14"/>
        <v>8</v>
      </c>
    </row>
    <row r="927" spans="1:11">
      <c r="A927" s="1054">
        <v>25300510</v>
      </c>
      <c r="B927" s="1055" t="s">
        <v>893</v>
      </c>
      <c r="C927" s="1055" t="s">
        <v>353</v>
      </c>
      <c r="D927" s="1055" t="s">
        <v>1393</v>
      </c>
      <c r="E927" s="1055" t="s">
        <v>1394</v>
      </c>
      <c r="F927" s="1056">
        <v>6</v>
      </c>
      <c r="G927" s="1056">
        <v>0</v>
      </c>
      <c r="H927" s="1056">
        <v>0</v>
      </c>
      <c r="I927" s="1056">
        <v>6</v>
      </c>
      <c r="K927" s="995">
        <f t="shared" si="14"/>
        <v>8</v>
      </c>
    </row>
    <row r="928" spans="1:11">
      <c r="A928" s="1054">
        <v>25300510</v>
      </c>
      <c r="B928" s="1055" t="s">
        <v>893</v>
      </c>
      <c r="C928" s="1055" t="s">
        <v>353</v>
      </c>
      <c r="D928" s="1055" t="s">
        <v>1044</v>
      </c>
      <c r="E928" s="1055" t="s">
        <v>1045</v>
      </c>
      <c r="F928" s="1056">
        <v>0</v>
      </c>
      <c r="G928" s="1056">
        <v>954</v>
      </c>
      <c r="H928" s="1056">
        <v>0</v>
      </c>
      <c r="I928" s="1056">
        <v>954</v>
      </c>
      <c r="K928" s="995">
        <f t="shared" si="14"/>
        <v>8</v>
      </c>
    </row>
    <row r="929" spans="1:11">
      <c r="A929" s="1054">
        <v>25300510</v>
      </c>
      <c r="B929" s="1055" t="s">
        <v>893</v>
      </c>
      <c r="C929" s="1055" t="s">
        <v>353</v>
      </c>
      <c r="D929" s="1055" t="s">
        <v>1395</v>
      </c>
      <c r="E929" s="1055" t="s">
        <v>1396</v>
      </c>
      <c r="F929" s="1056">
        <v>449</v>
      </c>
      <c r="G929" s="1056">
        <v>0</v>
      </c>
      <c r="H929" s="1056">
        <v>0</v>
      </c>
      <c r="I929" s="1056">
        <v>449</v>
      </c>
      <c r="K929" s="995">
        <f t="shared" si="14"/>
        <v>8</v>
      </c>
    </row>
    <row r="930" spans="1:11">
      <c r="A930" s="1054">
        <v>253010</v>
      </c>
      <c r="B930" s="1055" t="s">
        <v>893</v>
      </c>
      <c r="C930" s="1055" t="s">
        <v>349</v>
      </c>
      <c r="D930" s="1055" t="s">
        <v>893</v>
      </c>
      <c r="E930" s="1055" t="s">
        <v>893</v>
      </c>
      <c r="F930" s="1056">
        <v>-1492</v>
      </c>
      <c r="G930" s="1056">
        <v>145</v>
      </c>
      <c r="H930" s="1056">
        <v>599</v>
      </c>
      <c r="I930" s="1056">
        <v>-1946</v>
      </c>
      <c r="K930" s="995">
        <f t="shared" si="14"/>
        <v>6</v>
      </c>
    </row>
    <row r="931" spans="1:11">
      <c r="A931" s="1054">
        <v>25301005</v>
      </c>
      <c r="B931" s="1055" t="s">
        <v>893</v>
      </c>
      <c r="C931" s="1055" t="s">
        <v>409</v>
      </c>
      <c r="D931" s="1055" t="s">
        <v>893</v>
      </c>
      <c r="E931" s="1055" t="s">
        <v>893</v>
      </c>
      <c r="F931" s="1056">
        <v>-1567</v>
      </c>
      <c r="G931" s="1056">
        <v>0</v>
      </c>
      <c r="H931" s="1056">
        <v>599</v>
      </c>
      <c r="I931" s="1056">
        <v>-2167</v>
      </c>
      <c r="K931" s="995">
        <f t="shared" si="14"/>
        <v>8</v>
      </c>
    </row>
    <row r="932" spans="1:11">
      <c r="A932" s="1054">
        <v>25301005</v>
      </c>
      <c r="B932" s="1055" t="s">
        <v>893</v>
      </c>
      <c r="C932" s="1055" t="s">
        <v>409</v>
      </c>
      <c r="D932" s="1055" t="s">
        <v>1360</v>
      </c>
      <c r="E932" s="1055" t="s">
        <v>1361</v>
      </c>
      <c r="F932" s="1056">
        <v>-43</v>
      </c>
      <c r="G932" s="1056">
        <v>0</v>
      </c>
      <c r="H932" s="1056">
        <v>19</v>
      </c>
      <c r="I932" s="1056">
        <v>-63</v>
      </c>
      <c r="K932" s="995">
        <f t="shared" si="14"/>
        <v>8</v>
      </c>
    </row>
    <row r="933" spans="1:11">
      <c r="A933" s="1054">
        <v>25301005</v>
      </c>
      <c r="B933" s="1055" t="s">
        <v>893</v>
      </c>
      <c r="C933" s="1055" t="s">
        <v>409</v>
      </c>
      <c r="D933" s="1055" t="s">
        <v>1298</v>
      </c>
      <c r="E933" s="1055" t="s">
        <v>987</v>
      </c>
      <c r="F933" s="1056">
        <v>-45</v>
      </c>
      <c r="G933" s="1056">
        <v>0</v>
      </c>
      <c r="H933" s="1056">
        <v>22</v>
      </c>
      <c r="I933" s="1056">
        <v>-67</v>
      </c>
      <c r="K933" s="995">
        <f t="shared" si="14"/>
        <v>8</v>
      </c>
    </row>
    <row r="934" spans="1:11">
      <c r="A934" s="1054">
        <v>25301005</v>
      </c>
      <c r="B934" s="1055" t="s">
        <v>893</v>
      </c>
      <c r="C934" s="1055" t="s">
        <v>409</v>
      </c>
      <c r="D934" s="1055" t="s">
        <v>1397</v>
      </c>
      <c r="E934" s="1055" t="s">
        <v>1398</v>
      </c>
      <c r="F934" s="1056">
        <v>0</v>
      </c>
      <c r="G934" s="1056">
        <v>0</v>
      </c>
      <c r="H934" s="1056">
        <v>0</v>
      </c>
      <c r="I934" s="1056">
        <v>0</v>
      </c>
      <c r="K934" s="995">
        <f t="shared" si="14"/>
        <v>8</v>
      </c>
    </row>
    <row r="935" spans="1:11">
      <c r="A935" s="1054">
        <v>25301005</v>
      </c>
      <c r="B935" s="1055" t="s">
        <v>893</v>
      </c>
      <c r="C935" s="1055" t="s">
        <v>409</v>
      </c>
      <c r="D935" s="1055" t="s">
        <v>1362</v>
      </c>
      <c r="E935" s="1055" t="s">
        <v>1363</v>
      </c>
      <c r="F935" s="1056">
        <v>-38</v>
      </c>
      <c r="G935" s="1056">
        <v>0</v>
      </c>
      <c r="H935" s="1056">
        <v>16</v>
      </c>
      <c r="I935" s="1056">
        <v>-54</v>
      </c>
      <c r="K935" s="995">
        <f t="shared" si="14"/>
        <v>8</v>
      </c>
    </row>
    <row r="936" spans="1:11">
      <c r="A936" s="1054">
        <v>25301005</v>
      </c>
      <c r="B936" s="1055" t="s">
        <v>893</v>
      </c>
      <c r="C936" s="1055" t="s">
        <v>409</v>
      </c>
      <c r="D936" s="1055" t="s">
        <v>1364</v>
      </c>
      <c r="E936" s="1055" t="s">
        <v>1365</v>
      </c>
      <c r="F936" s="1056">
        <v>-44</v>
      </c>
      <c r="G936" s="1056">
        <v>0</v>
      </c>
      <c r="H936" s="1056">
        <v>19</v>
      </c>
      <c r="I936" s="1056">
        <v>-63</v>
      </c>
      <c r="K936" s="995">
        <f t="shared" si="14"/>
        <v>8</v>
      </c>
    </row>
    <row r="937" spans="1:11">
      <c r="A937" s="1054">
        <v>25301005</v>
      </c>
      <c r="B937" s="1055" t="s">
        <v>893</v>
      </c>
      <c r="C937" s="1055" t="s">
        <v>409</v>
      </c>
      <c r="D937" s="1055" t="s">
        <v>1601</v>
      </c>
      <c r="E937" s="1055" t="s">
        <v>1602</v>
      </c>
      <c r="F937" s="1056">
        <v>-46</v>
      </c>
      <c r="G937" s="1056">
        <v>0</v>
      </c>
      <c r="H937" s="1056">
        <v>51</v>
      </c>
      <c r="I937" s="1056">
        <v>-96</v>
      </c>
      <c r="K937" s="995">
        <f t="shared" si="14"/>
        <v>8</v>
      </c>
    </row>
    <row r="938" spans="1:11">
      <c r="A938" s="1054">
        <v>25301005</v>
      </c>
      <c r="B938" s="1055" t="s">
        <v>893</v>
      </c>
      <c r="C938" s="1055" t="s">
        <v>409</v>
      </c>
      <c r="D938" s="1055" t="s">
        <v>1270</v>
      </c>
      <c r="E938" s="1055" t="s">
        <v>988</v>
      </c>
      <c r="F938" s="1056">
        <v>-50</v>
      </c>
      <c r="G938" s="1056">
        <v>0</v>
      </c>
      <c r="H938" s="1056">
        <v>22</v>
      </c>
      <c r="I938" s="1056">
        <v>-72</v>
      </c>
      <c r="K938" s="995">
        <f t="shared" si="14"/>
        <v>8</v>
      </c>
    </row>
    <row r="939" spans="1:11">
      <c r="A939" s="1054">
        <v>25301005</v>
      </c>
      <c r="B939" s="1055" t="s">
        <v>893</v>
      </c>
      <c r="C939" s="1055" t="s">
        <v>409</v>
      </c>
      <c r="D939" s="1055" t="s">
        <v>1271</v>
      </c>
      <c r="E939" s="1055" t="s">
        <v>782</v>
      </c>
      <c r="F939" s="1056">
        <v>-49</v>
      </c>
      <c r="G939" s="1056">
        <v>0</v>
      </c>
      <c r="H939" s="1056">
        <v>22</v>
      </c>
      <c r="I939" s="1056">
        <v>-71</v>
      </c>
      <c r="K939" s="995">
        <f t="shared" si="14"/>
        <v>8</v>
      </c>
    </row>
    <row r="940" spans="1:11">
      <c r="A940" s="1054">
        <v>25301005</v>
      </c>
      <c r="B940" s="1055" t="s">
        <v>893</v>
      </c>
      <c r="C940" s="1055" t="s">
        <v>409</v>
      </c>
      <c r="D940" s="1055" t="s">
        <v>1366</v>
      </c>
      <c r="E940" s="1055" t="s">
        <v>1367</v>
      </c>
      <c r="F940" s="1056">
        <v>-39</v>
      </c>
      <c r="G940" s="1056">
        <v>0</v>
      </c>
      <c r="H940" s="1056">
        <v>17</v>
      </c>
      <c r="I940" s="1056">
        <v>-56</v>
      </c>
      <c r="K940" s="995">
        <f t="shared" si="14"/>
        <v>8</v>
      </c>
    </row>
    <row r="941" spans="1:11">
      <c r="A941" s="1054">
        <v>25301005</v>
      </c>
      <c r="B941" s="1055" t="s">
        <v>893</v>
      </c>
      <c r="C941" s="1055" t="s">
        <v>409</v>
      </c>
      <c r="D941" s="1055" t="s">
        <v>1302</v>
      </c>
      <c r="E941" s="1055" t="s">
        <v>986</v>
      </c>
      <c r="F941" s="1056">
        <v>-38</v>
      </c>
      <c r="G941" s="1056">
        <v>0</v>
      </c>
      <c r="H941" s="1056">
        <v>16</v>
      </c>
      <c r="I941" s="1056">
        <v>-54</v>
      </c>
      <c r="K941" s="995">
        <f t="shared" si="14"/>
        <v>8</v>
      </c>
    </row>
    <row r="942" spans="1:11">
      <c r="A942" s="1054">
        <v>25301005</v>
      </c>
      <c r="B942" s="1055" t="s">
        <v>893</v>
      </c>
      <c r="C942" s="1055" t="s">
        <v>409</v>
      </c>
      <c r="D942" s="1055" t="s">
        <v>1042</v>
      </c>
      <c r="E942" s="1055" t="s">
        <v>1732</v>
      </c>
      <c r="F942" s="1056">
        <v>-36</v>
      </c>
      <c r="G942" s="1056">
        <v>0</v>
      </c>
      <c r="H942" s="1056">
        <v>0</v>
      </c>
      <c r="I942" s="1056">
        <v>-36</v>
      </c>
      <c r="K942" s="995">
        <f t="shared" si="14"/>
        <v>8</v>
      </c>
    </row>
    <row r="943" spans="1:11">
      <c r="A943" s="1054">
        <v>25301005</v>
      </c>
      <c r="B943" s="1055" t="s">
        <v>893</v>
      </c>
      <c r="C943" s="1055" t="s">
        <v>409</v>
      </c>
      <c r="D943" s="1055" t="s">
        <v>1611</v>
      </c>
      <c r="E943" s="1055" t="s">
        <v>1612</v>
      </c>
      <c r="F943" s="1056">
        <v>-1</v>
      </c>
      <c r="G943" s="1056">
        <v>0</v>
      </c>
      <c r="H943" s="1056">
        <v>0</v>
      </c>
      <c r="I943" s="1056">
        <v>-1</v>
      </c>
      <c r="K943" s="995">
        <f t="shared" si="14"/>
        <v>8</v>
      </c>
    </row>
    <row r="944" spans="1:11">
      <c r="A944" s="1054">
        <v>25301005</v>
      </c>
      <c r="B944" s="1055" t="s">
        <v>893</v>
      </c>
      <c r="C944" s="1055" t="s">
        <v>409</v>
      </c>
      <c r="D944" s="1055" t="s">
        <v>1368</v>
      </c>
      <c r="E944" s="1055" t="s">
        <v>1369</v>
      </c>
      <c r="F944" s="1056">
        <v>-3</v>
      </c>
      <c r="G944" s="1056">
        <v>0</v>
      </c>
      <c r="H944" s="1056">
        <v>6</v>
      </c>
      <c r="I944" s="1056">
        <v>-8</v>
      </c>
      <c r="K944" s="995">
        <f t="shared" si="14"/>
        <v>8</v>
      </c>
    </row>
    <row r="945" spans="1:11">
      <c r="A945" s="1054">
        <v>25301005</v>
      </c>
      <c r="B945" s="1055" t="s">
        <v>893</v>
      </c>
      <c r="C945" s="1055" t="s">
        <v>409</v>
      </c>
      <c r="D945" s="1055" t="s">
        <v>1246</v>
      </c>
      <c r="E945" s="1055" t="s">
        <v>743</v>
      </c>
      <c r="F945" s="1056">
        <v>-177</v>
      </c>
      <c r="G945" s="1056">
        <v>0</v>
      </c>
      <c r="H945" s="1056">
        <v>0</v>
      </c>
      <c r="I945" s="1056">
        <v>-177</v>
      </c>
      <c r="K945" s="995">
        <f t="shared" si="14"/>
        <v>8</v>
      </c>
    </row>
    <row r="946" spans="1:11">
      <c r="A946" s="1054">
        <v>25301005</v>
      </c>
      <c r="B946" s="1055" t="s">
        <v>893</v>
      </c>
      <c r="C946" s="1055" t="s">
        <v>409</v>
      </c>
      <c r="D946" s="1055" t="s">
        <v>1320</v>
      </c>
      <c r="E946" s="1055" t="s">
        <v>1321</v>
      </c>
      <c r="F946" s="1056">
        <v>-38</v>
      </c>
      <c r="G946" s="1056">
        <v>0</v>
      </c>
      <c r="H946" s="1056">
        <v>18</v>
      </c>
      <c r="I946" s="1056">
        <v>-55</v>
      </c>
      <c r="K946" s="995">
        <f t="shared" si="14"/>
        <v>8</v>
      </c>
    </row>
    <row r="947" spans="1:11">
      <c r="A947" s="1054">
        <v>25301005</v>
      </c>
      <c r="B947" s="1055" t="s">
        <v>893</v>
      </c>
      <c r="C947" s="1055" t="s">
        <v>409</v>
      </c>
      <c r="D947" s="1055" t="s">
        <v>1274</v>
      </c>
      <c r="E947" s="1055" t="s">
        <v>989</v>
      </c>
      <c r="F947" s="1056">
        <v>-55</v>
      </c>
      <c r="G947" s="1056">
        <v>0</v>
      </c>
      <c r="H947" s="1056">
        <v>24</v>
      </c>
      <c r="I947" s="1056">
        <v>-79</v>
      </c>
      <c r="K947" s="995">
        <f t="shared" si="14"/>
        <v>8</v>
      </c>
    </row>
    <row r="948" spans="1:11">
      <c r="A948" s="1054">
        <v>25301005</v>
      </c>
      <c r="B948" s="1055" t="s">
        <v>893</v>
      </c>
      <c r="C948" s="1055" t="s">
        <v>409</v>
      </c>
      <c r="D948" s="1055" t="s">
        <v>1247</v>
      </c>
      <c r="E948" s="1055" t="s">
        <v>1248</v>
      </c>
      <c r="F948" s="1056">
        <v>-42</v>
      </c>
      <c r="G948" s="1056">
        <v>0</v>
      </c>
      <c r="H948" s="1056">
        <v>20</v>
      </c>
      <c r="I948" s="1056">
        <v>-62</v>
      </c>
      <c r="K948" s="995">
        <f t="shared" si="14"/>
        <v>8</v>
      </c>
    </row>
    <row r="949" spans="1:11">
      <c r="A949" s="1054">
        <v>25301005</v>
      </c>
      <c r="B949" s="1055" t="s">
        <v>893</v>
      </c>
      <c r="C949" s="1055" t="s">
        <v>409</v>
      </c>
      <c r="D949" s="1055" t="s">
        <v>1387</v>
      </c>
      <c r="E949" s="1055" t="s">
        <v>1388</v>
      </c>
      <c r="F949" s="1056">
        <v>0</v>
      </c>
      <c r="G949" s="1056">
        <v>0</v>
      </c>
      <c r="H949" s="1056">
        <v>0</v>
      </c>
      <c r="I949" s="1056">
        <v>0</v>
      </c>
      <c r="K949" s="995">
        <f t="shared" si="14"/>
        <v>8</v>
      </c>
    </row>
    <row r="950" spans="1:11">
      <c r="A950" s="1054">
        <v>25301005</v>
      </c>
      <c r="B950" s="1055" t="s">
        <v>893</v>
      </c>
      <c r="C950" s="1055" t="s">
        <v>409</v>
      </c>
      <c r="D950" s="1055" t="s">
        <v>1370</v>
      </c>
      <c r="E950" s="1055" t="s">
        <v>1371</v>
      </c>
      <c r="F950" s="1056">
        <v>-41</v>
      </c>
      <c r="G950" s="1056">
        <v>0</v>
      </c>
      <c r="H950" s="1056">
        <v>18</v>
      </c>
      <c r="I950" s="1056">
        <v>-58</v>
      </c>
      <c r="K950" s="995">
        <f t="shared" si="14"/>
        <v>8</v>
      </c>
    </row>
    <row r="951" spans="1:11">
      <c r="A951" s="1054">
        <v>25301005</v>
      </c>
      <c r="B951" s="1055" t="s">
        <v>893</v>
      </c>
      <c r="C951" s="1055" t="s">
        <v>409</v>
      </c>
      <c r="D951" s="1055" t="s">
        <v>1870</v>
      </c>
      <c r="E951" s="1055" t="s">
        <v>1871</v>
      </c>
      <c r="F951" s="1056">
        <v>-42</v>
      </c>
      <c r="G951" s="1056">
        <v>0</v>
      </c>
      <c r="H951" s="1056">
        <v>11</v>
      </c>
      <c r="I951" s="1056">
        <v>-53</v>
      </c>
      <c r="K951" s="995">
        <f t="shared" si="14"/>
        <v>8</v>
      </c>
    </row>
    <row r="952" spans="1:11">
      <c r="A952" s="1054">
        <v>25301005</v>
      </c>
      <c r="B952" s="1055" t="s">
        <v>893</v>
      </c>
      <c r="C952" s="1055" t="s">
        <v>409</v>
      </c>
      <c r="D952" s="1055" t="s">
        <v>1372</v>
      </c>
      <c r="E952" s="1055" t="s">
        <v>1373</v>
      </c>
      <c r="F952" s="1056">
        <v>-39</v>
      </c>
      <c r="G952" s="1056">
        <v>0</v>
      </c>
      <c r="H952" s="1056">
        <v>17</v>
      </c>
      <c r="I952" s="1056">
        <v>-57</v>
      </c>
      <c r="K952" s="995">
        <f t="shared" si="14"/>
        <v>8</v>
      </c>
    </row>
    <row r="953" spans="1:11">
      <c r="A953" s="1054">
        <v>25301005</v>
      </c>
      <c r="B953" s="1055" t="s">
        <v>893</v>
      </c>
      <c r="C953" s="1055" t="s">
        <v>409</v>
      </c>
      <c r="D953" s="1055" t="s">
        <v>1785</v>
      </c>
      <c r="E953" s="1055" t="s">
        <v>1786</v>
      </c>
      <c r="F953" s="1056">
        <v>-37</v>
      </c>
      <c r="G953" s="1056">
        <v>0</v>
      </c>
      <c r="H953" s="1056">
        <v>16</v>
      </c>
      <c r="I953" s="1056">
        <v>-53</v>
      </c>
      <c r="K953" s="995">
        <f t="shared" si="14"/>
        <v>8</v>
      </c>
    </row>
    <row r="954" spans="1:11">
      <c r="A954" s="1054">
        <v>25301005</v>
      </c>
      <c r="B954" s="1055" t="s">
        <v>893</v>
      </c>
      <c r="C954" s="1055" t="s">
        <v>409</v>
      </c>
      <c r="D954" s="1055" t="s">
        <v>1374</v>
      </c>
      <c r="E954" s="1055" t="s">
        <v>1375</v>
      </c>
      <c r="F954" s="1056">
        <v>-2</v>
      </c>
      <c r="G954" s="1056">
        <v>0</v>
      </c>
      <c r="H954" s="1056">
        <v>5</v>
      </c>
      <c r="I954" s="1056">
        <v>-8</v>
      </c>
      <c r="K954" s="995">
        <f t="shared" si="14"/>
        <v>8</v>
      </c>
    </row>
    <row r="955" spans="1:11">
      <c r="A955" s="1054">
        <v>25301005</v>
      </c>
      <c r="B955" s="1055" t="s">
        <v>893</v>
      </c>
      <c r="C955" s="1055" t="s">
        <v>409</v>
      </c>
      <c r="D955" s="1055" t="s">
        <v>1389</v>
      </c>
      <c r="E955" s="1055" t="s">
        <v>1390</v>
      </c>
      <c r="F955" s="1056">
        <v>-1</v>
      </c>
      <c r="G955" s="1056">
        <v>0</v>
      </c>
      <c r="H955" s="1056">
        <v>0</v>
      </c>
      <c r="I955" s="1056">
        <v>-1</v>
      </c>
      <c r="K955" s="995">
        <f t="shared" si="14"/>
        <v>8</v>
      </c>
    </row>
    <row r="956" spans="1:11">
      <c r="A956" s="1054">
        <v>25301005</v>
      </c>
      <c r="B956" s="1055" t="s">
        <v>893</v>
      </c>
      <c r="C956" s="1055" t="s">
        <v>409</v>
      </c>
      <c r="D956" s="1055" t="s">
        <v>1249</v>
      </c>
      <c r="E956" s="1055" t="s">
        <v>583</v>
      </c>
      <c r="F956" s="1056">
        <v>-64</v>
      </c>
      <c r="G956" s="1056">
        <v>0</v>
      </c>
      <c r="H956" s="1056">
        <v>28</v>
      </c>
      <c r="I956" s="1056">
        <v>-93</v>
      </c>
      <c r="K956" s="995">
        <f t="shared" si="14"/>
        <v>8</v>
      </c>
    </row>
    <row r="957" spans="1:11">
      <c r="A957" s="1054">
        <v>25301005</v>
      </c>
      <c r="B957" s="1055" t="s">
        <v>893</v>
      </c>
      <c r="C957" s="1055" t="s">
        <v>409</v>
      </c>
      <c r="D957" s="1055" t="s">
        <v>1376</v>
      </c>
      <c r="E957" s="1055" t="s">
        <v>1377</v>
      </c>
      <c r="F957" s="1056">
        <v>-41</v>
      </c>
      <c r="G957" s="1056">
        <v>0</v>
      </c>
      <c r="H957" s="1056">
        <v>19</v>
      </c>
      <c r="I957" s="1056">
        <v>-60</v>
      </c>
      <c r="K957" s="995">
        <f t="shared" si="14"/>
        <v>8</v>
      </c>
    </row>
    <row r="958" spans="1:11">
      <c r="A958" s="1054">
        <v>25301005</v>
      </c>
      <c r="B958" s="1055" t="s">
        <v>893</v>
      </c>
      <c r="C958" s="1055" t="s">
        <v>409</v>
      </c>
      <c r="D958" s="1055" t="s">
        <v>1613</v>
      </c>
      <c r="E958" s="1055" t="s">
        <v>1614</v>
      </c>
      <c r="F958" s="1056">
        <v>0</v>
      </c>
      <c r="G958" s="1056">
        <v>0</v>
      </c>
      <c r="H958" s="1056">
        <v>4</v>
      </c>
      <c r="I958" s="1056">
        <v>-4</v>
      </c>
      <c r="K958" s="995">
        <f t="shared" si="14"/>
        <v>8</v>
      </c>
    </row>
    <row r="959" spans="1:11">
      <c r="A959" s="1054">
        <v>25301005</v>
      </c>
      <c r="B959" s="1055" t="s">
        <v>893</v>
      </c>
      <c r="C959" s="1055" t="s">
        <v>409</v>
      </c>
      <c r="D959" s="1055" t="s">
        <v>1305</v>
      </c>
      <c r="E959" s="1055" t="s">
        <v>990</v>
      </c>
      <c r="F959" s="1056">
        <v>-47</v>
      </c>
      <c r="G959" s="1056">
        <v>0</v>
      </c>
      <c r="H959" s="1056">
        <v>20</v>
      </c>
      <c r="I959" s="1056">
        <v>-67</v>
      </c>
      <c r="K959" s="995">
        <f t="shared" si="14"/>
        <v>8</v>
      </c>
    </row>
    <row r="960" spans="1:11">
      <c r="A960" s="1054">
        <v>25301005</v>
      </c>
      <c r="B960" s="1055" t="s">
        <v>893</v>
      </c>
      <c r="C960" s="1055" t="s">
        <v>409</v>
      </c>
      <c r="D960" s="1055" t="s">
        <v>1306</v>
      </c>
      <c r="E960" s="1055" t="s">
        <v>997</v>
      </c>
      <c r="F960" s="1056">
        <v>-42</v>
      </c>
      <c r="G960" s="1056">
        <v>0</v>
      </c>
      <c r="H960" s="1056">
        <v>20</v>
      </c>
      <c r="I960" s="1056">
        <v>-62</v>
      </c>
      <c r="K960" s="995">
        <f t="shared" si="14"/>
        <v>8</v>
      </c>
    </row>
    <row r="961" spans="1:11">
      <c r="A961" s="1054">
        <v>25301005</v>
      </c>
      <c r="B961" s="1055" t="s">
        <v>893</v>
      </c>
      <c r="C961" s="1055" t="s">
        <v>409</v>
      </c>
      <c r="D961" s="1055" t="s">
        <v>1322</v>
      </c>
      <c r="E961" s="1055" t="s">
        <v>1323</v>
      </c>
      <c r="F961" s="1056">
        <v>-22</v>
      </c>
      <c r="G961" s="1056">
        <v>0</v>
      </c>
      <c r="H961" s="1056">
        <v>0</v>
      </c>
      <c r="I961" s="1056">
        <v>-22</v>
      </c>
      <c r="K961" s="995">
        <f t="shared" si="14"/>
        <v>8</v>
      </c>
    </row>
    <row r="962" spans="1:11">
      <c r="A962" s="1054">
        <v>25301005</v>
      </c>
      <c r="B962" s="1055" t="s">
        <v>893</v>
      </c>
      <c r="C962" s="1055" t="s">
        <v>409</v>
      </c>
      <c r="D962" s="1055" t="s">
        <v>1391</v>
      </c>
      <c r="E962" s="1055" t="s">
        <v>1392</v>
      </c>
      <c r="F962" s="1056">
        <v>0</v>
      </c>
      <c r="G962" s="1056">
        <v>0</v>
      </c>
      <c r="H962" s="1056">
        <v>0</v>
      </c>
      <c r="I962" s="1056">
        <v>0</v>
      </c>
      <c r="K962" s="995">
        <f t="shared" si="14"/>
        <v>8</v>
      </c>
    </row>
    <row r="963" spans="1:11">
      <c r="A963" s="1054">
        <v>25301005</v>
      </c>
      <c r="B963" s="1055" t="s">
        <v>893</v>
      </c>
      <c r="C963" s="1055" t="s">
        <v>409</v>
      </c>
      <c r="D963" s="1055" t="s">
        <v>1250</v>
      </c>
      <c r="E963" s="1055" t="s">
        <v>1251</v>
      </c>
      <c r="F963" s="1056">
        <v>-42</v>
      </c>
      <c r="G963" s="1056">
        <v>0</v>
      </c>
      <c r="H963" s="1056">
        <v>18</v>
      </c>
      <c r="I963" s="1056">
        <v>-61</v>
      </c>
      <c r="K963" s="995">
        <f t="shared" si="14"/>
        <v>8</v>
      </c>
    </row>
    <row r="964" spans="1:11">
      <c r="A964" s="1054">
        <v>25301005</v>
      </c>
      <c r="B964" s="1055" t="s">
        <v>893</v>
      </c>
      <c r="C964" s="1055" t="s">
        <v>409</v>
      </c>
      <c r="D964" s="1055" t="s">
        <v>1787</v>
      </c>
      <c r="E964" s="1055" t="s">
        <v>1788</v>
      </c>
      <c r="F964" s="1056">
        <v>-3</v>
      </c>
      <c r="G964" s="1056">
        <v>0</v>
      </c>
      <c r="H964" s="1056">
        <v>6</v>
      </c>
      <c r="I964" s="1056">
        <v>-9</v>
      </c>
      <c r="K964" s="995">
        <f t="shared" si="14"/>
        <v>8</v>
      </c>
    </row>
    <row r="965" spans="1:11">
      <c r="A965" s="1054">
        <v>25301005</v>
      </c>
      <c r="B965" s="1055" t="s">
        <v>893</v>
      </c>
      <c r="C965" s="1055" t="s">
        <v>409</v>
      </c>
      <c r="D965" s="1055" t="s">
        <v>1378</v>
      </c>
      <c r="E965" s="1055" t="s">
        <v>1379</v>
      </c>
      <c r="F965" s="1056">
        <v>-40</v>
      </c>
      <c r="G965" s="1056">
        <v>0</v>
      </c>
      <c r="H965" s="1056">
        <v>0</v>
      </c>
      <c r="I965" s="1056">
        <v>-40</v>
      </c>
      <c r="K965" s="995">
        <f t="shared" ref="K965:K1028" si="15">+LEN(A965)</f>
        <v>8</v>
      </c>
    </row>
    <row r="966" spans="1:11">
      <c r="A966" s="1054">
        <v>25301005</v>
      </c>
      <c r="B966" s="1055" t="s">
        <v>893</v>
      </c>
      <c r="C966" s="1055" t="s">
        <v>409</v>
      </c>
      <c r="D966" s="1055" t="s">
        <v>1303</v>
      </c>
      <c r="E966" s="1055" t="s">
        <v>806</v>
      </c>
      <c r="F966" s="1056">
        <v>-38</v>
      </c>
      <c r="G966" s="1056">
        <v>0</v>
      </c>
      <c r="H966" s="1056">
        <v>16</v>
      </c>
      <c r="I966" s="1056">
        <v>-54</v>
      </c>
      <c r="K966" s="995">
        <f t="shared" si="15"/>
        <v>8</v>
      </c>
    </row>
    <row r="967" spans="1:11">
      <c r="A967" s="1054">
        <v>25301005</v>
      </c>
      <c r="B967" s="1055" t="s">
        <v>893</v>
      </c>
      <c r="C967" s="1055" t="s">
        <v>409</v>
      </c>
      <c r="D967" s="1055" t="s">
        <v>1605</v>
      </c>
      <c r="E967" s="1055" t="s">
        <v>1606</v>
      </c>
      <c r="F967" s="1056">
        <v>-48</v>
      </c>
      <c r="G967" s="1056">
        <v>0</v>
      </c>
      <c r="H967" s="1056">
        <v>23</v>
      </c>
      <c r="I967" s="1056">
        <v>-71</v>
      </c>
      <c r="K967" s="995">
        <f t="shared" si="15"/>
        <v>8</v>
      </c>
    </row>
    <row r="968" spans="1:11">
      <c r="A968" s="1054">
        <v>25301005</v>
      </c>
      <c r="B968" s="1055" t="s">
        <v>893</v>
      </c>
      <c r="C968" s="1055" t="s">
        <v>409</v>
      </c>
      <c r="D968" s="1055" t="s">
        <v>1789</v>
      </c>
      <c r="E968" s="1055" t="s">
        <v>1790</v>
      </c>
      <c r="F968" s="1056">
        <v>-39</v>
      </c>
      <c r="G968" s="1056">
        <v>0</v>
      </c>
      <c r="H968" s="1056">
        <v>17</v>
      </c>
      <c r="I968" s="1056">
        <v>-56</v>
      </c>
      <c r="K968" s="995">
        <f t="shared" si="15"/>
        <v>8</v>
      </c>
    </row>
    <row r="969" spans="1:11">
      <c r="A969" s="1054">
        <v>25301005</v>
      </c>
      <c r="B969" s="1055" t="s">
        <v>893</v>
      </c>
      <c r="C969" s="1055" t="s">
        <v>409</v>
      </c>
      <c r="D969" s="1055" t="s">
        <v>1254</v>
      </c>
      <c r="E969" s="1055" t="s">
        <v>744</v>
      </c>
      <c r="F969" s="1056">
        <v>-46</v>
      </c>
      <c r="G969" s="1056">
        <v>0</v>
      </c>
      <c r="H969" s="1056">
        <v>21</v>
      </c>
      <c r="I969" s="1056">
        <v>-67</v>
      </c>
      <c r="K969" s="995">
        <f t="shared" si="15"/>
        <v>8</v>
      </c>
    </row>
    <row r="970" spans="1:11">
      <c r="A970" s="1054">
        <v>25301005</v>
      </c>
      <c r="B970" s="1055" t="s">
        <v>893</v>
      </c>
      <c r="C970" s="1055" t="s">
        <v>409</v>
      </c>
      <c r="D970" s="1055" t="s">
        <v>1275</v>
      </c>
      <c r="E970" s="1055" t="s">
        <v>991</v>
      </c>
      <c r="F970" s="1056">
        <v>-40</v>
      </c>
      <c r="G970" s="1056">
        <v>0</v>
      </c>
      <c r="H970" s="1056">
        <v>27</v>
      </c>
      <c r="I970" s="1056">
        <v>-67</v>
      </c>
      <c r="K970" s="995">
        <f t="shared" si="15"/>
        <v>8</v>
      </c>
    </row>
    <row r="971" spans="1:11">
      <c r="A971" s="1054">
        <v>25301005</v>
      </c>
      <c r="B971" s="1055" t="s">
        <v>893</v>
      </c>
      <c r="C971" s="1055" t="s">
        <v>409</v>
      </c>
      <c r="D971" s="1055" t="s">
        <v>1380</v>
      </c>
      <c r="E971" s="1055" t="s">
        <v>1381</v>
      </c>
      <c r="F971" s="1056">
        <v>0</v>
      </c>
      <c r="G971" s="1056">
        <v>0</v>
      </c>
      <c r="H971" s="1056">
        <v>1</v>
      </c>
      <c r="I971" s="1056">
        <v>-1</v>
      </c>
      <c r="K971" s="995">
        <f t="shared" si="15"/>
        <v>8</v>
      </c>
    </row>
    <row r="972" spans="1:11">
      <c r="A972" s="1054">
        <v>25301005</v>
      </c>
      <c r="B972" s="1055" t="s">
        <v>893</v>
      </c>
      <c r="C972" s="1055" t="s">
        <v>409</v>
      </c>
      <c r="D972" s="1055" t="s">
        <v>1044</v>
      </c>
      <c r="E972" s="1055" t="s">
        <v>1045</v>
      </c>
      <c r="F972" s="1056">
        <v>-47</v>
      </c>
      <c r="G972" s="1056">
        <v>0</v>
      </c>
      <c r="H972" s="1056">
        <v>1</v>
      </c>
      <c r="I972" s="1056">
        <v>-48</v>
      </c>
      <c r="K972" s="995">
        <f t="shared" si="15"/>
        <v>8</v>
      </c>
    </row>
    <row r="973" spans="1:11">
      <c r="A973" s="1054">
        <v>25301005</v>
      </c>
      <c r="B973" s="1055" t="s">
        <v>893</v>
      </c>
      <c r="C973" s="1055" t="s">
        <v>409</v>
      </c>
      <c r="D973" s="1055" t="s">
        <v>1395</v>
      </c>
      <c r="E973" s="1055" t="s">
        <v>1396</v>
      </c>
      <c r="F973" s="1056">
        <v>-13</v>
      </c>
      <c r="G973" s="1056">
        <v>0</v>
      </c>
      <c r="H973" s="1056">
        <v>0</v>
      </c>
      <c r="I973" s="1056">
        <v>-13</v>
      </c>
      <c r="K973" s="995">
        <f t="shared" si="15"/>
        <v>8</v>
      </c>
    </row>
    <row r="974" spans="1:11">
      <c r="A974" s="1054">
        <v>25301005</v>
      </c>
      <c r="B974" s="1055" t="s">
        <v>893</v>
      </c>
      <c r="C974" s="1055" t="s">
        <v>409</v>
      </c>
      <c r="D974" s="1055" t="s">
        <v>1382</v>
      </c>
      <c r="E974" s="1055" t="s">
        <v>1763</v>
      </c>
      <c r="F974" s="1056">
        <v>-50</v>
      </c>
      <c r="G974" s="1056">
        <v>0</v>
      </c>
      <c r="H974" s="1056">
        <v>22</v>
      </c>
      <c r="I974" s="1056">
        <v>-72</v>
      </c>
      <c r="K974" s="995">
        <f t="shared" si="15"/>
        <v>8</v>
      </c>
    </row>
    <row r="975" spans="1:11">
      <c r="A975" s="1054">
        <v>25301005</v>
      </c>
      <c r="B975" s="1055" t="s">
        <v>893</v>
      </c>
      <c r="C975" s="1055" t="s">
        <v>409</v>
      </c>
      <c r="D975" s="1055" t="s">
        <v>1383</v>
      </c>
      <c r="E975" s="1055" t="s">
        <v>1384</v>
      </c>
      <c r="F975" s="1056">
        <v>-38</v>
      </c>
      <c r="G975" s="1056">
        <v>0</v>
      </c>
      <c r="H975" s="1056">
        <v>17</v>
      </c>
      <c r="I975" s="1056">
        <v>-54</v>
      </c>
      <c r="K975" s="995">
        <f t="shared" si="15"/>
        <v>8</v>
      </c>
    </row>
    <row r="976" spans="1:11">
      <c r="A976" s="1054">
        <v>25301010</v>
      </c>
      <c r="B976" s="1055" t="s">
        <v>893</v>
      </c>
      <c r="C976" s="1055" t="s">
        <v>354</v>
      </c>
      <c r="D976" s="1055" t="s">
        <v>893</v>
      </c>
      <c r="E976" s="1055" t="s">
        <v>893</v>
      </c>
      <c r="F976" s="1056">
        <v>75</v>
      </c>
      <c r="G976" s="1056">
        <v>145</v>
      </c>
      <c r="H976" s="1056">
        <v>0</v>
      </c>
      <c r="I976" s="1056">
        <v>221</v>
      </c>
      <c r="K976" s="995">
        <f t="shared" si="15"/>
        <v>8</v>
      </c>
    </row>
    <row r="977" spans="1:11">
      <c r="A977" s="1054">
        <v>25301010</v>
      </c>
      <c r="B977" s="1055" t="s">
        <v>893</v>
      </c>
      <c r="C977" s="1055" t="s">
        <v>354</v>
      </c>
      <c r="D977" s="1055" t="s">
        <v>1397</v>
      </c>
      <c r="E977" s="1055" t="s">
        <v>1398</v>
      </c>
      <c r="F977" s="1056">
        <v>0</v>
      </c>
      <c r="G977" s="1056">
        <v>0</v>
      </c>
      <c r="H977" s="1056">
        <v>0</v>
      </c>
      <c r="I977" s="1056">
        <v>0</v>
      </c>
      <c r="K977" s="995">
        <f t="shared" si="15"/>
        <v>8</v>
      </c>
    </row>
    <row r="978" spans="1:11">
      <c r="A978" s="1054">
        <v>25301010</v>
      </c>
      <c r="B978" s="1055" t="s">
        <v>893</v>
      </c>
      <c r="C978" s="1055" t="s">
        <v>354</v>
      </c>
      <c r="D978" s="1055" t="s">
        <v>1042</v>
      </c>
      <c r="E978" s="1055" t="s">
        <v>1732</v>
      </c>
      <c r="F978" s="1056">
        <v>36</v>
      </c>
      <c r="G978" s="1056">
        <v>0</v>
      </c>
      <c r="H978" s="1056">
        <v>0</v>
      </c>
      <c r="I978" s="1056">
        <v>36</v>
      </c>
      <c r="K978" s="995">
        <f t="shared" si="15"/>
        <v>8</v>
      </c>
    </row>
    <row r="979" spans="1:11">
      <c r="A979" s="1054">
        <v>25301010</v>
      </c>
      <c r="B979" s="1055" t="s">
        <v>893</v>
      </c>
      <c r="C979" s="1055" t="s">
        <v>354</v>
      </c>
      <c r="D979" s="1055" t="s">
        <v>1611</v>
      </c>
      <c r="E979" s="1055" t="s">
        <v>1612</v>
      </c>
      <c r="F979" s="1056">
        <v>1</v>
      </c>
      <c r="G979" s="1056">
        <v>0</v>
      </c>
      <c r="H979" s="1056">
        <v>0</v>
      </c>
      <c r="I979" s="1056">
        <v>1</v>
      </c>
      <c r="K979" s="995">
        <f t="shared" si="15"/>
        <v>8</v>
      </c>
    </row>
    <row r="980" spans="1:11">
      <c r="A980" s="1054">
        <v>25301010</v>
      </c>
      <c r="B980" s="1055" t="s">
        <v>893</v>
      </c>
      <c r="C980" s="1055" t="s">
        <v>354</v>
      </c>
      <c r="D980" s="1055" t="s">
        <v>1246</v>
      </c>
      <c r="E980" s="1055" t="s">
        <v>743</v>
      </c>
      <c r="F980" s="1056">
        <v>1</v>
      </c>
      <c r="G980" s="1056">
        <v>0</v>
      </c>
      <c r="H980" s="1056">
        <v>0</v>
      </c>
      <c r="I980" s="1056">
        <v>1</v>
      </c>
      <c r="K980" s="995">
        <f t="shared" si="15"/>
        <v>8</v>
      </c>
    </row>
    <row r="981" spans="1:11">
      <c r="A981" s="1054">
        <v>25301010</v>
      </c>
      <c r="B981" s="1055" t="s">
        <v>893</v>
      </c>
      <c r="C981" s="1055" t="s">
        <v>354</v>
      </c>
      <c r="D981" s="1055" t="s">
        <v>1387</v>
      </c>
      <c r="E981" s="1055" t="s">
        <v>1388</v>
      </c>
      <c r="F981" s="1056">
        <v>0</v>
      </c>
      <c r="G981" s="1056">
        <v>0</v>
      </c>
      <c r="H981" s="1056">
        <v>0</v>
      </c>
      <c r="I981" s="1056">
        <v>0</v>
      </c>
      <c r="K981" s="995">
        <f t="shared" si="15"/>
        <v>8</v>
      </c>
    </row>
    <row r="982" spans="1:11">
      <c r="A982" s="1054">
        <v>25301010</v>
      </c>
      <c r="B982" s="1055" t="s">
        <v>893</v>
      </c>
      <c r="C982" s="1055" t="s">
        <v>354</v>
      </c>
      <c r="D982" s="1055" t="s">
        <v>1870</v>
      </c>
      <c r="E982" s="1055" t="s">
        <v>1871</v>
      </c>
      <c r="F982" s="1056">
        <v>0</v>
      </c>
      <c r="G982" s="1056">
        <v>53</v>
      </c>
      <c r="H982" s="1056">
        <v>0</v>
      </c>
      <c r="I982" s="1056">
        <v>53</v>
      </c>
      <c r="K982" s="995">
        <f t="shared" si="15"/>
        <v>8</v>
      </c>
    </row>
    <row r="983" spans="1:11">
      <c r="A983" s="1054">
        <v>25301010</v>
      </c>
      <c r="B983" s="1055" t="s">
        <v>893</v>
      </c>
      <c r="C983" s="1055" t="s">
        <v>354</v>
      </c>
      <c r="D983" s="1055" t="s">
        <v>1389</v>
      </c>
      <c r="E983" s="1055" t="s">
        <v>1390</v>
      </c>
      <c r="F983" s="1056">
        <v>1</v>
      </c>
      <c r="G983" s="1056">
        <v>0</v>
      </c>
      <c r="H983" s="1056">
        <v>0</v>
      </c>
      <c r="I983" s="1056">
        <v>1</v>
      </c>
      <c r="K983" s="995">
        <f t="shared" si="15"/>
        <v>8</v>
      </c>
    </row>
    <row r="984" spans="1:11">
      <c r="A984" s="1054">
        <v>25301010</v>
      </c>
      <c r="B984" s="1055" t="s">
        <v>893</v>
      </c>
      <c r="C984" s="1055" t="s">
        <v>354</v>
      </c>
      <c r="D984" s="1055" t="s">
        <v>1613</v>
      </c>
      <c r="E984" s="1055" t="s">
        <v>1614</v>
      </c>
      <c r="F984" s="1056">
        <v>0</v>
      </c>
      <c r="G984" s="1056">
        <v>40</v>
      </c>
      <c r="H984" s="1056">
        <v>0</v>
      </c>
      <c r="I984" s="1056">
        <v>40</v>
      </c>
      <c r="K984" s="995">
        <f t="shared" si="15"/>
        <v>8</v>
      </c>
    </row>
    <row r="985" spans="1:11">
      <c r="A985" s="1054">
        <v>25301010</v>
      </c>
      <c r="B985" s="1055" t="s">
        <v>893</v>
      </c>
      <c r="C985" s="1055" t="s">
        <v>354</v>
      </c>
      <c r="D985" s="1055" t="s">
        <v>1322</v>
      </c>
      <c r="E985" s="1055" t="s">
        <v>1323</v>
      </c>
      <c r="F985" s="1056">
        <v>22</v>
      </c>
      <c r="G985" s="1056">
        <v>0</v>
      </c>
      <c r="H985" s="1056">
        <v>0</v>
      </c>
      <c r="I985" s="1056">
        <v>22</v>
      </c>
      <c r="K985" s="995">
        <f t="shared" si="15"/>
        <v>8</v>
      </c>
    </row>
    <row r="986" spans="1:11">
      <c r="A986" s="1054">
        <v>25301010</v>
      </c>
      <c r="B986" s="1055" t="s">
        <v>893</v>
      </c>
      <c r="C986" s="1055" t="s">
        <v>354</v>
      </c>
      <c r="D986" s="1055" t="s">
        <v>1391</v>
      </c>
      <c r="E986" s="1055" t="s">
        <v>1392</v>
      </c>
      <c r="F986" s="1056">
        <v>0</v>
      </c>
      <c r="G986" s="1056">
        <v>0</v>
      </c>
      <c r="H986" s="1056">
        <v>0</v>
      </c>
      <c r="I986" s="1056">
        <v>0</v>
      </c>
      <c r="K986" s="995">
        <f t="shared" si="15"/>
        <v>8</v>
      </c>
    </row>
    <row r="987" spans="1:11">
      <c r="A987" s="1054">
        <v>25301010</v>
      </c>
      <c r="B987" s="1055" t="s">
        <v>893</v>
      </c>
      <c r="C987" s="1055" t="s">
        <v>354</v>
      </c>
      <c r="D987" s="1055" t="s">
        <v>1378</v>
      </c>
      <c r="E987" s="1055" t="s">
        <v>1379</v>
      </c>
      <c r="F987" s="1056">
        <v>0</v>
      </c>
      <c r="G987" s="1056">
        <v>4</v>
      </c>
      <c r="H987" s="1056">
        <v>0</v>
      </c>
      <c r="I987" s="1056">
        <v>4</v>
      </c>
      <c r="K987" s="995">
        <f t="shared" si="15"/>
        <v>8</v>
      </c>
    </row>
    <row r="988" spans="1:11">
      <c r="A988" s="1054">
        <v>25301010</v>
      </c>
      <c r="B988" s="1055" t="s">
        <v>893</v>
      </c>
      <c r="C988" s="1055" t="s">
        <v>354</v>
      </c>
      <c r="D988" s="1055" t="s">
        <v>1044</v>
      </c>
      <c r="E988" s="1055" t="s">
        <v>1045</v>
      </c>
      <c r="F988" s="1056">
        <v>0</v>
      </c>
      <c r="G988" s="1056">
        <v>48</v>
      </c>
      <c r="H988" s="1056">
        <v>0</v>
      </c>
      <c r="I988" s="1056">
        <v>48</v>
      </c>
      <c r="K988" s="995">
        <f t="shared" si="15"/>
        <v>8</v>
      </c>
    </row>
    <row r="989" spans="1:11">
      <c r="A989" s="1054">
        <v>25301010</v>
      </c>
      <c r="B989" s="1055" t="s">
        <v>893</v>
      </c>
      <c r="C989" s="1055" t="s">
        <v>354</v>
      </c>
      <c r="D989" s="1055" t="s">
        <v>1395</v>
      </c>
      <c r="E989" s="1055" t="s">
        <v>1396</v>
      </c>
      <c r="F989" s="1056">
        <v>13</v>
      </c>
      <c r="G989" s="1056">
        <v>0</v>
      </c>
      <c r="H989" s="1056">
        <v>0</v>
      </c>
      <c r="I989" s="1056">
        <v>13</v>
      </c>
      <c r="K989" s="995">
        <f t="shared" si="15"/>
        <v>8</v>
      </c>
    </row>
    <row r="990" spans="1:11">
      <c r="A990" s="1054">
        <v>253015</v>
      </c>
      <c r="B990" s="1055" t="s">
        <v>893</v>
      </c>
      <c r="C990" s="1055" t="s">
        <v>355</v>
      </c>
      <c r="D990" s="1055" t="s">
        <v>893</v>
      </c>
      <c r="E990" s="1055" t="s">
        <v>893</v>
      </c>
      <c r="F990" s="1056">
        <v>-17618</v>
      </c>
      <c r="G990" s="1056">
        <v>2405</v>
      </c>
      <c r="H990" s="1056">
        <v>4886</v>
      </c>
      <c r="I990" s="1056">
        <v>-20099</v>
      </c>
      <c r="K990" s="995">
        <f t="shared" si="15"/>
        <v>6</v>
      </c>
    </row>
    <row r="991" spans="1:11">
      <c r="A991" s="1054">
        <v>25301505</v>
      </c>
      <c r="B991" s="1055" t="s">
        <v>893</v>
      </c>
      <c r="C991" s="1055" t="s">
        <v>410</v>
      </c>
      <c r="D991" s="1055" t="s">
        <v>893</v>
      </c>
      <c r="E991" s="1055" t="s">
        <v>893</v>
      </c>
      <c r="F991" s="1056">
        <v>-21107</v>
      </c>
      <c r="G991" s="1056">
        <v>711</v>
      </c>
      <c r="H991" s="1056">
        <v>3335</v>
      </c>
      <c r="I991" s="1056">
        <v>-23731</v>
      </c>
      <c r="K991" s="995">
        <f t="shared" si="15"/>
        <v>8</v>
      </c>
    </row>
    <row r="992" spans="1:11">
      <c r="A992" s="1054">
        <v>25301505</v>
      </c>
      <c r="B992" s="1055" t="s">
        <v>893</v>
      </c>
      <c r="C992" s="1055" t="s">
        <v>410</v>
      </c>
      <c r="D992" s="1055" t="s">
        <v>1385</v>
      </c>
      <c r="E992" s="1055" t="s">
        <v>1386</v>
      </c>
      <c r="F992" s="1056">
        <v>-3</v>
      </c>
      <c r="G992" s="1056">
        <v>0</v>
      </c>
      <c r="H992" s="1056">
        <v>0</v>
      </c>
      <c r="I992" s="1056">
        <v>-3</v>
      </c>
      <c r="K992" s="995">
        <f t="shared" si="15"/>
        <v>8</v>
      </c>
    </row>
    <row r="993" spans="1:11">
      <c r="A993" s="1054">
        <v>25301505</v>
      </c>
      <c r="B993" s="1055" t="s">
        <v>893</v>
      </c>
      <c r="C993" s="1055" t="s">
        <v>410</v>
      </c>
      <c r="D993" s="1055" t="s">
        <v>1360</v>
      </c>
      <c r="E993" s="1055" t="s">
        <v>1361</v>
      </c>
      <c r="F993" s="1056">
        <v>-394</v>
      </c>
      <c r="G993" s="1056">
        <v>0</v>
      </c>
      <c r="H993" s="1056">
        <v>81</v>
      </c>
      <c r="I993" s="1056">
        <v>-475</v>
      </c>
      <c r="K993" s="995">
        <f t="shared" si="15"/>
        <v>8</v>
      </c>
    </row>
    <row r="994" spans="1:11">
      <c r="A994" s="1054">
        <v>25301505</v>
      </c>
      <c r="B994" s="1055" t="s">
        <v>893</v>
      </c>
      <c r="C994" s="1055" t="s">
        <v>410</v>
      </c>
      <c r="D994" s="1055" t="s">
        <v>1298</v>
      </c>
      <c r="E994" s="1055" t="s">
        <v>987</v>
      </c>
      <c r="F994" s="1056">
        <v>-1031</v>
      </c>
      <c r="G994" s="1056">
        <v>0</v>
      </c>
      <c r="H994" s="1056">
        <v>109</v>
      </c>
      <c r="I994" s="1056">
        <v>-1140</v>
      </c>
      <c r="K994" s="995">
        <f t="shared" si="15"/>
        <v>8</v>
      </c>
    </row>
    <row r="995" spans="1:11">
      <c r="A995" s="1054">
        <v>25301505</v>
      </c>
      <c r="B995" s="1055" t="s">
        <v>893</v>
      </c>
      <c r="C995" s="1055" t="s">
        <v>410</v>
      </c>
      <c r="D995" s="1055" t="s">
        <v>1397</v>
      </c>
      <c r="E995" s="1055" t="s">
        <v>1398</v>
      </c>
      <c r="F995" s="1056">
        <v>-571</v>
      </c>
      <c r="G995" s="1056">
        <v>0</v>
      </c>
      <c r="H995" s="1056">
        <v>0</v>
      </c>
      <c r="I995" s="1056">
        <v>-571</v>
      </c>
      <c r="K995" s="995">
        <f t="shared" si="15"/>
        <v>8</v>
      </c>
    </row>
    <row r="996" spans="1:11">
      <c r="A996" s="1054">
        <v>25301505</v>
      </c>
      <c r="B996" s="1055" t="s">
        <v>893</v>
      </c>
      <c r="C996" s="1055" t="s">
        <v>410</v>
      </c>
      <c r="D996" s="1055" t="s">
        <v>1362</v>
      </c>
      <c r="E996" s="1055" t="s">
        <v>1363</v>
      </c>
      <c r="F996" s="1056">
        <v>-344</v>
      </c>
      <c r="G996" s="1056">
        <v>0</v>
      </c>
      <c r="H996" s="1056">
        <v>60</v>
      </c>
      <c r="I996" s="1056">
        <v>-404</v>
      </c>
      <c r="K996" s="995">
        <f t="shared" si="15"/>
        <v>8</v>
      </c>
    </row>
    <row r="997" spans="1:11">
      <c r="A997" s="1054">
        <v>25301505</v>
      </c>
      <c r="B997" s="1055" t="s">
        <v>893</v>
      </c>
      <c r="C997" s="1055" t="s">
        <v>410</v>
      </c>
      <c r="D997" s="1055" t="s">
        <v>1364</v>
      </c>
      <c r="E997" s="1055" t="s">
        <v>1365</v>
      </c>
      <c r="F997" s="1056">
        <v>-401</v>
      </c>
      <c r="G997" s="1056">
        <v>0</v>
      </c>
      <c r="H997" s="1056">
        <v>75</v>
      </c>
      <c r="I997" s="1056">
        <v>-476</v>
      </c>
      <c r="K997" s="995">
        <f t="shared" si="15"/>
        <v>8</v>
      </c>
    </row>
    <row r="998" spans="1:11">
      <c r="A998" s="1054">
        <v>25301505</v>
      </c>
      <c r="B998" s="1055" t="s">
        <v>893</v>
      </c>
      <c r="C998" s="1055" t="s">
        <v>410</v>
      </c>
      <c r="D998" s="1055" t="s">
        <v>1601</v>
      </c>
      <c r="E998" s="1055" t="s">
        <v>1602</v>
      </c>
      <c r="F998" s="1056">
        <v>-617</v>
      </c>
      <c r="G998" s="1056">
        <v>0</v>
      </c>
      <c r="H998" s="1056">
        <v>406</v>
      </c>
      <c r="I998" s="1056">
        <v>-1023</v>
      </c>
      <c r="K998" s="995">
        <f t="shared" si="15"/>
        <v>8</v>
      </c>
    </row>
    <row r="999" spans="1:11">
      <c r="A999" s="1054">
        <v>25301505</v>
      </c>
      <c r="B999" s="1055" t="s">
        <v>893</v>
      </c>
      <c r="C999" s="1055" t="s">
        <v>410</v>
      </c>
      <c r="D999" s="1055" t="s">
        <v>1270</v>
      </c>
      <c r="E999" s="1055" t="s">
        <v>988</v>
      </c>
      <c r="F999" s="1056">
        <v>-1074</v>
      </c>
      <c r="G999" s="1056">
        <v>0</v>
      </c>
      <c r="H999" s="1056">
        <v>91</v>
      </c>
      <c r="I999" s="1056">
        <v>-1165</v>
      </c>
      <c r="K999" s="995">
        <f t="shared" si="15"/>
        <v>8</v>
      </c>
    </row>
    <row r="1000" spans="1:11">
      <c r="A1000" s="1054">
        <v>25301505</v>
      </c>
      <c r="B1000" s="1055" t="s">
        <v>893</v>
      </c>
      <c r="C1000" s="1055" t="s">
        <v>410</v>
      </c>
      <c r="D1000" s="1055" t="s">
        <v>1271</v>
      </c>
      <c r="E1000" s="1055" t="s">
        <v>782</v>
      </c>
      <c r="F1000" s="1056">
        <v>-1150</v>
      </c>
      <c r="G1000" s="1056">
        <v>0</v>
      </c>
      <c r="H1000" s="1056">
        <v>91</v>
      </c>
      <c r="I1000" s="1056">
        <v>-1240</v>
      </c>
      <c r="K1000" s="995">
        <f t="shared" si="15"/>
        <v>8</v>
      </c>
    </row>
    <row r="1001" spans="1:11">
      <c r="A1001" s="1054">
        <v>25301505</v>
      </c>
      <c r="B1001" s="1055" t="s">
        <v>893</v>
      </c>
      <c r="C1001" s="1055" t="s">
        <v>410</v>
      </c>
      <c r="D1001" s="1055" t="s">
        <v>1366</v>
      </c>
      <c r="E1001" s="1055" t="s">
        <v>1367</v>
      </c>
      <c r="F1001" s="1056">
        <v>-351</v>
      </c>
      <c r="G1001" s="1056">
        <v>0</v>
      </c>
      <c r="H1001" s="1056">
        <v>73</v>
      </c>
      <c r="I1001" s="1056">
        <v>-424</v>
      </c>
      <c r="K1001" s="995">
        <f t="shared" si="15"/>
        <v>8</v>
      </c>
    </row>
    <row r="1002" spans="1:11">
      <c r="A1002" s="1054">
        <v>25301505</v>
      </c>
      <c r="B1002" s="1055" t="s">
        <v>893</v>
      </c>
      <c r="C1002" s="1055" t="s">
        <v>410</v>
      </c>
      <c r="D1002" s="1055" t="s">
        <v>1302</v>
      </c>
      <c r="E1002" s="1055" t="s">
        <v>986</v>
      </c>
      <c r="F1002" s="1056">
        <v>-334</v>
      </c>
      <c r="G1002" s="1056">
        <v>0</v>
      </c>
      <c r="H1002" s="1056">
        <v>63</v>
      </c>
      <c r="I1002" s="1056">
        <v>-397</v>
      </c>
      <c r="K1002" s="995">
        <f t="shared" si="15"/>
        <v>8</v>
      </c>
    </row>
    <row r="1003" spans="1:11">
      <c r="A1003" s="1054">
        <v>25301505</v>
      </c>
      <c r="B1003" s="1055" t="s">
        <v>893</v>
      </c>
      <c r="C1003" s="1055" t="s">
        <v>410</v>
      </c>
      <c r="D1003" s="1055" t="s">
        <v>1042</v>
      </c>
      <c r="E1003" s="1055" t="s">
        <v>1732</v>
      </c>
      <c r="F1003" s="1056">
        <v>-568</v>
      </c>
      <c r="G1003" s="1056">
        <v>0</v>
      </c>
      <c r="H1003" s="1056">
        <v>0</v>
      </c>
      <c r="I1003" s="1056">
        <v>-568</v>
      </c>
      <c r="K1003" s="995">
        <f t="shared" si="15"/>
        <v>8</v>
      </c>
    </row>
    <row r="1004" spans="1:11">
      <c r="A1004" s="1054">
        <v>25301505</v>
      </c>
      <c r="B1004" s="1055" t="s">
        <v>893</v>
      </c>
      <c r="C1004" s="1055" t="s">
        <v>410</v>
      </c>
      <c r="D1004" s="1055" t="s">
        <v>1611</v>
      </c>
      <c r="E1004" s="1055" t="s">
        <v>1612</v>
      </c>
      <c r="F1004" s="1056">
        <v>-62</v>
      </c>
      <c r="G1004" s="1056">
        <v>0</v>
      </c>
      <c r="H1004" s="1056">
        <v>0</v>
      </c>
      <c r="I1004" s="1056">
        <v>-62</v>
      </c>
      <c r="K1004" s="995">
        <f t="shared" si="15"/>
        <v>8</v>
      </c>
    </row>
    <row r="1005" spans="1:11">
      <c r="A1005" s="1054">
        <v>25301505</v>
      </c>
      <c r="B1005" s="1055" t="s">
        <v>893</v>
      </c>
      <c r="C1005" s="1055" t="s">
        <v>410</v>
      </c>
      <c r="D1005" s="1055" t="s">
        <v>1368</v>
      </c>
      <c r="E1005" s="1055" t="s">
        <v>1369</v>
      </c>
      <c r="F1005" s="1056">
        <v>-92</v>
      </c>
      <c r="G1005" s="1056">
        <v>0</v>
      </c>
      <c r="H1005" s="1056">
        <v>65</v>
      </c>
      <c r="I1005" s="1056">
        <v>-158</v>
      </c>
      <c r="K1005" s="995">
        <f t="shared" si="15"/>
        <v>8</v>
      </c>
    </row>
    <row r="1006" spans="1:11">
      <c r="A1006" s="1054">
        <v>25301505</v>
      </c>
      <c r="B1006" s="1055" t="s">
        <v>893</v>
      </c>
      <c r="C1006" s="1055" t="s">
        <v>410</v>
      </c>
      <c r="D1006" s="1055" t="s">
        <v>1246</v>
      </c>
      <c r="E1006" s="1055" t="s">
        <v>743</v>
      </c>
      <c r="F1006" s="1056">
        <v>-344</v>
      </c>
      <c r="G1006" s="1056">
        <v>344</v>
      </c>
      <c r="H1006" s="1056">
        <v>0</v>
      </c>
      <c r="I1006" s="1056">
        <v>0</v>
      </c>
      <c r="K1006" s="995">
        <f t="shared" si="15"/>
        <v>8</v>
      </c>
    </row>
    <row r="1007" spans="1:11">
      <c r="A1007" s="1054">
        <v>25301505</v>
      </c>
      <c r="B1007" s="1055" t="s">
        <v>893</v>
      </c>
      <c r="C1007" s="1055" t="s">
        <v>410</v>
      </c>
      <c r="D1007" s="1055" t="s">
        <v>1927</v>
      </c>
      <c r="E1007" s="1055" t="s">
        <v>1928</v>
      </c>
      <c r="F1007" s="1056">
        <v>0</v>
      </c>
      <c r="G1007" s="1056">
        <v>0</v>
      </c>
      <c r="H1007" s="1056">
        <v>208</v>
      </c>
      <c r="I1007" s="1056">
        <v>-208</v>
      </c>
      <c r="K1007" s="995">
        <f t="shared" si="15"/>
        <v>8</v>
      </c>
    </row>
    <row r="1008" spans="1:11">
      <c r="A1008" s="1054">
        <v>25301505</v>
      </c>
      <c r="B1008" s="1055" t="s">
        <v>893</v>
      </c>
      <c r="C1008" s="1055" t="s">
        <v>410</v>
      </c>
      <c r="D1008" s="1055" t="s">
        <v>1320</v>
      </c>
      <c r="E1008" s="1055" t="s">
        <v>1321</v>
      </c>
      <c r="F1008" s="1056">
        <v>-392</v>
      </c>
      <c r="G1008" s="1056">
        <v>0</v>
      </c>
      <c r="H1008" s="1056">
        <v>80</v>
      </c>
      <c r="I1008" s="1056">
        <v>-472</v>
      </c>
      <c r="K1008" s="995">
        <f t="shared" si="15"/>
        <v>8</v>
      </c>
    </row>
    <row r="1009" spans="1:11">
      <c r="A1009" s="1054">
        <v>25301505</v>
      </c>
      <c r="B1009" s="1055" t="s">
        <v>893</v>
      </c>
      <c r="C1009" s="1055" t="s">
        <v>410</v>
      </c>
      <c r="D1009" s="1055" t="s">
        <v>1274</v>
      </c>
      <c r="E1009" s="1055" t="s">
        <v>989</v>
      </c>
      <c r="F1009" s="1056">
        <v>-699</v>
      </c>
      <c r="G1009" s="1056">
        <v>0</v>
      </c>
      <c r="H1009" s="1056">
        <v>111</v>
      </c>
      <c r="I1009" s="1056">
        <v>-809</v>
      </c>
      <c r="K1009" s="995">
        <f t="shared" si="15"/>
        <v>8</v>
      </c>
    </row>
    <row r="1010" spans="1:11">
      <c r="A1010" s="1054">
        <v>25301505</v>
      </c>
      <c r="B1010" s="1055" t="s">
        <v>893</v>
      </c>
      <c r="C1010" s="1055" t="s">
        <v>410</v>
      </c>
      <c r="D1010" s="1055" t="s">
        <v>1247</v>
      </c>
      <c r="E1010" s="1055" t="s">
        <v>1248</v>
      </c>
      <c r="F1010" s="1056">
        <v>-327</v>
      </c>
      <c r="G1010" s="1056">
        <v>0</v>
      </c>
      <c r="H1010" s="1056">
        <v>82</v>
      </c>
      <c r="I1010" s="1056">
        <v>-409</v>
      </c>
      <c r="K1010" s="995">
        <f t="shared" si="15"/>
        <v>8</v>
      </c>
    </row>
    <row r="1011" spans="1:11">
      <c r="A1011" s="1054">
        <v>25301505</v>
      </c>
      <c r="B1011" s="1055" t="s">
        <v>893</v>
      </c>
      <c r="C1011" s="1055" t="s">
        <v>410</v>
      </c>
      <c r="D1011" s="1055" t="s">
        <v>1387</v>
      </c>
      <c r="E1011" s="1055" t="s">
        <v>1388</v>
      </c>
      <c r="F1011" s="1056">
        <v>-21</v>
      </c>
      <c r="G1011" s="1056">
        <v>0</v>
      </c>
      <c r="H1011" s="1056">
        <v>0</v>
      </c>
      <c r="I1011" s="1056">
        <v>-21</v>
      </c>
      <c r="K1011" s="995">
        <f t="shared" si="15"/>
        <v>8</v>
      </c>
    </row>
    <row r="1012" spans="1:11">
      <c r="A1012" s="1054">
        <v>25301505</v>
      </c>
      <c r="B1012" s="1055" t="s">
        <v>893</v>
      </c>
      <c r="C1012" s="1055" t="s">
        <v>410</v>
      </c>
      <c r="D1012" s="1055" t="s">
        <v>1370</v>
      </c>
      <c r="E1012" s="1055" t="s">
        <v>1371</v>
      </c>
      <c r="F1012" s="1056">
        <v>-838</v>
      </c>
      <c r="G1012" s="1056">
        <v>0</v>
      </c>
      <c r="H1012" s="1056">
        <v>76</v>
      </c>
      <c r="I1012" s="1056">
        <v>-914</v>
      </c>
      <c r="K1012" s="995">
        <f t="shared" si="15"/>
        <v>8</v>
      </c>
    </row>
    <row r="1013" spans="1:11">
      <c r="A1013" s="1054">
        <v>25301505</v>
      </c>
      <c r="B1013" s="1055" t="s">
        <v>893</v>
      </c>
      <c r="C1013" s="1055" t="s">
        <v>410</v>
      </c>
      <c r="D1013" s="1055" t="s">
        <v>1870</v>
      </c>
      <c r="E1013" s="1055" t="s">
        <v>1871</v>
      </c>
      <c r="F1013" s="1056">
        <v>-53</v>
      </c>
      <c r="G1013" s="1056">
        <v>0</v>
      </c>
      <c r="H1013" s="1056">
        <v>44</v>
      </c>
      <c r="I1013" s="1056">
        <v>-97</v>
      </c>
      <c r="K1013" s="995">
        <f t="shared" si="15"/>
        <v>8</v>
      </c>
    </row>
    <row r="1014" spans="1:11">
      <c r="A1014" s="1054">
        <v>25301505</v>
      </c>
      <c r="B1014" s="1055" t="s">
        <v>893</v>
      </c>
      <c r="C1014" s="1055" t="s">
        <v>410</v>
      </c>
      <c r="D1014" s="1055" t="s">
        <v>1372</v>
      </c>
      <c r="E1014" s="1055" t="s">
        <v>1373</v>
      </c>
      <c r="F1014" s="1056">
        <v>-485</v>
      </c>
      <c r="G1014" s="1056">
        <v>0</v>
      </c>
      <c r="H1014" s="1056">
        <v>71</v>
      </c>
      <c r="I1014" s="1056">
        <v>-556</v>
      </c>
      <c r="K1014" s="995">
        <f t="shared" si="15"/>
        <v>8</v>
      </c>
    </row>
    <row r="1015" spans="1:11">
      <c r="A1015" s="1054">
        <v>25301505</v>
      </c>
      <c r="B1015" s="1055" t="s">
        <v>893</v>
      </c>
      <c r="C1015" s="1055" t="s">
        <v>410</v>
      </c>
      <c r="D1015" s="1055" t="s">
        <v>1785</v>
      </c>
      <c r="E1015" s="1055" t="s">
        <v>1786</v>
      </c>
      <c r="F1015" s="1056">
        <v>-1076</v>
      </c>
      <c r="G1015" s="1056">
        <v>0</v>
      </c>
      <c r="H1015" s="1056">
        <v>65</v>
      </c>
      <c r="I1015" s="1056">
        <v>-1141</v>
      </c>
      <c r="K1015" s="995">
        <f t="shared" si="15"/>
        <v>8</v>
      </c>
    </row>
    <row r="1016" spans="1:11">
      <c r="A1016" s="1054">
        <v>25301505</v>
      </c>
      <c r="B1016" s="1055" t="s">
        <v>893</v>
      </c>
      <c r="C1016" s="1055" t="s">
        <v>410</v>
      </c>
      <c r="D1016" s="1055" t="s">
        <v>1374</v>
      </c>
      <c r="E1016" s="1055" t="s">
        <v>1375</v>
      </c>
      <c r="F1016" s="1056">
        <v>-83</v>
      </c>
      <c r="G1016" s="1056">
        <v>0</v>
      </c>
      <c r="H1016" s="1056">
        <v>65</v>
      </c>
      <c r="I1016" s="1056">
        <v>-147</v>
      </c>
      <c r="K1016" s="995">
        <f t="shared" si="15"/>
        <v>8</v>
      </c>
    </row>
    <row r="1017" spans="1:11">
      <c r="A1017" s="1054">
        <v>25301505</v>
      </c>
      <c r="B1017" s="1055" t="s">
        <v>893</v>
      </c>
      <c r="C1017" s="1055" t="s">
        <v>410</v>
      </c>
      <c r="D1017" s="1055" t="s">
        <v>1389</v>
      </c>
      <c r="E1017" s="1055" t="s">
        <v>1390</v>
      </c>
      <c r="F1017" s="1056">
        <v>-68</v>
      </c>
      <c r="G1017" s="1056">
        <v>0</v>
      </c>
      <c r="H1017" s="1056">
        <v>0</v>
      </c>
      <c r="I1017" s="1056">
        <v>-68</v>
      </c>
      <c r="K1017" s="995">
        <f t="shared" si="15"/>
        <v>8</v>
      </c>
    </row>
    <row r="1018" spans="1:11">
      <c r="A1018" s="1054">
        <v>25301505</v>
      </c>
      <c r="B1018" s="1055" t="s">
        <v>893</v>
      </c>
      <c r="C1018" s="1055" t="s">
        <v>410</v>
      </c>
      <c r="D1018" s="1055" t="s">
        <v>1249</v>
      </c>
      <c r="E1018" s="1055" t="s">
        <v>583</v>
      </c>
      <c r="F1018" s="1056">
        <v>-711</v>
      </c>
      <c r="G1018" s="1056">
        <v>0</v>
      </c>
      <c r="H1018" s="1056">
        <v>134</v>
      </c>
      <c r="I1018" s="1056">
        <v>-845</v>
      </c>
      <c r="K1018" s="995">
        <f t="shared" si="15"/>
        <v>8</v>
      </c>
    </row>
    <row r="1019" spans="1:11">
      <c r="A1019" s="1054">
        <v>25301505</v>
      </c>
      <c r="B1019" s="1055" t="s">
        <v>893</v>
      </c>
      <c r="C1019" s="1055" t="s">
        <v>410</v>
      </c>
      <c r="D1019" s="1055" t="s">
        <v>1376</v>
      </c>
      <c r="E1019" s="1055" t="s">
        <v>1377</v>
      </c>
      <c r="F1019" s="1056">
        <v>-586</v>
      </c>
      <c r="G1019" s="1056">
        <v>0</v>
      </c>
      <c r="H1019" s="1056">
        <v>80</v>
      </c>
      <c r="I1019" s="1056">
        <v>-666</v>
      </c>
      <c r="K1019" s="995">
        <f t="shared" si="15"/>
        <v>8</v>
      </c>
    </row>
    <row r="1020" spans="1:11">
      <c r="A1020" s="1054">
        <v>25301505</v>
      </c>
      <c r="B1020" s="1055" t="s">
        <v>893</v>
      </c>
      <c r="C1020" s="1055" t="s">
        <v>410</v>
      </c>
      <c r="D1020" s="1055" t="s">
        <v>1613</v>
      </c>
      <c r="E1020" s="1055" t="s">
        <v>1614</v>
      </c>
      <c r="F1020" s="1056">
        <v>0</v>
      </c>
      <c r="G1020" s="1056">
        <v>3</v>
      </c>
      <c r="H1020" s="1056">
        <v>3</v>
      </c>
      <c r="I1020" s="1056">
        <v>0</v>
      </c>
      <c r="K1020" s="995">
        <f t="shared" si="15"/>
        <v>8</v>
      </c>
    </row>
    <row r="1021" spans="1:11">
      <c r="A1021" s="1054">
        <v>25301505</v>
      </c>
      <c r="B1021" s="1055" t="s">
        <v>893</v>
      </c>
      <c r="C1021" s="1055" t="s">
        <v>410</v>
      </c>
      <c r="D1021" s="1055" t="s">
        <v>1305</v>
      </c>
      <c r="E1021" s="1055" t="s">
        <v>990</v>
      </c>
      <c r="F1021" s="1056">
        <v>-465</v>
      </c>
      <c r="G1021" s="1056">
        <v>0</v>
      </c>
      <c r="H1021" s="1056">
        <v>93</v>
      </c>
      <c r="I1021" s="1056">
        <v>-558</v>
      </c>
      <c r="K1021" s="995">
        <f t="shared" si="15"/>
        <v>8</v>
      </c>
    </row>
    <row r="1022" spans="1:11">
      <c r="A1022" s="1054">
        <v>25301505</v>
      </c>
      <c r="B1022" s="1055" t="s">
        <v>893</v>
      </c>
      <c r="C1022" s="1055" t="s">
        <v>410</v>
      </c>
      <c r="D1022" s="1055" t="s">
        <v>1306</v>
      </c>
      <c r="E1022" s="1055" t="s">
        <v>997</v>
      </c>
      <c r="F1022" s="1056">
        <v>-384</v>
      </c>
      <c r="G1022" s="1056">
        <v>0</v>
      </c>
      <c r="H1022" s="1056">
        <v>87</v>
      </c>
      <c r="I1022" s="1056">
        <v>-471</v>
      </c>
      <c r="K1022" s="995">
        <f t="shared" si="15"/>
        <v>8</v>
      </c>
    </row>
    <row r="1023" spans="1:11">
      <c r="A1023" s="1054">
        <v>25301505</v>
      </c>
      <c r="B1023" s="1055" t="s">
        <v>893</v>
      </c>
      <c r="C1023" s="1055" t="s">
        <v>410</v>
      </c>
      <c r="D1023" s="1055" t="s">
        <v>1322</v>
      </c>
      <c r="E1023" s="1055" t="s">
        <v>1323</v>
      </c>
      <c r="F1023" s="1056">
        <v>-249</v>
      </c>
      <c r="G1023" s="1056">
        <v>0</v>
      </c>
      <c r="H1023" s="1056">
        <v>0</v>
      </c>
      <c r="I1023" s="1056">
        <v>-249</v>
      </c>
      <c r="K1023" s="995">
        <f t="shared" si="15"/>
        <v>8</v>
      </c>
    </row>
    <row r="1024" spans="1:11">
      <c r="A1024" s="1054">
        <v>25301505</v>
      </c>
      <c r="B1024" s="1055" t="s">
        <v>893</v>
      </c>
      <c r="C1024" s="1055" t="s">
        <v>410</v>
      </c>
      <c r="D1024" s="1055" t="s">
        <v>1391</v>
      </c>
      <c r="E1024" s="1055" t="s">
        <v>1392</v>
      </c>
      <c r="F1024" s="1056">
        <v>-45</v>
      </c>
      <c r="G1024" s="1056">
        <v>0</v>
      </c>
      <c r="H1024" s="1056">
        <v>0</v>
      </c>
      <c r="I1024" s="1056">
        <v>-45</v>
      </c>
      <c r="K1024" s="995">
        <f t="shared" si="15"/>
        <v>8</v>
      </c>
    </row>
    <row r="1025" spans="1:11">
      <c r="A1025" s="1054">
        <v>25301505</v>
      </c>
      <c r="B1025" s="1055" t="s">
        <v>893</v>
      </c>
      <c r="C1025" s="1055" t="s">
        <v>410</v>
      </c>
      <c r="D1025" s="1055" t="s">
        <v>1250</v>
      </c>
      <c r="E1025" s="1055" t="s">
        <v>1251</v>
      </c>
      <c r="F1025" s="1056">
        <v>-365</v>
      </c>
      <c r="G1025" s="1056">
        <v>0</v>
      </c>
      <c r="H1025" s="1056">
        <v>75</v>
      </c>
      <c r="I1025" s="1056">
        <v>-440</v>
      </c>
      <c r="K1025" s="995">
        <f t="shared" si="15"/>
        <v>8</v>
      </c>
    </row>
    <row r="1026" spans="1:11">
      <c r="A1026" s="1054">
        <v>25301505</v>
      </c>
      <c r="B1026" s="1055" t="s">
        <v>893</v>
      </c>
      <c r="C1026" s="1055" t="s">
        <v>410</v>
      </c>
      <c r="D1026" s="1055" t="s">
        <v>1787</v>
      </c>
      <c r="E1026" s="1055" t="s">
        <v>1788</v>
      </c>
      <c r="F1026" s="1056">
        <v>-98</v>
      </c>
      <c r="G1026" s="1056">
        <v>0</v>
      </c>
      <c r="H1026" s="1056">
        <v>82</v>
      </c>
      <c r="I1026" s="1056">
        <v>-180</v>
      </c>
      <c r="K1026" s="995">
        <f t="shared" si="15"/>
        <v>8</v>
      </c>
    </row>
    <row r="1027" spans="1:11">
      <c r="A1027" s="1054">
        <v>25301505</v>
      </c>
      <c r="B1027" s="1055" t="s">
        <v>893</v>
      </c>
      <c r="C1027" s="1055" t="s">
        <v>410</v>
      </c>
      <c r="D1027" s="1055" t="s">
        <v>1378</v>
      </c>
      <c r="E1027" s="1055" t="s">
        <v>1379</v>
      </c>
      <c r="F1027" s="1056">
        <v>-364</v>
      </c>
      <c r="G1027" s="1056">
        <v>364</v>
      </c>
      <c r="H1027" s="1056">
        <v>0</v>
      </c>
      <c r="I1027" s="1056">
        <v>0</v>
      </c>
      <c r="K1027" s="995">
        <f t="shared" si="15"/>
        <v>8</v>
      </c>
    </row>
    <row r="1028" spans="1:11">
      <c r="A1028" s="1054">
        <v>25301505</v>
      </c>
      <c r="B1028" s="1055" t="s">
        <v>893</v>
      </c>
      <c r="C1028" s="1055" t="s">
        <v>410</v>
      </c>
      <c r="D1028" s="1055" t="s">
        <v>1393</v>
      </c>
      <c r="E1028" s="1055" t="s">
        <v>1394</v>
      </c>
      <c r="F1028" s="1056">
        <v>-5</v>
      </c>
      <c r="G1028" s="1056">
        <v>0</v>
      </c>
      <c r="H1028" s="1056">
        <v>0</v>
      </c>
      <c r="I1028" s="1056">
        <v>-5</v>
      </c>
      <c r="K1028" s="995">
        <f t="shared" si="15"/>
        <v>8</v>
      </c>
    </row>
    <row r="1029" spans="1:11">
      <c r="A1029" s="1054">
        <v>25301505</v>
      </c>
      <c r="B1029" s="1055" t="s">
        <v>893</v>
      </c>
      <c r="C1029" s="1055" t="s">
        <v>410</v>
      </c>
      <c r="D1029" s="1055" t="s">
        <v>1303</v>
      </c>
      <c r="E1029" s="1055" t="s">
        <v>806</v>
      </c>
      <c r="F1029" s="1056">
        <v>-368</v>
      </c>
      <c r="G1029" s="1056">
        <v>0</v>
      </c>
      <c r="H1029" s="1056">
        <v>68</v>
      </c>
      <c r="I1029" s="1056">
        <v>-436</v>
      </c>
      <c r="K1029" s="995">
        <f t="shared" ref="K1029:K1092" si="16">+LEN(A1029)</f>
        <v>8</v>
      </c>
    </row>
    <row r="1030" spans="1:11">
      <c r="A1030" s="1054">
        <v>25301505</v>
      </c>
      <c r="B1030" s="1055" t="s">
        <v>893</v>
      </c>
      <c r="C1030" s="1055" t="s">
        <v>410</v>
      </c>
      <c r="D1030" s="1055" t="s">
        <v>1605</v>
      </c>
      <c r="E1030" s="1055" t="s">
        <v>1606</v>
      </c>
      <c r="F1030" s="1056">
        <v>-2070</v>
      </c>
      <c r="G1030" s="1056">
        <v>0</v>
      </c>
      <c r="H1030" s="1056">
        <v>101</v>
      </c>
      <c r="I1030" s="1056">
        <v>-2170</v>
      </c>
      <c r="K1030" s="995">
        <f t="shared" si="16"/>
        <v>8</v>
      </c>
    </row>
    <row r="1031" spans="1:11">
      <c r="A1031" s="1054">
        <v>25301505</v>
      </c>
      <c r="B1031" s="1055" t="s">
        <v>893</v>
      </c>
      <c r="C1031" s="1055" t="s">
        <v>410</v>
      </c>
      <c r="D1031" s="1055" t="s">
        <v>1789</v>
      </c>
      <c r="E1031" s="1055" t="s">
        <v>1790</v>
      </c>
      <c r="F1031" s="1056">
        <v>-722</v>
      </c>
      <c r="G1031" s="1056">
        <v>0</v>
      </c>
      <c r="H1031" s="1056">
        <v>68</v>
      </c>
      <c r="I1031" s="1056">
        <v>-790</v>
      </c>
      <c r="K1031" s="995">
        <f t="shared" si="16"/>
        <v>8</v>
      </c>
    </row>
    <row r="1032" spans="1:11">
      <c r="A1032" s="1054">
        <v>25301505</v>
      </c>
      <c r="B1032" s="1055" t="s">
        <v>893</v>
      </c>
      <c r="C1032" s="1055" t="s">
        <v>410</v>
      </c>
      <c r="D1032" s="1055" t="s">
        <v>1254</v>
      </c>
      <c r="E1032" s="1055" t="s">
        <v>744</v>
      </c>
      <c r="F1032" s="1056">
        <v>-1088</v>
      </c>
      <c r="G1032" s="1056">
        <v>0</v>
      </c>
      <c r="H1032" s="1056">
        <v>88</v>
      </c>
      <c r="I1032" s="1056">
        <v>-1176</v>
      </c>
      <c r="K1032" s="995">
        <f t="shared" si="16"/>
        <v>8</v>
      </c>
    </row>
    <row r="1033" spans="1:11">
      <c r="A1033" s="1054">
        <v>25301505</v>
      </c>
      <c r="B1033" s="1055" t="s">
        <v>893</v>
      </c>
      <c r="C1033" s="1055" t="s">
        <v>410</v>
      </c>
      <c r="D1033" s="1055" t="s">
        <v>1275</v>
      </c>
      <c r="E1033" s="1055" t="s">
        <v>991</v>
      </c>
      <c r="F1033" s="1056">
        <v>-155</v>
      </c>
      <c r="G1033" s="1056">
        <v>0</v>
      </c>
      <c r="H1033" s="1056">
        <v>346</v>
      </c>
      <c r="I1033" s="1056">
        <v>-501</v>
      </c>
      <c r="K1033" s="995">
        <f t="shared" si="16"/>
        <v>8</v>
      </c>
    </row>
    <row r="1034" spans="1:11">
      <c r="A1034" s="1054">
        <v>25301505</v>
      </c>
      <c r="B1034" s="1055" t="s">
        <v>893</v>
      </c>
      <c r="C1034" s="1055" t="s">
        <v>410</v>
      </c>
      <c r="D1034" s="1055" t="s">
        <v>1380</v>
      </c>
      <c r="E1034" s="1055" t="s">
        <v>1381</v>
      </c>
      <c r="F1034" s="1056">
        <v>0</v>
      </c>
      <c r="G1034" s="1056">
        <v>0</v>
      </c>
      <c r="H1034" s="1056">
        <v>43</v>
      </c>
      <c r="I1034" s="1056">
        <v>-43</v>
      </c>
      <c r="K1034" s="995">
        <f t="shared" si="16"/>
        <v>8</v>
      </c>
    </row>
    <row r="1035" spans="1:11">
      <c r="A1035" s="1054">
        <v>25301505</v>
      </c>
      <c r="B1035" s="1055" t="s">
        <v>893</v>
      </c>
      <c r="C1035" s="1055" t="s">
        <v>410</v>
      </c>
      <c r="D1035" s="1055" t="s">
        <v>1044</v>
      </c>
      <c r="E1035" s="1055" t="s">
        <v>1045</v>
      </c>
      <c r="F1035" s="1056">
        <v>-496</v>
      </c>
      <c r="G1035" s="1056">
        <v>0</v>
      </c>
      <c r="H1035" s="1056">
        <v>5</v>
      </c>
      <c r="I1035" s="1056">
        <v>-501</v>
      </c>
      <c r="K1035" s="995">
        <f t="shared" si="16"/>
        <v>8</v>
      </c>
    </row>
    <row r="1036" spans="1:11">
      <c r="A1036" s="1054">
        <v>25301505</v>
      </c>
      <c r="B1036" s="1055" t="s">
        <v>893</v>
      </c>
      <c r="C1036" s="1055" t="s">
        <v>410</v>
      </c>
      <c r="D1036" s="1055" t="s">
        <v>1395</v>
      </c>
      <c r="E1036" s="1055" t="s">
        <v>1396</v>
      </c>
      <c r="F1036" s="1056">
        <v>-202</v>
      </c>
      <c r="G1036" s="1056">
        <v>0</v>
      </c>
      <c r="H1036" s="1056">
        <v>0</v>
      </c>
      <c r="I1036" s="1056">
        <v>-202</v>
      </c>
      <c r="K1036" s="995">
        <f t="shared" si="16"/>
        <v>8</v>
      </c>
    </row>
    <row r="1037" spans="1:11">
      <c r="A1037" s="1054">
        <v>25301505</v>
      </c>
      <c r="B1037" s="1055" t="s">
        <v>893</v>
      </c>
      <c r="C1037" s="1055" t="s">
        <v>410</v>
      </c>
      <c r="D1037" s="1055" t="s">
        <v>1382</v>
      </c>
      <c r="E1037" s="1055" t="s">
        <v>1763</v>
      </c>
      <c r="F1037" s="1056">
        <v>-939</v>
      </c>
      <c r="G1037" s="1056">
        <v>0</v>
      </c>
      <c r="H1037" s="1056">
        <v>91</v>
      </c>
      <c r="I1037" s="1056">
        <v>-1030</v>
      </c>
      <c r="K1037" s="995">
        <f t="shared" si="16"/>
        <v>8</v>
      </c>
    </row>
    <row r="1038" spans="1:11">
      <c r="A1038" s="1054">
        <v>25301505</v>
      </c>
      <c r="B1038" s="1055" t="s">
        <v>893</v>
      </c>
      <c r="C1038" s="1055" t="s">
        <v>410</v>
      </c>
      <c r="D1038" s="1055" t="s">
        <v>1383</v>
      </c>
      <c r="E1038" s="1055" t="s">
        <v>1384</v>
      </c>
      <c r="F1038" s="1056">
        <v>-420</v>
      </c>
      <c r="G1038" s="1056">
        <v>0</v>
      </c>
      <c r="H1038" s="1056">
        <v>55</v>
      </c>
      <c r="I1038" s="1056">
        <v>-475</v>
      </c>
      <c r="K1038" s="995">
        <f t="shared" si="16"/>
        <v>8</v>
      </c>
    </row>
    <row r="1039" spans="1:11">
      <c r="A1039" s="1054">
        <v>25301510</v>
      </c>
      <c r="B1039" s="1055" t="s">
        <v>893</v>
      </c>
      <c r="C1039" s="1055" t="s">
        <v>894</v>
      </c>
      <c r="D1039" s="1055" t="s">
        <v>893</v>
      </c>
      <c r="E1039" s="1055" t="s">
        <v>893</v>
      </c>
      <c r="F1039" s="1056">
        <v>2407</v>
      </c>
      <c r="G1039" s="1056">
        <v>1221</v>
      </c>
      <c r="H1039" s="1056">
        <v>0</v>
      </c>
      <c r="I1039" s="1056">
        <v>3627</v>
      </c>
      <c r="K1039" s="995">
        <f t="shared" si="16"/>
        <v>8</v>
      </c>
    </row>
    <row r="1040" spans="1:11">
      <c r="A1040" s="1054">
        <v>25301510</v>
      </c>
      <c r="B1040" s="1055" t="s">
        <v>893</v>
      </c>
      <c r="C1040" s="1055" t="s">
        <v>894</v>
      </c>
      <c r="D1040" s="1055" t="s">
        <v>1385</v>
      </c>
      <c r="E1040" s="1055" t="s">
        <v>1386</v>
      </c>
      <c r="F1040" s="1056">
        <v>3</v>
      </c>
      <c r="G1040" s="1056">
        <v>0</v>
      </c>
      <c r="H1040" s="1056">
        <v>0</v>
      </c>
      <c r="I1040" s="1056">
        <v>3</v>
      </c>
      <c r="K1040" s="995">
        <f t="shared" si="16"/>
        <v>8</v>
      </c>
    </row>
    <row r="1041" spans="1:11">
      <c r="A1041" s="1054">
        <v>25301510</v>
      </c>
      <c r="B1041" s="1055" t="s">
        <v>893</v>
      </c>
      <c r="C1041" s="1055" t="s">
        <v>894</v>
      </c>
      <c r="D1041" s="1055" t="s">
        <v>1271</v>
      </c>
      <c r="E1041" s="1055" t="s">
        <v>782</v>
      </c>
      <c r="F1041" s="1056">
        <v>77</v>
      </c>
      <c r="G1041" s="1056">
        <v>0</v>
      </c>
      <c r="H1041" s="1056">
        <v>0</v>
      </c>
      <c r="I1041" s="1056">
        <v>77</v>
      </c>
      <c r="K1041" s="995">
        <f t="shared" si="16"/>
        <v>8</v>
      </c>
    </row>
    <row r="1042" spans="1:11">
      <c r="A1042" s="1054">
        <v>25301510</v>
      </c>
      <c r="B1042" s="1055" t="s">
        <v>893</v>
      </c>
      <c r="C1042" s="1055" t="s">
        <v>894</v>
      </c>
      <c r="D1042" s="1055" t="s">
        <v>1042</v>
      </c>
      <c r="E1042" s="1055" t="s">
        <v>1732</v>
      </c>
      <c r="F1042" s="1056">
        <v>119</v>
      </c>
      <c r="G1042" s="1056">
        <v>0</v>
      </c>
      <c r="H1042" s="1056">
        <v>0</v>
      </c>
      <c r="I1042" s="1056">
        <v>119</v>
      </c>
      <c r="K1042" s="995">
        <f t="shared" si="16"/>
        <v>8</v>
      </c>
    </row>
    <row r="1043" spans="1:11">
      <c r="A1043" s="1054">
        <v>25301510</v>
      </c>
      <c r="B1043" s="1055" t="s">
        <v>893</v>
      </c>
      <c r="C1043" s="1055" t="s">
        <v>894</v>
      </c>
      <c r="D1043" s="1055" t="s">
        <v>1246</v>
      </c>
      <c r="E1043" s="1055" t="s">
        <v>743</v>
      </c>
      <c r="F1043" s="1056">
        <v>344</v>
      </c>
      <c r="G1043" s="1056">
        <v>0</v>
      </c>
      <c r="H1043" s="1056">
        <v>0</v>
      </c>
      <c r="I1043" s="1056">
        <v>344</v>
      </c>
      <c r="K1043" s="995">
        <f t="shared" si="16"/>
        <v>8</v>
      </c>
    </row>
    <row r="1044" spans="1:11">
      <c r="A1044" s="1054">
        <v>25301510</v>
      </c>
      <c r="B1044" s="1055" t="s">
        <v>893</v>
      </c>
      <c r="C1044" s="1055" t="s">
        <v>894</v>
      </c>
      <c r="D1044" s="1055" t="s">
        <v>1247</v>
      </c>
      <c r="E1044" s="1055" t="s">
        <v>1248</v>
      </c>
      <c r="F1044" s="1056">
        <v>151</v>
      </c>
      <c r="G1044" s="1056">
        <v>0</v>
      </c>
      <c r="H1044" s="1056">
        <v>0</v>
      </c>
      <c r="I1044" s="1056">
        <v>151</v>
      </c>
      <c r="K1044" s="995">
        <f t="shared" si="16"/>
        <v>8</v>
      </c>
    </row>
    <row r="1045" spans="1:11">
      <c r="A1045" s="1054">
        <v>25301510</v>
      </c>
      <c r="B1045" s="1055" t="s">
        <v>893</v>
      </c>
      <c r="C1045" s="1055" t="s">
        <v>894</v>
      </c>
      <c r="D1045" s="1055" t="s">
        <v>1387</v>
      </c>
      <c r="E1045" s="1055" t="s">
        <v>1388</v>
      </c>
      <c r="F1045" s="1056">
        <v>21</v>
      </c>
      <c r="G1045" s="1056">
        <v>0</v>
      </c>
      <c r="H1045" s="1056">
        <v>0</v>
      </c>
      <c r="I1045" s="1056">
        <v>21</v>
      </c>
      <c r="K1045" s="995">
        <f t="shared" si="16"/>
        <v>8</v>
      </c>
    </row>
    <row r="1046" spans="1:11">
      <c r="A1046" s="1054">
        <v>25301510</v>
      </c>
      <c r="B1046" s="1055" t="s">
        <v>893</v>
      </c>
      <c r="C1046" s="1055" t="s">
        <v>894</v>
      </c>
      <c r="D1046" s="1055" t="s">
        <v>1220</v>
      </c>
      <c r="E1046" s="1055" t="s">
        <v>1221</v>
      </c>
      <c r="F1046" s="1056">
        <v>-719</v>
      </c>
      <c r="G1046" s="1056">
        <v>719</v>
      </c>
      <c r="H1046" s="1056">
        <v>0</v>
      </c>
      <c r="I1046" s="1056">
        <v>0</v>
      </c>
      <c r="K1046" s="995">
        <f t="shared" si="16"/>
        <v>8</v>
      </c>
    </row>
    <row r="1047" spans="1:11">
      <c r="A1047" s="1054">
        <v>25301510</v>
      </c>
      <c r="B1047" s="1055" t="s">
        <v>893</v>
      </c>
      <c r="C1047" s="1055" t="s">
        <v>894</v>
      </c>
      <c r="D1047" s="1055" t="s">
        <v>1372</v>
      </c>
      <c r="E1047" s="1055" t="s">
        <v>1373</v>
      </c>
      <c r="F1047" s="1056">
        <v>229</v>
      </c>
      <c r="G1047" s="1056">
        <v>0</v>
      </c>
      <c r="H1047" s="1056">
        <v>0</v>
      </c>
      <c r="I1047" s="1056">
        <v>229</v>
      </c>
      <c r="K1047" s="995">
        <f t="shared" si="16"/>
        <v>8</v>
      </c>
    </row>
    <row r="1048" spans="1:11">
      <c r="A1048" s="1054">
        <v>25301510</v>
      </c>
      <c r="B1048" s="1055" t="s">
        <v>893</v>
      </c>
      <c r="C1048" s="1055" t="s">
        <v>894</v>
      </c>
      <c r="D1048" s="1055" t="s">
        <v>1389</v>
      </c>
      <c r="E1048" s="1055" t="s">
        <v>1390</v>
      </c>
      <c r="F1048" s="1056">
        <v>68</v>
      </c>
      <c r="G1048" s="1056">
        <v>0</v>
      </c>
      <c r="H1048" s="1056">
        <v>0</v>
      </c>
      <c r="I1048" s="1056">
        <v>68</v>
      </c>
      <c r="K1048" s="995">
        <f t="shared" si="16"/>
        <v>8</v>
      </c>
    </row>
    <row r="1049" spans="1:11">
      <c r="A1049" s="1054">
        <v>25301510</v>
      </c>
      <c r="B1049" s="1055" t="s">
        <v>893</v>
      </c>
      <c r="C1049" s="1055" t="s">
        <v>894</v>
      </c>
      <c r="D1049" s="1055" t="s">
        <v>1322</v>
      </c>
      <c r="E1049" s="1055" t="s">
        <v>1323</v>
      </c>
      <c r="F1049" s="1056">
        <v>249</v>
      </c>
      <c r="G1049" s="1056">
        <v>0</v>
      </c>
      <c r="H1049" s="1056">
        <v>0</v>
      </c>
      <c r="I1049" s="1056">
        <v>249</v>
      </c>
      <c r="K1049" s="995">
        <f t="shared" si="16"/>
        <v>8</v>
      </c>
    </row>
    <row r="1050" spans="1:11">
      <c r="A1050" s="1054">
        <v>25301510</v>
      </c>
      <c r="B1050" s="1055" t="s">
        <v>893</v>
      </c>
      <c r="C1050" s="1055" t="s">
        <v>894</v>
      </c>
      <c r="D1050" s="1055" t="s">
        <v>1391</v>
      </c>
      <c r="E1050" s="1055" t="s">
        <v>1392</v>
      </c>
      <c r="F1050" s="1056">
        <v>45</v>
      </c>
      <c r="G1050" s="1056">
        <v>0</v>
      </c>
      <c r="H1050" s="1056">
        <v>0</v>
      </c>
      <c r="I1050" s="1056">
        <v>45</v>
      </c>
      <c r="K1050" s="995">
        <f t="shared" si="16"/>
        <v>8</v>
      </c>
    </row>
    <row r="1051" spans="1:11">
      <c r="A1051" s="1054">
        <v>25301510</v>
      </c>
      <c r="B1051" s="1055" t="s">
        <v>893</v>
      </c>
      <c r="C1051" s="1055" t="s">
        <v>894</v>
      </c>
      <c r="D1051" s="1055" t="s">
        <v>1393</v>
      </c>
      <c r="E1051" s="1055" t="s">
        <v>1394</v>
      </c>
      <c r="F1051" s="1056">
        <v>5</v>
      </c>
      <c r="G1051" s="1056">
        <v>0</v>
      </c>
      <c r="H1051" s="1056">
        <v>0</v>
      </c>
      <c r="I1051" s="1056">
        <v>5</v>
      </c>
      <c r="K1051" s="995">
        <f t="shared" si="16"/>
        <v>8</v>
      </c>
    </row>
    <row r="1052" spans="1:11">
      <c r="A1052" s="1054">
        <v>25301510</v>
      </c>
      <c r="B1052" s="1055" t="s">
        <v>893</v>
      </c>
      <c r="C1052" s="1055" t="s">
        <v>894</v>
      </c>
      <c r="D1052" s="1055" t="s">
        <v>1605</v>
      </c>
      <c r="E1052" s="1055" t="s">
        <v>1606</v>
      </c>
      <c r="F1052" s="1056">
        <v>1131</v>
      </c>
      <c r="G1052" s="1056">
        <v>0</v>
      </c>
      <c r="H1052" s="1056">
        <v>0</v>
      </c>
      <c r="I1052" s="1056">
        <v>1131</v>
      </c>
      <c r="K1052" s="995">
        <f t="shared" si="16"/>
        <v>8</v>
      </c>
    </row>
    <row r="1053" spans="1:11">
      <c r="A1053" s="1054">
        <v>25301510</v>
      </c>
      <c r="B1053" s="1055" t="s">
        <v>893</v>
      </c>
      <c r="C1053" s="1055" t="s">
        <v>894</v>
      </c>
      <c r="D1053" s="1055" t="s">
        <v>1789</v>
      </c>
      <c r="E1053" s="1055" t="s">
        <v>1790</v>
      </c>
      <c r="F1053" s="1056">
        <v>427</v>
      </c>
      <c r="G1053" s="1056">
        <v>0</v>
      </c>
      <c r="H1053" s="1056">
        <v>0</v>
      </c>
      <c r="I1053" s="1056">
        <v>427</v>
      </c>
      <c r="K1053" s="995">
        <f t="shared" si="16"/>
        <v>8</v>
      </c>
    </row>
    <row r="1054" spans="1:11">
      <c r="A1054" s="1054">
        <v>25301510</v>
      </c>
      <c r="B1054" s="1055" t="s">
        <v>893</v>
      </c>
      <c r="C1054" s="1055" t="s">
        <v>894</v>
      </c>
      <c r="D1054" s="1055" t="s">
        <v>1044</v>
      </c>
      <c r="E1054" s="1055" t="s">
        <v>1045</v>
      </c>
      <c r="F1054" s="1056">
        <v>0</v>
      </c>
      <c r="G1054" s="1056">
        <v>501</v>
      </c>
      <c r="H1054" s="1056">
        <v>0</v>
      </c>
      <c r="I1054" s="1056">
        <v>501</v>
      </c>
      <c r="K1054" s="995">
        <f t="shared" si="16"/>
        <v>8</v>
      </c>
    </row>
    <row r="1055" spans="1:11">
      <c r="A1055" s="1054">
        <v>25301510</v>
      </c>
      <c r="B1055" s="1055" t="s">
        <v>893</v>
      </c>
      <c r="C1055" s="1055" t="s">
        <v>894</v>
      </c>
      <c r="D1055" s="1055" t="s">
        <v>1395</v>
      </c>
      <c r="E1055" s="1055" t="s">
        <v>1396</v>
      </c>
      <c r="F1055" s="1056">
        <v>13</v>
      </c>
      <c r="G1055" s="1056">
        <v>0</v>
      </c>
      <c r="H1055" s="1056">
        <v>0</v>
      </c>
      <c r="I1055" s="1056">
        <v>13</v>
      </c>
      <c r="K1055" s="995">
        <f t="shared" si="16"/>
        <v>8</v>
      </c>
    </row>
    <row r="1056" spans="1:11">
      <c r="A1056" s="1054">
        <v>25301510</v>
      </c>
      <c r="B1056" s="1055" t="s">
        <v>893</v>
      </c>
      <c r="C1056" s="1055" t="s">
        <v>894</v>
      </c>
      <c r="D1056" s="1055" t="s">
        <v>1382</v>
      </c>
      <c r="E1056" s="1055" t="s">
        <v>1763</v>
      </c>
      <c r="F1056" s="1056">
        <v>244</v>
      </c>
      <c r="G1056" s="1056">
        <v>0</v>
      </c>
      <c r="H1056" s="1056">
        <v>0</v>
      </c>
      <c r="I1056" s="1056">
        <v>244</v>
      </c>
      <c r="K1056" s="995">
        <f t="shared" si="16"/>
        <v>8</v>
      </c>
    </row>
    <row r="1057" spans="1:11">
      <c r="A1057" s="1054">
        <v>25301512</v>
      </c>
      <c r="B1057" s="1055" t="s">
        <v>1489</v>
      </c>
      <c r="C1057" s="1055" t="s">
        <v>746</v>
      </c>
      <c r="D1057" s="1055" t="s">
        <v>893</v>
      </c>
      <c r="E1057" s="1055" t="s">
        <v>893</v>
      </c>
      <c r="F1057" s="1056">
        <v>1082</v>
      </c>
      <c r="G1057" s="1056">
        <v>474</v>
      </c>
      <c r="H1057" s="1056">
        <v>1552</v>
      </c>
      <c r="I1057" s="1056">
        <v>5</v>
      </c>
      <c r="K1057" s="995">
        <f t="shared" si="16"/>
        <v>8</v>
      </c>
    </row>
    <row r="1058" spans="1:11">
      <c r="A1058" s="1054">
        <v>25301512</v>
      </c>
      <c r="B1058" s="1055" t="s">
        <v>1489</v>
      </c>
      <c r="C1058" s="1055" t="s">
        <v>746</v>
      </c>
      <c r="D1058" s="1055" t="s">
        <v>1397</v>
      </c>
      <c r="E1058" s="1055" t="s">
        <v>1398</v>
      </c>
      <c r="F1058" s="1056">
        <v>571</v>
      </c>
      <c r="G1058" s="1056">
        <v>0</v>
      </c>
      <c r="H1058" s="1056">
        <v>0</v>
      </c>
      <c r="I1058" s="1056">
        <v>571</v>
      </c>
      <c r="K1058" s="995">
        <f t="shared" si="16"/>
        <v>8</v>
      </c>
    </row>
    <row r="1059" spans="1:11">
      <c r="A1059" s="1054">
        <v>25301512</v>
      </c>
      <c r="B1059" s="1055" t="s">
        <v>1489</v>
      </c>
      <c r="C1059" s="1055" t="s">
        <v>746</v>
      </c>
      <c r="D1059" s="1055" t="s">
        <v>1042</v>
      </c>
      <c r="E1059" s="1055" t="s">
        <v>1732</v>
      </c>
      <c r="F1059" s="1056">
        <v>449</v>
      </c>
      <c r="G1059" s="1056">
        <v>0</v>
      </c>
      <c r="H1059" s="1056">
        <v>0</v>
      </c>
      <c r="I1059" s="1056">
        <v>449</v>
      </c>
      <c r="K1059" s="995">
        <f t="shared" si="16"/>
        <v>8</v>
      </c>
    </row>
    <row r="1060" spans="1:11">
      <c r="A1060" s="1054">
        <v>25301512</v>
      </c>
      <c r="B1060" s="1055" t="s">
        <v>1489</v>
      </c>
      <c r="C1060" s="1055" t="s">
        <v>746</v>
      </c>
      <c r="D1060" s="1055" t="s">
        <v>1611</v>
      </c>
      <c r="E1060" s="1055" t="s">
        <v>1612</v>
      </c>
      <c r="F1060" s="1056">
        <v>62</v>
      </c>
      <c r="G1060" s="1056">
        <v>0</v>
      </c>
      <c r="H1060" s="1056">
        <v>0</v>
      </c>
      <c r="I1060" s="1056">
        <v>62</v>
      </c>
      <c r="K1060" s="995">
        <f t="shared" si="16"/>
        <v>8</v>
      </c>
    </row>
    <row r="1061" spans="1:11">
      <c r="A1061" s="1054">
        <v>25301512</v>
      </c>
      <c r="B1061" s="1055" t="s">
        <v>1489</v>
      </c>
      <c r="C1061" s="1055" t="s">
        <v>746</v>
      </c>
      <c r="D1061" s="1055" t="s">
        <v>1246</v>
      </c>
      <c r="E1061" s="1055" t="s">
        <v>743</v>
      </c>
      <c r="F1061" s="1056">
        <v>0</v>
      </c>
      <c r="G1061" s="1056">
        <v>0</v>
      </c>
      <c r="H1061" s="1056">
        <v>1174</v>
      </c>
      <c r="I1061" s="1056">
        <v>-1174</v>
      </c>
      <c r="K1061" s="995">
        <f t="shared" si="16"/>
        <v>8</v>
      </c>
    </row>
    <row r="1062" spans="1:11">
      <c r="A1062" s="1054">
        <v>25301512</v>
      </c>
      <c r="B1062" s="1055" t="s">
        <v>1489</v>
      </c>
      <c r="C1062" s="1055" t="s">
        <v>746</v>
      </c>
      <c r="D1062" s="1055" t="s">
        <v>1870</v>
      </c>
      <c r="E1062" s="1055" t="s">
        <v>1871</v>
      </c>
      <c r="F1062" s="1056">
        <v>0</v>
      </c>
      <c r="G1062" s="1056">
        <v>97</v>
      </c>
      <c r="H1062" s="1056">
        <v>0</v>
      </c>
      <c r="I1062" s="1056">
        <v>97</v>
      </c>
      <c r="K1062" s="995">
        <f t="shared" si="16"/>
        <v>8</v>
      </c>
    </row>
    <row r="1063" spans="1:11">
      <c r="A1063" s="1054">
        <v>25301512</v>
      </c>
      <c r="B1063" s="1055" t="s">
        <v>1489</v>
      </c>
      <c r="C1063" s="1055" t="s">
        <v>746</v>
      </c>
      <c r="D1063" s="1055" t="s">
        <v>1613</v>
      </c>
      <c r="E1063" s="1055" t="s">
        <v>1614</v>
      </c>
      <c r="F1063" s="1056">
        <v>0</v>
      </c>
      <c r="G1063" s="1056">
        <v>377</v>
      </c>
      <c r="H1063" s="1056">
        <v>377</v>
      </c>
      <c r="I1063" s="1056">
        <v>0</v>
      </c>
      <c r="K1063" s="995">
        <f t="shared" si="16"/>
        <v>8</v>
      </c>
    </row>
    <row r="1064" spans="1:11">
      <c r="A1064" s="1054">
        <v>253020</v>
      </c>
      <c r="B1064" s="1055" t="s">
        <v>893</v>
      </c>
      <c r="C1064" s="1055" t="s">
        <v>350</v>
      </c>
      <c r="D1064" s="1055" t="s">
        <v>893</v>
      </c>
      <c r="E1064" s="1055" t="s">
        <v>893</v>
      </c>
      <c r="F1064" s="1056">
        <v>-26993</v>
      </c>
      <c r="G1064" s="1056">
        <v>32880</v>
      </c>
      <c r="H1064" s="1056">
        <v>5698</v>
      </c>
      <c r="I1064" s="1056">
        <v>189</v>
      </c>
      <c r="K1064" s="995">
        <f t="shared" si="16"/>
        <v>6</v>
      </c>
    </row>
    <row r="1065" spans="1:11">
      <c r="A1065" s="1054">
        <v>25302005</v>
      </c>
      <c r="B1065" s="1055" t="s">
        <v>893</v>
      </c>
      <c r="C1065" s="1055" t="s">
        <v>411</v>
      </c>
      <c r="D1065" s="1055" t="s">
        <v>893</v>
      </c>
      <c r="E1065" s="1055" t="s">
        <v>893</v>
      </c>
      <c r="F1065" s="1056">
        <v>-29540</v>
      </c>
      <c r="G1065" s="1056">
        <v>0</v>
      </c>
      <c r="H1065" s="1056">
        <v>5639</v>
      </c>
      <c r="I1065" s="1056">
        <v>-35179</v>
      </c>
      <c r="K1065" s="995">
        <f t="shared" si="16"/>
        <v>8</v>
      </c>
    </row>
    <row r="1066" spans="1:11">
      <c r="A1066" s="1054">
        <v>25302005</v>
      </c>
      <c r="B1066" s="1055" t="s">
        <v>893</v>
      </c>
      <c r="C1066" s="1055" t="s">
        <v>411</v>
      </c>
      <c r="D1066" s="1055" t="s">
        <v>1360</v>
      </c>
      <c r="E1066" s="1055" t="s">
        <v>1361</v>
      </c>
      <c r="F1066" s="1056">
        <v>-867</v>
      </c>
      <c r="G1066" s="1056">
        <v>0</v>
      </c>
      <c r="H1066" s="1056">
        <v>130</v>
      </c>
      <c r="I1066" s="1056">
        <v>-997</v>
      </c>
      <c r="K1066" s="995">
        <f t="shared" si="16"/>
        <v>8</v>
      </c>
    </row>
    <row r="1067" spans="1:11">
      <c r="A1067" s="1054">
        <v>25302005</v>
      </c>
      <c r="B1067" s="1055" t="s">
        <v>893</v>
      </c>
      <c r="C1067" s="1055" t="s">
        <v>411</v>
      </c>
      <c r="D1067" s="1055" t="s">
        <v>1298</v>
      </c>
      <c r="E1067" s="1055" t="s">
        <v>987</v>
      </c>
      <c r="F1067" s="1056">
        <v>-908</v>
      </c>
      <c r="G1067" s="1056">
        <v>0</v>
      </c>
      <c r="H1067" s="1056">
        <v>183</v>
      </c>
      <c r="I1067" s="1056">
        <v>-1092</v>
      </c>
      <c r="K1067" s="995">
        <f t="shared" si="16"/>
        <v>8</v>
      </c>
    </row>
    <row r="1068" spans="1:11">
      <c r="A1068" s="1054">
        <v>25302005</v>
      </c>
      <c r="B1068" s="1055" t="s">
        <v>893</v>
      </c>
      <c r="C1068" s="1055" t="s">
        <v>411</v>
      </c>
      <c r="D1068" s="1055" t="s">
        <v>1397</v>
      </c>
      <c r="E1068" s="1055" t="s">
        <v>1398</v>
      </c>
      <c r="F1068" s="1056">
        <v>-81</v>
      </c>
      <c r="G1068" s="1056">
        <v>0</v>
      </c>
      <c r="H1068" s="1056">
        <v>0</v>
      </c>
      <c r="I1068" s="1056">
        <v>-81</v>
      </c>
      <c r="K1068" s="995">
        <f t="shared" si="16"/>
        <v>8</v>
      </c>
    </row>
    <row r="1069" spans="1:11">
      <c r="A1069" s="1054">
        <v>25302005</v>
      </c>
      <c r="B1069" s="1055" t="s">
        <v>893</v>
      </c>
      <c r="C1069" s="1055" t="s">
        <v>411</v>
      </c>
      <c r="D1069" s="1055" t="s">
        <v>1362</v>
      </c>
      <c r="E1069" s="1055" t="s">
        <v>1363</v>
      </c>
      <c r="F1069" s="1056">
        <v>-766</v>
      </c>
      <c r="G1069" s="1056">
        <v>0</v>
      </c>
      <c r="H1069" s="1056">
        <v>149</v>
      </c>
      <c r="I1069" s="1056">
        <v>-916</v>
      </c>
      <c r="K1069" s="995">
        <f t="shared" si="16"/>
        <v>8</v>
      </c>
    </row>
    <row r="1070" spans="1:11">
      <c r="A1070" s="1054">
        <v>25302005</v>
      </c>
      <c r="B1070" s="1055" t="s">
        <v>893</v>
      </c>
      <c r="C1070" s="1055" t="s">
        <v>411</v>
      </c>
      <c r="D1070" s="1055" t="s">
        <v>1364</v>
      </c>
      <c r="E1070" s="1055" t="s">
        <v>1365</v>
      </c>
      <c r="F1070" s="1056">
        <v>-881</v>
      </c>
      <c r="G1070" s="1056">
        <v>0</v>
      </c>
      <c r="H1070" s="1056">
        <v>136</v>
      </c>
      <c r="I1070" s="1056">
        <v>-1017</v>
      </c>
      <c r="K1070" s="995">
        <f t="shared" si="16"/>
        <v>8</v>
      </c>
    </row>
    <row r="1071" spans="1:11">
      <c r="A1071" s="1054">
        <v>25302005</v>
      </c>
      <c r="B1071" s="1055" t="s">
        <v>893</v>
      </c>
      <c r="C1071" s="1055" t="s">
        <v>411</v>
      </c>
      <c r="D1071" s="1055" t="s">
        <v>1601</v>
      </c>
      <c r="E1071" s="1055" t="s">
        <v>1602</v>
      </c>
      <c r="F1071" s="1056">
        <v>-1233</v>
      </c>
      <c r="G1071" s="1056">
        <v>0</v>
      </c>
      <c r="H1071" s="1056">
        <v>810</v>
      </c>
      <c r="I1071" s="1056">
        <v>-2043</v>
      </c>
      <c r="K1071" s="995">
        <f t="shared" si="16"/>
        <v>8</v>
      </c>
    </row>
    <row r="1072" spans="1:11">
      <c r="A1072" s="1054">
        <v>25302005</v>
      </c>
      <c r="B1072" s="1055" t="s">
        <v>893</v>
      </c>
      <c r="C1072" s="1055" t="s">
        <v>411</v>
      </c>
      <c r="D1072" s="1055" t="s">
        <v>1270</v>
      </c>
      <c r="E1072" s="1055" t="s">
        <v>988</v>
      </c>
      <c r="F1072" s="1056">
        <v>-995</v>
      </c>
      <c r="G1072" s="1056">
        <v>0</v>
      </c>
      <c r="H1072" s="1056">
        <v>199</v>
      </c>
      <c r="I1072" s="1056">
        <v>-1194</v>
      </c>
      <c r="K1072" s="995">
        <f t="shared" si="16"/>
        <v>8</v>
      </c>
    </row>
    <row r="1073" spans="1:11">
      <c r="A1073" s="1054">
        <v>25302005</v>
      </c>
      <c r="B1073" s="1055" t="s">
        <v>893</v>
      </c>
      <c r="C1073" s="1055" t="s">
        <v>411</v>
      </c>
      <c r="D1073" s="1055" t="s">
        <v>1271</v>
      </c>
      <c r="E1073" s="1055" t="s">
        <v>782</v>
      </c>
      <c r="F1073" s="1056">
        <v>-990</v>
      </c>
      <c r="G1073" s="1056">
        <v>0</v>
      </c>
      <c r="H1073" s="1056">
        <v>198</v>
      </c>
      <c r="I1073" s="1056">
        <v>-1188</v>
      </c>
      <c r="K1073" s="995">
        <f t="shared" si="16"/>
        <v>8</v>
      </c>
    </row>
    <row r="1074" spans="1:11">
      <c r="A1074" s="1054">
        <v>25302005</v>
      </c>
      <c r="B1074" s="1055" t="s">
        <v>893</v>
      </c>
      <c r="C1074" s="1055" t="s">
        <v>411</v>
      </c>
      <c r="D1074" s="1055" t="s">
        <v>1366</v>
      </c>
      <c r="E1074" s="1055" t="s">
        <v>1367</v>
      </c>
      <c r="F1074" s="1056">
        <v>-778</v>
      </c>
      <c r="G1074" s="1056">
        <v>0</v>
      </c>
      <c r="H1074" s="1056">
        <v>136</v>
      </c>
      <c r="I1074" s="1056">
        <v>-914</v>
      </c>
      <c r="K1074" s="995">
        <f t="shared" si="16"/>
        <v>8</v>
      </c>
    </row>
    <row r="1075" spans="1:11">
      <c r="A1075" s="1054">
        <v>25302005</v>
      </c>
      <c r="B1075" s="1055" t="s">
        <v>893</v>
      </c>
      <c r="C1075" s="1055" t="s">
        <v>411</v>
      </c>
      <c r="D1075" s="1055" t="s">
        <v>1302</v>
      </c>
      <c r="E1075" s="1055" t="s">
        <v>986</v>
      </c>
      <c r="F1075" s="1056">
        <v>-751</v>
      </c>
      <c r="G1075" s="1056">
        <v>0</v>
      </c>
      <c r="H1075" s="1056">
        <v>150</v>
      </c>
      <c r="I1075" s="1056">
        <v>-902</v>
      </c>
      <c r="K1075" s="995">
        <f t="shared" si="16"/>
        <v>8</v>
      </c>
    </row>
    <row r="1076" spans="1:11">
      <c r="A1076" s="1054">
        <v>25302005</v>
      </c>
      <c r="B1076" s="1055" t="s">
        <v>893</v>
      </c>
      <c r="C1076" s="1055" t="s">
        <v>411</v>
      </c>
      <c r="D1076" s="1055" t="s">
        <v>1042</v>
      </c>
      <c r="E1076" s="1055" t="s">
        <v>1732</v>
      </c>
      <c r="F1076" s="1056">
        <v>-766</v>
      </c>
      <c r="G1076" s="1056">
        <v>0</v>
      </c>
      <c r="H1076" s="1056">
        <v>0</v>
      </c>
      <c r="I1076" s="1056">
        <v>-766</v>
      </c>
      <c r="K1076" s="995">
        <f t="shared" si="16"/>
        <v>8</v>
      </c>
    </row>
    <row r="1077" spans="1:11">
      <c r="A1077" s="1054">
        <v>25302005</v>
      </c>
      <c r="B1077" s="1055" t="s">
        <v>893</v>
      </c>
      <c r="C1077" s="1055" t="s">
        <v>411</v>
      </c>
      <c r="D1077" s="1055" t="s">
        <v>1611</v>
      </c>
      <c r="E1077" s="1055" t="s">
        <v>1612</v>
      </c>
      <c r="F1077" s="1056">
        <v>-149</v>
      </c>
      <c r="G1077" s="1056">
        <v>0</v>
      </c>
      <c r="H1077" s="1056">
        <v>0</v>
      </c>
      <c r="I1077" s="1056">
        <v>-149</v>
      </c>
      <c r="K1077" s="995">
        <f t="shared" si="16"/>
        <v>8</v>
      </c>
    </row>
    <row r="1078" spans="1:11">
      <c r="A1078" s="1054">
        <v>25302005</v>
      </c>
      <c r="B1078" s="1055" t="s">
        <v>893</v>
      </c>
      <c r="C1078" s="1055" t="s">
        <v>411</v>
      </c>
      <c r="D1078" s="1055" t="s">
        <v>1368</v>
      </c>
      <c r="E1078" s="1055" t="s">
        <v>1369</v>
      </c>
      <c r="F1078" s="1056">
        <v>-207</v>
      </c>
      <c r="G1078" s="1056">
        <v>0</v>
      </c>
      <c r="H1078" s="1056">
        <v>155</v>
      </c>
      <c r="I1078" s="1056">
        <v>-363</v>
      </c>
      <c r="K1078" s="995">
        <f t="shared" si="16"/>
        <v>8</v>
      </c>
    </row>
    <row r="1079" spans="1:11">
      <c r="A1079" s="1054">
        <v>25302005</v>
      </c>
      <c r="B1079" s="1055" t="s">
        <v>893</v>
      </c>
      <c r="C1079" s="1055" t="s">
        <v>411</v>
      </c>
      <c r="D1079" s="1055" t="s">
        <v>1246</v>
      </c>
      <c r="E1079" s="1055" t="s">
        <v>743</v>
      </c>
      <c r="F1079" s="1056">
        <v>-135</v>
      </c>
      <c r="G1079" s="1056">
        <v>0</v>
      </c>
      <c r="H1079" s="1056">
        <v>0</v>
      </c>
      <c r="I1079" s="1056">
        <v>-135</v>
      </c>
      <c r="K1079" s="995">
        <f t="shared" si="16"/>
        <v>8</v>
      </c>
    </row>
    <row r="1080" spans="1:11">
      <c r="A1080" s="1054">
        <v>25302005</v>
      </c>
      <c r="B1080" s="1055" t="s">
        <v>893</v>
      </c>
      <c r="C1080" s="1055" t="s">
        <v>411</v>
      </c>
      <c r="D1080" s="1055" t="s">
        <v>1320</v>
      </c>
      <c r="E1080" s="1055" t="s">
        <v>1321</v>
      </c>
      <c r="F1080" s="1056">
        <v>-756</v>
      </c>
      <c r="G1080" s="1056">
        <v>0</v>
      </c>
      <c r="H1080" s="1056">
        <v>144</v>
      </c>
      <c r="I1080" s="1056">
        <v>-900</v>
      </c>
      <c r="K1080" s="995">
        <f t="shared" si="16"/>
        <v>8</v>
      </c>
    </row>
    <row r="1081" spans="1:11">
      <c r="A1081" s="1054">
        <v>25302005</v>
      </c>
      <c r="B1081" s="1055" t="s">
        <v>893</v>
      </c>
      <c r="C1081" s="1055" t="s">
        <v>411</v>
      </c>
      <c r="D1081" s="1055" t="s">
        <v>1274</v>
      </c>
      <c r="E1081" s="1055" t="s">
        <v>989</v>
      </c>
      <c r="F1081" s="1056">
        <v>-1092</v>
      </c>
      <c r="G1081" s="1056">
        <v>0</v>
      </c>
      <c r="H1081" s="1056">
        <v>194</v>
      </c>
      <c r="I1081" s="1056">
        <v>-1285</v>
      </c>
      <c r="K1081" s="995">
        <f t="shared" si="16"/>
        <v>8</v>
      </c>
    </row>
    <row r="1082" spans="1:11">
      <c r="A1082" s="1054">
        <v>25302005</v>
      </c>
      <c r="B1082" s="1055" t="s">
        <v>893</v>
      </c>
      <c r="C1082" s="1055" t="s">
        <v>411</v>
      </c>
      <c r="D1082" s="1055" t="s">
        <v>1247</v>
      </c>
      <c r="E1082" s="1055" t="s">
        <v>1248</v>
      </c>
      <c r="F1082" s="1056">
        <v>-844</v>
      </c>
      <c r="G1082" s="1056">
        <v>0</v>
      </c>
      <c r="H1082" s="1056">
        <v>161</v>
      </c>
      <c r="I1082" s="1056">
        <v>-1005</v>
      </c>
      <c r="K1082" s="995">
        <f t="shared" si="16"/>
        <v>8</v>
      </c>
    </row>
    <row r="1083" spans="1:11">
      <c r="A1083" s="1054">
        <v>25302005</v>
      </c>
      <c r="B1083" s="1055" t="s">
        <v>893</v>
      </c>
      <c r="C1083" s="1055" t="s">
        <v>411</v>
      </c>
      <c r="D1083" s="1055" t="s">
        <v>1387</v>
      </c>
      <c r="E1083" s="1055" t="s">
        <v>1388</v>
      </c>
      <c r="F1083" s="1056">
        <v>-21</v>
      </c>
      <c r="G1083" s="1056">
        <v>0</v>
      </c>
      <c r="H1083" s="1056">
        <v>0</v>
      </c>
      <c r="I1083" s="1056">
        <v>-21</v>
      </c>
      <c r="K1083" s="995">
        <f t="shared" si="16"/>
        <v>8</v>
      </c>
    </row>
    <row r="1084" spans="1:11">
      <c r="A1084" s="1054">
        <v>25302005</v>
      </c>
      <c r="B1084" s="1055" t="s">
        <v>893</v>
      </c>
      <c r="C1084" s="1055" t="s">
        <v>411</v>
      </c>
      <c r="D1084" s="1055" t="s">
        <v>1370</v>
      </c>
      <c r="E1084" s="1055" t="s">
        <v>1371</v>
      </c>
      <c r="F1084" s="1056">
        <v>-815</v>
      </c>
      <c r="G1084" s="1056">
        <v>0</v>
      </c>
      <c r="H1084" s="1056">
        <v>151</v>
      </c>
      <c r="I1084" s="1056">
        <v>-967</v>
      </c>
      <c r="K1084" s="995">
        <f t="shared" si="16"/>
        <v>8</v>
      </c>
    </row>
    <row r="1085" spans="1:11">
      <c r="A1085" s="1054">
        <v>25302005</v>
      </c>
      <c r="B1085" s="1055" t="s">
        <v>893</v>
      </c>
      <c r="C1085" s="1055" t="s">
        <v>411</v>
      </c>
      <c r="D1085" s="1055" t="s">
        <v>1870</v>
      </c>
      <c r="E1085" s="1055" t="s">
        <v>1871</v>
      </c>
      <c r="F1085" s="1056">
        <v>-840</v>
      </c>
      <c r="G1085" s="1056">
        <v>0</v>
      </c>
      <c r="H1085" s="1056">
        <v>112</v>
      </c>
      <c r="I1085" s="1056">
        <v>-952</v>
      </c>
      <c r="K1085" s="995">
        <f t="shared" si="16"/>
        <v>8</v>
      </c>
    </row>
    <row r="1086" spans="1:11">
      <c r="A1086" s="1054">
        <v>25302005</v>
      </c>
      <c r="B1086" s="1055" t="s">
        <v>893</v>
      </c>
      <c r="C1086" s="1055" t="s">
        <v>411</v>
      </c>
      <c r="D1086" s="1055" t="s">
        <v>1372</v>
      </c>
      <c r="E1086" s="1055" t="s">
        <v>1373</v>
      </c>
      <c r="F1086" s="1056">
        <v>-787</v>
      </c>
      <c r="G1086" s="1056">
        <v>0</v>
      </c>
      <c r="H1086" s="1056">
        <v>135</v>
      </c>
      <c r="I1086" s="1056">
        <v>-922</v>
      </c>
      <c r="K1086" s="995">
        <f t="shared" si="16"/>
        <v>8</v>
      </c>
    </row>
    <row r="1087" spans="1:11">
      <c r="A1087" s="1054">
        <v>25302005</v>
      </c>
      <c r="B1087" s="1055" t="s">
        <v>893</v>
      </c>
      <c r="C1087" s="1055" t="s">
        <v>411</v>
      </c>
      <c r="D1087" s="1055" t="s">
        <v>1785</v>
      </c>
      <c r="E1087" s="1055" t="s">
        <v>1786</v>
      </c>
      <c r="F1087" s="1056">
        <v>-820</v>
      </c>
      <c r="G1087" s="1056">
        <v>0</v>
      </c>
      <c r="H1087" s="1056">
        <v>57</v>
      </c>
      <c r="I1087" s="1056">
        <v>-878</v>
      </c>
      <c r="K1087" s="995">
        <f t="shared" si="16"/>
        <v>8</v>
      </c>
    </row>
    <row r="1088" spans="1:11">
      <c r="A1088" s="1054">
        <v>25302005</v>
      </c>
      <c r="B1088" s="1055" t="s">
        <v>893</v>
      </c>
      <c r="C1088" s="1055" t="s">
        <v>411</v>
      </c>
      <c r="D1088" s="1055" t="s">
        <v>1374</v>
      </c>
      <c r="E1088" s="1055" t="s">
        <v>1375</v>
      </c>
      <c r="F1088" s="1056">
        <v>-187</v>
      </c>
      <c r="G1088" s="1056">
        <v>0</v>
      </c>
      <c r="H1088" s="1056">
        <v>140</v>
      </c>
      <c r="I1088" s="1056">
        <v>-328</v>
      </c>
      <c r="K1088" s="995">
        <f t="shared" si="16"/>
        <v>8</v>
      </c>
    </row>
    <row r="1089" spans="1:11">
      <c r="A1089" s="1054">
        <v>25302005</v>
      </c>
      <c r="B1089" s="1055" t="s">
        <v>893</v>
      </c>
      <c r="C1089" s="1055" t="s">
        <v>411</v>
      </c>
      <c r="D1089" s="1055" t="s">
        <v>1389</v>
      </c>
      <c r="E1089" s="1055" t="s">
        <v>1390</v>
      </c>
      <c r="F1089" s="1056">
        <v>-123</v>
      </c>
      <c r="G1089" s="1056">
        <v>0</v>
      </c>
      <c r="H1089" s="1056">
        <v>0</v>
      </c>
      <c r="I1089" s="1056">
        <v>-123</v>
      </c>
      <c r="K1089" s="995">
        <f t="shared" si="16"/>
        <v>8</v>
      </c>
    </row>
    <row r="1090" spans="1:11">
      <c r="A1090" s="1054">
        <v>25302005</v>
      </c>
      <c r="B1090" s="1055" t="s">
        <v>893</v>
      </c>
      <c r="C1090" s="1055" t="s">
        <v>411</v>
      </c>
      <c r="D1090" s="1055" t="s">
        <v>1249</v>
      </c>
      <c r="E1090" s="1055" t="s">
        <v>583</v>
      </c>
      <c r="F1090" s="1056">
        <v>-1288</v>
      </c>
      <c r="G1090" s="1056">
        <v>0</v>
      </c>
      <c r="H1090" s="1056">
        <v>217</v>
      </c>
      <c r="I1090" s="1056">
        <v>-1504</v>
      </c>
      <c r="K1090" s="995">
        <f t="shared" si="16"/>
        <v>8</v>
      </c>
    </row>
    <row r="1091" spans="1:11">
      <c r="A1091" s="1054">
        <v>25302005</v>
      </c>
      <c r="B1091" s="1055" t="s">
        <v>893</v>
      </c>
      <c r="C1091" s="1055" t="s">
        <v>411</v>
      </c>
      <c r="D1091" s="1055" t="s">
        <v>1376</v>
      </c>
      <c r="E1091" s="1055" t="s">
        <v>1377</v>
      </c>
      <c r="F1091" s="1056">
        <v>-826</v>
      </c>
      <c r="G1091" s="1056">
        <v>0</v>
      </c>
      <c r="H1091" s="1056">
        <v>139</v>
      </c>
      <c r="I1091" s="1056">
        <v>-966</v>
      </c>
      <c r="K1091" s="995">
        <f t="shared" si="16"/>
        <v>8</v>
      </c>
    </row>
    <row r="1092" spans="1:11">
      <c r="A1092" s="1054">
        <v>25302005</v>
      </c>
      <c r="B1092" s="1055" t="s">
        <v>893</v>
      </c>
      <c r="C1092" s="1055" t="s">
        <v>411</v>
      </c>
      <c r="D1092" s="1055" t="s">
        <v>1613</v>
      </c>
      <c r="E1092" s="1055" t="s">
        <v>1614</v>
      </c>
      <c r="F1092" s="1056">
        <v>0</v>
      </c>
      <c r="G1092" s="1056">
        <v>0</v>
      </c>
      <c r="H1092" s="1056">
        <v>14</v>
      </c>
      <c r="I1092" s="1056">
        <v>-14</v>
      </c>
      <c r="K1092" s="995">
        <f t="shared" si="16"/>
        <v>8</v>
      </c>
    </row>
    <row r="1093" spans="1:11">
      <c r="A1093" s="1054">
        <v>25302005</v>
      </c>
      <c r="B1093" s="1055" t="s">
        <v>893</v>
      </c>
      <c r="C1093" s="1055" t="s">
        <v>411</v>
      </c>
      <c r="D1093" s="1055" t="s">
        <v>1305</v>
      </c>
      <c r="E1093" s="1055" t="s">
        <v>990</v>
      </c>
      <c r="F1093" s="1056">
        <v>-937</v>
      </c>
      <c r="G1093" s="1056">
        <v>0</v>
      </c>
      <c r="H1093" s="1056">
        <v>168</v>
      </c>
      <c r="I1093" s="1056">
        <v>-1105</v>
      </c>
      <c r="K1093" s="995">
        <f t="shared" ref="K1093:K1156" si="17">+LEN(A1093)</f>
        <v>8</v>
      </c>
    </row>
    <row r="1094" spans="1:11">
      <c r="A1094" s="1054">
        <v>25302005</v>
      </c>
      <c r="B1094" s="1055" t="s">
        <v>893</v>
      </c>
      <c r="C1094" s="1055" t="s">
        <v>411</v>
      </c>
      <c r="D1094" s="1055" t="s">
        <v>1306</v>
      </c>
      <c r="E1094" s="1055" t="s">
        <v>997</v>
      </c>
      <c r="F1094" s="1056">
        <v>-846</v>
      </c>
      <c r="G1094" s="1056">
        <v>0</v>
      </c>
      <c r="H1094" s="1056">
        <v>129</v>
      </c>
      <c r="I1094" s="1056">
        <v>-975</v>
      </c>
      <c r="K1094" s="995">
        <f t="shared" si="17"/>
        <v>8</v>
      </c>
    </row>
    <row r="1095" spans="1:11">
      <c r="A1095" s="1054">
        <v>25302005</v>
      </c>
      <c r="B1095" s="1055" t="s">
        <v>893</v>
      </c>
      <c r="C1095" s="1055" t="s">
        <v>411</v>
      </c>
      <c r="D1095" s="1055" t="s">
        <v>1322</v>
      </c>
      <c r="E1095" s="1055" t="s">
        <v>1323</v>
      </c>
      <c r="F1095" s="1056">
        <v>-547</v>
      </c>
      <c r="G1095" s="1056">
        <v>0</v>
      </c>
      <c r="H1095" s="1056">
        <v>0</v>
      </c>
      <c r="I1095" s="1056">
        <v>-547</v>
      </c>
      <c r="K1095" s="995">
        <f t="shared" si="17"/>
        <v>8</v>
      </c>
    </row>
    <row r="1096" spans="1:11">
      <c r="A1096" s="1054">
        <v>25302005</v>
      </c>
      <c r="B1096" s="1055" t="s">
        <v>893</v>
      </c>
      <c r="C1096" s="1055" t="s">
        <v>411</v>
      </c>
      <c r="D1096" s="1055" t="s">
        <v>1391</v>
      </c>
      <c r="E1096" s="1055" t="s">
        <v>1392</v>
      </c>
      <c r="F1096" s="1056">
        <v>-68</v>
      </c>
      <c r="G1096" s="1056">
        <v>0</v>
      </c>
      <c r="H1096" s="1056">
        <v>0</v>
      </c>
      <c r="I1096" s="1056">
        <v>-68</v>
      </c>
      <c r="K1096" s="995">
        <f t="shared" si="17"/>
        <v>8</v>
      </c>
    </row>
    <row r="1097" spans="1:11">
      <c r="A1097" s="1054">
        <v>25302005</v>
      </c>
      <c r="B1097" s="1055" t="s">
        <v>893</v>
      </c>
      <c r="C1097" s="1055" t="s">
        <v>411</v>
      </c>
      <c r="D1097" s="1055" t="s">
        <v>1250</v>
      </c>
      <c r="E1097" s="1055" t="s">
        <v>1251</v>
      </c>
      <c r="F1097" s="1056">
        <v>-846</v>
      </c>
      <c r="G1097" s="1056">
        <v>0</v>
      </c>
      <c r="H1097" s="1056">
        <v>140</v>
      </c>
      <c r="I1097" s="1056">
        <v>-986</v>
      </c>
      <c r="K1097" s="995">
        <f t="shared" si="17"/>
        <v>8</v>
      </c>
    </row>
    <row r="1098" spans="1:11">
      <c r="A1098" s="1054">
        <v>25302005</v>
      </c>
      <c r="B1098" s="1055" t="s">
        <v>893</v>
      </c>
      <c r="C1098" s="1055" t="s">
        <v>411</v>
      </c>
      <c r="D1098" s="1055" t="s">
        <v>1787</v>
      </c>
      <c r="E1098" s="1055" t="s">
        <v>1788</v>
      </c>
      <c r="F1098" s="1056">
        <v>-216</v>
      </c>
      <c r="G1098" s="1056">
        <v>0</v>
      </c>
      <c r="H1098" s="1056">
        <v>162</v>
      </c>
      <c r="I1098" s="1056">
        <v>-378</v>
      </c>
      <c r="K1098" s="995">
        <f t="shared" si="17"/>
        <v>8</v>
      </c>
    </row>
    <row r="1099" spans="1:11">
      <c r="A1099" s="1054">
        <v>25302005</v>
      </c>
      <c r="B1099" s="1055" t="s">
        <v>893</v>
      </c>
      <c r="C1099" s="1055" t="s">
        <v>411</v>
      </c>
      <c r="D1099" s="1055" t="s">
        <v>1378</v>
      </c>
      <c r="E1099" s="1055" t="s">
        <v>1379</v>
      </c>
      <c r="F1099" s="1056">
        <v>-807</v>
      </c>
      <c r="G1099" s="1056">
        <v>0</v>
      </c>
      <c r="H1099" s="1056">
        <v>0</v>
      </c>
      <c r="I1099" s="1056">
        <v>-807</v>
      </c>
      <c r="K1099" s="995">
        <f t="shared" si="17"/>
        <v>8</v>
      </c>
    </row>
    <row r="1100" spans="1:11">
      <c r="A1100" s="1054">
        <v>25302005</v>
      </c>
      <c r="B1100" s="1055" t="s">
        <v>893</v>
      </c>
      <c r="C1100" s="1055" t="s">
        <v>411</v>
      </c>
      <c r="D1100" s="1055" t="s">
        <v>1393</v>
      </c>
      <c r="E1100" s="1055" t="s">
        <v>1394</v>
      </c>
      <c r="F1100" s="1056">
        <v>-18</v>
      </c>
      <c r="G1100" s="1056">
        <v>0</v>
      </c>
      <c r="H1100" s="1056">
        <v>0</v>
      </c>
      <c r="I1100" s="1056">
        <v>-18</v>
      </c>
      <c r="K1100" s="995">
        <f t="shared" si="17"/>
        <v>8</v>
      </c>
    </row>
    <row r="1101" spans="1:11">
      <c r="A1101" s="1054">
        <v>25302005</v>
      </c>
      <c r="B1101" s="1055" t="s">
        <v>893</v>
      </c>
      <c r="C1101" s="1055" t="s">
        <v>411</v>
      </c>
      <c r="D1101" s="1055" t="s">
        <v>1303</v>
      </c>
      <c r="E1101" s="1055" t="s">
        <v>806</v>
      </c>
      <c r="F1101" s="1056">
        <v>-765</v>
      </c>
      <c r="G1101" s="1056">
        <v>0</v>
      </c>
      <c r="H1101" s="1056">
        <v>125</v>
      </c>
      <c r="I1101" s="1056">
        <v>-890</v>
      </c>
      <c r="K1101" s="995">
        <f t="shared" si="17"/>
        <v>8</v>
      </c>
    </row>
    <row r="1102" spans="1:11">
      <c r="A1102" s="1054">
        <v>25302005</v>
      </c>
      <c r="B1102" s="1055" t="s">
        <v>893</v>
      </c>
      <c r="C1102" s="1055" t="s">
        <v>411</v>
      </c>
      <c r="D1102" s="1055" t="s">
        <v>1605</v>
      </c>
      <c r="E1102" s="1055" t="s">
        <v>1606</v>
      </c>
      <c r="F1102" s="1056">
        <v>-963</v>
      </c>
      <c r="G1102" s="1056">
        <v>0</v>
      </c>
      <c r="H1102" s="1056">
        <v>155</v>
      </c>
      <c r="I1102" s="1056">
        <v>-1118</v>
      </c>
      <c r="K1102" s="995">
        <f t="shared" si="17"/>
        <v>8</v>
      </c>
    </row>
    <row r="1103" spans="1:11">
      <c r="A1103" s="1054">
        <v>25302005</v>
      </c>
      <c r="B1103" s="1055" t="s">
        <v>893</v>
      </c>
      <c r="C1103" s="1055" t="s">
        <v>411</v>
      </c>
      <c r="D1103" s="1055" t="s">
        <v>1789</v>
      </c>
      <c r="E1103" s="1055" t="s">
        <v>1790</v>
      </c>
      <c r="F1103" s="1056">
        <v>-776</v>
      </c>
      <c r="G1103" s="1056">
        <v>0</v>
      </c>
      <c r="H1103" s="1056">
        <v>135</v>
      </c>
      <c r="I1103" s="1056">
        <v>-912</v>
      </c>
      <c r="K1103" s="995">
        <f t="shared" si="17"/>
        <v>8</v>
      </c>
    </row>
    <row r="1104" spans="1:11">
      <c r="A1104" s="1054">
        <v>25302005</v>
      </c>
      <c r="B1104" s="1055" t="s">
        <v>893</v>
      </c>
      <c r="C1104" s="1055" t="s">
        <v>411</v>
      </c>
      <c r="D1104" s="1055" t="s">
        <v>1254</v>
      </c>
      <c r="E1104" s="1055" t="s">
        <v>744</v>
      </c>
      <c r="F1104" s="1056">
        <v>-916</v>
      </c>
      <c r="G1104" s="1056">
        <v>0</v>
      </c>
      <c r="H1104" s="1056">
        <v>189</v>
      </c>
      <c r="I1104" s="1056">
        <v>-1105</v>
      </c>
      <c r="K1104" s="995">
        <f t="shared" si="17"/>
        <v>8</v>
      </c>
    </row>
    <row r="1105" spans="1:11">
      <c r="A1105" s="1054">
        <v>25302005</v>
      </c>
      <c r="B1105" s="1055" t="s">
        <v>893</v>
      </c>
      <c r="C1105" s="1055" t="s">
        <v>411</v>
      </c>
      <c r="D1105" s="1055" t="s">
        <v>1275</v>
      </c>
      <c r="E1105" s="1055" t="s">
        <v>991</v>
      </c>
      <c r="F1105" s="1056">
        <v>-790</v>
      </c>
      <c r="G1105" s="1056">
        <v>0</v>
      </c>
      <c r="H1105" s="1056">
        <v>286</v>
      </c>
      <c r="I1105" s="1056">
        <v>-1076</v>
      </c>
      <c r="K1105" s="995">
        <f t="shared" si="17"/>
        <v>8</v>
      </c>
    </row>
    <row r="1106" spans="1:11">
      <c r="A1106" s="1054">
        <v>25302005</v>
      </c>
      <c r="B1106" s="1055" t="s">
        <v>893</v>
      </c>
      <c r="C1106" s="1055" t="s">
        <v>411</v>
      </c>
      <c r="D1106" s="1055" t="s">
        <v>1380</v>
      </c>
      <c r="E1106" s="1055" t="s">
        <v>1381</v>
      </c>
      <c r="F1106" s="1056">
        <v>0</v>
      </c>
      <c r="G1106" s="1056">
        <v>0</v>
      </c>
      <c r="H1106" s="1056">
        <v>99</v>
      </c>
      <c r="I1106" s="1056">
        <v>-99</v>
      </c>
      <c r="K1106" s="995">
        <f t="shared" si="17"/>
        <v>8</v>
      </c>
    </row>
    <row r="1107" spans="1:11">
      <c r="A1107" s="1054">
        <v>25302005</v>
      </c>
      <c r="B1107" s="1055" t="s">
        <v>893</v>
      </c>
      <c r="C1107" s="1055" t="s">
        <v>411</v>
      </c>
      <c r="D1107" s="1055" t="s">
        <v>1044</v>
      </c>
      <c r="E1107" s="1055" t="s">
        <v>1045</v>
      </c>
      <c r="F1107" s="1056">
        <v>-941</v>
      </c>
      <c r="G1107" s="1056">
        <v>0</v>
      </c>
      <c r="H1107" s="1056">
        <v>13</v>
      </c>
      <c r="I1107" s="1056">
        <v>-954</v>
      </c>
      <c r="K1107" s="995">
        <f t="shared" si="17"/>
        <v>8</v>
      </c>
    </row>
    <row r="1108" spans="1:11">
      <c r="A1108" s="1054">
        <v>25302005</v>
      </c>
      <c r="B1108" s="1055" t="s">
        <v>893</v>
      </c>
      <c r="C1108" s="1055" t="s">
        <v>411</v>
      </c>
      <c r="D1108" s="1055" t="s">
        <v>1395</v>
      </c>
      <c r="E1108" s="1055" t="s">
        <v>1396</v>
      </c>
      <c r="F1108" s="1056">
        <v>-449</v>
      </c>
      <c r="G1108" s="1056">
        <v>0</v>
      </c>
      <c r="H1108" s="1056">
        <v>0</v>
      </c>
      <c r="I1108" s="1056">
        <v>-449</v>
      </c>
      <c r="K1108" s="995">
        <f t="shared" si="17"/>
        <v>8</v>
      </c>
    </row>
    <row r="1109" spans="1:11">
      <c r="A1109" s="1054">
        <v>25302005</v>
      </c>
      <c r="B1109" s="1055" t="s">
        <v>893</v>
      </c>
      <c r="C1109" s="1055" t="s">
        <v>411</v>
      </c>
      <c r="D1109" s="1055" t="s">
        <v>1382</v>
      </c>
      <c r="E1109" s="1055" t="s">
        <v>1763</v>
      </c>
      <c r="F1109" s="1056">
        <v>-995</v>
      </c>
      <c r="G1109" s="1056">
        <v>0</v>
      </c>
      <c r="H1109" s="1056">
        <v>199</v>
      </c>
      <c r="I1109" s="1056">
        <v>-1194</v>
      </c>
      <c r="K1109" s="995">
        <f t="shared" si="17"/>
        <v>8</v>
      </c>
    </row>
    <row r="1110" spans="1:11">
      <c r="A1110" s="1054">
        <v>25302005</v>
      </c>
      <c r="B1110" s="1055" t="s">
        <v>893</v>
      </c>
      <c r="C1110" s="1055" t="s">
        <v>411</v>
      </c>
      <c r="D1110" s="1055" t="s">
        <v>1383</v>
      </c>
      <c r="E1110" s="1055" t="s">
        <v>1384</v>
      </c>
      <c r="F1110" s="1056">
        <v>-751</v>
      </c>
      <c r="G1110" s="1056">
        <v>0</v>
      </c>
      <c r="H1110" s="1056">
        <v>127</v>
      </c>
      <c r="I1110" s="1056">
        <v>-878</v>
      </c>
      <c r="K1110" s="995">
        <f t="shared" si="17"/>
        <v>8</v>
      </c>
    </row>
    <row r="1111" spans="1:11">
      <c r="A1111" s="1054">
        <v>25302010</v>
      </c>
      <c r="B1111" s="1055" t="s">
        <v>893</v>
      </c>
      <c r="C1111" s="1055" t="s">
        <v>356</v>
      </c>
      <c r="D1111" s="1055" t="s">
        <v>893</v>
      </c>
      <c r="E1111" s="1055" t="s">
        <v>893</v>
      </c>
      <c r="F1111" s="1056">
        <v>2546</v>
      </c>
      <c r="G1111" s="1056">
        <v>32880</v>
      </c>
      <c r="H1111" s="1056">
        <v>58</v>
      </c>
      <c r="I1111" s="1056">
        <v>35368</v>
      </c>
      <c r="K1111" s="995">
        <f t="shared" si="17"/>
        <v>8</v>
      </c>
    </row>
    <row r="1112" spans="1:11">
      <c r="A1112" s="1054">
        <v>25302010</v>
      </c>
      <c r="B1112" s="1055" t="s">
        <v>893</v>
      </c>
      <c r="C1112" s="1055" t="s">
        <v>356</v>
      </c>
      <c r="D1112" s="1055" t="s">
        <v>1360</v>
      </c>
      <c r="E1112" s="1055" t="s">
        <v>1361</v>
      </c>
      <c r="F1112" s="1056">
        <v>0</v>
      </c>
      <c r="G1112" s="1056">
        <v>997</v>
      </c>
      <c r="H1112" s="1056">
        <v>0</v>
      </c>
      <c r="I1112" s="1056">
        <v>997</v>
      </c>
      <c r="K1112" s="995">
        <f t="shared" si="17"/>
        <v>8</v>
      </c>
    </row>
    <row r="1113" spans="1:11">
      <c r="A1113" s="1054">
        <v>25302010</v>
      </c>
      <c r="B1113" s="1055" t="s">
        <v>893</v>
      </c>
      <c r="C1113" s="1055" t="s">
        <v>356</v>
      </c>
      <c r="D1113" s="1055" t="s">
        <v>1298</v>
      </c>
      <c r="E1113" s="1055" t="s">
        <v>987</v>
      </c>
      <c r="F1113" s="1056">
        <v>0</v>
      </c>
      <c r="G1113" s="1056">
        <v>1092</v>
      </c>
      <c r="H1113" s="1056">
        <v>0</v>
      </c>
      <c r="I1113" s="1056">
        <v>1092</v>
      </c>
      <c r="K1113" s="995">
        <f t="shared" si="17"/>
        <v>8</v>
      </c>
    </row>
    <row r="1114" spans="1:11">
      <c r="A1114" s="1054">
        <v>25302010</v>
      </c>
      <c r="B1114" s="1055" t="s">
        <v>893</v>
      </c>
      <c r="C1114" s="1055" t="s">
        <v>356</v>
      </c>
      <c r="D1114" s="1055" t="s">
        <v>1397</v>
      </c>
      <c r="E1114" s="1055" t="s">
        <v>1398</v>
      </c>
      <c r="F1114" s="1056">
        <v>81</v>
      </c>
      <c r="G1114" s="1056">
        <v>0</v>
      </c>
      <c r="H1114" s="1056">
        <v>0</v>
      </c>
      <c r="I1114" s="1056">
        <v>81</v>
      </c>
      <c r="K1114" s="995">
        <f t="shared" si="17"/>
        <v>8</v>
      </c>
    </row>
    <row r="1115" spans="1:11">
      <c r="A1115" s="1054">
        <v>25302010</v>
      </c>
      <c r="B1115" s="1055" t="s">
        <v>893</v>
      </c>
      <c r="C1115" s="1055" t="s">
        <v>356</v>
      </c>
      <c r="D1115" s="1055" t="s">
        <v>1362</v>
      </c>
      <c r="E1115" s="1055" t="s">
        <v>1363</v>
      </c>
      <c r="F1115" s="1056">
        <v>0</v>
      </c>
      <c r="G1115" s="1056">
        <v>916</v>
      </c>
      <c r="H1115" s="1056">
        <v>0</v>
      </c>
      <c r="I1115" s="1056">
        <v>916</v>
      </c>
      <c r="K1115" s="995">
        <f t="shared" si="17"/>
        <v>8</v>
      </c>
    </row>
    <row r="1116" spans="1:11">
      <c r="A1116" s="1054">
        <v>25302010</v>
      </c>
      <c r="B1116" s="1055" t="s">
        <v>893</v>
      </c>
      <c r="C1116" s="1055" t="s">
        <v>356</v>
      </c>
      <c r="D1116" s="1055" t="s">
        <v>1364</v>
      </c>
      <c r="E1116" s="1055" t="s">
        <v>1365</v>
      </c>
      <c r="F1116" s="1056">
        <v>0</v>
      </c>
      <c r="G1116" s="1056">
        <v>1017</v>
      </c>
      <c r="H1116" s="1056">
        <v>0</v>
      </c>
      <c r="I1116" s="1056">
        <v>1017</v>
      </c>
      <c r="K1116" s="995">
        <f t="shared" si="17"/>
        <v>8</v>
      </c>
    </row>
    <row r="1117" spans="1:11">
      <c r="A1117" s="1054">
        <v>25302010</v>
      </c>
      <c r="B1117" s="1055" t="s">
        <v>893</v>
      </c>
      <c r="C1117" s="1055" t="s">
        <v>356</v>
      </c>
      <c r="D1117" s="1055" t="s">
        <v>1601</v>
      </c>
      <c r="E1117" s="1055" t="s">
        <v>1602</v>
      </c>
      <c r="F1117" s="1056">
        <v>0</v>
      </c>
      <c r="G1117" s="1056">
        <v>2043</v>
      </c>
      <c r="H1117" s="1056">
        <v>0</v>
      </c>
      <c r="I1117" s="1056">
        <v>2043</v>
      </c>
      <c r="K1117" s="995">
        <f t="shared" si="17"/>
        <v>8</v>
      </c>
    </row>
    <row r="1118" spans="1:11">
      <c r="A1118" s="1054">
        <v>25302010</v>
      </c>
      <c r="B1118" s="1055" t="s">
        <v>893</v>
      </c>
      <c r="C1118" s="1055" t="s">
        <v>356</v>
      </c>
      <c r="D1118" s="1055" t="s">
        <v>1270</v>
      </c>
      <c r="E1118" s="1055" t="s">
        <v>988</v>
      </c>
      <c r="F1118" s="1056">
        <v>0</v>
      </c>
      <c r="G1118" s="1056">
        <v>1194</v>
      </c>
      <c r="H1118" s="1056">
        <v>0</v>
      </c>
      <c r="I1118" s="1056">
        <v>1194</v>
      </c>
      <c r="K1118" s="995">
        <f t="shared" si="17"/>
        <v>8</v>
      </c>
    </row>
    <row r="1119" spans="1:11">
      <c r="A1119" s="1054">
        <v>25302010</v>
      </c>
      <c r="B1119" s="1055" t="s">
        <v>893</v>
      </c>
      <c r="C1119" s="1055" t="s">
        <v>356</v>
      </c>
      <c r="D1119" s="1055" t="s">
        <v>1271</v>
      </c>
      <c r="E1119" s="1055" t="s">
        <v>782</v>
      </c>
      <c r="F1119" s="1056">
        <v>0</v>
      </c>
      <c r="G1119" s="1056">
        <v>1188</v>
      </c>
      <c r="H1119" s="1056">
        <v>0</v>
      </c>
      <c r="I1119" s="1056">
        <v>1188</v>
      </c>
      <c r="K1119" s="995">
        <f t="shared" si="17"/>
        <v>8</v>
      </c>
    </row>
    <row r="1120" spans="1:11">
      <c r="A1120" s="1054">
        <v>25302010</v>
      </c>
      <c r="B1120" s="1055" t="s">
        <v>893</v>
      </c>
      <c r="C1120" s="1055" t="s">
        <v>356</v>
      </c>
      <c r="D1120" s="1055" t="s">
        <v>1366</v>
      </c>
      <c r="E1120" s="1055" t="s">
        <v>1367</v>
      </c>
      <c r="F1120" s="1056">
        <v>0</v>
      </c>
      <c r="G1120" s="1056">
        <v>914</v>
      </c>
      <c r="H1120" s="1056">
        <v>0</v>
      </c>
      <c r="I1120" s="1056">
        <v>914</v>
      </c>
      <c r="K1120" s="995">
        <f t="shared" si="17"/>
        <v>8</v>
      </c>
    </row>
    <row r="1121" spans="1:11">
      <c r="A1121" s="1054">
        <v>25302010</v>
      </c>
      <c r="B1121" s="1055" t="s">
        <v>893</v>
      </c>
      <c r="C1121" s="1055" t="s">
        <v>356</v>
      </c>
      <c r="D1121" s="1055" t="s">
        <v>1302</v>
      </c>
      <c r="E1121" s="1055" t="s">
        <v>986</v>
      </c>
      <c r="F1121" s="1056">
        <v>0</v>
      </c>
      <c r="G1121" s="1056">
        <v>902</v>
      </c>
      <c r="H1121" s="1056">
        <v>0</v>
      </c>
      <c r="I1121" s="1056">
        <v>902</v>
      </c>
      <c r="K1121" s="995">
        <f t="shared" si="17"/>
        <v>8</v>
      </c>
    </row>
    <row r="1122" spans="1:11">
      <c r="A1122" s="1054">
        <v>25302010</v>
      </c>
      <c r="B1122" s="1055" t="s">
        <v>893</v>
      </c>
      <c r="C1122" s="1055" t="s">
        <v>356</v>
      </c>
      <c r="D1122" s="1055" t="s">
        <v>1042</v>
      </c>
      <c r="E1122" s="1055" t="s">
        <v>1732</v>
      </c>
      <c r="F1122" s="1056">
        <v>766</v>
      </c>
      <c r="G1122" s="1056">
        <v>0</v>
      </c>
      <c r="H1122" s="1056">
        <v>0</v>
      </c>
      <c r="I1122" s="1056">
        <v>766</v>
      </c>
      <c r="K1122" s="995">
        <f t="shared" si="17"/>
        <v>8</v>
      </c>
    </row>
    <row r="1123" spans="1:11">
      <c r="A1123" s="1054">
        <v>25302010</v>
      </c>
      <c r="B1123" s="1055" t="s">
        <v>893</v>
      </c>
      <c r="C1123" s="1055" t="s">
        <v>356</v>
      </c>
      <c r="D1123" s="1055" t="s">
        <v>1611</v>
      </c>
      <c r="E1123" s="1055" t="s">
        <v>1612</v>
      </c>
      <c r="F1123" s="1056">
        <v>149</v>
      </c>
      <c r="G1123" s="1056">
        <v>0</v>
      </c>
      <c r="H1123" s="1056">
        <v>0</v>
      </c>
      <c r="I1123" s="1056">
        <v>149</v>
      </c>
      <c r="K1123" s="995">
        <f t="shared" si="17"/>
        <v>8</v>
      </c>
    </row>
    <row r="1124" spans="1:11">
      <c r="A1124" s="1054">
        <v>25302010</v>
      </c>
      <c r="B1124" s="1055" t="s">
        <v>893</v>
      </c>
      <c r="C1124" s="1055" t="s">
        <v>356</v>
      </c>
      <c r="D1124" s="1055" t="s">
        <v>1368</v>
      </c>
      <c r="E1124" s="1055" t="s">
        <v>1369</v>
      </c>
      <c r="F1124" s="1056">
        <v>0</v>
      </c>
      <c r="G1124" s="1056">
        <v>363</v>
      </c>
      <c r="H1124" s="1056">
        <v>0</v>
      </c>
      <c r="I1124" s="1056">
        <v>363</v>
      </c>
      <c r="K1124" s="995">
        <f t="shared" si="17"/>
        <v>8</v>
      </c>
    </row>
    <row r="1125" spans="1:11">
      <c r="A1125" s="1054">
        <v>25302010</v>
      </c>
      <c r="B1125" s="1055" t="s">
        <v>893</v>
      </c>
      <c r="C1125" s="1055" t="s">
        <v>356</v>
      </c>
      <c r="D1125" s="1055" t="s">
        <v>1246</v>
      </c>
      <c r="E1125" s="1055" t="s">
        <v>743</v>
      </c>
      <c r="F1125" s="1056">
        <v>135</v>
      </c>
      <c r="G1125" s="1056">
        <v>0</v>
      </c>
      <c r="H1125" s="1056">
        <v>0</v>
      </c>
      <c r="I1125" s="1056">
        <v>135</v>
      </c>
      <c r="K1125" s="995">
        <f t="shared" si="17"/>
        <v>8</v>
      </c>
    </row>
    <row r="1126" spans="1:11">
      <c r="A1126" s="1054">
        <v>25302010</v>
      </c>
      <c r="B1126" s="1055" t="s">
        <v>893</v>
      </c>
      <c r="C1126" s="1055" t="s">
        <v>356</v>
      </c>
      <c r="D1126" s="1055" t="s">
        <v>1320</v>
      </c>
      <c r="E1126" s="1055" t="s">
        <v>1321</v>
      </c>
      <c r="F1126" s="1056">
        <v>0</v>
      </c>
      <c r="G1126" s="1056">
        <v>900</v>
      </c>
      <c r="H1126" s="1056">
        <v>0</v>
      </c>
      <c r="I1126" s="1056">
        <v>900</v>
      </c>
      <c r="K1126" s="995">
        <f t="shared" si="17"/>
        <v>8</v>
      </c>
    </row>
    <row r="1127" spans="1:11">
      <c r="A1127" s="1054">
        <v>25302010</v>
      </c>
      <c r="B1127" s="1055" t="s">
        <v>893</v>
      </c>
      <c r="C1127" s="1055" t="s">
        <v>356</v>
      </c>
      <c r="D1127" s="1055" t="s">
        <v>1274</v>
      </c>
      <c r="E1127" s="1055" t="s">
        <v>989</v>
      </c>
      <c r="F1127" s="1056">
        <v>0</v>
      </c>
      <c r="G1127" s="1056">
        <v>1285</v>
      </c>
      <c r="H1127" s="1056">
        <v>0</v>
      </c>
      <c r="I1127" s="1056">
        <v>1285</v>
      </c>
      <c r="K1127" s="995">
        <f t="shared" si="17"/>
        <v>8</v>
      </c>
    </row>
    <row r="1128" spans="1:11">
      <c r="A1128" s="1054">
        <v>25302010</v>
      </c>
      <c r="B1128" s="1055" t="s">
        <v>893</v>
      </c>
      <c r="C1128" s="1055" t="s">
        <v>356</v>
      </c>
      <c r="D1128" s="1055" t="s">
        <v>1247</v>
      </c>
      <c r="E1128" s="1055" t="s">
        <v>1248</v>
      </c>
      <c r="F1128" s="1056">
        <v>0</v>
      </c>
      <c r="G1128" s="1056">
        <v>1005</v>
      </c>
      <c r="H1128" s="1056">
        <v>0</v>
      </c>
      <c r="I1128" s="1056">
        <v>1005</v>
      </c>
      <c r="K1128" s="995">
        <f t="shared" si="17"/>
        <v>8</v>
      </c>
    </row>
    <row r="1129" spans="1:11">
      <c r="A1129" s="1054">
        <v>25302010</v>
      </c>
      <c r="B1129" s="1055" t="s">
        <v>893</v>
      </c>
      <c r="C1129" s="1055" t="s">
        <v>356</v>
      </c>
      <c r="D1129" s="1055" t="s">
        <v>1387</v>
      </c>
      <c r="E1129" s="1055" t="s">
        <v>1388</v>
      </c>
      <c r="F1129" s="1056">
        <v>21</v>
      </c>
      <c r="G1129" s="1056">
        <v>0</v>
      </c>
      <c r="H1129" s="1056">
        <v>0</v>
      </c>
      <c r="I1129" s="1056">
        <v>21</v>
      </c>
      <c r="K1129" s="995">
        <f t="shared" si="17"/>
        <v>8</v>
      </c>
    </row>
    <row r="1130" spans="1:11">
      <c r="A1130" s="1054">
        <v>25302010</v>
      </c>
      <c r="B1130" s="1055" t="s">
        <v>893</v>
      </c>
      <c r="C1130" s="1055" t="s">
        <v>356</v>
      </c>
      <c r="D1130" s="1055" t="s">
        <v>1370</v>
      </c>
      <c r="E1130" s="1055" t="s">
        <v>1371</v>
      </c>
      <c r="F1130" s="1056">
        <v>0</v>
      </c>
      <c r="G1130" s="1056">
        <v>967</v>
      </c>
      <c r="H1130" s="1056">
        <v>0</v>
      </c>
      <c r="I1130" s="1056">
        <v>967</v>
      </c>
      <c r="K1130" s="995">
        <f t="shared" si="17"/>
        <v>8</v>
      </c>
    </row>
    <row r="1131" spans="1:11">
      <c r="A1131" s="1054">
        <v>25302010</v>
      </c>
      <c r="B1131" s="1055" t="s">
        <v>893</v>
      </c>
      <c r="C1131" s="1055" t="s">
        <v>356</v>
      </c>
      <c r="D1131" s="1055" t="s">
        <v>1870</v>
      </c>
      <c r="E1131" s="1055" t="s">
        <v>1871</v>
      </c>
      <c r="F1131" s="1056">
        <v>0</v>
      </c>
      <c r="G1131" s="1056">
        <v>1011</v>
      </c>
      <c r="H1131" s="1056">
        <v>58</v>
      </c>
      <c r="I1131" s="1056">
        <v>952</v>
      </c>
      <c r="K1131" s="995">
        <f t="shared" si="17"/>
        <v>8</v>
      </c>
    </row>
    <row r="1132" spans="1:11">
      <c r="A1132" s="1054">
        <v>25302010</v>
      </c>
      <c r="B1132" s="1055" t="s">
        <v>893</v>
      </c>
      <c r="C1132" s="1055" t="s">
        <v>356</v>
      </c>
      <c r="D1132" s="1055" t="s">
        <v>1372</v>
      </c>
      <c r="E1132" s="1055" t="s">
        <v>1373</v>
      </c>
      <c r="F1132" s="1056">
        <v>0</v>
      </c>
      <c r="G1132" s="1056">
        <v>922</v>
      </c>
      <c r="H1132" s="1056">
        <v>0</v>
      </c>
      <c r="I1132" s="1056">
        <v>922</v>
      </c>
      <c r="K1132" s="995">
        <f t="shared" si="17"/>
        <v>8</v>
      </c>
    </row>
    <row r="1133" spans="1:11">
      <c r="A1133" s="1054">
        <v>25302010</v>
      </c>
      <c r="B1133" s="1055" t="s">
        <v>893</v>
      </c>
      <c r="C1133" s="1055" t="s">
        <v>356</v>
      </c>
      <c r="D1133" s="1055" t="s">
        <v>1785</v>
      </c>
      <c r="E1133" s="1055" t="s">
        <v>1786</v>
      </c>
      <c r="F1133" s="1056">
        <v>0</v>
      </c>
      <c r="G1133" s="1056">
        <v>878</v>
      </c>
      <c r="H1133" s="1056">
        <v>0</v>
      </c>
      <c r="I1133" s="1056">
        <v>878</v>
      </c>
      <c r="K1133" s="995">
        <f t="shared" si="17"/>
        <v>8</v>
      </c>
    </row>
    <row r="1134" spans="1:11">
      <c r="A1134" s="1054">
        <v>25302010</v>
      </c>
      <c r="B1134" s="1055" t="s">
        <v>893</v>
      </c>
      <c r="C1134" s="1055" t="s">
        <v>356</v>
      </c>
      <c r="D1134" s="1055" t="s">
        <v>1374</v>
      </c>
      <c r="E1134" s="1055" t="s">
        <v>1375</v>
      </c>
      <c r="F1134" s="1056">
        <v>0</v>
      </c>
      <c r="G1134" s="1056">
        <v>328</v>
      </c>
      <c r="H1134" s="1056">
        <v>0</v>
      </c>
      <c r="I1134" s="1056">
        <v>328</v>
      </c>
      <c r="K1134" s="995">
        <f t="shared" si="17"/>
        <v>8</v>
      </c>
    </row>
    <row r="1135" spans="1:11">
      <c r="A1135" s="1054">
        <v>25302010</v>
      </c>
      <c r="B1135" s="1055" t="s">
        <v>893</v>
      </c>
      <c r="C1135" s="1055" t="s">
        <v>356</v>
      </c>
      <c r="D1135" s="1055" t="s">
        <v>1389</v>
      </c>
      <c r="E1135" s="1055" t="s">
        <v>1390</v>
      </c>
      <c r="F1135" s="1056">
        <v>123</v>
      </c>
      <c r="G1135" s="1056">
        <v>0</v>
      </c>
      <c r="H1135" s="1056">
        <v>0</v>
      </c>
      <c r="I1135" s="1056">
        <v>123</v>
      </c>
      <c r="K1135" s="995">
        <f t="shared" si="17"/>
        <v>8</v>
      </c>
    </row>
    <row r="1136" spans="1:11">
      <c r="A1136" s="1054">
        <v>25302010</v>
      </c>
      <c r="B1136" s="1055" t="s">
        <v>893</v>
      </c>
      <c r="C1136" s="1055" t="s">
        <v>356</v>
      </c>
      <c r="D1136" s="1055" t="s">
        <v>1249</v>
      </c>
      <c r="E1136" s="1055" t="s">
        <v>583</v>
      </c>
      <c r="F1136" s="1056">
        <v>0</v>
      </c>
      <c r="G1136" s="1056">
        <v>1504</v>
      </c>
      <c r="H1136" s="1056">
        <v>0</v>
      </c>
      <c r="I1136" s="1056">
        <v>1504</v>
      </c>
      <c r="K1136" s="995">
        <f t="shared" si="17"/>
        <v>8</v>
      </c>
    </row>
    <row r="1137" spans="1:11">
      <c r="A1137" s="1054">
        <v>25302010</v>
      </c>
      <c r="B1137" s="1055" t="s">
        <v>893</v>
      </c>
      <c r="C1137" s="1055" t="s">
        <v>356</v>
      </c>
      <c r="D1137" s="1055" t="s">
        <v>1376</v>
      </c>
      <c r="E1137" s="1055" t="s">
        <v>1377</v>
      </c>
      <c r="F1137" s="1056">
        <v>0</v>
      </c>
      <c r="G1137" s="1056">
        <v>966</v>
      </c>
      <c r="H1137" s="1056">
        <v>0</v>
      </c>
      <c r="I1137" s="1056">
        <v>966</v>
      </c>
      <c r="K1137" s="995">
        <f t="shared" si="17"/>
        <v>8</v>
      </c>
    </row>
    <row r="1138" spans="1:11">
      <c r="A1138" s="1054">
        <v>25302010</v>
      </c>
      <c r="B1138" s="1055" t="s">
        <v>893</v>
      </c>
      <c r="C1138" s="1055" t="s">
        <v>356</v>
      </c>
      <c r="D1138" s="1055" t="s">
        <v>1613</v>
      </c>
      <c r="E1138" s="1055" t="s">
        <v>1614</v>
      </c>
      <c r="F1138" s="1056">
        <v>0</v>
      </c>
      <c r="G1138" s="1056">
        <v>734</v>
      </c>
      <c r="H1138" s="1056">
        <v>0</v>
      </c>
      <c r="I1138" s="1056">
        <v>734</v>
      </c>
      <c r="K1138" s="995">
        <f t="shared" si="17"/>
        <v>8</v>
      </c>
    </row>
    <row r="1139" spans="1:11">
      <c r="A1139" s="1054">
        <v>25302010</v>
      </c>
      <c r="B1139" s="1055" t="s">
        <v>893</v>
      </c>
      <c r="C1139" s="1055" t="s">
        <v>356</v>
      </c>
      <c r="D1139" s="1055" t="s">
        <v>1305</v>
      </c>
      <c r="E1139" s="1055" t="s">
        <v>990</v>
      </c>
      <c r="F1139" s="1056">
        <v>0</v>
      </c>
      <c r="G1139" s="1056">
        <v>1105</v>
      </c>
      <c r="H1139" s="1056">
        <v>0</v>
      </c>
      <c r="I1139" s="1056">
        <v>1105</v>
      </c>
      <c r="K1139" s="995">
        <f t="shared" si="17"/>
        <v>8</v>
      </c>
    </row>
    <row r="1140" spans="1:11">
      <c r="A1140" s="1054">
        <v>25302010</v>
      </c>
      <c r="B1140" s="1055" t="s">
        <v>893</v>
      </c>
      <c r="C1140" s="1055" t="s">
        <v>356</v>
      </c>
      <c r="D1140" s="1055" t="s">
        <v>1306</v>
      </c>
      <c r="E1140" s="1055" t="s">
        <v>997</v>
      </c>
      <c r="F1140" s="1056">
        <v>0</v>
      </c>
      <c r="G1140" s="1056">
        <v>975</v>
      </c>
      <c r="H1140" s="1056">
        <v>0</v>
      </c>
      <c r="I1140" s="1056">
        <v>975</v>
      </c>
      <c r="K1140" s="995">
        <f t="shared" si="17"/>
        <v>8</v>
      </c>
    </row>
    <row r="1141" spans="1:11">
      <c r="A1141" s="1054">
        <v>25302010</v>
      </c>
      <c r="B1141" s="1055" t="s">
        <v>893</v>
      </c>
      <c r="C1141" s="1055" t="s">
        <v>356</v>
      </c>
      <c r="D1141" s="1055" t="s">
        <v>1322</v>
      </c>
      <c r="E1141" s="1055" t="s">
        <v>1323</v>
      </c>
      <c r="F1141" s="1056">
        <v>547</v>
      </c>
      <c r="G1141" s="1056">
        <v>0</v>
      </c>
      <c r="H1141" s="1056">
        <v>0</v>
      </c>
      <c r="I1141" s="1056">
        <v>547</v>
      </c>
      <c r="K1141" s="995">
        <f t="shared" si="17"/>
        <v>8</v>
      </c>
    </row>
    <row r="1142" spans="1:11">
      <c r="A1142" s="1054">
        <v>25302010</v>
      </c>
      <c r="B1142" s="1055" t="s">
        <v>893</v>
      </c>
      <c r="C1142" s="1055" t="s">
        <v>356</v>
      </c>
      <c r="D1142" s="1055" t="s">
        <v>1391</v>
      </c>
      <c r="E1142" s="1055" t="s">
        <v>1392</v>
      </c>
      <c r="F1142" s="1056">
        <v>68</v>
      </c>
      <c r="G1142" s="1056">
        <v>0</v>
      </c>
      <c r="H1142" s="1056">
        <v>0</v>
      </c>
      <c r="I1142" s="1056">
        <v>68</v>
      </c>
      <c r="K1142" s="995">
        <f t="shared" si="17"/>
        <v>8</v>
      </c>
    </row>
    <row r="1143" spans="1:11">
      <c r="A1143" s="1054">
        <v>25302010</v>
      </c>
      <c r="B1143" s="1055" t="s">
        <v>893</v>
      </c>
      <c r="C1143" s="1055" t="s">
        <v>356</v>
      </c>
      <c r="D1143" s="1055" t="s">
        <v>1250</v>
      </c>
      <c r="E1143" s="1055" t="s">
        <v>1251</v>
      </c>
      <c r="F1143" s="1056">
        <v>0</v>
      </c>
      <c r="G1143" s="1056">
        <v>986</v>
      </c>
      <c r="H1143" s="1056">
        <v>0</v>
      </c>
      <c r="I1143" s="1056">
        <v>986</v>
      </c>
      <c r="K1143" s="995">
        <f t="shared" si="17"/>
        <v>8</v>
      </c>
    </row>
    <row r="1144" spans="1:11">
      <c r="A1144" s="1054">
        <v>25302010</v>
      </c>
      <c r="B1144" s="1055" t="s">
        <v>893</v>
      </c>
      <c r="C1144" s="1055" t="s">
        <v>356</v>
      </c>
      <c r="D1144" s="1055" t="s">
        <v>1787</v>
      </c>
      <c r="E1144" s="1055" t="s">
        <v>1788</v>
      </c>
      <c r="F1144" s="1056">
        <v>0</v>
      </c>
      <c r="G1144" s="1056">
        <v>378</v>
      </c>
      <c r="H1144" s="1056">
        <v>0</v>
      </c>
      <c r="I1144" s="1056">
        <v>378</v>
      </c>
      <c r="K1144" s="995">
        <f t="shared" si="17"/>
        <v>8</v>
      </c>
    </row>
    <row r="1145" spans="1:11">
      <c r="A1145" s="1054">
        <v>25302010</v>
      </c>
      <c r="B1145" s="1055" t="s">
        <v>893</v>
      </c>
      <c r="C1145" s="1055" t="s">
        <v>356</v>
      </c>
      <c r="D1145" s="1055" t="s">
        <v>1378</v>
      </c>
      <c r="E1145" s="1055" t="s">
        <v>1379</v>
      </c>
      <c r="F1145" s="1056">
        <v>0</v>
      </c>
      <c r="G1145" s="1056">
        <v>88</v>
      </c>
      <c r="H1145" s="1056">
        <v>0</v>
      </c>
      <c r="I1145" s="1056">
        <v>88</v>
      </c>
      <c r="K1145" s="995">
        <f t="shared" si="17"/>
        <v>8</v>
      </c>
    </row>
    <row r="1146" spans="1:11">
      <c r="A1146" s="1054">
        <v>25302010</v>
      </c>
      <c r="B1146" s="1055" t="s">
        <v>893</v>
      </c>
      <c r="C1146" s="1055" t="s">
        <v>356</v>
      </c>
      <c r="D1146" s="1055" t="s">
        <v>1393</v>
      </c>
      <c r="E1146" s="1055" t="s">
        <v>1394</v>
      </c>
      <c r="F1146" s="1056">
        <v>18</v>
      </c>
      <c r="G1146" s="1056">
        <v>0</v>
      </c>
      <c r="H1146" s="1056">
        <v>0</v>
      </c>
      <c r="I1146" s="1056">
        <v>18</v>
      </c>
      <c r="K1146" s="995">
        <f t="shared" si="17"/>
        <v>8</v>
      </c>
    </row>
    <row r="1147" spans="1:11">
      <c r="A1147" s="1054">
        <v>25302010</v>
      </c>
      <c r="B1147" s="1055" t="s">
        <v>893</v>
      </c>
      <c r="C1147" s="1055" t="s">
        <v>356</v>
      </c>
      <c r="D1147" s="1055" t="s">
        <v>1303</v>
      </c>
      <c r="E1147" s="1055" t="s">
        <v>806</v>
      </c>
      <c r="F1147" s="1056">
        <v>0</v>
      </c>
      <c r="G1147" s="1056">
        <v>890</v>
      </c>
      <c r="H1147" s="1056">
        <v>0</v>
      </c>
      <c r="I1147" s="1056">
        <v>890</v>
      </c>
      <c r="K1147" s="995">
        <f t="shared" si="17"/>
        <v>8</v>
      </c>
    </row>
    <row r="1148" spans="1:11">
      <c r="A1148" s="1054">
        <v>25302010</v>
      </c>
      <c r="B1148" s="1055" t="s">
        <v>893</v>
      </c>
      <c r="C1148" s="1055" t="s">
        <v>356</v>
      </c>
      <c r="D1148" s="1055" t="s">
        <v>1605</v>
      </c>
      <c r="E1148" s="1055" t="s">
        <v>1606</v>
      </c>
      <c r="F1148" s="1056">
        <v>0</v>
      </c>
      <c r="G1148" s="1056">
        <v>1118</v>
      </c>
      <c r="H1148" s="1056">
        <v>0</v>
      </c>
      <c r="I1148" s="1056">
        <v>1118</v>
      </c>
      <c r="K1148" s="995">
        <f t="shared" si="17"/>
        <v>8</v>
      </c>
    </row>
    <row r="1149" spans="1:11">
      <c r="A1149" s="1054">
        <v>25302010</v>
      </c>
      <c r="B1149" s="1055" t="s">
        <v>893</v>
      </c>
      <c r="C1149" s="1055" t="s">
        <v>356</v>
      </c>
      <c r="D1149" s="1055" t="s">
        <v>1789</v>
      </c>
      <c r="E1149" s="1055" t="s">
        <v>1790</v>
      </c>
      <c r="F1149" s="1056">
        <v>0</v>
      </c>
      <c r="G1149" s="1056">
        <v>912</v>
      </c>
      <c r="H1149" s="1056">
        <v>0</v>
      </c>
      <c r="I1149" s="1056">
        <v>912</v>
      </c>
      <c r="K1149" s="995">
        <f t="shared" si="17"/>
        <v>8</v>
      </c>
    </row>
    <row r="1150" spans="1:11">
      <c r="A1150" s="1054">
        <v>25302010</v>
      </c>
      <c r="B1150" s="1055" t="s">
        <v>893</v>
      </c>
      <c r="C1150" s="1055" t="s">
        <v>356</v>
      </c>
      <c r="D1150" s="1055" t="s">
        <v>1254</v>
      </c>
      <c r="E1150" s="1055" t="s">
        <v>744</v>
      </c>
      <c r="F1150" s="1056">
        <v>0</v>
      </c>
      <c r="G1150" s="1056">
        <v>1105</v>
      </c>
      <c r="H1150" s="1056">
        <v>0</v>
      </c>
      <c r="I1150" s="1056">
        <v>1105</v>
      </c>
      <c r="K1150" s="995">
        <f t="shared" si="17"/>
        <v>8</v>
      </c>
    </row>
    <row r="1151" spans="1:11">
      <c r="A1151" s="1054">
        <v>25302010</v>
      </c>
      <c r="B1151" s="1055" t="s">
        <v>893</v>
      </c>
      <c r="C1151" s="1055" t="s">
        <v>356</v>
      </c>
      <c r="D1151" s="1055" t="s">
        <v>1275</v>
      </c>
      <c r="E1151" s="1055" t="s">
        <v>991</v>
      </c>
      <c r="F1151" s="1056">
        <v>0</v>
      </c>
      <c r="G1151" s="1056">
        <v>1076</v>
      </c>
      <c r="H1151" s="1056">
        <v>0</v>
      </c>
      <c r="I1151" s="1056">
        <v>1076</v>
      </c>
      <c r="K1151" s="995">
        <f t="shared" si="17"/>
        <v>8</v>
      </c>
    </row>
    <row r="1152" spans="1:11">
      <c r="A1152" s="1054">
        <v>25302010</v>
      </c>
      <c r="B1152" s="1055" t="s">
        <v>893</v>
      </c>
      <c r="C1152" s="1055" t="s">
        <v>356</v>
      </c>
      <c r="D1152" s="1055" t="s">
        <v>1380</v>
      </c>
      <c r="E1152" s="1055" t="s">
        <v>1381</v>
      </c>
      <c r="F1152" s="1056">
        <v>0</v>
      </c>
      <c r="G1152" s="1056">
        <v>99</v>
      </c>
      <c r="H1152" s="1056">
        <v>0</v>
      </c>
      <c r="I1152" s="1056">
        <v>99</v>
      </c>
      <c r="K1152" s="995">
        <f t="shared" si="17"/>
        <v>8</v>
      </c>
    </row>
    <row r="1153" spans="1:11">
      <c r="A1153" s="1054">
        <v>25302010</v>
      </c>
      <c r="B1153" s="1055" t="s">
        <v>893</v>
      </c>
      <c r="C1153" s="1055" t="s">
        <v>356</v>
      </c>
      <c r="D1153" s="1055" t="s">
        <v>1044</v>
      </c>
      <c r="E1153" s="1055" t="s">
        <v>1045</v>
      </c>
      <c r="F1153" s="1056">
        <v>0</v>
      </c>
      <c r="G1153" s="1056">
        <v>954</v>
      </c>
      <c r="H1153" s="1056">
        <v>0</v>
      </c>
      <c r="I1153" s="1056">
        <v>954</v>
      </c>
      <c r="K1153" s="995">
        <f t="shared" si="17"/>
        <v>8</v>
      </c>
    </row>
    <row r="1154" spans="1:11">
      <c r="A1154" s="1054">
        <v>25302010</v>
      </c>
      <c r="B1154" s="1055" t="s">
        <v>893</v>
      </c>
      <c r="C1154" s="1055" t="s">
        <v>356</v>
      </c>
      <c r="D1154" s="1055" t="s">
        <v>1395</v>
      </c>
      <c r="E1154" s="1055" t="s">
        <v>1396</v>
      </c>
      <c r="F1154" s="1056">
        <v>639</v>
      </c>
      <c r="G1154" s="1056">
        <v>0</v>
      </c>
      <c r="H1154" s="1056">
        <v>0</v>
      </c>
      <c r="I1154" s="1056">
        <v>639</v>
      </c>
      <c r="K1154" s="995">
        <f t="shared" si="17"/>
        <v>8</v>
      </c>
    </row>
    <row r="1155" spans="1:11">
      <c r="A1155" s="1054">
        <v>25302010</v>
      </c>
      <c r="B1155" s="1055" t="s">
        <v>893</v>
      </c>
      <c r="C1155" s="1055" t="s">
        <v>356</v>
      </c>
      <c r="D1155" s="1055" t="s">
        <v>1382</v>
      </c>
      <c r="E1155" s="1055" t="s">
        <v>1763</v>
      </c>
      <c r="F1155" s="1056">
        <v>0</v>
      </c>
      <c r="G1155" s="1056">
        <v>1194</v>
      </c>
      <c r="H1155" s="1056">
        <v>0</v>
      </c>
      <c r="I1155" s="1056">
        <v>1194</v>
      </c>
      <c r="K1155" s="995">
        <f t="shared" si="17"/>
        <v>8</v>
      </c>
    </row>
    <row r="1156" spans="1:11">
      <c r="A1156" s="1054">
        <v>25302010</v>
      </c>
      <c r="B1156" s="1055" t="s">
        <v>893</v>
      </c>
      <c r="C1156" s="1055" t="s">
        <v>356</v>
      </c>
      <c r="D1156" s="1055" t="s">
        <v>1383</v>
      </c>
      <c r="E1156" s="1055" t="s">
        <v>1384</v>
      </c>
      <c r="F1156" s="1056">
        <v>0</v>
      </c>
      <c r="G1156" s="1056">
        <v>878</v>
      </c>
      <c r="H1156" s="1056">
        <v>0</v>
      </c>
      <c r="I1156" s="1056">
        <v>878</v>
      </c>
      <c r="K1156" s="995">
        <f t="shared" si="17"/>
        <v>8</v>
      </c>
    </row>
    <row r="1157" spans="1:11">
      <c r="A1157" s="1054">
        <v>2550</v>
      </c>
      <c r="B1157" s="1055" t="s">
        <v>893</v>
      </c>
      <c r="C1157" s="1055" t="s">
        <v>357</v>
      </c>
      <c r="D1157" s="1055" t="s">
        <v>893</v>
      </c>
      <c r="E1157" s="1055" t="s">
        <v>893</v>
      </c>
      <c r="F1157" s="1056">
        <v>-23510</v>
      </c>
      <c r="G1157" s="1056">
        <v>19702</v>
      </c>
      <c r="H1157" s="1056">
        <v>17588</v>
      </c>
      <c r="I1157" s="1056">
        <v>-21396</v>
      </c>
      <c r="K1157" s="995">
        <f t="shared" ref="K1157:K1220" si="18">+LEN(A1157)</f>
        <v>4</v>
      </c>
    </row>
    <row r="1158" spans="1:11">
      <c r="A1158" s="1054">
        <v>255005</v>
      </c>
      <c r="B1158" s="1055" t="s">
        <v>893</v>
      </c>
      <c r="C1158" s="1055" t="s">
        <v>358</v>
      </c>
      <c r="D1158" s="1055" t="s">
        <v>893</v>
      </c>
      <c r="E1158" s="1055" t="s">
        <v>893</v>
      </c>
      <c r="F1158" s="1056">
        <v>-2744</v>
      </c>
      <c r="G1158" s="1056">
        <v>2744</v>
      </c>
      <c r="H1158" s="1056">
        <v>2544</v>
      </c>
      <c r="I1158" s="1056">
        <v>-2544</v>
      </c>
      <c r="K1158" s="995">
        <f t="shared" si="18"/>
        <v>6</v>
      </c>
    </row>
    <row r="1159" spans="1:11">
      <c r="A1159" s="1054">
        <v>25500501</v>
      </c>
      <c r="B1159" s="1055" t="s">
        <v>1489</v>
      </c>
      <c r="C1159" s="1055" t="s">
        <v>747</v>
      </c>
      <c r="D1159" s="1055" t="s">
        <v>893</v>
      </c>
      <c r="E1159" s="1055" t="s">
        <v>893</v>
      </c>
      <c r="F1159" s="1056">
        <v>-1950</v>
      </c>
      <c r="G1159" s="1056">
        <v>0</v>
      </c>
      <c r="H1159" s="1056">
        <v>3</v>
      </c>
      <c r="I1159" s="1056">
        <v>-1954</v>
      </c>
      <c r="K1159" s="995">
        <f t="shared" si="18"/>
        <v>8</v>
      </c>
    </row>
    <row r="1160" spans="1:11">
      <c r="A1160" s="1054">
        <v>25500501</v>
      </c>
      <c r="B1160" s="1055" t="s">
        <v>1489</v>
      </c>
      <c r="C1160" s="1055" t="s">
        <v>747</v>
      </c>
      <c r="D1160" s="1055" t="s">
        <v>1067</v>
      </c>
      <c r="E1160" s="1055" t="s">
        <v>1068</v>
      </c>
      <c r="F1160" s="1056">
        <v>-1967</v>
      </c>
      <c r="G1160" s="1056">
        <v>0</v>
      </c>
      <c r="H1160" s="1056">
        <v>0</v>
      </c>
      <c r="I1160" s="1056">
        <v>-1967</v>
      </c>
      <c r="K1160" s="995">
        <f t="shared" si="18"/>
        <v>8</v>
      </c>
    </row>
    <row r="1161" spans="1:11">
      <c r="A1161" s="1054">
        <v>25500501</v>
      </c>
      <c r="B1161" s="1055" t="s">
        <v>1489</v>
      </c>
      <c r="C1161" s="1055" t="s">
        <v>747</v>
      </c>
      <c r="D1161" s="1055" t="s">
        <v>1385</v>
      </c>
      <c r="E1161" s="1055" t="s">
        <v>1386</v>
      </c>
      <c r="F1161" s="1056">
        <v>-1</v>
      </c>
      <c r="G1161" s="1056">
        <v>0</v>
      </c>
      <c r="H1161" s="1056">
        <v>0</v>
      </c>
      <c r="I1161" s="1056">
        <v>-1</v>
      </c>
      <c r="K1161" s="995">
        <f t="shared" si="18"/>
        <v>8</v>
      </c>
    </row>
    <row r="1162" spans="1:11">
      <c r="A1162" s="1054">
        <v>25500501</v>
      </c>
      <c r="B1162" s="1055" t="s">
        <v>1489</v>
      </c>
      <c r="C1162" s="1055" t="s">
        <v>747</v>
      </c>
      <c r="D1162" s="1055" t="s">
        <v>1360</v>
      </c>
      <c r="E1162" s="1055" t="s">
        <v>1361</v>
      </c>
      <c r="F1162" s="1056">
        <v>0</v>
      </c>
      <c r="G1162" s="1056">
        <v>0</v>
      </c>
      <c r="H1162" s="1056">
        <v>0</v>
      </c>
      <c r="I1162" s="1056">
        <v>0</v>
      </c>
      <c r="K1162" s="995">
        <f t="shared" si="18"/>
        <v>8</v>
      </c>
    </row>
    <row r="1163" spans="1:11">
      <c r="A1163" s="1054">
        <v>25500501</v>
      </c>
      <c r="B1163" s="1055" t="s">
        <v>1489</v>
      </c>
      <c r="C1163" s="1055" t="s">
        <v>747</v>
      </c>
      <c r="D1163" s="1055" t="s">
        <v>1298</v>
      </c>
      <c r="E1163" s="1055" t="s">
        <v>987</v>
      </c>
      <c r="F1163" s="1056">
        <v>0</v>
      </c>
      <c r="G1163" s="1056">
        <v>0</v>
      </c>
      <c r="H1163" s="1056">
        <v>0</v>
      </c>
      <c r="I1163" s="1056">
        <v>0</v>
      </c>
      <c r="K1163" s="995">
        <f t="shared" si="18"/>
        <v>8</v>
      </c>
    </row>
    <row r="1164" spans="1:11">
      <c r="A1164" s="1054">
        <v>25500501</v>
      </c>
      <c r="B1164" s="1055" t="s">
        <v>1489</v>
      </c>
      <c r="C1164" s="1055" t="s">
        <v>747</v>
      </c>
      <c r="D1164" s="1055" t="s">
        <v>1397</v>
      </c>
      <c r="E1164" s="1055" t="s">
        <v>1398</v>
      </c>
      <c r="F1164" s="1056">
        <v>0</v>
      </c>
      <c r="G1164" s="1056">
        <v>0</v>
      </c>
      <c r="H1164" s="1056">
        <v>0</v>
      </c>
      <c r="I1164" s="1056">
        <v>0</v>
      </c>
      <c r="K1164" s="995">
        <f t="shared" si="18"/>
        <v>8</v>
      </c>
    </row>
    <row r="1165" spans="1:11">
      <c r="A1165" s="1054">
        <v>25500501</v>
      </c>
      <c r="B1165" s="1055" t="s">
        <v>1489</v>
      </c>
      <c r="C1165" s="1055" t="s">
        <v>747</v>
      </c>
      <c r="D1165" s="1055" t="s">
        <v>1362</v>
      </c>
      <c r="E1165" s="1055" t="s">
        <v>1363</v>
      </c>
      <c r="F1165" s="1056">
        <v>0</v>
      </c>
      <c r="G1165" s="1056">
        <v>0</v>
      </c>
      <c r="H1165" s="1056">
        <v>0</v>
      </c>
      <c r="I1165" s="1056">
        <v>0</v>
      </c>
      <c r="K1165" s="995">
        <f t="shared" si="18"/>
        <v>8</v>
      </c>
    </row>
    <row r="1166" spans="1:11">
      <c r="A1166" s="1054">
        <v>25500501</v>
      </c>
      <c r="B1166" s="1055" t="s">
        <v>1489</v>
      </c>
      <c r="C1166" s="1055" t="s">
        <v>747</v>
      </c>
      <c r="D1166" s="1055" t="s">
        <v>1364</v>
      </c>
      <c r="E1166" s="1055" t="s">
        <v>1365</v>
      </c>
      <c r="F1166" s="1056">
        <v>0</v>
      </c>
      <c r="G1166" s="1056">
        <v>0</v>
      </c>
      <c r="H1166" s="1056">
        <v>0</v>
      </c>
      <c r="I1166" s="1056">
        <v>0</v>
      </c>
      <c r="K1166" s="995">
        <f t="shared" si="18"/>
        <v>8</v>
      </c>
    </row>
    <row r="1167" spans="1:11">
      <c r="A1167" s="1054">
        <v>25500501</v>
      </c>
      <c r="B1167" s="1055" t="s">
        <v>1489</v>
      </c>
      <c r="C1167" s="1055" t="s">
        <v>747</v>
      </c>
      <c r="D1167" s="1055" t="s">
        <v>1270</v>
      </c>
      <c r="E1167" s="1055" t="s">
        <v>988</v>
      </c>
      <c r="F1167" s="1056">
        <v>0</v>
      </c>
      <c r="G1167" s="1056">
        <v>0</v>
      </c>
      <c r="H1167" s="1056">
        <v>0</v>
      </c>
      <c r="I1167" s="1056">
        <v>-1</v>
      </c>
      <c r="K1167" s="995">
        <f t="shared" si="18"/>
        <v>8</v>
      </c>
    </row>
    <row r="1168" spans="1:11">
      <c r="A1168" s="1054">
        <v>25500501</v>
      </c>
      <c r="B1168" s="1055" t="s">
        <v>1489</v>
      </c>
      <c r="C1168" s="1055" t="s">
        <v>747</v>
      </c>
      <c r="D1168" s="1055" t="s">
        <v>1271</v>
      </c>
      <c r="E1168" s="1055" t="s">
        <v>782</v>
      </c>
      <c r="F1168" s="1056">
        <v>4</v>
      </c>
      <c r="G1168" s="1056">
        <v>0</v>
      </c>
      <c r="H1168" s="1056">
        <v>0</v>
      </c>
      <c r="I1168" s="1056">
        <v>4</v>
      </c>
      <c r="K1168" s="995">
        <f t="shared" si="18"/>
        <v>8</v>
      </c>
    </row>
    <row r="1169" spans="1:11">
      <c r="A1169" s="1054">
        <v>25500501</v>
      </c>
      <c r="B1169" s="1055" t="s">
        <v>1489</v>
      </c>
      <c r="C1169" s="1055" t="s">
        <v>747</v>
      </c>
      <c r="D1169" s="1055" t="s">
        <v>1366</v>
      </c>
      <c r="E1169" s="1055" t="s">
        <v>1367</v>
      </c>
      <c r="F1169" s="1056">
        <v>0</v>
      </c>
      <c r="G1169" s="1056">
        <v>0</v>
      </c>
      <c r="H1169" s="1056">
        <v>0</v>
      </c>
      <c r="I1169" s="1056">
        <v>0</v>
      </c>
      <c r="K1169" s="995">
        <f t="shared" si="18"/>
        <v>8</v>
      </c>
    </row>
    <row r="1170" spans="1:11">
      <c r="A1170" s="1054">
        <v>25500501</v>
      </c>
      <c r="B1170" s="1055" t="s">
        <v>1489</v>
      </c>
      <c r="C1170" s="1055" t="s">
        <v>747</v>
      </c>
      <c r="D1170" s="1055" t="s">
        <v>1302</v>
      </c>
      <c r="E1170" s="1055" t="s">
        <v>986</v>
      </c>
      <c r="F1170" s="1056">
        <v>0</v>
      </c>
      <c r="G1170" s="1056">
        <v>0</v>
      </c>
      <c r="H1170" s="1056">
        <v>0</v>
      </c>
      <c r="I1170" s="1056">
        <v>0</v>
      </c>
      <c r="K1170" s="995">
        <f t="shared" si="18"/>
        <v>8</v>
      </c>
    </row>
    <row r="1171" spans="1:11">
      <c r="A1171" s="1054">
        <v>25500501</v>
      </c>
      <c r="B1171" s="1055" t="s">
        <v>1489</v>
      </c>
      <c r="C1171" s="1055" t="s">
        <v>747</v>
      </c>
      <c r="D1171" s="1055" t="s">
        <v>1042</v>
      </c>
      <c r="E1171" s="1055" t="s">
        <v>1732</v>
      </c>
      <c r="F1171" s="1056">
        <v>16</v>
      </c>
      <c r="G1171" s="1056">
        <v>0</v>
      </c>
      <c r="H1171" s="1056">
        <v>0</v>
      </c>
      <c r="I1171" s="1056">
        <v>16</v>
      </c>
      <c r="K1171" s="995">
        <f t="shared" si="18"/>
        <v>8</v>
      </c>
    </row>
    <row r="1172" spans="1:11">
      <c r="A1172" s="1054">
        <v>25500501</v>
      </c>
      <c r="B1172" s="1055" t="s">
        <v>1489</v>
      </c>
      <c r="C1172" s="1055" t="s">
        <v>747</v>
      </c>
      <c r="D1172" s="1055" t="s">
        <v>1611</v>
      </c>
      <c r="E1172" s="1055" t="s">
        <v>1612</v>
      </c>
      <c r="F1172" s="1056">
        <v>0</v>
      </c>
      <c r="G1172" s="1056">
        <v>0</v>
      </c>
      <c r="H1172" s="1056">
        <v>0</v>
      </c>
      <c r="I1172" s="1056">
        <v>0</v>
      </c>
      <c r="K1172" s="995">
        <f t="shared" si="18"/>
        <v>8</v>
      </c>
    </row>
    <row r="1173" spans="1:11">
      <c r="A1173" s="1054">
        <v>25500501</v>
      </c>
      <c r="B1173" s="1055" t="s">
        <v>1489</v>
      </c>
      <c r="C1173" s="1055" t="s">
        <v>747</v>
      </c>
      <c r="D1173" s="1055" t="s">
        <v>1368</v>
      </c>
      <c r="E1173" s="1055" t="s">
        <v>1369</v>
      </c>
      <c r="F1173" s="1056">
        <v>0</v>
      </c>
      <c r="G1173" s="1056">
        <v>0</v>
      </c>
      <c r="H1173" s="1056">
        <v>0</v>
      </c>
      <c r="I1173" s="1056">
        <v>0</v>
      </c>
      <c r="K1173" s="995">
        <f t="shared" si="18"/>
        <v>8</v>
      </c>
    </row>
    <row r="1174" spans="1:11">
      <c r="A1174" s="1054">
        <v>25500501</v>
      </c>
      <c r="B1174" s="1055" t="s">
        <v>1489</v>
      </c>
      <c r="C1174" s="1055" t="s">
        <v>747</v>
      </c>
      <c r="D1174" s="1055" t="s">
        <v>1246</v>
      </c>
      <c r="E1174" s="1055" t="s">
        <v>743</v>
      </c>
      <c r="F1174" s="1056">
        <v>-2</v>
      </c>
      <c r="G1174" s="1056">
        <v>0</v>
      </c>
      <c r="H1174" s="1056">
        <v>0</v>
      </c>
      <c r="I1174" s="1056">
        <v>-2</v>
      </c>
      <c r="K1174" s="995">
        <f t="shared" si="18"/>
        <v>8</v>
      </c>
    </row>
    <row r="1175" spans="1:11">
      <c r="A1175" s="1054">
        <v>25500501</v>
      </c>
      <c r="B1175" s="1055" t="s">
        <v>1489</v>
      </c>
      <c r="C1175" s="1055" t="s">
        <v>747</v>
      </c>
      <c r="D1175" s="1055" t="s">
        <v>1320</v>
      </c>
      <c r="E1175" s="1055" t="s">
        <v>1321</v>
      </c>
      <c r="F1175" s="1056">
        <v>0</v>
      </c>
      <c r="G1175" s="1056">
        <v>0</v>
      </c>
      <c r="H1175" s="1056">
        <v>0</v>
      </c>
      <c r="I1175" s="1056">
        <v>0</v>
      </c>
      <c r="K1175" s="995">
        <f t="shared" si="18"/>
        <v>8</v>
      </c>
    </row>
    <row r="1176" spans="1:11">
      <c r="A1176" s="1054">
        <v>25500501</v>
      </c>
      <c r="B1176" s="1055" t="s">
        <v>1489</v>
      </c>
      <c r="C1176" s="1055" t="s">
        <v>747</v>
      </c>
      <c r="D1176" s="1055" t="s">
        <v>1274</v>
      </c>
      <c r="E1176" s="1055" t="s">
        <v>989</v>
      </c>
      <c r="F1176" s="1056">
        <v>0</v>
      </c>
      <c r="G1176" s="1056">
        <v>0</v>
      </c>
      <c r="H1176" s="1056">
        <v>0</v>
      </c>
      <c r="I1176" s="1056">
        <v>0</v>
      </c>
      <c r="K1176" s="995">
        <f t="shared" si="18"/>
        <v>8</v>
      </c>
    </row>
    <row r="1177" spans="1:11">
      <c r="A1177" s="1054">
        <v>25500501</v>
      </c>
      <c r="B1177" s="1055" t="s">
        <v>1489</v>
      </c>
      <c r="C1177" s="1055" t="s">
        <v>747</v>
      </c>
      <c r="D1177" s="1055" t="s">
        <v>1247</v>
      </c>
      <c r="E1177" s="1055" t="s">
        <v>1248</v>
      </c>
      <c r="F1177" s="1056">
        <v>0</v>
      </c>
      <c r="G1177" s="1056">
        <v>0</v>
      </c>
      <c r="H1177" s="1056">
        <v>0</v>
      </c>
      <c r="I1177" s="1056">
        <v>0</v>
      </c>
      <c r="K1177" s="995">
        <f t="shared" si="18"/>
        <v>8</v>
      </c>
    </row>
    <row r="1178" spans="1:11">
      <c r="A1178" s="1054">
        <v>25500501</v>
      </c>
      <c r="B1178" s="1055" t="s">
        <v>1489</v>
      </c>
      <c r="C1178" s="1055" t="s">
        <v>747</v>
      </c>
      <c r="D1178" s="1055" t="s">
        <v>1387</v>
      </c>
      <c r="E1178" s="1055" t="s">
        <v>1388</v>
      </c>
      <c r="F1178" s="1056">
        <v>0</v>
      </c>
      <c r="G1178" s="1056">
        <v>0</v>
      </c>
      <c r="H1178" s="1056">
        <v>0</v>
      </c>
      <c r="I1178" s="1056">
        <v>0</v>
      </c>
      <c r="K1178" s="995">
        <f t="shared" si="18"/>
        <v>8</v>
      </c>
    </row>
    <row r="1179" spans="1:11">
      <c r="A1179" s="1054">
        <v>25500501</v>
      </c>
      <c r="B1179" s="1055" t="s">
        <v>1489</v>
      </c>
      <c r="C1179" s="1055" t="s">
        <v>747</v>
      </c>
      <c r="D1179" s="1055" t="s">
        <v>1370</v>
      </c>
      <c r="E1179" s="1055" t="s">
        <v>1371</v>
      </c>
      <c r="F1179" s="1056">
        <v>0</v>
      </c>
      <c r="G1179" s="1056">
        <v>0</v>
      </c>
      <c r="H1179" s="1056">
        <v>0</v>
      </c>
      <c r="I1179" s="1056">
        <v>0</v>
      </c>
      <c r="K1179" s="995">
        <f t="shared" si="18"/>
        <v>8</v>
      </c>
    </row>
    <row r="1180" spans="1:11">
      <c r="A1180" s="1054">
        <v>25500501</v>
      </c>
      <c r="B1180" s="1055" t="s">
        <v>1489</v>
      </c>
      <c r="C1180" s="1055" t="s">
        <v>747</v>
      </c>
      <c r="D1180" s="1055" t="s">
        <v>1870</v>
      </c>
      <c r="E1180" s="1055" t="s">
        <v>1871</v>
      </c>
      <c r="F1180" s="1056">
        <v>0</v>
      </c>
      <c r="G1180" s="1056">
        <v>0</v>
      </c>
      <c r="H1180" s="1056">
        <v>0</v>
      </c>
      <c r="I1180" s="1056">
        <v>0</v>
      </c>
      <c r="K1180" s="995">
        <f t="shared" si="18"/>
        <v>8</v>
      </c>
    </row>
    <row r="1181" spans="1:11">
      <c r="A1181" s="1054">
        <v>25500501</v>
      </c>
      <c r="B1181" s="1055" t="s">
        <v>1489</v>
      </c>
      <c r="C1181" s="1055" t="s">
        <v>747</v>
      </c>
      <c r="D1181" s="1055" t="s">
        <v>1372</v>
      </c>
      <c r="E1181" s="1055" t="s">
        <v>1373</v>
      </c>
      <c r="F1181" s="1056">
        <v>7</v>
      </c>
      <c r="G1181" s="1056">
        <v>0</v>
      </c>
      <c r="H1181" s="1056">
        <v>0</v>
      </c>
      <c r="I1181" s="1056">
        <v>7</v>
      </c>
      <c r="K1181" s="995">
        <f t="shared" si="18"/>
        <v>8</v>
      </c>
    </row>
    <row r="1182" spans="1:11">
      <c r="A1182" s="1054">
        <v>25500501</v>
      </c>
      <c r="B1182" s="1055" t="s">
        <v>1489</v>
      </c>
      <c r="C1182" s="1055" t="s">
        <v>747</v>
      </c>
      <c r="D1182" s="1055" t="s">
        <v>1785</v>
      </c>
      <c r="E1182" s="1055" t="s">
        <v>1786</v>
      </c>
      <c r="F1182" s="1056">
        <v>0</v>
      </c>
      <c r="G1182" s="1056">
        <v>0</v>
      </c>
      <c r="H1182" s="1056">
        <v>1</v>
      </c>
      <c r="I1182" s="1056">
        <v>-1</v>
      </c>
      <c r="K1182" s="995">
        <f t="shared" si="18"/>
        <v>8</v>
      </c>
    </row>
    <row r="1183" spans="1:11">
      <c r="A1183" s="1054">
        <v>25500501</v>
      </c>
      <c r="B1183" s="1055" t="s">
        <v>1489</v>
      </c>
      <c r="C1183" s="1055" t="s">
        <v>747</v>
      </c>
      <c r="D1183" s="1055" t="s">
        <v>1374</v>
      </c>
      <c r="E1183" s="1055" t="s">
        <v>1375</v>
      </c>
      <c r="F1183" s="1056">
        <v>0</v>
      </c>
      <c r="G1183" s="1056">
        <v>0</v>
      </c>
      <c r="H1183" s="1056">
        <v>0</v>
      </c>
      <c r="I1183" s="1056">
        <v>0</v>
      </c>
      <c r="K1183" s="995">
        <f t="shared" si="18"/>
        <v>8</v>
      </c>
    </row>
    <row r="1184" spans="1:11">
      <c r="A1184" s="1054">
        <v>25500501</v>
      </c>
      <c r="B1184" s="1055" t="s">
        <v>1489</v>
      </c>
      <c r="C1184" s="1055" t="s">
        <v>747</v>
      </c>
      <c r="D1184" s="1055" t="s">
        <v>1389</v>
      </c>
      <c r="E1184" s="1055" t="s">
        <v>1390</v>
      </c>
      <c r="F1184" s="1056">
        <v>0</v>
      </c>
      <c r="G1184" s="1056">
        <v>0</v>
      </c>
      <c r="H1184" s="1056">
        <v>0</v>
      </c>
      <c r="I1184" s="1056">
        <v>0</v>
      </c>
      <c r="K1184" s="995">
        <f t="shared" si="18"/>
        <v>8</v>
      </c>
    </row>
    <row r="1185" spans="1:11">
      <c r="A1185" s="1054">
        <v>25500501</v>
      </c>
      <c r="B1185" s="1055" t="s">
        <v>1489</v>
      </c>
      <c r="C1185" s="1055" t="s">
        <v>747</v>
      </c>
      <c r="D1185" s="1055" t="s">
        <v>1249</v>
      </c>
      <c r="E1185" s="1055" t="s">
        <v>583</v>
      </c>
      <c r="F1185" s="1056">
        <v>0</v>
      </c>
      <c r="G1185" s="1056">
        <v>0</v>
      </c>
      <c r="H1185" s="1056">
        <v>0</v>
      </c>
      <c r="I1185" s="1056">
        <v>0</v>
      </c>
      <c r="K1185" s="995">
        <f t="shared" si="18"/>
        <v>8</v>
      </c>
    </row>
    <row r="1186" spans="1:11">
      <c r="A1186" s="1054">
        <v>25500501</v>
      </c>
      <c r="B1186" s="1055" t="s">
        <v>1489</v>
      </c>
      <c r="C1186" s="1055" t="s">
        <v>747</v>
      </c>
      <c r="D1186" s="1055" t="s">
        <v>1376</v>
      </c>
      <c r="E1186" s="1055" t="s">
        <v>1377</v>
      </c>
      <c r="F1186" s="1056">
        <v>0</v>
      </c>
      <c r="G1186" s="1056">
        <v>0</v>
      </c>
      <c r="H1186" s="1056">
        <v>0</v>
      </c>
      <c r="I1186" s="1056">
        <v>0</v>
      </c>
      <c r="K1186" s="995">
        <f t="shared" si="18"/>
        <v>8</v>
      </c>
    </row>
    <row r="1187" spans="1:11">
      <c r="A1187" s="1054">
        <v>25500501</v>
      </c>
      <c r="B1187" s="1055" t="s">
        <v>1489</v>
      </c>
      <c r="C1187" s="1055" t="s">
        <v>747</v>
      </c>
      <c r="D1187" s="1055" t="s">
        <v>1613</v>
      </c>
      <c r="E1187" s="1055" t="s">
        <v>1614</v>
      </c>
      <c r="F1187" s="1056">
        <v>0</v>
      </c>
      <c r="G1187" s="1056">
        <v>0</v>
      </c>
      <c r="H1187" s="1056">
        <v>0</v>
      </c>
      <c r="I1187" s="1056">
        <v>0</v>
      </c>
      <c r="K1187" s="995">
        <f t="shared" si="18"/>
        <v>8</v>
      </c>
    </row>
    <row r="1188" spans="1:11">
      <c r="A1188" s="1054">
        <v>25500501</v>
      </c>
      <c r="B1188" s="1055" t="s">
        <v>1489</v>
      </c>
      <c r="C1188" s="1055" t="s">
        <v>747</v>
      </c>
      <c r="D1188" s="1055" t="s">
        <v>1305</v>
      </c>
      <c r="E1188" s="1055" t="s">
        <v>990</v>
      </c>
      <c r="F1188" s="1056">
        <v>0</v>
      </c>
      <c r="G1188" s="1056">
        <v>0</v>
      </c>
      <c r="H1188" s="1056">
        <v>0</v>
      </c>
      <c r="I1188" s="1056">
        <v>0</v>
      </c>
      <c r="K1188" s="995">
        <f t="shared" si="18"/>
        <v>8</v>
      </c>
    </row>
    <row r="1189" spans="1:11">
      <c r="A1189" s="1054">
        <v>25500501</v>
      </c>
      <c r="B1189" s="1055" t="s">
        <v>1489</v>
      </c>
      <c r="C1189" s="1055" t="s">
        <v>747</v>
      </c>
      <c r="D1189" s="1055" t="s">
        <v>1306</v>
      </c>
      <c r="E1189" s="1055" t="s">
        <v>997</v>
      </c>
      <c r="F1189" s="1056">
        <v>0</v>
      </c>
      <c r="G1189" s="1056">
        <v>0</v>
      </c>
      <c r="H1189" s="1056">
        <v>0</v>
      </c>
      <c r="I1189" s="1056">
        <v>0</v>
      </c>
      <c r="K1189" s="995">
        <f t="shared" si="18"/>
        <v>8</v>
      </c>
    </row>
    <row r="1190" spans="1:11">
      <c r="A1190" s="1054">
        <v>25500501</v>
      </c>
      <c r="B1190" s="1055" t="s">
        <v>1489</v>
      </c>
      <c r="C1190" s="1055" t="s">
        <v>747</v>
      </c>
      <c r="D1190" s="1055" t="s">
        <v>1322</v>
      </c>
      <c r="E1190" s="1055" t="s">
        <v>1323</v>
      </c>
      <c r="F1190" s="1056">
        <v>5</v>
      </c>
      <c r="G1190" s="1056">
        <v>0</v>
      </c>
      <c r="H1190" s="1056">
        <v>0</v>
      </c>
      <c r="I1190" s="1056">
        <v>5</v>
      </c>
      <c r="K1190" s="995">
        <f t="shared" si="18"/>
        <v>8</v>
      </c>
    </row>
    <row r="1191" spans="1:11">
      <c r="A1191" s="1054">
        <v>25500501</v>
      </c>
      <c r="B1191" s="1055" t="s">
        <v>1489</v>
      </c>
      <c r="C1191" s="1055" t="s">
        <v>747</v>
      </c>
      <c r="D1191" s="1055" t="s">
        <v>1391</v>
      </c>
      <c r="E1191" s="1055" t="s">
        <v>1392</v>
      </c>
      <c r="F1191" s="1056">
        <v>0</v>
      </c>
      <c r="G1191" s="1056">
        <v>0</v>
      </c>
      <c r="H1191" s="1056">
        <v>0</v>
      </c>
      <c r="I1191" s="1056">
        <v>0</v>
      </c>
      <c r="K1191" s="995">
        <f t="shared" si="18"/>
        <v>8</v>
      </c>
    </row>
    <row r="1192" spans="1:11">
      <c r="A1192" s="1054">
        <v>25500501</v>
      </c>
      <c r="B1192" s="1055" t="s">
        <v>1489</v>
      </c>
      <c r="C1192" s="1055" t="s">
        <v>747</v>
      </c>
      <c r="D1192" s="1055" t="s">
        <v>1250</v>
      </c>
      <c r="E1192" s="1055" t="s">
        <v>1251</v>
      </c>
      <c r="F1192" s="1056">
        <v>0</v>
      </c>
      <c r="G1192" s="1056">
        <v>0</v>
      </c>
      <c r="H1192" s="1056">
        <v>0</v>
      </c>
      <c r="I1192" s="1056">
        <v>0</v>
      </c>
      <c r="K1192" s="995">
        <f t="shared" si="18"/>
        <v>8</v>
      </c>
    </row>
    <row r="1193" spans="1:11">
      <c r="A1193" s="1054">
        <v>25500501</v>
      </c>
      <c r="B1193" s="1055" t="s">
        <v>1489</v>
      </c>
      <c r="C1193" s="1055" t="s">
        <v>747</v>
      </c>
      <c r="D1193" s="1055" t="s">
        <v>1787</v>
      </c>
      <c r="E1193" s="1055" t="s">
        <v>1788</v>
      </c>
      <c r="F1193" s="1056">
        <v>0</v>
      </c>
      <c r="G1193" s="1056">
        <v>0</v>
      </c>
      <c r="H1193" s="1056">
        <v>0</v>
      </c>
      <c r="I1193" s="1056">
        <v>0</v>
      </c>
      <c r="K1193" s="995">
        <f t="shared" si="18"/>
        <v>8</v>
      </c>
    </row>
    <row r="1194" spans="1:11">
      <c r="A1194" s="1054">
        <v>25500501</v>
      </c>
      <c r="B1194" s="1055" t="s">
        <v>1489</v>
      </c>
      <c r="C1194" s="1055" t="s">
        <v>747</v>
      </c>
      <c r="D1194" s="1055" t="s">
        <v>1378</v>
      </c>
      <c r="E1194" s="1055" t="s">
        <v>1379</v>
      </c>
      <c r="F1194" s="1056">
        <v>0</v>
      </c>
      <c r="G1194" s="1056">
        <v>0</v>
      </c>
      <c r="H1194" s="1056">
        <v>0</v>
      </c>
      <c r="I1194" s="1056">
        <v>0</v>
      </c>
      <c r="K1194" s="995">
        <f t="shared" si="18"/>
        <v>8</v>
      </c>
    </row>
    <row r="1195" spans="1:11">
      <c r="A1195" s="1054">
        <v>25500501</v>
      </c>
      <c r="B1195" s="1055" t="s">
        <v>1489</v>
      </c>
      <c r="C1195" s="1055" t="s">
        <v>747</v>
      </c>
      <c r="D1195" s="1055" t="s">
        <v>1393</v>
      </c>
      <c r="E1195" s="1055" t="s">
        <v>1394</v>
      </c>
      <c r="F1195" s="1056">
        <v>0</v>
      </c>
      <c r="G1195" s="1056">
        <v>0</v>
      </c>
      <c r="H1195" s="1056">
        <v>0</v>
      </c>
      <c r="I1195" s="1056">
        <v>0</v>
      </c>
      <c r="K1195" s="995">
        <f t="shared" si="18"/>
        <v>8</v>
      </c>
    </row>
    <row r="1196" spans="1:11">
      <c r="A1196" s="1054">
        <v>25500501</v>
      </c>
      <c r="B1196" s="1055" t="s">
        <v>1489</v>
      </c>
      <c r="C1196" s="1055" t="s">
        <v>747</v>
      </c>
      <c r="D1196" s="1055" t="s">
        <v>1303</v>
      </c>
      <c r="E1196" s="1055" t="s">
        <v>806</v>
      </c>
      <c r="F1196" s="1056">
        <v>0</v>
      </c>
      <c r="G1196" s="1056">
        <v>0</v>
      </c>
      <c r="H1196" s="1056">
        <v>0</v>
      </c>
      <c r="I1196" s="1056">
        <v>0</v>
      </c>
      <c r="K1196" s="995">
        <f t="shared" si="18"/>
        <v>8</v>
      </c>
    </row>
    <row r="1197" spans="1:11">
      <c r="A1197" s="1054">
        <v>25500501</v>
      </c>
      <c r="B1197" s="1055" t="s">
        <v>1489</v>
      </c>
      <c r="C1197" s="1055" t="s">
        <v>747</v>
      </c>
      <c r="D1197" s="1055" t="s">
        <v>1605</v>
      </c>
      <c r="E1197" s="1055" t="s">
        <v>1606</v>
      </c>
      <c r="F1197" s="1056">
        <v>0</v>
      </c>
      <c r="G1197" s="1056">
        <v>0</v>
      </c>
      <c r="H1197" s="1056">
        <v>0</v>
      </c>
      <c r="I1197" s="1056">
        <v>0</v>
      </c>
      <c r="K1197" s="995">
        <f t="shared" si="18"/>
        <v>8</v>
      </c>
    </row>
    <row r="1198" spans="1:11">
      <c r="A1198" s="1054">
        <v>25500501</v>
      </c>
      <c r="B1198" s="1055" t="s">
        <v>1489</v>
      </c>
      <c r="C1198" s="1055" t="s">
        <v>747</v>
      </c>
      <c r="D1198" s="1055" t="s">
        <v>1789</v>
      </c>
      <c r="E1198" s="1055" t="s">
        <v>1790</v>
      </c>
      <c r="F1198" s="1056">
        <v>-1</v>
      </c>
      <c r="G1198" s="1056">
        <v>0</v>
      </c>
      <c r="H1198" s="1056">
        <v>0</v>
      </c>
      <c r="I1198" s="1056">
        <v>-1</v>
      </c>
      <c r="K1198" s="995">
        <f t="shared" si="18"/>
        <v>8</v>
      </c>
    </row>
    <row r="1199" spans="1:11">
      <c r="A1199" s="1054">
        <v>25500501</v>
      </c>
      <c r="B1199" s="1055" t="s">
        <v>1489</v>
      </c>
      <c r="C1199" s="1055" t="s">
        <v>747</v>
      </c>
      <c r="D1199" s="1055" t="s">
        <v>1254</v>
      </c>
      <c r="E1199" s="1055" t="s">
        <v>744</v>
      </c>
      <c r="F1199" s="1056">
        <v>0</v>
      </c>
      <c r="G1199" s="1056">
        <v>0</v>
      </c>
      <c r="H1199" s="1056">
        <v>0</v>
      </c>
      <c r="I1199" s="1056">
        <v>0</v>
      </c>
      <c r="K1199" s="995">
        <f t="shared" si="18"/>
        <v>8</v>
      </c>
    </row>
    <row r="1200" spans="1:11">
      <c r="A1200" s="1054">
        <v>25500501</v>
      </c>
      <c r="B1200" s="1055" t="s">
        <v>1489</v>
      </c>
      <c r="C1200" s="1055" t="s">
        <v>747</v>
      </c>
      <c r="D1200" s="1055" t="s">
        <v>1275</v>
      </c>
      <c r="E1200" s="1055" t="s">
        <v>991</v>
      </c>
      <c r="F1200" s="1056">
        <v>0</v>
      </c>
      <c r="G1200" s="1056">
        <v>0</v>
      </c>
      <c r="H1200" s="1056">
        <v>0</v>
      </c>
      <c r="I1200" s="1056">
        <v>0</v>
      </c>
      <c r="K1200" s="995">
        <f t="shared" si="18"/>
        <v>8</v>
      </c>
    </row>
    <row r="1201" spans="1:11">
      <c r="A1201" s="1054">
        <v>25500501</v>
      </c>
      <c r="B1201" s="1055" t="s">
        <v>1489</v>
      </c>
      <c r="C1201" s="1055" t="s">
        <v>747</v>
      </c>
      <c r="D1201" s="1055" t="s">
        <v>1380</v>
      </c>
      <c r="E1201" s="1055" t="s">
        <v>1381</v>
      </c>
      <c r="F1201" s="1056">
        <v>0</v>
      </c>
      <c r="G1201" s="1056">
        <v>0</v>
      </c>
      <c r="H1201" s="1056">
        <v>0</v>
      </c>
      <c r="I1201" s="1056">
        <v>0</v>
      </c>
      <c r="K1201" s="995">
        <f t="shared" si="18"/>
        <v>8</v>
      </c>
    </row>
    <row r="1202" spans="1:11">
      <c r="A1202" s="1054">
        <v>25500501</v>
      </c>
      <c r="B1202" s="1055" t="s">
        <v>1489</v>
      </c>
      <c r="C1202" s="1055" t="s">
        <v>747</v>
      </c>
      <c r="D1202" s="1055" t="s">
        <v>1044</v>
      </c>
      <c r="E1202" s="1055" t="s">
        <v>1045</v>
      </c>
      <c r="F1202" s="1056">
        <v>0</v>
      </c>
      <c r="G1202" s="1056">
        <v>0</v>
      </c>
      <c r="H1202" s="1056">
        <v>0</v>
      </c>
      <c r="I1202" s="1056">
        <v>0</v>
      </c>
      <c r="K1202" s="995">
        <f t="shared" si="18"/>
        <v>8</v>
      </c>
    </row>
    <row r="1203" spans="1:11">
      <c r="A1203" s="1054">
        <v>25500501</v>
      </c>
      <c r="B1203" s="1055" t="s">
        <v>1489</v>
      </c>
      <c r="C1203" s="1055" t="s">
        <v>747</v>
      </c>
      <c r="D1203" s="1055" t="s">
        <v>1395</v>
      </c>
      <c r="E1203" s="1055" t="s">
        <v>1396</v>
      </c>
      <c r="F1203" s="1056">
        <v>-2</v>
      </c>
      <c r="G1203" s="1056">
        <v>0</v>
      </c>
      <c r="H1203" s="1056">
        <v>0</v>
      </c>
      <c r="I1203" s="1056">
        <v>-2</v>
      </c>
      <c r="K1203" s="995">
        <f t="shared" si="18"/>
        <v>8</v>
      </c>
    </row>
    <row r="1204" spans="1:11">
      <c r="A1204" s="1054">
        <v>25500501</v>
      </c>
      <c r="B1204" s="1055" t="s">
        <v>1489</v>
      </c>
      <c r="C1204" s="1055" t="s">
        <v>747</v>
      </c>
      <c r="D1204" s="1055" t="s">
        <v>1382</v>
      </c>
      <c r="E1204" s="1055" t="s">
        <v>1763</v>
      </c>
      <c r="F1204" s="1056">
        <v>0</v>
      </c>
      <c r="G1204" s="1056">
        <v>0</v>
      </c>
      <c r="H1204" s="1056">
        <v>0</v>
      </c>
      <c r="I1204" s="1056">
        <v>-1</v>
      </c>
      <c r="K1204" s="995">
        <f t="shared" si="18"/>
        <v>8</v>
      </c>
    </row>
    <row r="1205" spans="1:11">
      <c r="A1205" s="1054">
        <v>25500501</v>
      </c>
      <c r="B1205" s="1055" t="s">
        <v>1489</v>
      </c>
      <c r="C1205" s="1055" t="s">
        <v>747</v>
      </c>
      <c r="D1205" s="1055" t="s">
        <v>1383</v>
      </c>
      <c r="E1205" s="1055" t="s">
        <v>1384</v>
      </c>
      <c r="F1205" s="1056">
        <v>-1</v>
      </c>
      <c r="G1205" s="1056">
        <v>0</v>
      </c>
      <c r="H1205" s="1056">
        <v>0</v>
      </c>
      <c r="I1205" s="1056">
        <v>-1</v>
      </c>
      <c r="K1205" s="995">
        <f t="shared" si="18"/>
        <v>8</v>
      </c>
    </row>
    <row r="1206" spans="1:11">
      <c r="A1206" s="1054">
        <v>25500502</v>
      </c>
      <c r="B1206" s="1055" t="s">
        <v>1489</v>
      </c>
      <c r="C1206" s="1055" t="s">
        <v>748</v>
      </c>
      <c r="D1206" s="1055" t="s">
        <v>893</v>
      </c>
      <c r="E1206" s="1055" t="s">
        <v>893</v>
      </c>
      <c r="F1206" s="1056">
        <v>11159</v>
      </c>
      <c r="G1206" s="1056">
        <v>2744</v>
      </c>
      <c r="H1206" s="1056">
        <v>0</v>
      </c>
      <c r="I1206" s="1056">
        <v>13903</v>
      </c>
      <c r="K1206" s="995">
        <f t="shared" si="18"/>
        <v>8</v>
      </c>
    </row>
    <row r="1207" spans="1:11">
      <c r="A1207" s="1054">
        <v>25500502</v>
      </c>
      <c r="B1207" s="1055" t="s">
        <v>1489</v>
      </c>
      <c r="C1207" s="1055" t="s">
        <v>748</v>
      </c>
      <c r="D1207" s="1055" t="s">
        <v>1255</v>
      </c>
      <c r="E1207" s="1055" t="s">
        <v>1256</v>
      </c>
      <c r="F1207" s="1056">
        <v>6293</v>
      </c>
      <c r="G1207" s="1056">
        <v>1453</v>
      </c>
      <c r="H1207" s="1056">
        <v>0</v>
      </c>
      <c r="I1207" s="1056">
        <v>7746</v>
      </c>
      <c r="K1207" s="995">
        <f t="shared" si="18"/>
        <v>8</v>
      </c>
    </row>
    <row r="1208" spans="1:11">
      <c r="A1208" s="1054">
        <v>25500502</v>
      </c>
      <c r="B1208" s="1055" t="s">
        <v>1489</v>
      </c>
      <c r="C1208" s="1055" t="s">
        <v>748</v>
      </c>
      <c r="D1208" s="1055" t="s">
        <v>1257</v>
      </c>
      <c r="E1208" s="1055" t="s">
        <v>1258</v>
      </c>
      <c r="F1208" s="1056">
        <v>2812</v>
      </c>
      <c r="G1208" s="1056">
        <v>679</v>
      </c>
      <c r="H1208" s="1056">
        <v>0</v>
      </c>
      <c r="I1208" s="1056">
        <v>3491</v>
      </c>
      <c r="K1208" s="995">
        <f t="shared" si="18"/>
        <v>8</v>
      </c>
    </row>
    <row r="1209" spans="1:11">
      <c r="A1209" s="1054">
        <v>25500502</v>
      </c>
      <c r="B1209" s="1055" t="s">
        <v>1489</v>
      </c>
      <c r="C1209" s="1055" t="s">
        <v>748</v>
      </c>
      <c r="D1209" s="1055" t="s">
        <v>1261</v>
      </c>
      <c r="E1209" s="1055" t="s">
        <v>1262</v>
      </c>
      <c r="F1209" s="1056">
        <v>840</v>
      </c>
      <c r="G1209" s="1056">
        <v>235</v>
      </c>
      <c r="H1209" s="1056">
        <v>0</v>
      </c>
      <c r="I1209" s="1056">
        <v>1074</v>
      </c>
      <c r="K1209" s="995">
        <f t="shared" si="18"/>
        <v>8</v>
      </c>
    </row>
    <row r="1210" spans="1:11">
      <c r="A1210" s="1054">
        <v>25500502</v>
      </c>
      <c r="B1210" s="1055" t="s">
        <v>1489</v>
      </c>
      <c r="C1210" s="1055" t="s">
        <v>748</v>
      </c>
      <c r="D1210" s="1055" t="s">
        <v>1399</v>
      </c>
      <c r="E1210" s="1055" t="s">
        <v>1400</v>
      </c>
      <c r="F1210" s="1056">
        <v>394</v>
      </c>
      <c r="G1210" s="1056">
        <v>84</v>
      </c>
      <c r="H1210" s="1056">
        <v>0</v>
      </c>
      <c r="I1210" s="1056">
        <v>477</v>
      </c>
      <c r="K1210" s="995">
        <f t="shared" si="18"/>
        <v>8</v>
      </c>
    </row>
    <row r="1211" spans="1:11">
      <c r="A1211" s="1054">
        <v>25500502</v>
      </c>
      <c r="B1211" s="1055" t="s">
        <v>1489</v>
      </c>
      <c r="C1211" s="1055" t="s">
        <v>748</v>
      </c>
      <c r="D1211" s="1055" t="s">
        <v>1263</v>
      </c>
      <c r="E1211" s="1055" t="s">
        <v>1264</v>
      </c>
      <c r="F1211" s="1056">
        <v>820</v>
      </c>
      <c r="G1211" s="1056">
        <v>294</v>
      </c>
      <c r="H1211" s="1056">
        <v>0</v>
      </c>
      <c r="I1211" s="1056">
        <v>1115</v>
      </c>
      <c r="K1211" s="995">
        <f t="shared" si="18"/>
        <v>8</v>
      </c>
    </row>
    <row r="1212" spans="1:11">
      <c r="A1212" s="1054">
        <v>25500503</v>
      </c>
      <c r="B1212" s="1055" t="s">
        <v>893</v>
      </c>
      <c r="C1212" s="1055" t="s">
        <v>749</v>
      </c>
      <c r="D1212" s="1055" t="s">
        <v>893</v>
      </c>
      <c r="E1212" s="1055" t="s">
        <v>893</v>
      </c>
      <c r="F1212" s="1056">
        <v>-11953</v>
      </c>
      <c r="G1212" s="1056">
        <v>0</v>
      </c>
      <c r="H1212" s="1056">
        <v>2541</v>
      </c>
      <c r="I1212" s="1056">
        <v>-14494</v>
      </c>
      <c r="K1212" s="995">
        <f t="shared" si="18"/>
        <v>8</v>
      </c>
    </row>
    <row r="1213" spans="1:11">
      <c r="A1213" s="1054">
        <v>25500503</v>
      </c>
      <c r="B1213" s="1055" t="s">
        <v>893</v>
      </c>
      <c r="C1213" s="1055" t="s">
        <v>749</v>
      </c>
      <c r="D1213" s="1055" t="s">
        <v>1385</v>
      </c>
      <c r="E1213" s="1055" t="s">
        <v>1386</v>
      </c>
      <c r="F1213" s="1056">
        <v>-1</v>
      </c>
      <c r="G1213" s="1056">
        <v>0</v>
      </c>
      <c r="H1213" s="1056">
        <v>0</v>
      </c>
      <c r="I1213" s="1056">
        <v>-1</v>
      </c>
      <c r="K1213" s="995">
        <f t="shared" si="18"/>
        <v>8</v>
      </c>
    </row>
    <row r="1214" spans="1:11">
      <c r="A1214" s="1054">
        <v>25500503</v>
      </c>
      <c r="B1214" s="1055" t="s">
        <v>893</v>
      </c>
      <c r="C1214" s="1055" t="s">
        <v>749</v>
      </c>
      <c r="D1214" s="1055" t="s">
        <v>1360</v>
      </c>
      <c r="E1214" s="1055" t="s">
        <v>1361</v>
      </c>
      <c r="F1214" s="1056">
        <v>-376</v>
      </c>
      <c r="G1214" s="1056">
        <v>0</v>
      </c>
      <c r="H1214" s="1056">
        <v>78</v>
      </c>
      <c r="I1214" s="1056">
        <v>-454</v>
      </c>
      <c r="K1214" s="995">
        <f t="shared" si="18"/>
        <v>8</v>
      </c>
    </row>
    <row r="1215" spans="1:11">
      <c r="A1215" s="1054">
        <v>25500503</v>
      </c>
      <c r="B1215" s="1055" t="s">
        <v>893</v>
      </c>
      <c r="C1215" s="1055" t="s">
        <v>749</v>
      </c>
      <c r="D1215" s="1055" t="s">
        <v>1298</v>
      </c>
      <c r="E1215" s="1055" t="s">
        <v>987</v>
      </c>
      <c r="F1215" s="1056">
        <v>-90</v>
      </c>
      <c r="G1215" s="1056">
        <v>0</v>
      </c>
      <c r="H1215" s="1056">
        <v>95</v>
      </c>
      <c r="I1215" s="1056">
        <v>-185</v>
      </c>
      <c r="K1215" s="995">
        <f t="shared" si="18"/>
        <v>8</v>
      </c>
    </row>
    <row r="1216" spans="1:11">
      <c r="A1216" s="1054">
        <v>25500503</v>
      </c>
      <c r="B1216" s="1055" t="s">
        <v>893</v>
      </c>
      <c r="C1216" s="1055" t="s">
        <v>749</v>
      </c>
      <c r="D1216" s="1055" t="s">
        <v>1397</v>
      </c>
      <c r="E1216" s="1055" t="s">
        <v>1398</v>
      </c>
      <c r="F1216" s="1056">
        <v>-40</v>
      </c>
      <c r="G1216" s="1056">
        <v>0</v>
      </c>
      <c r="H1216" s="1056">
        <v>0</v>
      </c>
      <c r="I1216" s="1056">
        <v>-40</v>
      </c>
      <c r="K1216" s="995">
        <f t="shared" si="18"/>
        <v>8</v>
      </c>
    </row>
    <row r="1217" spans="1:11">
      <c r="A1217" s="1054">
        <v>25500503</v>
      </c>
      <c r="B1217" s="1055" t="s">
        <v>893</v>
      </c>
      <c r="C1217" s="1055" t="s">
        <v>749</v>
      </c>
      <c r="D1217" s="1055" t="s">
        <v>1362</v>
      </c>
      <c r="E1217" s="1055" t="s">
        <v>1363</v>
      </c>
      <c r="F1217" s="1056">
        <v>-328</v>
      </c>
      <c r="G1217" s="1056">
        <v>0</v>
      </c>
      <c r="H1217" s="1056">
        <v>58</v>
      </c>
      <c r="I1217" s="1056">
        <v>-386</v>
      </c>
      <c r="K1217" s="995">
        <f t="shared" si="18"/>
        <v>8</v>
      </c>
    </row>
    <row r="1218" spans="1:11">
      <c r="A1218" s="1054">
        <v>25500503</v>
      </c>
      <c r="B1218" s="1055" t="s">
        <v>893</v>
      </c>
      <c r="C1218" s="1055" t="s">
        <v>749</v>
      </c>
      <c r="D1218" s="1055" t="s">
        <v>1364</v>
      </c>
      <c r="E1218" s="1055" t="s">
        <v>1365</v>
      </c>
      <c r="F1218" s="1056">
        <v>-384</v>
      </c>
      <c r="G1218" s="1056">
        <v>0</v>
      </c>
      <c r="H1218" s="1056">
        <v>67</v>
      </c>
      <c r="I1218" s="1056">
        <v>-451</v>
      </c>
      <c r="K1218" s="995">
        <f t="shared" si="18"/>
        <v>8</v>
      </c>
    </row>
    <row r="1219" spans="1:11">
      <c r="A1219" s="1054">
        <v>25500503</v>
      </c>
      <c r="B1219" s="1055" t="s">
        <v>893</v>
      </c>
      <c r="C1219" s="1055" t="s">
        <v>749</v>
      </c>
      <c r="D1219" s="1055" t="s">
        <v>1601</v>
      </c>
      <c r="E1219" s="1055" t="s">
        <v>1602</v>
      </c>
      <c r="F1219" s="1056">
        <v>-772</v>
      </c>
      <c r="G1219" s="1056">
        <v>0</v>
      </c>
      <c r="H1219" s="1056">
        <v>210</v>
      </c>
      <c r="I1219" s="1056">
        <v>-982</v>
      </c>
      <c r="K1219" s="995">
        <f t="shared" si="18"/>
        <v>8</v>
      </c>
    </row>
    <row r="1220" spans="1:11">
      <c r="A1220" s="1054">
        <v>25500503</v>
      </c>
      <c r="B1220" s="1055" t="s">
        <v>893</v>
      </c>
      <c r="C1220" s="1055" t="s">
        <v>749</v>
      </c>
      <c r="D1220" s="1055" t="s">
        <v>1270</v>
      </c>
      <c r="E1220" s="1055" t="s">
        <v>988</v>
      </c>
      <c r="F1220" s="1056">
        <v>-434</v>
      </c>
      <c r="G1220" s="1056">
        <v>0</v>
      </c>
      <c r="H1220" s="1056">
        <v>88</v>
      </c>
      <c r="I1220" s="1056">
        <v>-521</v>
      </c>
      <c r="K1220" s="995">
        <f t="shared" si="18"/>
        <v>8</v>
      </c>
    </row>
    <row r="1221" spans="1:11">
      <c r="A1221" s="1054">
        <v>25500503</v>
      </c>
      <c r="B1221" s="1055" t="s">
        <v>893</v>
      </c>
      <c r="C1221" s="1055" t="s">
        <v>749</v>
      </c>
      <c r="D1221" s="1055" t="s">
        <v>1271</v>
      </c>
      <c r="E1221" s="1055" t="s">
        <v>782</v>
      </c>
      <c r="F1221" s="1056">
        <v>-436</v>
      </c>
      <c r="G1221" s="1056">
        <v>0</v>
      </c>
      <c r="H1221" s="1056">
        <v>89</v>
      </c>
      <c r="I1221" s="1056">
        <v>-525</v>
      </c>
      <c r="K1221" s="995">
        <f t="shared" ref="K1221:K1284" si="19">+LEN(A1221)</f>
        <v>8</v>
      </c>
    </row>
    <row r="1222" spans="1:11">
      <c r="A1222" s="1054">
        <v>25500503</v>
      </c>
      <c r="B1222" s="1055" t="s">
        <v>893</v>
      </c>
      <c r="C1222" s="1055" t="s">
        <v>749</v>
      </c>
      <c r="D1222" s="1055" t="s">
        <v>1366</v>
      </c>
      <c r="E1222" s="1055" t="s">
        <v>1367</v>
      </c>
      <c r="F1222" s="1056">
        <v>-335</v>
      </c>
      <c r="G1222" s="1056">
        <v>0</v>
      </c>
      <c r="H1222" s="1056">
        <v>70</v>
      </c>
      <c r="I1222" s="1056">
        <v>-405</v>
      </c>
      <c r="K1222" s="995">
        <f t="shared" si="19"/>
        <v>8</v>
      </c>
    </row>
    <row r="1223" spans="1:11">
      <c r="A1223" s="1054">
        <v>25500503</v>
      </c>
      <c r="B1223" s="1055" t="s">
        <v>893</v>
      </c>
      <c r="C1223" s="1055" t="s">
        <v>749</v>
      </c>
      <c r="D1223" s="1055" t="s">
        <v>1302</v>
      </c>
      <c r="E1223" s="1055" t="s">
        <v>986</v>
      </c>
      <c r="F1223" s="1056">
        <v>-321</v>
      </c>
      <c r="G1223" s="1056">
        <v>0</v>
      </c>
      <c r="H1223" s="1056">
        <v>60</v>
      </c>
      <c r="I1223" s="1056">
        <v>-381</v>
      </c>
      <c r="K1223" s="995">
        <f t="shared" si="19"/>
        <v>8</v>
      </c>
    </row>
    <row r="1224" spans="1:11">
      <c r="A1224" s="1054">
        <v>25500503</v>
      </c>
      <c r="B1224" s="1055" t="s">
        <v>893</v>
      </c>
      <c r="C1224" s="1055" t="s">
        <v>749</v>
      </c>
      <c r="D1224" s="1055" t="s">
        <v>1042</v>
      </c>
      <c r="E1224" s="1055" t="s">
        <v>1732</v>
      </c>
      <c r="F1224" s="1056">
        <v>-377</v>
      </c>
      <c r="G1224" s="1056">
        <v>0</v>
      </c>
      <c r="H1224" s="1056">
        <v>0</v>
      </c>
      <c r="I1224" s="1056">
        <v>-377</v>
      </c>
      <c r="K1224" s="995">
        <f t="shared" si="19"/>
        <v>8</v>
      </c>
    </row>
    <row r="1225" spans="1:11">
      <c r="A1225" s="1054">
        <v>25500503</v>
      </c>
      <c r="B1225" s="1055" t="s">
        <v>893</v>
      </c>
      <c r="C1225" s="1055" t="s">
        <v>749</v>
      </c>
      <c r="D1225" s="1055" t="s">
        <v>1611</v>
      </c>
      <c r="E1225" s="1055" t="s">
        <v>1612</v>
      </c>
      <c r="F1225" s="1056">
        <v>-60</v>
      </c>
      <c r="G1225" s="1056">
        <v>0</v>
      </c>
      <c r="H1225" s="1056">
        <v>0</v>
      </c>
      <c r="I1225" s="1056">
        <v>-60</v>
      </c>
      <c r="K1225" s="995">
        <f t="shared" si="19"/>
        <v>8</v>
      </c>
    </row>
    <row r="1226" spans="1:11">
      <c r="A1226" s="1054">
        <v>25500503</v>
      </c>
      <c r="B1226" s="1055" t="s">
        <v>893</v>
      </c>
      <c r="C1226" s="1055" t="s">
        <v>749</v>
      </c>
      <c r="D1226" s="1055" t="s">
        <v>1368</v>
      </c>
      <c r="E1226" s="1055" t="s">
        <v>1369</v>
      </c>
      <c r="F1226" s="1056">
        <v>-89</v>
      </c>
      <c r="G1226" s="1056">
        <v>0</v>
      </c>
      <c r="H1226" s="1056">
        <v>63</v>
      </c>
      <c r="I1226" s="1056">
        <v>-151</v>
      </c>
      <c r="K1226" s="995">
        <f t="shared" si="19"/>
        <v>8</v>
      </c>
    </row>
    <row r="1227" spans="1:11">
      <c r="A1227" s="1054">
        <v>25500503</v>
      </c>
      <c r="B1227" s="1055" t="s">
        <v>893</v>
      </c>
      <c r="C1227" s="1055" t="s">
        <v>749</v>
      </c>
      <c r="D1227" s="1055" t="s">
        <v>1246</v>
      </c>
      <c r="E1227" s="1055" t="s">
        <v>743</v>
      </c>
      <c r="F1227" s="1056">
        <v>-55</v>
      </c>
      <c r="G1227" s="1056">
        <v>0</v>
      </c>
      <c r="H1227" s="1056">
        <v>0</v>
      </c>
      <c r="I1227" s="1056">
        <v>-55</v>
      </c>
      <c r="K1227" s="995">
        <f t="shared" si="19"/>
        <v>8</v>
      </c>
    </row>
    <row r="1228" spans="1:11">
      <c r="A1228" s="1054">
        <v>25500503</v>
      </c>
      <c r="B1228" s="1055" t="s">
        <v>893</v>
      </c>
      <c r="C1228" s="1055" t="s">
        <v>749</v>
      </c>
      <c r="D1228" s="1055" t="s">
        <v>1320</v>
      </c>
      <c r="E1228" s="1055" t="s">
        <v>1321</v>
      </c>
      <c r="F1228" s="1056">
        <v>-343</v>
      </c>
      <c r="G1228" s="1056">
        <v>0</v>
      </c>
      <c r="H1228" s="1056">
        <v>72</v>
      </c>
      <c r="I1228" s="1056">
        <v>-415</v>
      </c>
      <c r="K1228" s="995">
        <f t="shared" si="19"/>
        <v>8</v>
      </c>
    </row>
    <row r="1229" spans="1:11">
      <c r="A1229" s="1054">
        <v>25500503</v>
      </c>
      <c r="B1229" s="1055" t="s">
        <v>893</v>
      </c>
      <c r="C1229" s="1055" t="s">
        <v>749</v>
      </c>
      <c r="D1229" s="1055" t="s">
        <v>1274</v>
      </c>
      <c r="E1229" s="1055" t="s">
        <v>989</v>
      </c>
      <c r="F1229" s="1056">
        <v>-490</v>
      </c>
      <c r="G1229" s="1056">
        <v>0</v>
      </c>
      <c r="H1229" s="1056">
        <v>99</v>
      </c>
      <c r="I1229" s="1056">
        <v>-589</v>
      </c>
      <c r="K1229" s="995">
        <f t="shared" si="19"/>
        <v>8</v>
      </c>
    </row>
    <row r="1230" spans="1:11">
      <c r="A1230" s="1054">
        <v>25500503</v>
      </c>
      <c r="B1230" s="1055" t="s">
        <v>893</v>
      </c>
      <c r="C1230" s="1055" t="s">
        <v>749</v>
      </c>
      <c r="D1230" s="1055" t="s">
        <v>1247</v>
      </c>
      <c r="E1230" s="1055" t="s">
        <v>1248</v>
      </c>
      <c r="F1230" s="1056">
        <v>-380</v>
      </c>
      <c r="G1230" s="1056">
        <v>0</v>
      </c>
      <c r="H1230" s="1056">
        <v>87</v>
      </c>
      <c r="I1230" s="1056">
        <v>-466</v>
      </c>
      <c r="K1230" s="995">
        <f t="shared" si="19"/>
        <v>8</v>
      </c>
    </row>
    <row r="1231" spans="1:11">
      <c r="A1231" s="1054">
        <v>25500503</v>
      </c>
      <c r="B1231" s="1055" t="s">
        <v>893</v>
      </c>
      <c r="C1231" s="1055" t="s">
        <v>749</v>
      </c>
      <c r="D1231" s="1055" t="s">
        <v>1387</v>
      </c>
      <c r="E1231" s="1055" t="s">
        <v>1388</v>
      </c>
      <c r="F1231" s="1056">
        <v>-18</v>
      </c>
      <c r="G1231" s="1056">
        <v>0</v>
      </c>
      <c r="H1231" s="1056">
        <v>0</v>
      </c>
      <c r="I1231" s="1056">
        <v>-18</v>
      </c>
      <c r="K1231" s="995">
        <f t="shared" si="19"/>
        <v>8</v>
      </c>
    </row>
    <row r="1232" spans="1:11">
      <c r="A1232" s="1054">
        <v>25500503</v>
      </c>
      <c r="B1232" s="1055" t="s">
        <v>893</v>
      </c>
      <c r="C1232" s="1055" t="s">
        <v>749</v>
      </c>
      <c r="D1232" s="1055" t="s">
        <v>1370</v>
      </c>
      <c r="E1232" s="1055" t="s">
        <v>1371</v>
      </c>
      <c r="F1232" s="1056">
        <v>-70</v>
      </c>
      <c r="G1232" s="1056">
        <v>0</v>
      </c>
      <c r="H1232" s="1056">
        <v>68</v>
      </c>
      <c r="I1232" s="1056">
        <v>-138</v>
      </c>
      <c r="K1232" s="995">
        <f t="shared" si="19"/>
        <v>8</v>
      </c>
    </row>
    <row r="1233" spans="1:11">
      <c r="A1233" s="1054">
        <v>25500503</v>
      </c>
      <c r="B1233" s="1055" t="s">
        <v>893</v>
      </c>
      <c r="C1233" s="1055" t="s">
        <v>749</v>
      </c>
      <c r="D1233" s="1055" t="s">
        <v>1870</v>
      </c>
      <c r="E1233" s="1055" t="s">
        <v>1871</v>
      </c>
      <c r="F1233" s="1056">
        <v>-72</v>
      </c>
      <c r="G1233" s="1056">
        <v>0</v>
      </c>
      <c r="H1233" s="1056">
        <v>50</v>
      </c>
      <c r="I1233" s="1056">
        <v>-122</v>
      </c>
      <c r="K1233" s="995">
        <f t="shared" si="19"/>
        <v>8</v>
      </c>
    </row>
    <row r="1234" spans="1:11">
      <c r="A1234" s="1054">
        <v>25500503</v>
      </c>
      <c r="B1234" s="1055" t="s">
        <v>893</v>
      </c>
      <c r="C1234" s="1055" t="s">
        <v>749</v>
      </c>
      <c r="D1234" s="1055" t="s">
        <v>1372</v>
      </c>
      <c r="E1234" s="1055" t="s">
        <v>1373</v>
      </c>
      <c r="F1234" s="1056">
        <v>-358</v>
      </c>
      <c r="G1234" s="1056">
        <v>0</v>
      </c>
      <c r="H1234" s="1056">
        <v>68</v>
      </c>
      <c r="I1234" s="1056">
        <v>-426</v>
      </c>
      <c r="K1234" s="995">
        <f t="shared" si="19"/>
        <v>8</v>
      </c>
    </row>
    <row r="1235" spans="1:11">
      <c r="A1235" s="1054">
        <v>25500503</v>
      </c>
      <c r="B1235" s="1055" t="s">
        <v>893</v>
      </c>
      <c r="C1235" s="1055" t="s">
        <v>749</v>
      </c>
      <c r="D1235" s="1055" t="s">
        <v>1785</v>
      </c>
      <c r="E1235" s="1055" t="s">
        <v>1786</v>
      </c>
      <c r="F1235" s="1056">
        <v>-127</v>
      </c>
      <c r="G1235" s="1056">
        <v>0</v>
      </c>
      <c r="H1235" s="1056">
        <v>63</v>
      </c>
      <c r="I1235" s="1056">
        <v>-190</v>
      </c>
      <c r="K1235" s="995">
        <f t="shared" si="19"/>
        <v>8</v>
      </c>
    </row>
    <row r="1236" spans="1:11">
      <c r="A1236" s="1054">
        <v>25500503</v>
      </c>
      <c r="B1236" s="1055" t="s">
        <v>893</v>
      </c>
      <c r="C1236" s="1055" t="s">
        <v>749</v>
      </c>
      <c r="D1236" s="1055" t="s">
        <v>1374</v>
      </c>
      <c r="E1236" s="1055" t="s">
        <v>1375</v>
      </c>
      <c r="F1236" s="1056">
        <v>-79</v>
      </c>
      <c r="G1236" s="1056">
        <v>0</v>
      </c>
      <c r="H1236" s="1056">
        <v>62</v>
      </c>
      <c r="I1236" s="1056">
        <v>-141</v>
      </c>
      <c r="K1236" s="995">
        <f t="shared" si="19"/>
        <v>8</v>
      </c>
    </row>
    <row r="1237" spans="1:11">
      <c r="A1237" s="1054">
        <v>25500503</v>
      </c>
      <c r="B1237" s="1055" t="s">
        <v>893</v>
      </c>
      <c r="C1237" s="1055" t="s">
        <v>749</v>
      </c>
      <c r="D1237" s="1055" t="s">
        <v>1389</v>
      </c>
      <c r="E1237" s="1055" t="s">
        <v>1390</v>
      </c>
      <c r="F1237" s="1056">
        <v>-66</v>
      </c>
      <c r="G1237" s="1056">
        <v>0</v>
      </c>
      <c r="H1237" s="1056">
        <v>0</v>
      </c>
      <c r="I1237" s="1056">
        <v>-66</v>
      </c>
      <c r="K1237" s="995">
        <f t="shared" si="19"/>
        <v>8</v>
      </c>
    </row>
    <row r="1238" spans="1:11">
      <c r="A1238" s="1054">
        <v>25500503</v>
      </c>
      <c r="B1238" s="1055" t="s">
        <v>893</v>
      </c>
      <c r="C1238" s="1055" t="s">
        <v>749</v>
      </c>
      <c r="D1238" s="1055" t="s">
        <v>1249</v>
      </c>
      <c r="E1238" s="1055" t="s">
        <v>583</v>
      </c>
      <c r="F1238" s="1056">
        <v>-578</v>
      </c>
      <c r="G1238" s="1056">
        <v>0</v>
      </c>
      <c r="H1238" s="1056">
        <v>115</v>
      </c>
      <c r="I1238" s="1056">
        <v>-693</v>
      </c>
      <c r="K1238" s="995">
        <f t="shared" si="19"/>
        <v>8</v>
      </c>
    </row>
    <row r="1239" spans="1:11">
      <c r="A1239" s="1054">
        <v>25500503</v>
      </c>
      <c r="B1239" s="1055" t="s">
        <v>893</v>
      </c>
      <c r="C1239" s="1055" t="s">
        <v>749</v>
      </c>
      <c r="D1239" s="1055" t="s">
        <v>1376</v>
      </c>
      <c r="E1239" s="1055" t="s">
        <v>1377</v>
      </c>
      <c r="F1239" s="1056">
        <v>-291</v>
      </c>
      <c r="G1239" s="1056">
        <v>0</v>
      </c>
      <c r="H1239" s="1056">
        <v>77</v>
      </c>
      <c r="I1239" s="1056">
        <v>-368</v>
      </c>
      <c r="K1239" s="995">
        <f t="shared" si="19"/>
        <v>8</v>
      </c>
    </row>
    <row r="1240" spans="1:11">
      <c r="A1240" s="1054">
        <v>25500503</v>
      </c>
      <c r="B1240" s="1055" t="s">
        <v>893</v>
      </c>
      <c r="C1240" s="1055" t="s">
        <v>749</v>
      </c>
      <c r="D1240" s="1055" t="s">
        <v>1613</v>
      </c>
      <c r="E1240" s="1055" t="s">
        <v>1614</v>
      </c>
      <c r="F1240" s="1056">
        <v>-179</v>
      </c>
      <c r="G1240" s="1056">
        <v>0</v>
      </c>
      <c r="H1240" s="1056">
        <v>15</v>
      </c>
      <c r="I1240" s="1056">
        <v>-194</v>
      </c>
      <c r="K1240" s="995">
        <f t="shared" si="19"/>
        <v>8</v>
      </c>
    </row>
    <row r="1241" spans="1:11">
      <c r="A1241" s="1054">
        <v>25500503</v>
      </c>
      <c r="B1241" s="1055" t="s">
        <v>893</v>
      </c>
      <c r="C1241" s="1055" t="s">
        <v>749</v>
      </c>
      <c r="D1241" s="1055" t="s">
        <v>1305</v>
      </c>
      <c r="E1241" s="1055" t="s">
        <v>990</v>
      </c>
      <c r="F1241" s="1056">
        <v>-411</v>
      </c>
      <c r="G1241" s="1056">
        <v>0</v>
      </c>
      <c r="H1241" s="1056">
        <v>55</v>
      </c>
      <c r="I1241" s="1056">
        <v>-466</v>
      </c>
      <c r="K1241" s="995">
        <f t="shared" si="19"/>
        <v>8</v>
      </c>
    </row>
    <row r="1242" spans="1:11">
      <c r="A1242" s="1054">
        <v>25500503</v>
      </c>
      <c r="B1242" s="1055" t="s">
        <v>893</v>
      </c>
      <c r="C1242" s="1055" t="s">
        <v>749</v>
      </c>
      <c r="D1242" s="1055" t="s">
        <v>1306</v>
      </c>
      <c r="E1242" s="1055" t="s">
        <v>997</v>
      </c>
      <c r="F1242" s="1056">
        <v>-366</v>
      </c>
      <c r="G1242" s="1056">
        <v>0</v>
      </c>
      <c r="H1242" s="1056">
        <v>83</v>
      </c>
      <c r="I1242" s="1056">
        <v>-450</v>
      </c>
      <c r="K1242" s="995">
        <f t="shared" si="19"/>
        <v>8</v>
      </c>
    </row>
    <row r="1243" spans="1:11">
      <c r="A1243" s="1054">
        <v>25500503</v>
      </c>
      <c r="B1243" s="1055" t="s">
        <v>893</v>
      </c>
      <c r="C1243" s="1055" t="s">
        <v>749</v>
      </c>
      <c r="D1243" s="1055" t="s">
        <v>1322</v>
      </c>
      <c r="E1243" s="1055" t="s">
        <v>1323</v>
      </c>
      <c r="F1243" s="1056">
        <v>-246</v>
      </c>
      <c r="G1243" s="1056">
        <v>0</v>
      </c>
      <c r="H1243" s="1056">
        <v>0</v>
      </c>
      <c r="I1243" s="1056">
        <v>-246</v>
      </c>
      <c r="K1243" s="995">
        <f t="shared" si="19"/>
        <v>8</v>
      </c>
    </row>
    <row r="1244" spans="1:11">
      <c r="A1244" s="1054">
        <v>25500503</v>
      </c>
      <c r="B1244" s="1055" t="s">
        <v>893</v>
      </c>
      <c r="C1244" s="1055" t="s">
        <v>749</v>
      </c>
      <c r="D1244" s="1055" t="s">
        <v>1391</v>
      </c>
      <c r="E1244" s="1055" t="s">
        <v>1392</v>
      </c>
      <c r="F1244" s="1056">
        <v>-28</v>
      </c>
      <c r="G1244" s="1056">
        <v>0</v>
      </c>
      <c r="H1244" s="1056">
        <v>0</v>
      </c>
      <c r="I1244" s="1056">
        <v>-28</v>
      </c>
      <c r="K1244" s="995">
        <f t="shared" si="19"/>
        <v>8</v>
      </c>
    </row>
    <row r="1245" spans="1:11">
      <c r="A1245" s="1054">
        <v>25500503</v>
      </c>
      <c r="B1245" s="1055" t="s">
        <v>893</v>
      </c>
      <c r="C1245" s="1055" t="s">
        <v>749</v>
      </c>
      <c r="D1245" s="1055" t="s">
        <v>1250</v>
      </c>
      <c r="E1245" s="1055" t="s">
        <v>1251</v>
      </c>
      <c r="F1245" s="1056">
        <v>-391</v>
      </c>
      <c r="G1245" s="1056">
        <v>0</v>
      </c>
      <c r="H1245" s="1056">
        <v>70</v>
      </c>
      <c r="I1245" s="1056">
        <v>-462</v>
      </c>
      <c r="K1245" s="995">
        <f t="shared" si="19"/>
        <v>8</v>
      </c>
    </row>
    <row r="1246" spans="1:11">
      <c r="A1246" s="1054">
        <v>25500503</v>
      </c>
      <c r="B1246" s="1055" t="s">
        <v>893</v>
      </c>
      <c r="C1246" s="1055" t="s">
        <v>749</v>
      </c>
      <c r="D1246" s="1055" t="s">
        <v>1787</v>
      </c>
      <c r="E1246" s="1055" t="s">
        <v>1788</v>
      </c>
      <c r="F1246" s="1056">
        <v>-94</v>
      </c>
      <c r="G1246" s="1056">
        <v>0</v>
      </c>
      <c r="H1246" s="1056">
        <v>79</v>
      </c>
      <c r="I1246" s="1056">
        <v>-172</v>
      </c>
      <c r="K1246" s="995">
        <f t="shared" si="19"/>
        <v>8</v>
      </c>
    </row>
    <row r="1247" spans="1:11">
      <c r="A1247" s="1054">
        <v>25500503</v>
      </c>
      <c r="B1247" s="1055" t="s">
        <v>893</v>
      </c>
      <c r="C1247" s="1055" t="s">
        <v>749</v>
      </c>
      <c r="D1247" s="1055" t="s">
        <v>1378</v>
      </c>
      <c r="E1247" s="1055" t="s">
        <v>1379</v>
      </c>
      <c r="F1247" s="1056">
        <v>-348</v>
      </c>
      <c r="G1247" s="1056">
        <v>0</v>
      </c>
      <c r="H1247" s="1056">
        <v>0</v>
      </c>
      <c r="I1247" s="1056">
        <v>-348</v>
      </c>
      <c r="K1247" s="995">
        <f t="shared" si="19"/>
        <v>8</v>
      </c>
    </row>
    <row r="1248" spans="1:11">
      <c r="A1248" s="1054">
        <v>25500503</v>
      </c>
      <c r="B1248" s="1055" t="s">
        <v>893</v>
      </c>
      <c r="C1248" s="1055" t="s">
        <v>749</v>
      </c>
      <c r="D1248" s="1055" t="s">
        <v>1393</v>
      </c>
      <c r="E1248" s="1055" t="s">
        <v>1394</v>
      </c>
      <c r="F1248" s="1056">
        <v>-3</v>
      </c>
      <c r="G1248" s="1056">
        <v>0</v>
      </c>
      <c r="H1248" s="1056">
        <v>0</v>
      </c>
      <c r="I1248" s="1056">
        <v>-3</v>
      </c>
      <c r="K1248" s="995">
        <f t="shared" si="19"/>
        <v>8</v>
      </c>
    </row>
    <row r="1249" spans="1:11">
      <c r="A1249" s="1054">
        <v>25500503</v>
      </c>
      <c r="B1249" s="1055" t="s">
        <v>893</v>
      </c>
      <c r="C1249" s="1055" t="s">
        <v>749</v>
      </c>
      <c r="D1249" s="1055" t="s">
        <v>1303</v>
      </c>
      <c r="E1249" s="1055" t="s">
        <v>806</v>
      </c>
      <c r="F1249" s="1056">
        <v>-327</v>
      </c>
      <c r="G1249" s="1056">
        <v>0</v>
      </c>
      <c r="H1249" s="1056">
        <v>61</v>
      </c>
      <c r="I1249" s="1056">
        <v>-388</v>
      </c>
      <c r="K1249" s="995">
        <f t="shared" si="19"/>
        <v>8</v>
      </c>
    </row>
    <row r="1250" spans="1:11">
      <c r="A1250" s="1054">
        <v>25500503</v>
      </c>
      <c r="B1250" s="1055" t="s">
        <v>893</v>
      </c>
      <c r="C1250" s="1055" t="s">
        <v>749</v>
      </c>
      <c r="D1250" s="1055" t="s">
        <v>1605</v>
      </c>
      <c r="E1250" s="1055" t="s">
        <v>1606</v>
      </c>
      <c r="F1250" s="1056">
        <v>-274</v>
      </c>
      <c r="G1250" s="1056">
        <v>0</v>
      </c>
      <c r="H1250" s="1056">
        <v>99</v>
      </c>
      <c r="I1250" s="1056">
        <v>-373</v>
      </c>
      <c r="K1250" s="995">
        <f t="shared" si="19"/>
        <v>8</v>
      </c>
    </row>
    <row r="1251" spans="1:11">
      <c r="A1251" s="1054">
        <v>25500503</v>
      </c>
      <c r="B1251" s="1055" t="s">
        <v>893</v>
      </c>
      <c r="C1251" s="1055" t="s">
        <v>749</v>
      </c>
      <c r="D1251" s="1055" t="s">
        <v>1789</v>
      </c>
      <c r="E1251" s="1055" t="s">
        <v>1790</v>
      </c>
      <c r="F1251" s="1056">
        <v>-135</v>
      </c>
      <c r="G1251" s="1056">
        <v>0</v>
      </c>
      <c r="H1251" s="1056">
        <v>66</v>
      </c>
      <c r="I1251" s="1056">
        <v>-201</v>
      </c>
      <c r="K1251" s="995">
        <f t="shared" si="19"/>
        <v>8</v>
      </c>
    </row>
    <row r="1252" spans="1:11">
      <c r="A1252" s="1054">
        <v>25500503</v>
      </c>
      <c r="B1252" s="1055" t="s">
        <v>893</v>
      </c>
      <c r="C1252" s="1055" t="s">
        <v>749</v>
      </c>
      <c r="D1252" s="1055" t="s">
        <v>1254</v>
      </c>
      <c r="E1252" s="1055" t="s">
        <v>744</v>
      </c>
      <c r="F1252" s="1056">
        <v>-413</v>
      </c>
      <c r="G1252" s="1056">
        <v>0</v>
      </c>
      <c r="H1252" s="1056">
        <v>87</v>
      </c>
      <c r="I1252" s="1056">
        <v>-500</v>
      </c>
      <c r="K1252" s="995">
        <f t="shared" si="19"/>
        <v>8</v>
      </c>
    </row>
    <row r="1253" spans="1:11">
      <c r="A1253" s="1054">
        <v>25500503</v>
      </c>
      <c r="B1253" s="1055" t="s">
        <v>893</v>
      </c>
      <c r="C1253" s="1055" t="s">
        <v>749</v>
      </c>
      <c r="D1253" s="1055" t="s">
        <v>1275</v>
      </c>
      <c r="E1253" s="1055" t="s">
        <v>991</v>
      </c>
      <c r="F1253" s="1056">
        <v>-409</v>
      </c>
      <c r="G1253" s="1056">
        <v>0</v>
      </c>
      <c r="H1253" s="1056">
        <v>83</v>
      </c>
      <c r="I1253" s="1056">
        <v>-492</v>
      </c>
      <c r="K1253" s="995">
        <f t="shared" si="19"/>
        <v>8</v>
      </c>
    </row>
    <row r="1254" spans="1:11">
      <c r="A1254" s="1054">
        <v>25500503</v>
      </c>
      <c r="B1254" s="1055" t="s">
        <v>893</v>
      </c>
      <c r="C1254" s="1055" t="s">
        <v>749</v>
      </c>
      <c r="D1254" s="1055" t="s">
        <v>1380</v>
      </c>
      <c r="E1254" s="1055" t="s">
        <v>1381</v>
      </c>
      <c r="F1254" s="1056">
        <v>0</v>
      </c>
      <c r="G1254" s="1056">
        <v>0</v>
      </c>
      <c r="H1254" s="1056">
        <v>42</v>
      </c>
      <c r="I1254" s="1056">
        <v>-42</v>
      </c>
      <c r="K1254" s="995">
        <f t="shared" si="19"/>
        <v>8</v>
      </c>
    </row>
    <row r="1255" spans="1:11">
      <c r="A1255" s="1054">
        <v>25500503</v>
      </c>
      <c r="B1255" s="1055" t="s">
        <v>893</v>
      </c>
      <c r="C1255" s="1055" t="s">
        <v>749</v>
      </c>
      <c r="D1255" s="1055" t="s">
        <v>1044</v>
      </c>
      <c r="E1255" s="1055" t="s">
        <v>1045</v>
      </c>
      <c r="F1255" s="1056">
        <v>-412</v>
      </c>
      <c r="G1255" s="1056">
        <v>0</v>
      </c>
      <c r="H1255" s="1056">
        <v>15</v>
      </c>
      <c r="I1255" s="1056">
        <v>-427</v>
      </c>
      <c r="K1255" s="995">
        <f t="shared" si="19"/>
        <v>8</v>
      </c>
    </row>
    <row r="1256" spans="1:11">
      <c r="A1256" s="1054">
        <v>25500503</v>
      </c>
      <c r="B1256" s="1055" t="s">
        <v>893</v>
      </c>
      <c r="C1256" s="1055" t="s">
        <v>749</v>
      </c>
      <c r="D1256" s="1055" t="s">
        <v>1395</v>
      </c>
      <c r="E1256" s="1055" t="s">
        <v>1396</v>
      </c>
      <c r="F1256" s="1056">
        <v>-184</v>
      </c>
      <c r="G1256" s="1056">
        <v>0</v>
      </c>
      <c r="H1256" s="1056">
        <v>0</v>
      </c>
      <c r="I1256" s="1056">
        <v>-184</v>
      </c>
      <c r="K1256" s="995">
        <f t="shared" si="19"/>
        <v>8</v>
      </c>
    </row>
    <row r="1257" spans="1:11">
      <c r="A1257" s="1054">
        <v>25500503</v>
      </c>
      <c r="B1257" s="1055" t="s">
        <v>893</v>
      </c>
      <c r="C1257" s="1055" t="s">
        <v>749</v>
      </c>
      <c r="D1257" s="1055" t="s">
        <v>1382</v>
      </c>
      <c r="E1257" s="1055" t="s">
        <v>1763</v>
      </c>
      <c r="F1257" s="1056">
        <v>-436</v>
      </c>
      <c r="G1257" s="1056">
        <v>0</v>
      </c>
      <c r="H1257" s="1056">
        <v>88</v>
      </c>
      <c r="I1257" s="1056">
        <v>-523</v>
      </c>
      <c r="K1257" s="995">
        <f t="shared" si="19"/>
        <v>8</v>
      </c>
    </row>
    <row r="1258" spans="1:11">
      <c r="A1258" s="1054">
        <v>25500503</v>
      </c>
      <c r="B1258" s="1055" t="s">
        <v>893</v>
      </c>
      <c r="C1258" s="1055" t="s">
        <v>749</v>
      </c>
      <c r="D1258" s="1055" t="s">
        <v>1383</v>
      </c>
      <c r="E1258" s="1055" t="s">
        <v>1384</v>
      </c>
      <c r="F1258" s="1056">
        <v>-329</v>
      </c>
      <c r="G1258" s="1056">
        <v>0</v>
      </c>
      <c r="H1258" s="1056">
        <v>60</v>
      </c>
      <c r="I1258" s="1056">
        <v>-389</v>
      </c>
      <c r="K1258" s="995">
        <f t="shared" si="19"/>
        <v>8</v>
      </c>
    </row>
    <row r="1259" spans="1:11">
      <c r="A1259" s="1054">
        <v>255006</v>
      </c>
      <c r="B1259" s="1055" t="s">
        <v>893</v>
      </c>
      <c r="C1259" s="1055" t="s">
        <v>359</v>
      </c>
      <c r="D1259" s="1055" t="s">
        <v>893</v>
      </c>
      <c r="E1259" s="1055" t="s">
        <v>893</v>
      </c>
      <c r="F1259" s="1056">
        <v>-1636</v>
      </c>
      <c r="G1259" s="1056">
        <v>1636</v>
      </c>
      <c r="H1259" s="1056">
        <v>1541</v>
      </c>
      <c r="I1259" s="1056">
        <v>-1541</v>
      </c>
      <c r="K1259" s="995">
        <f t="shared" si="19"/>
        <v>6</v>
      </c>
    </row>
    <row r="1260" spans="1:11">
      <c r="A1260" s="1054">
        <v>25500601</v>
      </c>
      <c r="B1260" s="1055" t="s">
        <v>893</v>
      </c>
      <c r="C1260" s="1055" t="s">
        <v>359</v>
      </c>
      <c r="D1260" s="1055" t="s">
        <v>893</v>
      </c>
      <c r="E1260" s="1055" t="s">
        <v>893</v>
      </c>
      <c r="F1260" s="1056">
        <v>-7931</v>
      </c>
      <c r="G1260" s="1056">
        <v>0</v>
      </c>
      <c r="H1260" s="1056">
        <v>1541</v>
      </c>
      <c r="I1260" s="1056">
        <v>-9472</v>
      </c>
      <c r="K1260" s="995">
        <f t="shared" si="19"/>
        <v>8</v>
      </c>
    </row>
    <row r="1261" spans="1:11">
      <c r="A1261" s="1054">
        <v>25500601</v>
      </c>
      <c r="B1261" s="1055" t="s">
        <v>893</v>
      </c>
      <c r="C1261" s="1055" t="s">
        <v>359</v>
      </c>
      <c r="D1261" s="1055" t="s">
        <v>1067</v>
      </c>
      <c r="E1261" s="1055" t="s">
        <v>1068</v>
      </c>
      <c r="F1261" s="1056">
        <v>-1139</v>
      </c>
      <c r="G1261" s="1056">
        <v>0</v>
      </c>
      <c r="H1261" s="1056">
        <v>0</v>
      </c>
      <c r="I1261" s="1056">
        <v>-1139</v>
      </c>
      <c r="K1261" s="995">
        <f t="shared" si="19"/>
        <v>8</v>
      </c>
    </row>
    <row r="1262" spans="1:11">
      <c r="A1262" s="1054">
        <v>25500601</v>
      </c>
      <c r="B1262" s="1055" t="s">
        <v>893</v>
      </c>
      <c r="C1262" s="1055" t="s">
        <v>359</v>
      </c>
      <c r="D1262" s="1055" t="s">
        <v>1385</v>
      </c>
      <c r="E1262" s="1055" t="s">
        <v>1386</v>
      </c>
      <c r="F1262" s="1056">
        <v>-1</v>
      </c>
      <c r="G1262" s="1056">
        <v>0</v>
      </c>
      <c r="H1262" s="1056">
        <v>0</v>
      </c>
      <c r="I1262" s="1056">
        <v>-1</v>
      </c>
      <c r="K1262" s="995">
        <f t="shared" si="19"/>
        <v>8</v>
      </c>
    </row>
    <row r="1263" spans="1:11">
      <c r="A1263" s="1054">
        <v>25500601</v>
      </c>
      <c r="B1263" s="1055" t="s">
        <v>893</v>
      </c>
      <c r="C1263" s="1055" t="s">
        <v>359</v>
      </c>
      <c r="D1263" s="1055" t="s">
        <v>1360</v>
      </c>
      <c r="E1263" s="1055" t="s">
        <v>1361</v>
      </c>
      <c r="F1263" s="1056">
        <v>-230</v>
      </c>
      <c r="G1263" s="1056">
        <v>0</v>
      </c>
      <c r="H1263" s="1056">
        <v>47</v>
      </c>
      <c r="I1263" s="1056">
        <v>-277</v>
      </c>
      <c r="K1263" s="995">
        <f t="shared" si="19"/>
        <v>8</v>
      </c>
    </row>
    <row r="1264" spans="1:11">
      <c r="A1264" s="1054">
        <v>25500601</v>
      </c>
      <c r="B1264" s="1055" t="s">
        <v>893</v>
      </c>
      <c r="C1264" s="1055" t="s">
        <v>359</v>
      </c>
      <c r="D1264" s="1055" t="s">
        <v>1298</v>
      </c>
      <c r="E1264" s="1055" t="s">
        <v>987</v>
      </c>
      <c r="F1264" s="1056">
        <v>-55</v>
      </c>
      <c r="G1264" s="1056">
        <v>0</v>
      </c>
      <c r="H1264" s="1056">
        <v>58</v>
      </c>
      <c r="I1264" s="1056">
        <v>-113</v>
      </c>
      <c r="K1264" s="995">
        <f t="shared" si="19"/>
        <v>8</v>
      </c>
    </row>
    <row r="1265" spans="1:11">
      <c r="A1265" s="1054">
        <v>25500601</v>
      </c>
      <c r="B1265" s="1055" t="s">
        <v>893</v>
      </c>
      <c r="C1265" s="1055" t="s">
        <v>359</v>
      </c>
      <c r="D1265" s="1055" t="s">
        <v>1397</v>
      </c>
      <c r="E1265" s="1055" t="s">
        <v>1398</v>
      </c>
      <c r="F1265" s="1056">
        <v>-25</v>
      </c>
      <c r="G1265" s="1056">
        <v>0</v>
      </c>
      <c r="H1265" s="1056">
        <v>0</v>
      </c>
      <c r="I1265" s="1056">
        <v>-25</v>
      </c>
      <c r="K1265" s="995">
        <f t="shared" si="19"/>
        <v>8</v>
      </c>
    </row>
    <row r="1266" spans="1:11">
      <c r="A1266" s="1054">
        <v>25500601</v>
      </c>
      <c r="B1266" s="1055" t="s">
        <v>893</v>
      </c>
      <c r="C1266" s="1055" t="s">
        <v>359</v>
      </c>
      <c r="D1266" s="1055" t="s">
        <v>1362</v>
      </c>
      <c r="E1266" s="1055" t="s">
        <v>1363</v>
      </c>
      <c r="F1266" s="1056">
        <v>-199</v>
      </c>
      <c r="G1266" s="1056">
        <v>0</v>
      </c>
      <c r="H1266" s="1056">
        <v>35</v>
      </c>
      <c r="I1266" s="1056">
        <v>-234</v>
      </c>
      <c r="K1266" s="995">
        <f t="shared" si="19"/>
        <v>8</v>
      </c>
    </row>
    <row r="1267" spans="1:11">
      <c r="A1267" s="1054">
        <v>25500601</v>
      </c>
      <c r="B1267" s="1055" t="s">
        <v>893</v>
      </c>
      <c r="C1267" s="1055" t="s">
        <v>359</v>
      </c>
      <c r="D1267" s="1055" t="s">
        <v>1364</v>
      </c>
      <c r="E1267" s="1055" t="s">
        <v>1365</v>
      </c>
      <c r="F1267" s="1056">
        <v>-232</v>
      </c>
      <c r="G1267" s="1056">
        <v>0</v>
      </c>
      <c r="H1267" s="1056">
        <v>41</v>
      </c>
      <c r="I1267" s="1056">
        <v>-273</v>
      </c>
      <c r="K1267" s="995">
        <f t="shared" si="19"/>
        <v>8</v>
      </c>
    </row>
    <row r="1268" spans="1:11">
      <c r="A1268" s="1054">
        <v>25500601</v>
      </c>
      <c r="B1268" s="1055" t="s">
        <v>893</v>
      </c>
      <c r="C1268" s="1055" t="s">
        <v>359</v>
      </c>
      <c r="D1268" s="1055" t="s">
        <v>1601</v>
      </c>
      <c r="E1268" s="1055" t="s">
        <v>1602</v>
      </c>
      <c r="F1268" s="1056">
        <v>-470</v>
      </c>
      <c r="G1268" s="1056">
        <v>0</v>
      </c>
      <c r="H1268" s="1056">
        <v>128</v>
      </c>
      <c r="I1268" s="1056">
        <v>-598</v>
      </c>
      <c r="K1268" s="995">
        <f t="shared" si="19"/>
        <v>8</v>
      </c>
    </row>
    <row r="1269" spans="1:11">
      <c r="A1269" s="1054">
        <v>25500601</v>
      </c>
      <c r="B1269" s="1055" t="s">
        <v>893</v>
      </c>
      <c r="C1269" s="1055" t="s">
        <v>359</v>
      </c>
      <c r="D1269" s="1055" t="s">
        <v>1270</v>
      </c>
      <c r="E1269" s="1055" t="s">
        <v>988</v>
      </c>
      <c r="F1269" s="1056">
        <v>-234</v>
      </c>
      <c r="G1269" s="1056">
        <v>0</v>
      </c>
      <c r="H1269" s="1056">
        <v>53</v>
      </c>
      <c r="I1269" s="1056">
        <v>-287</v>
      </c>
      <c r="K1269" s="995">
        <f t="shared" si="19"/>
        <v>8</v>
      </c>
    </row>
    <row r="1270" spans="1:11">
      <c r="A1270" s="1054">
        <v>25500601</v>
      </c>
      <c r="B1270" s="1055" t="s">
        <v>893</v>
      </c>
      <c r="C1270" s="1055" t="s">
        <v>359</v>
      </c>
      <c r="D1270" s="1055" t="s">
        <v>1271</v>
      </c>
      <c r="E1270" s="1055" t="s">
        <v>782</v>
      </c>
      <c r="F1270" s="1056">
        <v>-231</v>
      </c>
      <c r="G1270" s="1056">
        <v>0</v>
      </c>
      <c r="H1270" s="1056">
        <v>54</v>
      </c>
      <c r="I1270" s="1056">
        <v>-285</v>
      </c>
      <c r="K1270" s="995">
        <f t="shared" si="19"/>
        <v>8</v>
      </c>
    </row>
    <row r="1271" spans="1:11">
      <c r="A1271" s="1054">
        <v>25500601</v>
      </c>
      <c r="B1271" s="1055" t="s">
        <v>893</v>
      </c>
      <c r="C1271" s="1055" t="s">
        <v>359</v>
      </c>
      <c r="D1271" s="1055" t="s">
        <v>1366</v>
      </c>
      <c r="E1271" s="1055" t="s">
        <v>1367</v>
      </c>
      <c r="F1271" s="1056">
        <v>-197</v>
      </c>
      <c r="G1271" s="1056">
        <v>0</v>
      </c>
      <c r="H1271" s="1056">
        <v>40</v>
      </c>
      <c r="I1271" s="1056">
        <v>-238</v>
      </c>
      <c r="K1271" s="995">
        <f t="shared" si="19"/>
        <v>8</v>
      </c>
    </row>
    <row r="1272" spans="1:11">
      <c r="A1272" s="1054">
        <v>25500601</v>
      </c>
      <c r="B1272" s="1055" t="s">
        <v>893</v>
      </c>
      <c r="C1272" s="1055" t="s">
        <v>359</v>
      </c>
      <c r="D1272" s="1055" t="s">
        <v>1302</v>
      </c>
      <c r="E1272" s="1055" t="s">
        <v>986</v>
      </c>
      <c r="F1272" s="1056">
        <v>-196</v>
      </c>
      <c r="G1272" s="1056">
        <v>0</v>
      </c>
      <c r="H1272" s="1056">
        <v>37</v>
      </c>
      <c r="I1272" s="1056">
        <v>-232</v>
      </c>
      <c r="K1272" s="995">
        <f t="shared" si="19"/>
        <v>8</v>
      </c>
    </row>
    <row r="1273" spans="1:11">
      <c r="A1273" s="1054">
        <v>25500601</v>
      </c>
      <c r="B1273" s="1055" t="s">
        <v>893</v>
      </c>
      <c r="C1273" s="1055" t="s">
        <v>359</v>
      </c>
      <c r="D1273" s="1055" t="s">
        <v>1042</v>
      </c>
      <c r="E1273" s="1055" t="s">
        <v>1732</v>
      </c>
      <c r="F1273" s="1056">
        <v>-181</v>
      </c>
      <c r="G1273" s="1056">
        <v>0</v>
      </c>
      <c r="H1273" s="1056">
        <v>0</v>
      </c>
      <c r="I1273" s="1056">
        <v>-181</v>
      </c>
      <c r="K1273" s="995">
        <f t="shared" si="19"/>
        <v>8</v>
      </c>
    </row>
    <row r="1274" spans="1:11">
      <c r="A1274" s="1054">
        <v>25500601</v>
      </c>
      <c r="B1274" s="1055" t="s">
        <v>893</v>
      </c>
      <c r="C1274" s="1055" t="s">
        <v>359</v>
      </c>
      <c r="D1274" s="1055" t="s">
        <v>1611</v>
      </c>
      <c r="E1274" s="1055" t="s">
        <v>1612</v>
      </c>
      <c r="F1274" s="1056">
        <v>-36</v>
      </c>
      <c r="G1274" s="1056">
        <v>0</v>
      </c>
      <c r="H1274" s="1056">
        <v>0</v>
      </c>
      <c r="I1274" s="1056">
        <v>-36</v>
      </c>
      <c r="K1274" s="995">
        <f t="shared" si="19"/>
        <v>8</v>
      </c>
    </row>
    <row r="1275" spans="1:11">
      <c r="A1275" s="1054">
        <v>25500601</v>
      </c>
      <c r="B1275" s="1055" t="s">
        <v>893</v>
      </c>
      <c r="C1275" s="1055" t="s">
        <v>359</v>
      </c>
      <c r="D1275" s="1055" t="s">
        <v>1368</v>
      </c>
      <c r="E1275" s="1055" t="s">
        <v>1369</v>
      </c>
      <c r="F1275" s="1056">
        <v>-54</v>
      </c>
      <c r="G1275" s="1056">
        <v>0</v>
      </c>
      <c r="H1275" s="1056">
        <v>38</v>
      </c>
      <c r="I1275" s="1056">
        <v>-92</v>
      </c>
      <c r="K1275" s="995">
        <f t="shared" si="19"/>
        <v>8</v>
      </c>
    </row>
    <row r="1276" spans="1:11">
      <c r="A1276" s="1054">
        <v>25500601</v>
      </c>
      <c r="B1276" s="1055" t="s">
        <v>893</v>
      </c>
      <c r="C1276" s="1055" t="s">
        <v>359</v>
      </c>
      <c r="D1276" s="1055" t="s">
        <v>1246</v>
      </c>
      <c r="E1276" s="1055" t="s">
        <v>743</v>
      </c>
      <c r="F1276" s="1056">
        <v>-18</v>
      </c>
      <c r="G1276" s="1056">
        <v>0</v>
      </c>
      <c r="H1276" s="1056">
        <v>0</v>
      </c>
      <c r="I1276" s="1056">
        <v>-18</v>
      </c>
      <c r="K1276" s="995">
        <f t="shared" si="19"/>
        <v>8</v>
      </c>
    </row>
    <row r="1277" spans="1:11">
      <c r="A1277" s="1054">
        <v>25500601</v>
      </c>
      <c r="B1277" s="1055" t="s">
        <v>893</v>
      </c>
      <c r="C1277" s="1055" t="s">
        <v>359</v>
      </c>
      <c r="D1277" s="1055" t="s">
        <v>1320</v>
      </c>
      <c r="E1277" s="1055" t="s">
        <v>1321</v>
      </c>
      <c r="F1277" s="1056">
        <v>-162</v>
      </c>
      <c r="G1277" s="1056">
        <v>0</v>
      </c>
      <c r="H1277" s="1056">
        <v>44</v>
      </c>
      <c r="I1277" s="1056">
        <v>-206</v>
      </c>
      <c r="K1277" s="995">
        <f t="shared" si="19"/>
        <v>8</v>
      </c>
    </row>
    <row r="1278" spans="1:11">
      <c r="A1278" s="1054">
        <v>25500601</v>
      </c>
      <c r="B1278" s="1055" t="s">
        <v>893</v>
      </c>
      <c r="C1278" s="1055" t="s">
        <v>359</v>
      </c>
      <c r="D1278" s="1055" t="s">
        <v>1274</v>
      </c>
      <c r="E1278" s="1055" t="s">
        <v>989</v>
      </c>
      <c r="F1278" s="1056">
        <v>-267</v>
      </c>
      <c r="G1278" s="1056">
        <v>0</v>
      </c>
      <c r="H1278" s="1056">
        <v>60</v>
      </c>
      <c r="I1278" s="1056">
        <v>-328</v>
      </c>
      <c r="K1278" s="995">
        <f t="shared" si="19"/>
        <v>8</v>
      </c>
    </row>
    <row r="1279" spans="1:11">
      <c r="A1279" s="1054">
        <v>25500601</v>
      </c>
      <c r="B1279" s="1055" t="s">
        <v>893</v>
      </c>
      <c r="C1279" s="1055" t="s">
        <v>359</v>
      </c>
      <c r="D1279" s="1055" t="s">
        <v>1247</v>
      </c>
      <c r="E1279" s="1055" t="s">
        <v>1248</v>
      </c>
      <c r="F1279" s="1056">
        <v>-203</v>
      </c>
      <c r="G1279" s="1056">
        <v>0</v>
      </c>
      <c r="H1279" s="1056">
        <v>53</v>
      </c>
      <c r="I1279" s="1056">
        <v>-255</v>
      </c>
      <c r="K1279" s="995">
        <f t="shared" si="19"/>
        <v>8</v>
      </c>
    </row>
    <row r="1280" spans="1:11">
      <c r="A1280" s="1054">
        <v>25500601</v>
      </c>
      <c r="B1280" s="1055" t="s">
        <v>893</v>
      </c>
      <c r="C1280" s="1055" t="s">
        <v>359</v>
      </c>
      <c r="D1280" s="1055" t="s">
        <v>1387</v>
      </c>
      <c r="E1280" s="1055" t="s">
        <v>1388</v>
      </c>
      <c r="F1280" s="1056">
        <v>-11</v>
      </c>
      <c r="G1280" s="1056">
        <v>0</v>
      </c>
      <c r="H1280" s="1056">
        <v>0</v>
      </c>
      <c r="I1280" s="1056">
        <v>-11</v>
      </c>
      <c r="K1280" s="995">
        <f t="shared" si="19"/>
        <v>8</v>
      </c>
    </row>
    <row r="1281" spans="1:11">
      <c r="A1281" s="1054">
        <v>25500601</v>
      </c>
      <c r="B1281" s="1055" t="s">
        <v>893</v>
      </c>
      <c r="C1281" s="1055" t="s">
        <v>359</v>
      </c>
      <c r="D1281" s="1055" t="s">
        <v>1370</v>
      </c>
      <c r="E1281" s="1055" t="s">
        <v>1371</v>
      </c>
      <c r="F1281" s="1056">
        <v>-43</v>
      </c>
      <c r="G1281" s="1056">
        <v>0</v>
      </c>
      <c r="H1281" s="1056">
        <v>41</v>
      </c>
      <c r="I1281" s="1056">
        <v>-84</v>
      </c>
      <c r="K1281" s="995">
        <f t="shared" si="19"/>
        <v>8</v>
      </c>
    </row>
    <row r="1282" spans="1:11">
      <c r="A1282" s="1054">
        <v>25500601</v>
      </c>
      <c r="B1282" s="1055" t="s">
        <v>893</v>
      </c>
      <c r="C1282" s="1055" t="s">
        <v>359</v>
      </c>
      <c r="D1282" s="1055" t="s">
        <v>1870</v>
      </c>
      <c r="E1282" s="1055" t="s">
        <v>1871</v>
      </c>
      <c r="F1282" s="1056">
        <v>-44</v>
      </c>
      <c r="G1282" s="1056">
        <v>0</v>
      </c>
      <c r="H1282" s="1056">
        <v>30</v>
      </c>
      <c r="I1282" s="1056">
        <v>-74</v>
      </c>
      <c r="K1282" s="995">
        <f t="shared" si="19"/>
        <v>8</v>
      </c>
    </row>
    <row r="1283" spans="1:11">
      <c r="A1283" s="1054">
        <v>25500601</v>
      </c>
      <c r="B1283" s="1055" t="s">
        <v>893</v>
      </c>
      <c r="C1283" s="1055" t="s">
        <v>359</v>
      </c>
      <c r="D1283" s="1055" t="s">
        <v>1372</v>
      </c>
      <c r="E1283" s="1055" t="s">
        <v>1373</v>
      </c>
      <c r="F1283" s="1056">
        <v>-186</v>
      </c>
      <c r="G1283" s="1056">
        <v>0</v>
      </c>
      <c r="H1283" s="1056">
        <v>42</v>
      </c>
      <c r="I1283" s="1056">
        <v>-228</v>
      </c>
      <c r="K1283" s="995">
        <f t="shared" si="19"/>
        <v>8</v>
      </c>
    </row>
    <row r="1284" spans="1:11">
      <c r="A1284" s="1054">
        <v>25500601</v>
      </c>
      <c r="B1284" s="1055" t="s">
        <v>893</v>
      </c>
      <c r="C1284" s="1055" t="s">
        <v>359</v>
      </c>
      <c r="D1284" s="1055" t="s">
        <v>1785</v>
      </c>
      <c r="E1284" s="1055" t="s">
        <v>1786</v>
      </c>
      <c r="F1284" s="1056">
        <v>-77</v>
      </c>
      <c r="G1284" s="1056">
        <v>0</v>
      </c>
      <c r="H1284" s="1056">
        <v>37</v>
      </c>
      <c r="I1284" s="1056">
        <v>-114</v>
      </c>
      <c r="K1284" s="995">
        <f t="shared" si="19"/>
        <v>8</v>
      </c>
    </row>
    <row r="1285" spans="1:11">
      <c r="A1285" s="1054">
        <v>25500601</v>
      </c>
      <c r="B1285" s="1055" t="s">
        <v>893</v>
      </c>
      <c r="C1285" s="1055" t="s">
        <v>359</v>
      </c>
      <c r="D1285" s="1055" t="s">
        <v>1374</v>
      </c>
      <c r="E1285" s="1055" t="s">
        <v>1375</v>
      </c>
      <c r="F1285" s="1056">
        <v>-48</v>
      </c>
      <c r="G1285" s="1056">
        <v>0</v>
      </c>
      <c r="H1285" s="1056">
        <v>38</v>
      </c>
      <c r="I1285" s="1056">
        <v>-86</v>
      </c>
      <c r="K1285" s="995">
        <f t="shared" ref="K1285:K1348" si="20">+LEN(A1285)</f>
        <v>8</v>
      </c>
    </row>
    <row r="1286" spans="1:11">
      <c r="A1286" s="1054">
        <v>25500601</v>
      </c>
      <c r="B1286" s="1055" t="s">
        <v>893</v>
      </c>
      <c r="C1286" s="1055" t="s">
        <v>359</v>
      </c>
      <c r="D1286" s="1055" t="s">
        <v>1389</v>
      </c>
      <c r="E1286" s="1055" t="s">
        <v>1390</v>
      </c>
      <c r="F1286" s="1056">
        <v>-40</v>
      </c>
      <c r="G1286" s="1056">
        <v>0</v>
      </c>
      <c r="H1286" s="1056">
        <v>0</v>
      </c>
      <c r="I1286" s="1056">
        <v>-40</v>
      </c>
      <c r="K1286" s="995">
        <f t="shared" si="20"/>
        <v>8</v>
      </c>
    </row>
    <row r="1287" spans="1:11">
      <c r="A1287" s="1054">
        <v>25500601</v>
      </c>
      <c r="B1287" s="1055" t="s">
        <v>893</v>
      </c>
      <c r="C1287" s="1055" t="s">
        <v>359</v>
      </c>
      <c r="D1287" s="1055" t="s">
        <v>1249</v>
      </c>
      <c r="E1287" s="1055" t="s">
        <v>583</v>
      </c>
      <c r="F1287" s="1056">
        <v>-352</v>
      </c>
      <c r="G1287" s="1056">
        <v>0</v>
      </c>
      <c r="H1287" s="1056">
        <v>70</v>
      </c>
      <c r="I1287" s="1056">
        <v>-422</v>
      </c>
      <c r="K1287" s="995">
        <f t="shared" si="20"/>
        <v>8</v>
      </c>
    </row>
    <row r="1288" spans="1:11">
      <c r="A1288" s="1054">
        <v>25500601</v>
      </c>
      <c r="B1288" s="1055" t="s">
        <v>893</v>
      </c>
      <c r="C1288" s="1055" t="s">
        <v>359</v>
      </c>
      <c r="D1288" s="1055" t="s">
        <v>1376</v>
      </c>
      <c r="E1288" s="1055" t="s">
        <v>1377</v>
      </c>
      <c r="F1288" s="1056">
        <v>-178</v>
      </c>
      <c r="G1288" s="1056">
        <v>0</v>
      </c>
      <c r="H1288" s="1056">
        <v>47</v>
      </c>
      <c r="I1288" s="1056">
        <v>-224</v>
      </c>
      <c r="K1288" s="995">
        <f t="shared" si="20"/>
        <v>8</v>
      </c>
    </row>
    <row r="1289" spans="1:11">
      <c r="A1289" s="1054">
        <v>25500601</v>
      </c>
      <c r="B1289" s="1055" t="s">
        <v>893</v>
      </c>
      <c r="C1289" s="1055" t="s">
        <v>359</v>
      </c>
      <c r="D1289" s="1055" t="s">
        <v>1613</v>
      </c>
      <c r="E1289" s="1055" t="s">
        <v>1614</v>
      </c>
      <c r="F1289" s="1056">
        <v>-108</v>
      </c>
      <c r="G1289" s="1056">
        <v>0</v>
      </c>
      <c r="H1289" s="1056">
        <v>9</v>
      </c>
      <c r="I1289" s="1056">
        <v>-117</v>
      </c>
      <c r="K1289" s="995">
        <f t="shared" si="20"/>
        <v>8</v>
      </c>
    </row>
    <row r="1290" spans="1:11">
      <c r="A1290" s="1054">
        <v>25500601</v>
      </c>
      <c r="B1290" s="1055" t="s">
        <v>893</v>
      </c>
      <c r="C1290" s="1055" t="s">
        <v>359</v>
      </c>
      <c r="D1290" s="1055" t="s">
        <v>1305</v>
      </c>
      <c r="E1290" s="1055" t="s">
        <v>990</v>
      </c>
      <c r="F1290" s="1056">
        <v>-244</v>
      </c>
      <c r="G1290" s="1056">
        <v>0</v>
      </c>
      <c r="H1290" s="1056">
        <v>31</v>
      </c>
      <c r="I1290" s="1056">
        <v>-275</v>
      </c>
      <c r="K1290" s="995">
        <f t="shared" si="20"/>
        <v>8</v>
      </c>
    </row>
    <row r="1291" spans="1:11">
      <c r="A1291" s="1054">
        <v>25500601</v>
      </c>
      <c r="B1291" s="1055" t="s">
        <v>893</v>
      </c>
      <c r="C1291" s="1055" t="s">
        <v>359</v>
      </c>
      <c r="D1291" s="1055" t="s">
        <v>1306</v>
      </c>
      <c r="E1291" s="1055" t="s">
        <v>997</v>
      </c>
      <c r="F1291" s="1056">
        <v>-223</v>
      </c>
      <c r="G1291" s="1056">
        <v>0</v>
      </c>
      <c r="H1291" s="1056">
        <v>51</v>
      </c>
      <c r="I1291" s="1056">
        <v>-274</v>
      </c>
      <c r="K1291" s="995">
        <f t="shared" si="20"/>
        <v>8</v>
      </c>
    </row>
    <row r="1292" spans="1:11">
      <c r="A1292" s="1054">
        <v>25500601</v>
      </c>
      <c r="B1292" s="1055" t="s">
        <v>893</v>
      </c>
      <c r="C1292" s="1055" t="s">
        <v>359</v>
      </c>
      <c r="D1292" s="1055" t="s">
        <v>1322</v>
      </c>
      <c r="E1292" s="1055" t="s">
        <v>1323</v>
      </c>
      <c r="F1292" s="1056">
        <v>-141</v>
      </c>
      <c r="G1292" s="1056">
        <v>0</v>
      </c>
      <c r="H1292" s="1056">
        <v>0</v>
      </c>
      <c r="I1292" s="1056">
        <v>-141</v>
      </c>
      <c r="K1292" s="995">
        <f t="shared" si="20"/>
        <v>8</v>
      </c>
    </row>
    <row r="1293" spans="1:11">
      <c r="A1293" s="1054">
        <v>25500601</v>
      </c>
      <c r="B1293" s="1055" t="s">
        <v>893</v>
      </c>
      <c r="C1293" s="1055" t="s">
        <v>359</v>
      </c>
      <c r="D1293" s="1055" t="s">
        <v>1391</v>
      </c>
      <c r="E1293" s="1055" t="s">
        <v>1392</v>
      </c>
      <c r="F1293" s="1056">
        <v>-17</v>
      </c>
      <c r="G1293" s="1056">
        <v>0</v>
      </c>
      <c r="H1293" s="1056">
        <v>0</v>
      </c>
      <c r="I1293" s="1056">
        <v>-17</v>
      </c>
      <c r="K1293" s="995">
        <f t="shared" si="20"/>
        <v>8</v>
      </c>
    </row>
    <row r="1294" spans="1:11">
      <c r="A1294" s="1054">
        <v>25500601</v>
      </c>
      <c r="B1294" s="1055" t="s">
        <v>893</v>
      </c>
      <c r="C1294" s="1055" t="s">
        <v>359</v>
      </c>
      <c r="D1294" s="1055" t="s">
        <v>1250</v>
      </c>
      <c r="E1294" s="1055" t="s">
        <v>1251</v>
      </c>
      <c r="F1294" s="1056">
        <v>-198</v>
      </c>
      <c r="G1294" s="1056">
        <v>0</v>
      </c>
      <c r="H1294" s="1056">
        <v>43</v>
      </c>
      <c r="I1294" s="1056">
        <v>-241</v>
      </c>
      <c r="K1294" s="995">
        <f t="shared" si="20"/>
        <v>8</v>
      </c>
    </row>
    <row r="1295" spans="1:11">
      <c r="A1295" s="1054">
        <v>25500601</v>
      </c>
      <c r="B1295" s="1055" t="s">
        <v>893</v>
      </c>
      <c r="C1295" s="1055" t="s">
        <v>359</v>
      </c>
      <c r="D1295" s="1055" t="s">
        <v>1787</v>
      </c>
      <c r="E1295" s="1055" t="s">
        <v>1788</v>
      </c>
      <c r="F1295" s="1056">
        <v>-55</v>
      </c>
      <c r="G1295" s="1056">
        <v>0</v>
      </c>
      <c r="H1295" s="1056">
        <v>48</v>
      </c>
      <c r="I1295" s="1056">
        <v>-103</v>
      </c>
      <c r="K1295" s="995">
        <f t="shared" si="20"/>
        <v>8</v>
      </c>
    </row>
    <row r="1296" spans="1:11">
      <c r="A1296" s="1054">
        <v>25500601</v>
      </c>
      <c r="B1296" s="1055" t="s">
        <v>893</v>
      </c>
      <c r="C1296" s="1055" t="s">
        <v>359</v>
      </c>
      <c r="D1296" s="1055" t="s">
        <v>1378</v>
      </c>
      <c r="E1296" s="1055" t="s">
        <v>1379</v>
      </c>
      <c r="F1296" s="1056">
        <v>-212</v>
      </c>
      <c r="G1296" s="1056">
        <v>0</v>
      </c>
      <c r="H1296" s="1056">
        <v>0</v>
      </c>
      <c r="I1296" s="1056">
        <v>-212</v>
      </c>
      <c r="K1296" s="995">
        <f t="shared" si="20"/>
        <v>8</v>
      </c>
    </row>
    <row r="1297" spans="1:11">
      <c r="A1297" s="1054">
        <v>25500601</v>
      </c>
      <c r="B1297" s="1055" t="s">
        <v>893</v>
      </c>
      <c r="C1297" s="1055" t="s">
        <v>359</v>
      </c>
      <c r="D1297" s="1055" t="s">
        <v>1393</v>
      </c>
      <c r="E1297" s="1055" t="s">
        <v>1394</v>
      </c>
      <c r="F1297" s="1056">
        <v>-2</v>
      </c>
      <c r="G1297" s="1056">
        <v>0</v>
      </c>
      <c r="H1297" s="1056">
        <v>0</v>
      </c>
      <c r="I1297" s="1056">
        <v>-2</v>
      </c>
      <c r="K1297" s="995">
        <f t="shared" si="20"/>
        <v>8</v>
      </c>
    </row>
    <row r="1298" spans="1:11">
      <c r="A1298" s="1054">
        <v>25500601</v>
      </c>
      <c r="B1298" s="1055" t="s">
        <v>893</v>
      </c>
      <c r="C1298" s="1055" t="s">
        <v>359</v>
      </c>
      <c r="D1298" s="1055" t="s">
        <v>1303</v>
      </c>
      <c r="E1298" s="1055" t="s">
        <v>806</v>
      </c>
      <c r="F1298" s="1056">
        <v>-199</v>
      </c>
      <c r="G1298" s="1056">
        <v>0</v>
      </c>
      <c r="H1298" s="1056">
        <v>37</v>
      </c>
      <c r="I1298" s="1056">
        <v>-236</v>
      </c>
      <c r="K1298" s="995">
        <f t="shared" si="20"/>
        <v>8</v>
      </c>
    </row>
    <row r="1299" spans="1:11">
      <c r="A1299" s="1054">
        <v>25500601</v>
      </c>
      <c r="B1299" s="1055" t="s">
        <v>893</v>
      </c>
      <c r="C1299" s="1055" t="s">
        <v>359</v>
      </c>
      <c r="D1299" s="1055" t="s">
        <v>1605</v>
      </c>
      <c r="E1299" s="1055" t="s">
        <v>1606</v>
      </c>
      <c r="F1299" s="1056">
        <v>-132</v>
      </c>
      <c r="G1299" s="1056">
        <v>0</v>
      </c>
      <c r="H1299" s="1056">
        <v>60</v>
      </c>
      <c r="I1299" s="1056">
        <v>-192</v>
      </c>
      <c r="K1299" s="995">
        <f t="shared" si="20"/>
        <v>8</v>
      </c>
    </row>
    <row r="1300" spans="1:11">
      <c r="A1300" s="1054">
        <v>25500601</v>
      </c>
      <c r="B1300" s="1055" t="s">
        <v>893</v>
      </c>
      <c r="C1300" s="1055" t="s">
        <v>359</v>
      </c>
      <c r="D1300" s="1055" t="s">
        <v>1789</v>
      </c>
      <c r="E1300" s="1055" t="s">
        <v>1790</v>
      </c>
      <c r="F1300" s="1056">
        <v>-71</v>
      </c>
      <c r="G1300" s="1056">
        <v>0</v>
      </c>
      <c r="H1300" s="1056">
        <v>38</v>
      </c>
      <c r="I1300" s="1056">
        <v>-109</v>
      </c>
      <c r="K1300" s="995">
        <f t="shared" si="20"/>
        <v>8</v>
      </c>
    </row>
    <row r="1301" spans="1:11">
      <c r="A1301" s="1054">
        <v>25500601</v>
      </c>
      <c r="B1301" s="1055" t="s">
        <v>893</v>
      </c>
      <c r="C1301" s="1055" t="s">
        <v>359</v>
      </c>
      <c r="D1301" s="1055" t="s">
        <v>1254</v>
      </c>
      <c r="E1301" s="1055" t="s">
        <v>744</v>
      </c>
      <c r="F1301" s="1056">
        <v>-220</v>
      </c>
      <c r="G1301" s="1056">
        <v>0</v>
      </c>
      <c r="H1301" s="1056">
        <v>53</v>
      </c>
      <c r="I1301" s="1056">
        <v>-273</v>
      </c>
      <c r="K1301" s="995">
        <f t="shared" si="20"/>
        <v>8</v>
      </c>
    </row>
    <row r="1302" spans="1:11">
      <c r="A1302" s="1054">
        <v>25500601</v>
      </c>
      <c r="B1302" s="1055" t="s">
        <v>893</v>
      </c>
      <c r="C1302" s="1055" t="s">
        <v>359</v>
      </c>
      <c r="D1302" s="1055" t="s">
        <v>1275</v>
      </c>
      <c r="E1302" s="1055" t="s">
        <v>991</v>
      </c>
      <c r="F1302" s="1056">
        <v>-234</v>
      </c>
      <c r="G1302" s="1056">
        <v>0</v>
      </c>
      <c r="H1302" s="1056">
        <v>51</v>
      </c>
      <c r="I1302" s="1056">
        <v>-285</v>
      </c>
      <c r="K1302" s="995">
        <f t="shared" si="20"/>
        <v>8</v>
      </c>
    </row>
    <row r="1303" spans="1:11">
      <c r="A1303" s="1054">
        <v>25500601</v>
      </c>
      <c r="B1303" s="1055" t="s">
        <v>893</v>
      </c>
      <c r="C1303" s="1055" t="s">
        <v>359</v>
      </c>
      <c r="D1303" s="1055" t="s">
        <v>1380</v>
      </c>
      <c r="E1303" s="1055" t="s">
        <v>1381</v>
      </c>
      <c r="F1303" s="1056">
        <v>0</v>
      </c>
      <c r="G1303" s="1056">
        <v>0</v>
      </c>
      <c r="H1303" s="1056">
        <v>26</v>
      </c>
      <c r="I1303" s="1056">
        <v>-26</v>
      </c>
      <c r="K1303" s="995">
        <f t="shared" si="20"/>
        <v>8</v>
      </c>
    </row>
    <row r="1304" spans="1:11">
      <c r="A1304" s="1054">
        <v>25500601</v>
      </c>
      <c r="B1304" s="1055" t="s">
        <v>893</v>
      </c>
      <c r="C1304" s="1055" t="s">
        <v>359</v>
      </c>
      <c r="D1304" s="1055" t="s">
        <v>1044</v>
      </c>
      <c r="E1304" s="1055" t="s">
        <v>1045</v>
      </c>
      <c r="F1304" s="1056">
        <v>-243</v>
      </c>
      <c r="G1304" s="1056">
        <v>0</v>
      </c>
      <c r="H1304" s="1056">
        <v>9</v>
      </c>
      <c r="I1304" s="1056">
        <v>-252</v>
      </c>
      <c r="K1304" s="995">
        <f t="shared" si="20"/>
        <v>8</v>
      </c>
    </row>
    <row r="1305" spans="1:11">
      <c r="A1305" s="1054">
        <v>25500601</v>
      </c>
      <c r="B1305" s="1055" t="s">
        <v>893</v>
      </c>
      <c r="C1305" s="1055" t="s">
        <v>359</v>
      </c>
      <c r="D1305" s="1055" t="s">
        <v>1395</v>
      </c>
      <c r="E1305" s="1055" t="s">
        <v>1396</v>
      </c>
      <c r="F1305" s="1056">
        <v>-111</v>
      </c>
      <c r="G1305" s="1056">
        <v>0</v>
      </c>
      <c r="H1305" s="1056">
        <v>0</v>
      </c>
      <c r="I1305" s="1056">
        <v>-111</v>
      </c>
      <c r="K1305" s="995">
        <f t="shared" si="20"/>
        <v>8</v>
      </c>
    </row>
    <row r="1306" spans="1:11">
      <c r="A1306" s="1054">
        <v>25500601</v>
      </c>
      <c r="B1306" s="1055" t="s">
        <v>893</v>
      </c>
      <c r="C1306" s="1055" t="s">
        <v>359</v>
      </c>
      <c r="D1306" s="1055" t="s">
        <v>1382</v>
      </c>
      <c r="E1306" s="1055" t="s">
        <v>1763</v>
      </c>
      <c r="F1306" s="1056">
        <v>-236</v>
      </c>
      <c r="G1306" s="1056">
        <v>0</v>
      </c>
      <c r="H1306" s="1056">
        <v>53</v>
      </c>
      <c r="I1306" s="1056">
        <v>-289</v>
      </c>
      <c r="K1306" s="995">
        <f t="shared" si="20"/>
        <v>8</v>
      </c>
    </row>
    <row r="1307" spans="1:11">
      <c r="A1307" s="1054">
        <v>25500601</v>
      </c>
      <c r="B1307" s="1055" t="s">
        <v>893</v>
      </c>
      <c r="C1307" s="1055" t="s">
        <v>359</v>
      </c>
      <c r="D1307" s="1055" t="s">
        <v>1383</v>
      </c>
      <c r="E1307" s="1055" t="s">
        <v>1384</v>
      </c>
      <c r="F1307" s="1056">
        <v>-177</v>
      </c>
      <c r="G1307" s="1056">
        <v>0</v>
      </c>
      <c r="H1307" s="1056">
        <v>37</v>
      </c>
      <c r="I1307" s="1056">
        <v>-214</v>
      </c>
      <c r="K1307" s="995">
        <f t="shared" si="20"/>
        <v>8</v>
      </c>
    </row>
    <row r="1308" spans="1:11">
      <c r="A1308" s="1054">
        <v>25500602</v>
      </c>
      <c r="B1308" s="1055" t="s">
        <v>1489</v>
      </c>
      <c r="C1308" s="1055" t="s">
        <v>750</v>
      </c>
      <c r="D1308" s="1055" t="s">
        <v>893</v>
      </c>
      <c r="E1308" s="1055" t="s">
        <v>893</v>
      </c>
      <c r="F1308" s="1056">
        <v>6295</v>
      </c>
      <c r="G1308" s="1056">
        <v>1636</v>
      </c>
      <c r="H1308" s="1056">
        <v>0</v>
      </c>
      <c r="I1308" s="1056">
        <v>7931</v>
      </c>
      <c r="K1308" s="995">
        <f t="shared" si="20"/>
        <v>8</v>
      </c>
    </row>
    <row r="1309" spans="1:11">
      <c r="A1309" s="1054">
        <v>25500602</v>
      </c>
      <c r="B1309" s="1055" t="s">
        <v>1489</v>
      </c>
      <c r="C1309" s="1055" t="s">
        <v>750</v>
      </c>
      <c r="D1309" s="1055" t="s">
        <v>1265</v>
      </c>
      <c r="E1309" s="1055" t="s">
        <v>1266</v>
      </c>
      <c r="F1309" s="1056">
        <v>6295</v>
      </c>
      <c r="G1309" s="1056">
        <v>1636</v>
      </c>
      <c r="H1309" s="1056">
        <v>0</v>
      </c>
      <c r="I1309" s="1056">
        <v>7931</v>
      </c>
      <c r="K1309" s="995">
        <f t="shared" si="20"/>
        <v>8</v>
      </c>
    </row>
    <row r="1310" spans="1:11">
      <c r="A1310" s="1054">
        <v>255010</v>
      </c>
      <c r="B1310" s="1055" t="s">
        <v>1489</v>
      </c>
      <c r="C1310" s="1055" t="s">
        <v>751</v>
      </c>
      <c r="D1310" s="1055" t="s">
        <v>893</v>
      </c>
      <c r="E1310" s="1055" t="s">
        <v>893</v>
      </c>
      <c r="F1310" s="1056">
        <v>-2742</v>
      </c>
      <c r="G1310" s="1056">
        <v>2742</v>
      </c>
      <c r="H1310" s="1056">
        <v>2596</v>
      </c>
      <c r="I1310" s="1056">
        <v>-2596</v>
      </c>
      <c r="K1310" s="995">
        <f t="shared" si="20"/>
        <v>6</v>
      </c>
    </row>
    <row r="1311" spans="1:11">
      <c r="A1311" s="1054">
        <v>25501001</v>
      </c>
      <c r="B1311" s="1055" t="s">
        <v>1489</v>
      </c>
      <c r="C1311" s="1055" t="s">
        <v>751</v>
      </c>
      <c r="D1311" s="1055" t="s">
        <v>893</v>
      </c>
      <c r="E1311" s="1055" t="s">
        <v>893</v>
      </c>
      <c r="F1311" s="1056">
        <v>-13921</v>
      </c>
      <c r="G1311" s="1056">
        <v>0</v>
      </c>
      <c r="H1311" s="1056">
        <v>2596</v>
      </c>
      <c r="I1311" s="1056">
        <v>-16517</v>
      </c>
      <c r="K1311" s="995">
        <f t="shared" si="20"/>
        <v>8</v>
      </c>
    </row>
    <row r="1312" spans="1:11">
      <c r="A1312" s="1054">
        <v>25501001</v>
      </c>
      <c r="B1312" s="1055" t="s">
        <v>1489</v>
      </c>
      <c r="C1312" s="1055" t="s">
        <v>751</v>
      </c>
      <c r="D1312" s="1055" t="s">
        <v>1067</v>
      </c>
      <c r="E1312" s="1055" t="s">
        <v>1068</v>
      </c>
      <c r="F1312" s="1056">
        <v>-1903</v>
      </c>
      <c r="G1312" s="1056">
        <v>0</v>
      </c>
      <c r="H1312" s="1056">
        <v>0</v>
      </c>
      <c r="I1312" s="1056">
        <v>-1903</v>
      </c>
      <c r="K1312" s="995">
        <f t="shared" si="20"/>
        <v>8</v>
      </c>
    </row>
    <row r="1313" spans="1:11">
      <c r="A1313" s="1054">
        <v>25501001</v>
      </c>
      <c r="B1313" s="1055" t="s">
        <v>1489</v>
      </c>
      <c r="C1313" s="1055" t="s">
        <v>751</v>
      </c>
      <c r="D1313" s="1055" t="s">
        <v>1385</v>
      </c>
      <c r="E1313" s="1055" t="s">
        <v>1386</v>
      </c>
      <c r="F1313" s="1056">
        <v>-12</v>
      </c>
      <c r="G1313" s="1056">
        <v>0</v>
      </c>
      <c r="H1313" s="1056">
        <v>0</v>
      </c>
      <c r="I1313" s="1056">
        <v>-12</v>
      </c>
      <c r="K1313" s="995">
        <f t="shared" si="20"/>
        <v>8</v>
      </c>
    </row>
    <row r="1314" spans="1:11">
      <c r="A1314" s="1054">
        <v>25501001</v>
      </c>
      <c r="B1314" s="1055" t="s">
        <v>1489</v>
      </c>
      <c r="C1314" s="1055" t="s">
        <v>751</v>
      </c>
      <c r="D1314" s="1055" t="s">
        <v>1360</v>
      </c>
      <c r="E1314" s="1055" t="s">
        <v>1361</v>
      </c>
      <c r="F1314" s="1056">
        <v>-377</v>
      </c>
      <c r="G1314" s="1056">
        <v>0</v>
      </c>
      <c r="H1314" s="1056">
        <v>78</v>
      </c>
      <c r="I1314" s="1056">
        <v>-454</v>
      </c>
      <c r="K1314" s="995">
        <f t="shared" si="20"/>
        <v>8</v>
      </c>
    </row>
    <row r="1315" spans="1:11">
      <c r="A1315" s="1054">
        <v>25501001</v>
      </c>
      <c r="B1315" s="1055" t="s">
        <v>1489</v>
      </c>
      <c r="C1315" s="1055" t="s">
        <v>751</v>
      </c>
      <c r="D1315" s="1055" t="s">
        <v>1298</v>
      </c>
      <c r="E1315" s="1055" t="s">
        <v>987</v>
      </c>
      <c r="F1315" s="1056">
        <v>-90</v>
      </c>
      <c r="G1315" s="1056">
        <v>0</v>
      </c>
      <c r="H1315" s="1056">
        <v>96</v>
      </c>
      <c r="I1315" s="1056">
        <v>-185</v>
      </c>
      <c r="K1315" s="995">
        <f t="shared" si="20"/>
        <v>8</v>
      </c>
    </row>
    <row r="1316" spans="1:11">
      <c r="A1316" s="1054">
        <v>25501001</v>
      </c>
      <c r="B1316" s="1055" t="s">
        <v>1489</v>
      </c>
      <c r="C1316" s="1055" t="s">
        <v>751</v>
      </c>
      <c r="D1316" s="1055" t="s">
        <v>1397</v>
      </c>
      <c r="E1316" s="1055" t="s">
        <v>1398</v>
      </c>
      <c r="F1316" s="1056">
        <v>-63</v>
      </c>
      <c r="G1316" s="1056">
        <v>0</v>
      </c>
      <c r="H1316" s="1056">
        <v>0</v>
      </c>
      <c r="I1316" s="1056">
        <v>-63</v>
      </c>
      <c r="K1316" s="995">
        <f t="shared" si="20"/>
        <v>8</v>
      </c>
    </row>
    <row r="1317" spans="1:11">
      <c r="A1317" s="1054">
        <v>25501001</v>
      </c>
      <c r="B1317" s="1055" t="s">
        <v>1489</v>
      </c>
      <c r="C1317" s="1055" t="s">
        <v>751</v>
      </c>
      <c r="D1317" s="1055" t="s">
        <v>1362</v>
      </c>
      <c r="E1317" s="1055" t="s">
        <v>1363</v>
      </c>
      <c r="F1317" s="1056">
        <v>-328</v>
      </c>
      <c r="G1317" s="1056">
        <v>0</v>
      </c>
      <c r="H1317" s="1056">
        <v>58</v>
      </c>
      <c r="I1317" s="1056">
        <v>-386</v>
      </c>
      <c r="K1317" s="995">
        <f t="shared" si="20"/>
        <v>8</v>
      </c>
    </row>
    <row r="1318" spans="1:11">
      <c r="A1318" s="1054">
        <v>25501001</v>
      </c>
      <c r="B1318" s="1055" t="s">
        <v>1489</v>
      </c>
      <c r="C1318" s="1055" t="s">
        <v>751</v>
      </c>
      <c r="D1318" s="1055" t="s">
        <v>1364</v>
      </c>
      <c r="E1318" s="1055" t="s">
        <v>1365</v>
      </c>
      <c r="F1318" s="1056">
        <v>-383</v>
      </c>
      <c r="G1318" s="1056">
        <v>0</v>
      </c>
      <c r="H1318" s="1056">
        <v>67</v>
      </c>
      <c r="I1318" s="1056">
        <v>-450</v>
      </c>
      <c r="K1318" s="995">
        <f t="shared" si="20"/>
        <v>8</v>
      </c>
    </row>
    <row r="1319" spans="1:11">
      <c r="A1319" s="1054">
        <v>25501001</v>
      </c>
      <c r="B1319" s="1055" t="s">
        <v>1489</v>
      </c>
      <c r="C1319" s="1055" t="s">
        <v>751</v>
      </c>
      <c r="D1319" s="1055" t="s">
        <v>1601</v>
      </c>
      <c r="E1319" s="1055" t="s">
        <v>1602</v>
      </c>
      <c r="F1319" s="1056">
        <v>-772</v>
      </c>
      <c r="G1319" s="1056">
        <v>0</v>
      </c>
      <c r="H1319" s="1056">
        <v>210</v>
      </c>
      <c r="I1319" s="1056">
        <v>-982</v>
      </c>
      <c r="K1319" s="995">
        <f t="shared" si="20"/>
        <v>8</v>
      </c>
    </row>
    <row r="1320" spans="1:11">
      <c r="A1320" s="1054">
        <v>25501001</v>
      </c>
      <c r="B1320" s="1055" t="s">
        <v>1489</v>
      </c>
      <c r="C1320" s="1055" t="s">
        <v>751</v>
      </c>
      <c r="D1320" s="1055" t="s">
        <v>1270</v>
      </c>
      <c r="E1320" s="1055" t="s">
        <v>988</v>
      </c>
      <c r="F1320" s="1056">
        <v>-460</v>
      </c>
      <c r="G1320" s="1056">
        <v>0</v>
      </c>
      <c r="H1320" s="1056">
        <v>88</v>
      </c>
      <c r="I1320" s="1056">
        <v>-547</v>
      </c>
      <c r="K1320" s="995">
        <f t="shared" si="20"/>
        <v>8</v>
      </c>
    </row>
    <row r="1321" spans="1:11">
      <c r="A1321" s="1054">
        <v>25501001</v>
      </c>
      <c r="B1321" s="1055" t="s">
        <v>1489</v>
      </c>
      <c r="C1321" s="1055" t="s">
        <v>751</v>
      </c>
      <c r="D1321" s="1055" t="s">
        <v>1271</v>
      </c>
      <c r="E1321" s="1055" t="s">
        <v>782</v>
      </c>
      <c r="F1321" s="1056">
        <v>-437</v>
      </c>
      <c r="G1321" s="1056">
        <v>0</v>
      </c>
      <c r="H1321" s="1056">
        <v>89</v>
      </c>
      <c r="I1321" s="1056">
        <v>-526</v>
      </c>
      <c r="K1321" s="995">
        <f t="shared" si="20"/>
        <v>8</v>
      </c>
    </row>
    <row r="1322" spans="1:11">
      <c r="A1322" s="1054">
        <v>25501001</v>
      </c>
      <c r="B1322" s="1055" t="s">
        <v>1489</v>
      </c>
      <c r="C1322" s="1055" t="s">
        <v>751</v>
      </c>
      <c r="D1322" s="1055" t="s">
        <v>1366</v>
      </c>
      <c r="E1322" s="1055" t="s">
        <v>1367</v>
      </c>
      <c r="F1322" s="1056">
        <v>-324</v>
      </c>
      <c r="G1322" s="1056">
        <v>0</v>
      </c>
      <c r="H1322" s="1056">
        <v>66</v>
      </c>
      <c r="I1322" s="1056">
        <v>-390</v>
      </c>
      <c r="K1322" s="995">
        <f t="shared" si="20"/>
        <v>8</v>
      </c>
    </row>
    <row r="1323" spans="1:11">
      <c r="A1323" s="1054">
        <v>25501001</v>
      </c>
      <c r="B1323" s="1055" t="s">
        <v>1489</v>
      </c>
      <c r="C1323" s="1055" t="s">
        <v>751</v>
      </c>
      <c r="D1323" s="1055" t="s">
        <v>1302</v>
      </c>
      <c r="E1323" s="1055" t="s">
        <v>986</v>
      </c>
      <c r="F1323" s="1056">
        <v>-321</v>
      </c>
      <c r="G1323" s="1056">
        <v>0</v>
      </c>
      <c r="H1323" s="1056">
        <v>60</v>
      </c>
      <c r="I1323" s="1056">
        <v>-381</v>
      </c>
      <c r="K1323" s="995">
        <f t="shared" si="20"/>
        <v>8</v>
      </c>
    </row>
    <row r="1324" spans="1:11">
      <c r="A1324" s="1054">
        <v>25501001</v>
      </c>
      <c r="B1324" s="1055" t="s">
        <v>1489</v>
      </c>
      <c r="C1324" s="1055" t="s">
        <v>751</v>
      </c>
      <c r="D1324" s="1055" t="s">
        <v>1042</v>
      </c>
      <c r="E1324" s="1055" t="s">
        <v>1732</v>
      </c>
      <c r="F1324" s="1056">
        <v>-369</v>
      </c>
      <c r="G1324" s="1056">
        <v>0</v>
      </c>
      <c r="H1324" s="1056">
        <v>0</v>
      </c>
      <c r="I1324" s="1056">
        <v>-369</v>
      </c>
      <c r="K1324" s="995">
        <f t="shared" si="20"/>
        <v>8</v>
      </c>
    </row>
    <row r="1325" spans="1:11">
      <c r="A1325" s="1054">
        <v>25501001</v>
      </c>
      <c r="B1325" s="1055" t="s">
        <v>1489</v>
      </c>
      <c r="C1325" s="1055" t="s">
        <v>751</v>
      </c>
      <c r="D1325" s="1055" t="s">
        <v>1611</v>
      </c>
      <c r="E1325" s="1055" t="s">
        <v>1612</v>
      </c>
      <c r="F1325" s="1056">
        <v>-62</v>
      </c>
      <c r="G1325" s="1056">
        <v>0</v>
      </c>
      <c r="H1325" s="1056">
        <v>0</v>
      </c>
      <c r="I1325" s="1056">
        <v>-62</v>
      </c>
      <c r="K1325" s="995">
        <f t="shared" si="20"/>
        <v>8</v>
      </c>
    </row>
    <row r="1326" spans="1:11">
      <c r="A1326" s="1054">
        <v>25501001</v>
      </c>
      <c r="B1326" s="1055" t="s">
        <v>1489</v>
      </c>
      <c r="C1326" s="1055" t="s">
        <v>751</v>
      </c>
      <c r="D1326" s="1055" t="s">
        <v>1368</v>
      </c>
      <c r="E1326" s="1055" t="s">
        <v>1369</v>
      </c>
      <c r="F1326" s="1056">
        <v>-89</v>
      </c>
      <c r="G1326" s="1056">
        <v>0</v>
      </c>
      <c r="H1326" s="1056">
        <v>63</v>
      </c>
      <c r="I1326" s="1056">
        <v>-152</v>
      </c>
      <c r="K1326" s="995">
        <f t="shared" si="20"/>
        <v>8</v>
      </c>
    </row>
    <row r="1327" spans="1:11">
      <c r="A1327" s="1054">
        <v>25501001</v>
      </c>
      <c r="B1327" s="1055" t="s">
        <v>1489</v>
      </c>
      <c r="C1327" s="1055" t="s">
        <v>751</v>
      </c>
      <c r="D1327" s="1055" t="s">
        <v>1246</v>
      </c>
      <c r="E1327" s="1055" t="s">
        <v>743</v>
      </c>
      <c r="F1327" s="1056">
        <v>-104</v>
      </c>
      <c r="G1327" s="1056">
        <v>0</v>
      </c>
      <c r="H1327" s="1056">
        <v>0</v>
      </c>
      <c r="I1327" s="1056">
        <v>-104</v>
      </c>
      <c r="K1327" s="995">
        <f t="shared" si="20"/>
        <v>8</v>
      </c>
    </row>
    <row r="1328" spans="1:11">
      <c r="A1328" s="1054">
        <v>25501001</v>
      </c>
      <c r="B1328" s="1055" t="s">
        <v>1489</v>
      </c>
      <c r="C1328" s="1055" t="s">
        <v>751</v>
      </c>
      <c r="D1328" s="1055" t="s">
        <v>1320</v>
      </c>
      <c r="E1328" s="1055" t="s">
        <v>1321</v>
      </c>
      <c r="F1328" s="1056">
        <v>-300</v>
      </c>
      <c r="G1328" s="1056">
        <v>0</v>
      </c>
      <c r="H1328" s="1056">
        <v>72</v>
      </c>
      <c r="I1328" s="1056">
        <v>-372</v>
      </c>
      <c r="K1328" s="995">
        <f t="shared" si="20"/>
        <v>8</v>
      </c>
    </row>
    <row r="1329" spans="1:11">
      <c r="A1329" s="1054">
        <v>25501001</v>
      </c>
      <c r="B1329" s="1055" t="s">
        <v>1489</v>
      </c>
      <c r="C1329" s="1055" t="s">
        <v>751</v>
      </c>
      <c r="D1329" s="1055" t="s">
        <v>1274</v>
      </c>
      <c r="E1329" s="1055" t="s">
        <v>989</v>
      </c>
      <c r="F1329" s="1056">
        <v>-509</v>
      </c>
      <c r="G1329" s="1056">
        <v>0</v>
      </c>
      <c r="H1329" s="1056">
        <v>99</v>
      </c>
      <c r="I1329" s="1056">
        <v>-608</v>
      </c>
      <c r="K1329" s="995">
        <f t="shared" si="20"/>
        <v>8</v>
      </c>
    </row>
    <row r="1330" spans="1:11">
      <c r="A1330" s="1054">
        <v>25501001</v>
      </c>
      <c r="B1330" s="1055" t="s">
        <v>1489</v>
      </c>
      <c r="C1330" s="1055" t="s">
        <v>751</v>
      </c>
      <c r="D1330" s="1055" t="s">
        <v>1247</v>
      </c>
      <c r="E1330" s="1055" t="s">
        <v>1248</v>
      </c>
      <c r="F1330" s="1056">
        <v>-371</v>
      </c>
      <c r="G1330" s="1056">
        <v>0</v>
      </c>
      <c r="H1330" s="1056">
        <v>87</v>
      </c>
      <c r="I1330" s="1056">
        <v>-457</v>
      </c>
      <c r="K1330" s="995">
        <f t="shared" si="20"/>
        <v>8</v>
      </c>
    </row>
    <row r="1331" spans="1:11">
      <c r="A1331" s="1054">
        <v>25501001</v>
      </c>
      <c r="B1331" s="1055" t="s">
        <v>1489</v>
      </c>
      <c r="C1331" s="1055" t="s">
        <v>751</v>
      </c>
      <c r="D1331" s="1055" t="s">
        <v>1387</v>
      </c>
      <c r="E1331" s="1055" t="s">
        <v>1388</v>
      </c>
      <c r="F1331" s="1056">
        <v>-24</v>
      </c>
      <c r="G1331" s="1056">
        <v>0</v>
      </c>
      <c r="H1331" s="1056">
        <v>0</v>
      </c>
      <c r="I1331" s="1056">
        <v>-24</v>
      </c>
      <c r="K1331" s="995">
        <f t="shared" si="20"/>
        <v>8</v>
      </c>
    </row>
    <row r="1332" spans="1:11">
      <c r="A1332" s="1054">
        <v>25501001</v>
      </c>
      <c r="B1332" s="1055" t="s">
        <v>1489</v>
      </c>
      <c r="C1332" s="1055" t="s">
        <v>751</v>
      </c>
      <c r="D1332" s="1055" t="s">
        <v>1370</v>
      </c>
      <c r="E1332" s="1055" t="s">
        <v>1371</v>
      </c>
      <c r="F1332" s="1056">
        <v>-70</v>
      </c>
      <c r="G1332" s="1056">
        <v>0</v>
      </c>
      <c r="H1332" s="1056">
        <v>68</v>
      </c>
      <c r="I1332" s="1056">
        <v>-138</v>
      </c>
      <c r="K1332" s="995">
        <f t="shared" si="20"/>
        <v>8</v>
      </c>
    </row>
    <row r="1333" spans="1:11">
      <c r="A1333" s="1054">
        <v>25501001</v>
      </c>
      <c r="B1333" s="1055" t="s">
        <v>1489</v>
      </c>
      <c r="C1333" s="1055" t="s">
        <v>751</v>
      </c>
      <c r="D1333" s="1055" t="s">
        <v>1870</v>
      </c>
      <c r="E1333" s="1055" t="s">
        <v>1871</v>
      </c>
      <c r="F1333" s="1056">
        <v>-72</v>
      </c>
      <c r="G1333" s="1056">
        <v>0</v>
      </c>
      <c r="H1333" s="1056">
        <v>53</v>
      </c>
      <c r="I1333" s="1056">
        <v>-126</v>
      </c>
      <c r="K1333" s="995">
        <f t="shared" si="20"/>
        <v>8</v>
      </c>
    </row>
    <row r="1334" spans="1:11">
      <c r="A1334" s="1054">
        <v>25501001</v>
      </c>
      <c r="B1334" s="1055" t="s">
        <v>1489</v>
      </c>
      <c r="C1334" s="1055" t="s">
        <v>751</v>
      </c>
      <c r="D1334" s="1055" t="s">
        <v>1372</v>
      </c>
      <c r="E1334" s="1055" t="s">
        <v>1373</v>
      </c>
      <c r="F1334" s="1056">
        <v>-343</v>
      </c>
      <c r="G1334" s="1056">
        <v>0</v>
      </c>
      <c r="H1334" s="1056">
        <v>68</v>
      </c>
      <c r="I1334" s="1056">
        <v>-411</v>
      </c>
      <c r="K1334" s="995">
        <f t="shared" si="20"/>
        <v>8</v>
      </c>
    </row>
    <row r="1335" spans="1:11">
      <c r="A1335" s="1054">
        <v>25501001</v>
      </c>
      <c r="B1335" s="1055" t="s">
        <v>1489</v>
      </c>
      <c r="C1335" s="1055" t="s">
        <v>751</v>
      </c>
      <c r="D1335" s="1055" t="s">
        <v>1785</v>
      </c>
      <c r="E1335" s="1055" t="s">
        <v>1786</v>
      </c>
      <c r="F1335" s="1056">
        <v>-127</v>
      </c>
      <c r="G1335" s="1056">
        <v>0</v>
      </c>
      <c r="H1335" s="1056">
        <v>61</v>
      </c>
      <c r="I1335" s="1056">
        <v>-188</v>
      </c>
      <c r="K1335" s="995">
        <f t="shared" si="20"/>
        <v>8</v>
      </c>
    </row>
    <row r="1336" spans="1:11">
      <c r="A1336" s="1054">
        <v>25501001</v>
      </c>
      <c r="B1336" s="1055" t="s">
        <v>1489</v>
      </c>
      <c r="C1336" s="1055" t="s">
        <v>751</v>
      </c>
      <c r="D1336" s="1055" t="s">
        <v>1374</v>
      </c>
      <c r="E1336" s="1055" t="s">
        <v>1375</v>
      </c>
      <c r="F1336" s="1056">
        <v>-79</v>
      </c>
      <c r="G1336" s="1056">
        <v>0</v>
      </c>
      <c r="H1336" s="1056">
        <v>62</v>
      </c>
      <c r="I1336" s="1056">
        <v>-141</v>
      </c>
      <c r="K1336" s="995">
        <f t="shared" si="20"/>
        <v>8</v>
      </c>
    </row>
    <row r="1337" spans="1:11">
      <c r="A1337" s="1054">
        <v>25501001</v>
      </c>
      <c r="B1337" s="1055" t="s">
        <v>1489</v>
      </c>
      <c r="C1337" s="1055" t="s">
        <v>751</v>
      </c>
      <c r="D1337" s="1055" t="s">
        <v>1389</v>
      </c>
      <c r="E1337" s="1055" t="s">
        <v>1390</v>
      </c>
      <c r="F1337" s="1056">
        <v>-76</v>
      </c>
      <c r="G1337" s="1056">
        <v>0</v>
      </c>
      <c r="H1337" s="1056">
        <v>0</v>
      </c>
      <c r="I1337" s="1056">
        <v>-76</v>
      </c>
      <c r="K1337" s="995">
        <f t="shared" si="20"/>
        <v>8</v>
      </c>
    </row>
    <row r="1338" spans="1:11">
      <c r="A1338" s="1054">
        <v>25501001</v>
      </c>
      <c r="B1338" s="1055" t="s">
        <v>1489</v>
      </c>
      <c r="C1338" s="1055" t="s">
        <v>751</v>
      </c>
      <c r="D1338" s="1055" t="s">
        <v>1249</v>
      </c>
      <c r="E1338" s="1055" t="s">
        <v>583</v>
      </c>
      <c r="F1338" s="1056">
        <v>-578</v>
      </c>
      <c r="G1338" s="1056">
        <v>0</v>
      </c>
      <c r="H1338" s="1056">
        <v>115</v>
      </c>
      <c r="I1338" s="1056">
        <v>-693</v>
      </c>
      <c r="K1338" s="995">
        <f t="shared" si="20"/>
        <v>8</v>
      </c>
    </row>
    <row r="1339" spans="1:11">
      <c r="A1339" s="1054">
        <v>25501001</v>
      </c>
      <c r="B1339" s="1055" t="s">
        <v>1489</v>
      </c>
      <c r="C1339" s="1055" t="s">
        <v>751</v>
      </c>
      <c r="D1339" s="1055" t="s">
        <v>1376</v>
      </c>
      <c r="E1339" s="1055" t="s">
        <v>1377</v>
      </c>
      <c r="F1339" s="1056">
        <v>-291</v>
      </c>
      <c r="G1339" s="1056">
        <v>0</v>
      </c>
      <c r="H1339" s="1056">
        <v>77</v>
      </c>
      <c r="I1339" s="1056">
        <v>-368</v>
      </c>
      <c r="K1339" s="995">
        <f t="shared" si="20"/>
        <v>8</v>
      </c>
    </row>
    <row r="1340" spans="1:11">
      <c r="A1340" s="1054">
        <v>25501001</v>
      </c>
      <c r="B1340" s="1055" t="s">
        <v>1489</v>
      </c>
      <c r="C1340" s="1055" t="s">
        <v>751</v>
      </c>
      <c r="D1340" s="1055" t="s">
        <v>1613</v>
      </c>
      <c r="E1340" s="1055" t="s">
        <v>1614</v>
      </c>
      <c r="F1340" s="1056">
        <v>-179</v>
      </c>
      <c r="G1340" s="1056">
        <v>0</v>
      </c>
      <c r="H1340" s="1056">
        <v>30</v>
      </c>
      <c r="I1340" s="1056">
        <v>-210</v>
      </c>
      <c r="K1340" s="995">
        <f t="shared" si="20"/>
        <v>8</v>
      </c>
    </row>
    <row r="1341" spans="1:11">
      <c r="A1341" s="1054">
        <v>25501001</v>
      </c>
      <c r="B1341" s="1055" t="s">
        <v>1489</v>
      </c>
      <c r="C1341" s="1055" t="s">
        <v>751</v>
      </c>
      <c r="D1341" s="1055" t="s">
        <v>1305</v>
      </c>
      <c r="E1341" s="1055" t="s">
        <v>990</v>
      </c>
      <c r="F1341" s="1056">
        <v>-400</v>
      </c>
      <c r="G1341" s="1056">
        <v>0</v>
      </c>
      <c r="H1341" s="1056">
        <v>51</v>
      </c>
      <c r="I1341" s="1056">
        <v>-452</v>
      </c>
      <c r="K1341" s="995">
        <f t="shared" si="20"/>
        <v>8</v>
      </c>
    </row>
    <row r="1342" spans="1:11">
      <c r="A1342" s="1054">
        <v>25501001</v>
      </c>
      <c r="B1342" s="1055" t="s">
        <v>1489</v>
      </c>
      <c r="C1342" s="1055" t="s">
        <v>751</v>
      </c>
      <c r="D1342" s="1055" t="s">
        <v>1306</v>
      </c>
      <c r="E1342" s="1055" t="s">
        <v>997</v>
      </c>
      <c r="F1342" s="1056">
        <v>-366</v>
      </c>
      <c r="G1342" s="1056">
        <v>0</v>
      </c>
      <c r="H1342" s="1056">
        <v>84</v>
      </c>
      <c r="I1342" s="1056">
        <v>-450</v>
      </c>
      <c r="K1342" s="995">
        <f t="shared" si="20"/>
        <v>8</v>
      </c>
    </row>
    <row r="1343" spans="1:11">
      <c r="A1343" s="1054">
        <v>25501001</v>
      </c>
      <c r="B1343" s="1055" t="s">
        <v>1489</v>
      </c>
      <c r="C1343" s="1055" t="s">
        <v>751</v>
      </c>
      <c r="D1343" s="1055" t="s">
        <v>1322</v>
      </c>
      <c r="E1343" s="1055" t="s">
        <v>1323</v>
      </c>
      <c r="F1343" s="1056">
        <v>-245</v>
      </c>
      <c r="G1343" s="1056">
        <v>0</v>
      </c>
      <c r="H1343" s="1056">
        <v>0</v>
      </c>
      <c r="I1343" s="1056">
        <v>-245</v>
      </c>
      <c r="K1343" s="995">
        <f t="shared" si="20"/>
        <v>8</v>
      </c>
    </row>
    <row r="1344" spans="1:11">
      <c r="A1344" s="1054">
        <v>25501001</v>
      </c>
      <c r="B1344" s="1055" t="s">
        <v>1489</v>
      </c>
      <c r="C1344" s="1055" t="s">
        <v>751</v>
      </c>
      <c r="D1344" s="1055" t="s">
        <v>1391</v>
      </c>
      <c r="E1344" s="1055" t="s">
        <v>1392</v>
      </c>
      <c r="F1344" s="1056">
        <v>-37</v>
      </c>
      <c r="G1344" s="1056">
        <v>0</v>
      </c>
      <c r="H1344" s="1056">
        <v>0</v>
      </c>
      <c r="I1344" s="1056">
        <v>-37</v>
      </c>
      <c r="K1344" s="995">
        <f t="shared" si="20"/>
        <v>8</v>
      </c>
    </row>
    <row r="1345" spans="1:11">
      <c r="A1345" s="1054">
        <v>25501001</v>
      </c>
      <c r="B1345" s="1055" t="s">
        <v>1489</v>
      </c>
      <c r="C1345" s="1055" t="s">
        <v>751</v>
      </c>
      <c r="D1345" s="1055" t="s">
        <v>1250</v>
      </c>
      <c r="E1345" s="1055" t="s">
        <v>1251</v>
      </c>
      <c r="F1345" s="1056">
        <v>-373</v>
      </c>
      <c r="G1345" s="1056">
        <v>0</v>
      </c>
      <c r="H1345" s="1056">
        <v>70</v>
      </c>
      <c r="I1345" s="1056">
        <v>-443</v>
      </c>
      <c r="K1345" s="995">
        <f t="shared" si="20"/>
        <v>8</v>
      </c>
    </row>
    <row r="1346" spans="1:11">
      <c r="A1346" s="1054">
        <v>25501001</v>
      </c>
      <c r="B1346" s="1055" t="s">
        <v>1489</v>
      </c>
      <c r="C1346" s="1055" t="s">
        <v>751</v>
      </c>
      <c r="D1346" s="1055" t="s">
        <v>1787</v>
      </c>
      <c r="E1346" s="1055" t="s">
        <v>1788</v>
      </c>
      <c r="F1346" s="1056">
        <v>-90</v>
      </c>
      <c r="G1346" s="1056">
        <v>0</v>
      </c>
      <c r="H1346" s="1056">
        <v>79</v>
      </c>
      <c r="I1346" s="1056">
        <v>-169</v>
      </c>
      <c r="K1346" s="995">
        <f t="shared" si="20"/>
        <v>8</v>
      </c>
    </row>
    <row r="1347" spans="1:11">
      <c r="A1347" s="1054">
        <v>25501001</v>
      </c>
      <c r="B1347" s="1055" t="s">
        <v>1489</v>
      </c>
      <c r="C1347" s="1055" t="s">
        <v>751</v>
      </c>
      <c r="D1347" s="1055" t="s">
        <v>1378</v>
      </c>
      <c r="E1347" s="1055" t="s">
        <v>1379</v>
      </c>
      <c r="F1347" s="1056">
        <v>-348</v>
      </c>
      <c r="G1347" s="1056">
        <v>0</v>
      </c>
      <c r="H1347" s="1056">
        <v>0</v>
      </c>
      <c r="I1347" s="1056">
        <v>-348</v>
      </c>
      <c r="K1347" s="995">
        <f t="shared" si="20"/>
        <v>8</v>
      </c>
    </row>
    <row r="1348" spans="1:11">
      <c r="A1348" s="1054">
        <v>25501001</v>
      </c>
      <c r="B1348" s="1055" t="s">
        <v>1489</v>
      </c>
      <c r="C1348" s="1055" t="s">
        <v>751</v>
      </c>
      <c r="D1348" s="1055" t="s">
        <v>1393</v>
      </c>
      <c r="E1348" s="1055" t="s">
        <v>1394</v>
      </c>
      <c r="F1348" s="1056">
        <v>-10</v>
      </c>
      <c r="G1348" s="1056">
        <v>0</v>
      </c>
      <c r="H1348" s="1056">
        <v>0</v>
      </c>
      <c r="I1348" s="1056">
        <v>-10</v>
      </c>
      <c r="K1348" s="995">
        <f t="shared" si="20"/>
        <v>8</v>
      </c>
    </row>
    <row r="1349" spans="1:11">
      <c r="A1349" s="1054">
        <v>25501001</v>
      </c>
      <c r="B1349" s="1055" t="s">
        <v>1489</v>
      </c>
      <c r="C1349" s="1055" t="s">
        <v>751</v>
      </c>
      <c r="D1349" s="1055" t="s">
        <v>1303</v>
      </c>
      <c r="E1349" s="1055" t="s">
        <v>806</v>
      </c>
      <c r="F1349" s="1056">
        <v>-327</v>
      </c>
      <c r="G1349" s="1056">
        <v>0</v>
      </c>
      <c r="H1349" s="1056">
        <v>61</v>
      </c>
      <c r="I1349" s="1056">
        <v>-388</v>
      </c>
      <c r="K1349" s="995">
        <f t="shared" ref="K1349:K1412" si="21">+LEN(A1349)</f>
        <v>8</v>
      </c>
    </row>
    <row r="1350" spans="1:11">
      <c r="A1350" s="1054">
        <v>25501001</v>
      </c>
      <c r="B1350" s="1055" t="s">
        <v>1489</v>
      </c>
      <c r="C1350" s="1055" t="s">
        <v>751</v>
      </c>
      <c r="D1350" s="1055" t="s">
        <v>1605</v>
      </c>
      <c r="E1350" s="1055" t="s">
        <v>1606</v>
      </c>
      <c r="F1350" s="1056">
        <v>-261</v>
      </c>
      <c r="G1350" s="1056">
        <v>0</v>
      </c>
      <c r="H1350" s="1056">
        <v>99</v>
      </c>
      <c r="I1350" s="1056">
        <v>-360</v>
      </c>
      <c r="K1350" s="995">
        <f t="shared" si="21"/>
        <v>8</v>
      </c>
    </row>
    <row r="1351" spans="1:11">
      <c r="A1351" s="1054">
        <v>25501001</v>
      </c>
      <c r="B1351" s="1055" t="s">
        <v>1489</v>
      </c>
      <c r="C1351" s="1055" t="s">
        <v>751</v>
      </c>
      <c r="D1351" s="1055" t="s">
        <v>1789</v>
      </c>
      <c r="E1351" s="1055" t="s">
        <v>1790</v>
      </c>
      <c r="F1351" s="1056">
        <v>-133</v>
      </c>
      <c r="G1351" s="1056">
        <v>0</v>
      </c>
      <c r="H1351" s="1056">
        <v>62</v>
      </c>
      <c r="I1351" s="1056">
        <v>-195</v>
      </c>
      <c r="K1351" s="995">
        <f t="shared" si="21"/>
        <v>8</v>
      </c>
    </row>
    <row r="1352" spans="1:11">
      <c r="A1352" s="1054">
        <v>25501001</v>
      </c>
      <c r="B1352" s="1055" t="s">
        <v>1489</v>
      </c>
      <c r="C1352" s="1055" t="s">
        <v>751</v>
      </c>
      <c r="D1352" s="1055" t="s">
        <v>1254</v>
      </c>
      <c r="E1352" s="1055" t="s">
        <v>744</v>
      </c>
      <c r="F1352" s="1056">
        <v>-402</v>
      </c>
      <c r="G1352" s="1056">
        <v>0</v>
      </c>
      <c r="H1352" s="1056">
        <v>88</v>
      </c>
      <c r="I1352" s="1056">
        <v>-489</v>
      </c>
      <c r="K1352" s="995">
        <f t="shared" si="21"/>
        <v>8</v>
      </c>
    </row>
    <row r="1353" spans="1:11">
      <c r="A1353" s="1054">
        <v>25501001</v>
      </c>
      <c r="B1353" s="1055" t="s">
        <v>1489</v>
      </c>
      <c r="C1353" s="1055" t="s">
        <v>751</v>
      </c>
      <c r="D1353" s="1055" t="s">
        <v>1275</v>
      </c>
      <c r="E1353" s="1055" t="s">
        <v>991</v>
      </c>
      <c r="F1353" s="1056">
        <v>-420</v>
      </c>
      <c r="G1353" s="1056">
        <v>0</v>
      </c>
      <c r="H1353" s="1056">
        <v>83</v>
      </c>
      <c r="I1353" s="1056">
        <v>-503</v>
      </c>
      <c r="K1353" s="995">
        <f t="shared" si="21"/>
        <v>8</v>
      </c>
    </row>
    <row r="1354" spans="1:11">
      <c r="A1354" s="1054">
        <v>25501001</v>
      </c>
      <c r="B1354" s="1055" t="s">
        <v>1489</v>
      </c>
      <c r="C1354" s="1055" t="s">
        <v>751</v>
      </c>
      <c r="D1354" s="1055" t="s">
        <v>1380</v>
      </c>
      <c r="E1354" s="1055" t="s">
        <v>1381</v>
      </c>
      <c r="F1354" s="1056">
        <v>0</v>
      </c>
      <c r="G1354" s="1056">
        <v>0</v>
      </c>
      <c r="H1354" s="1056">
        <v>42</v>
      </c>
      <c r="I1354" s="1056">
        <v>-42</v>
      </c>
      <c r="K1354" s="995">
        <f t="shared" si="21"/>
        <v>8</v>
      </c>
    </row>
    <row r="1355" spans="1:11">
      <c r="A1355" s="1054">
        <v>25501001</v>
      </c>
      <c r="B1355" s="1055" t="s">
        <v>1489</v>
      </c>
      <c r="C1355" s="1055" t="s">
        <v>751</v>
      </c>
      <c r="D1355" s="1055" t="s">
        <v>1044</v>
      </c>
      <c r="E1355" s="1055" t="s">
        <v>1045</v>
      </c>
      <c r="F1355" s="1056">
        <v>-398</v>
      </c>
      <c r="G1355" s="1056">
        <v>0</v>
      </c>
      <c r="H1355" s="1056">
        <v>63</v>
      </c>
      <c r="I1355" s="1056">
        <v>-462</v>
      </c>
      <c r="K1355" s="995">
        <f t="shared" si="21"/>
        <v>8</v>
      </c>
    </row>
    <row r="1356" spans="1:11">
      <c r="A1356" s="1054">
        <v>25501001</v>
      </c>
      <c r="B1356" s="1055" t="s">
        <v>1489</v>
      </c>
      <c r="C1356" s="1055" t="s">
        <v>751</v>
      </c>
      <c r="D1356" s="1055" t="s">
        <v>1395</v>
      </c>
      <c r="E1356" s="1055" t="s">
        <v>1396</v>
      </c>
      <c r="F1356" s="1056">
        <v>-209</v>
      </c>
      <c r="G1356" s="1056">
        <v>0</v>
      </c>
      <c r="H1356" s="1056">
        <v>0</v>
      </c>
      <c r="I1356" s="1056">
        <v>-209</v>
      </c>
      <c r="K1356" s="995">
        <f t="shared" si="21"/>
        <v>8</v>
      </c>
    </row>
    <row r="1357" spans="1:11">
      <c r="A1357" s="1054">
        <v>25501001</v>
      </c>
      <c r="B1357" s="1055" t="s">
        <v>1489</v>
      </c>
      <c r="C1357" s="1055" t="s">
        <v>751</v>
      </c>
      <c r="D1357" s="1055" t="s">
        <v>1382</v>
      </c>
      <c r="E1357" s="1055" t="s">
        <v>1763</v>
      </c>
      <c r="F1357" s="1056">
        <v>-463</v>
      </c>
      <c r="G1357" s="1056">
        <v>0</v>
      </c>
      <c r="H1357" s="1056">
        <v>88</v>
      </c>
      <c r="I1357" s="1056">
        <v>-551</v>
      </c>
      <c r="K1357" s="995">
        <f t="shared" si="21"/>
        <v>8</v>
      </c>
    </row>
    <row r="1358" spans="1:11">
      <c r="A1358" s="1054">
        <v>25501001</v>
      </c>
      <c r="B1358" s="1055" t="s">
        <v>1489</v>
      </c>
      <c r="C1358" s="1055" t="s">
        <v>751</v>
      </c>
      <c r="D1358" s="1055" t="s">
        <v>1383</v>
      </c>
      <c r="E1358" s="1055" t="s">
        <v>1384</v>
      </c>
      <c r="F1358" s="1056">
        <v>-325</v>
      </c>
      <c r="G1358" s="1056">
        <v>0</v>
      </c>
      <c r="H1358" s="1056">
        <v>60</v>
      </c>
      <c r="I1358" s="1056">
        <v>-385</v>
      </c>
      <c r="K1358" s="995">
        <f t="shared" si="21"/>
        <v>8</v>
      </c>
    </row>
    <row r="1359" spans="1:11">
      <c r="A1359" s="1054">
        <v>25501002</v>
      </c>
      <c r="B1359" s="1055" t="s">
        <v>1489</v>
      </c>
      <c r="C1359" s="1055" t="s">
        <v>752</v>
      </c>
      <c r="D1359" s="1055" t="s">
        <v>893</v>
      </c>
      <c r="E1359" s="1055" t="s">
        <v>893</v>
      </c>
      <c r="F1359" s="1056">
        <v>11178</v>
      </c>
      <c r="G1359" s="1056">
        <v>2742</v>
      </c>
      <c r="H1359" s="1056">
        <v>0</v>
      </c>
      <c r="I1359" s="1056">
        <v>13921</v>
      </c>
      <c r="K1359" s="995">
        <f t="shared" si="21"/>
        <v>8</v>
      </c>
    </row>
    <row r="1360" spans="1:11">
      <c r="A1360" s="1054">
        <v>25501002</v>
      </c>
      <c r="B1360" s="1055" t="s">
        <v>1489</v>
      </c>
      <c r="C1360" s="1055" t="s">
        <v>752</v>
      </c>
      <c r="D1360" s="1055" t="s">
        <v>1267</v>
      </c>
      <c r="E1360" s="1055" t="s">
        <v>336</v>
      </c>
      <c r="F1360" s="1056">
        <v>11178</v>
      </c>
      <c r="G1360" s="1056">
        <v>2742</v>
      </c>
      <c r="H1360" s="1056">
        <v>0</v>
      </c>
      <c r="I1360" s="1056">
        <v>13921</v>
      </c>
      <c r="K1360" s="995">
        <f t="shared" si="21"/>
        <v>8</v>
      </c>
    </row>
    <row r="1361" spans="1:11">
      <c r="A1361" s="1054">
        <v>255030</v>
      </c>
      <c r="B1361" s="1055" t="s">
        <v>893</v>
      </c>
      <c r="C1361" s="1055" t="s">
        <v>360</v>
      </c>
      <c r="D1361" s="1055" t="s">
        <v>893</v>
      </c>
      <c r="E1361" s="1055" t="s">
        <v>893</v>
      </c>
      <c r="F1361" s="1056">
        <v>-10972</v>
      </c>
      <c r="G1361" s="1056">
        <v>10972</v>
      </c>
      <c r="H1361" s="1056">
        <v>10314</v>
      </c>
      <c r="I1361" s="1056">
        <v>-10314</v>
      </c>
      <c r="K1361" s="995">
        <f t="shared" si="21"/>
        <v>6</v>
      </c>
    </row>
    <row r="1362" spans="1:11">
      <c r="A1362" s="1054">
        <v>25503001</v>
      </c>
      <c r="B1362" s="1055" t="s">
        <v>1489</v>
      </c>
      <c r="C1362" s="1055" t="s">
        <v>379</v>
      </c>
      <c r="D1362" s="1055" t="s">
        <v>893</v>
      </c>
      <c r="E1362" s="1055" t="s">
        <v>893</v>
      </c>
      <c r="F1362" s="1056">
        <v>-43701</v>
      </c>
      <c r="G1362" s="1056">
        <v>0</v>
      </c>
      <c r="H1362" s="1056">
        <v>7773</v>
      </c>
      <c r="I1362" s="1056">
        <v>-51473</v>
      </c>
      <c r="K1362" s="995">
        <f t="shared" si="21"/>
        <v>8</v>
      </c>
    </row>
    <row r="1363" spans="1:11">
      <c r="A1363" s="1054">
        <v>25503001</v>
      </c>
      <c r="B1363" s="1055" t="s">
        <v>1489</v>
      </c>
      <c r="C1363" s="1055" t="s">
        <v>379</v>
      </c>
      <c r="D1363" s="1055" t="s">
        <v>1067</v>
      </c>
      <c r="E1363" s="1055" t="s">
        <v>1068</v>
      </c>
      <c r="F1363" s="1056">
        <v>-7862</v>
      </c>
      <c r="G1363" s="1056">
        <v>0</v>
      </c>
      <c r="H1363" s="1056">
        <v>0</v>
      </c>
      <c r="I1363" s="1056">
        <v>-7862</v>
      </c>
      <c r="K1363" s="995">
        <f t="shared" si="21"/>
        <v>8</v>
      </c>
    </row>
    <row r="1364" spans="1:11">
      <c r="A1364" s="1054">
        <v>25503001</v>
      </c>
      <c r="B1364" s="1055" t="s">
        <v>1489</v>
      </c>
      <c r="C1364" s="1055" t="s">
        <v>379</v>
      </c>
      <c r="D1364" s="1055" t="s">
        <v>1385</v>
      </c>
      <c r="E1364" s="1055" t="s">
        <v>1386</v>
      </c>
      <c r="F1364" s="1056">
        <v>-7</v>
      </c>
      <c r="G1364" s="1056">
        <v>0</v>
      </c>
      <c r="H1364" s="1056">
        <v>0</v>
      </c>
      <c r="I1364" s="1056">
        <v>-7</v>
      </c>
      <c r="K1364" s="995">
        <f t="shared" si="21"/>
        <v>8</v>
      </c>
    </row>
    <row r="1365" spans="1:11">
      <c r="A1365" s="1054">
        <v>25503001</v>
      </c>
      <c r="B1365" s="1055" t="s">
        <v>1489</v>
      </c>
      <c r="C1365" s="1055" t="s">
        <v>379</v>
      </c>
      <c r="D1365" s="1055" t="s">
        <v>1360</v>
      </c>
      <c r="E1365" s="1055" t="s">
        <v>1361</v>
      </c>
      <c r="F1365" s="1056">
        <v>-1130</v>
      </c>
      <c r="G1365" s="1056">
        <v>0</v>
      </c>
      <c r="H1365" s="1056">
        <v>233</v>
      </c>
      <c r="I1365" s="1056">
        <v>-1363</v>
      </c>
      <c r="K1365" s="995">
        <f t="shared" si="21"/>
        <v>8</v>
      </c>
    </row>
    <row r="1366" spans="1:11">
      <c r="A1366" s="1054">
        <v>25503001</v>
      </c>
      <c r="B1366" s="1055" t="s">
        <v>1489</v>
      </c>
      <c r="C1366" s="1055" t="s">
        <v>379</v>
      </c>
      <c r="D1366" s="1055" t="s">
        <v>1298</v>
      </c>
      <c r="E1366" s="1055" t="s">
        <v>987</v>
      </c>
      <c r="F1366" s="1056">
        <v>-269</v>
      </c>
      <c r="G1366" s="1056">
        <v>0</v>
      </c>
      <c r="H1366" s="1056">
        <v>286</v>
      </c>
      <c r="I1366" s="1056">
        <v>-555</v>
      </c>
      <c r="K1366" s="995">
        <f t="shared" si="21"/>
        <v>8</v>
      </c>
    </row>
    <row r="1367" spans="1:11">
      <c r="A1367" s="1054">
        <v>25503001</v>
      </c>
      <c r="B1367" s="1055" t="s">
        <v>1489</v>
      </c>
      <c r="C1367" s="1055" t="s">
        <v>379</v>
      </c>
      <c r="D1367" s="1055" t="s">
        <v>1397</v>
      </c>
      <c r="E1367" s="1055" t="s">
        <v>1398</v>
      </c>
      <c r="F1367" s="1056">
        <v>-121</v>
      </c>
      <c r="G1367" s="1056">
        <v>0</v>
      </c>
      <c r="H1367" s="1056">
        <v>0</v>
      </c>
      <c r="I1367" s="1056">
        <v>-121</v>
      </c>
      <c r="K1367" s="995">
        <f t="shared" si="21"/>
        <v>8</v>
      </c>
    </row>
    <row r="1368" spans="1:11">
      <c r="A1368" s="1054">
        <v>25503001</v>
      </c>
      <c r="B1368" s="1055" t="s">
        <v>1489</v>
      </c>
      <c r="C1368" s="1055" t="s">
        <v>379</v>
      </c>
      <c r="D1368" s="1055" t="s">
        <v>1362</v>
      </c>
      <c r="E1368" s="1055" t="s">
        <v>1363</v>
      </c>
      <c r="F1368" s="1056">
        <v>-985</v>
      </c>
      <c r="G1368" s="1056">
        <v>0</v>
      </c>
      <c r="H1368" s="1056">
        <v>173</v>
      </c>
      <c r="I1368" s="1056">
        <v>-1158</v>
      </c>
      <c r="K1368" s="995">
        <f t="shared" si="21"/>
        <v>8</v>
      </c>
    </row>
    <row r="1369" spans="1:11">
      <c r="A1369" s="1054">
        <v>25503001</v>
      </c>
      <c r="B1369" s="1055" t="s">
        <v>1489</v>
      </c>
      <c r="C1369" s="1055" t="s">
        <v>379</v>
      </c>
      <c r="D1369" s="1055" t="s">
        <v>1364</v>
      </c>
      <c r="E1369" s="1055" t="s">
        <v>1365</v>
      </c>
      <c r="F1369" s="1056">
        <v>-1152</v>
      </c>
      <c r="G1369" s="1056">
        <v>0</v>
      </c>
      <c r="H1369" s="1056">
        <v>221</v>
      </c>
      <c r="I1369" s="1056">
        <v>-1373</v>
      </c>
      <c r="K1369" s="995">
        <f t="shared" si="21"/>
        <v>8</v>
      </c>
    </row>
    <row r="1370" spans="1:11">
      <c r="A1370" s="1054">
        <v>25503001</v>
      </c>
      <c r="B1370" s="1055" t="s">
        <v>1489</v>
      </c>
      <c r="C1370" s="1055" t="s">
        <v>379</v>
      </c>
      <c r="D1370" s="1055" t="s">
        <v>1601</v>
      </c>
      <c r="E1370" s="1055" t="s">
        <v>1602</v>
      </c>
      <c r="F1370" s="1056">
        <v>-2316</v>
      </c>
      <c r="G1370" s="1056">
        <v>0</v>
      </c>
      <c r="H1370" s="1056">
        <v>630</v>
      </c>
      <c r="I1370" s="1056">
        <v>-2946</v>
      </c>
      <c r="K1370" s="995">
        <f t="shared" si="21"/>
        <v>8</v>
      </c>
    </row>
    <row r="1371" spans="1:11">
      <c r="A1371" s="1054">
        <v>25503001</v>
      </c>
      <c r="B1371" s="1055" t="s">
        <v>1489</v>
      </c>
      <c r="C1371" s="1055" t="s">
        <v>379</v>
      </c>
      <c r="D1371" s="1055" t="s">
        <v>1270</v>
      </c>
      <c r="E1371" s="1055" t="s">
        <v>988</v>
      </c>
      <c r="F1371" s="1056">
        <v>-1302</v>
      </c>
      <c r="G1371" s="1056">
        <v>0</v>
      </c>
      <c r="H1371" s="1056">
        <v>263</v>
      </c>
      <c r="I1371" s="1056">
        <v>-1564</v>
      </c>
      <c r="K1371" s="995">
        <f t="shared" si="21"/>
        <v>8</v>
      </c>
    </row>
    <row r="1372" spans="1:11">
      <c r="A1372" s="1054">
        <v>25503001</v>
      </c>
      <c r="B1372" s="1055" t="s">
        <v>1489</v>
      </c>
      <c r="C1372" s="1055" t="s">
        <v>379</v>
      </c>
      <c r="D1372" s="1055" t="s">
        <v>1271</v>
      </c>
      <c r="E1372" s="1055" t="s">
        <v>782</v>
      </c>
      <c r="F1372" s="1056">
        <v>-1292</v>
      </c>
      <c r="G1372" s="1056">
        <v>0</v>
      </c>
      <c r="H1372" s="1056">
        <v>267</v>
      </c>
      <c r="I1372" s="1056">
        <v>-1558</v>
      </c>
      <c r="K1372" s="995">
        <f t="shared" si="21"/>
        <v>8</v>
      </c>
    </row>
    <row r="1373" spans="1:11">
      <c r="A1373" s="1054">
        <v>25503001</v>
      </c>
      <c r="B1373" s="1055" t="s">
        <v>1489</v>
      </c>
      <c r="C1373" s="1055" t="s">
        <v>379</v>
      </c>
      <c r="D1373" s="1055" t="s">
        <v>1366</v>
      </c>
      <c r="E1373" s="1055" t="s">
        <v>1367</v>
      </c>
      <c r="F1373" s="1056">
        <v>-1006</v>
      </c>
      <c r="G1373" s="1056">
        <v>0</v>
      </c>
      <c r="H1373" s="1056">
        <v>210</v>
      </c>
      <c r="I1373" s="1056">
        <v>-1215</v>
      </c>
      <c r="K1373" s="995">
        <f t="shared" si="21"/>
        <v>8</v>
      </c>
    </row>
    <row r="1374" spans="1:11">
      <c r="A1374" s="1054">
        <v>25503001</v>
      </c>
      <c r="B1374" s="1055" t="s">
        <v>1489</v>
      </c>
      <c r="C1374" s="1055" t="s">
        <v>379</v>
      </c>
      <c r="D1374" s="1055" t="s">
        <v>1302</v>
      </c>
      <c r="E1374" s="1055" t="s">
        <v>986</v>
      </c>
      <c r="F1374" s="1056">
        <v>-962</v>
      </c>
      <c r="G1374" s="1056">
        <v>0</v>
      </c>
      <c r="H1374" s="1056">
        <v>181</v>
      </c>
      <c r="I1374" s="1056">
        <v>-1143</v>
      </c>
      <c r="K1374" s="995">
        <f t="shared" si="21"/>
        <v>8</v>
      </c>
    </row>
    <row r="1375" spans="1:11">
      <c r="A1375" s="1054">
        <v>25503001</v>
      </c>
      <c r="B1375" s="1055" t="s">
        <v>1489</v>
      </c>
      <c r="C1375" s="1055" t="s">
        <v>379</v>
      </c>
      <c r="D1375" s="1055" t="s">
        <v>1042</v>
      </c>
      <c r="E1375" s="1055" t="s">
        <v>1732</v>
      </c>
      <c r="F1375" s="1056">
        <v>-1068</v>
      </c>
      <c r="G1375" s="1056">
        <v>0</v>
      </c>
      <c r="H1375" s="1056">
        <v>0</v>
      </c>
      <c r="I1375" s="1056">
        <v>-1068</v>
      </c>
      <c r="K1375" s="995">
        <f t="shared" si="21"/>
        <v>8</v>
      </c>
    </row>
    <row r="1376" spans="1:11">
      <c r="A1376" s="1054">
        <v>25503001</v>
      </c>
      <c r="B1376" s="1055" t="s">
        <v>1489</v>
      </c>
      <c r="C1376" s="1055" t="s">
        <v>379</v>
      </c>
      <c r="D1376" s="1055" t="s">
        <v>1611</v>
      </c>
      <c r="E1376" s="1055" t="s">
        <v>1612</v>
      </c>
      <c r="F1376" s="1056">
        <v>-195</v>
      </c>
      <c r="G1376" s="1056">
        <v>0</v>
      </c>
      <c r="H1376" s="1056">
        <v>0</v>
      </c>
      <c r="I1376" s="1056">
        <v>-195</v>
      </c>
      <c r="K1376" s="995">
        <f t="shared" si="21"/>
        <v>8</v>
      </c>
    </row>
    <row r="1377" spans="1:11">
      <c r="A1377" s="1054">
        <v>25503001</v>
      </c>
      <c r="B1377" s="1055" t="s">
        <v>1489</v>
      </c>
      <c r="C1377" s="1055" t="s">
        <v>379</v>
      </c>
      <c r="D1377" s="1055" t="s">
        <v>1368</v>
      </c>
      <c r="E1377" s="1055" t="s">
        <v>1369</v>
      </c>
      <c r="F1377" s="1056">
        <v>-266</v>
      </c>
      <c r="G1377" s="1056">
        <v>0</v>
      </c>
      <c r="H1377" s="1056">
        <v>188</v>
      </c>
      <c r="I1377" s="1056">
        <v>-454</v>
      </c>
      <c r="K1377" s="995">
        <f t="shared" si="21"/>
        <v>8</v>
      </c>
    </row>
    <row r="1378" spans="1:11">
      <c r="A1378" s="1054">
        <v>25503001</v>
      </c>
      <c r="B1378" s="1055" t="s">
        <v>1489</v>
      </c>
      <c r="C1378" s="1055" t="s">
        <v>379</v>
      </c>
      <c r="D1378" s="1055" t="s">
        <v>1246</v>
      </c>
      <c r="E1378" s="1055" t="s">
        <v>743</v>
      </c>
      <c r="F1378" s="1056">
        <v>-173</v>
      </c>
      <c r="G1378" s="1056">
        <v>0</v>
      </c>
      <c r="H1378" s="1056">
        <v>0</v>
      </c>
      <c r="I1378" s="1056">
        <v>-173</v>
      </c>
      <c r="K1378" s="995">
        <f t="shared" si="21"/>
        <v>8</v>
      </c>
    </row>
    <row r="1379" spans="1:11">
      <c r="A1379" s="1054">
        <v>25503001</v>
      </c>
      <c r="B1379" s="1055" t="s">
        <v>1489</v>
      </c>
      <c r="C1379" s="1055" t="s">
        <v>379</v>
      </c>
      <c r="D1379" s="1055" t="s">
        <v>1320</v>
      </c>
      <c r="E1379" s="1055" t="s">
        <v>1321</v>
      </c>
      <c r="F1379" s="1056">
        <v>-1030</v>
      </c>
      <c r="G1379" s="1056">
        <v>0</v>
      </c>
      <c r="H1379" s="1056">
        <v>217</v>
      </c>
      <c r="I1379" s="1056">
        <v>-1247</v>
      </c>
      <c r="K1379" s="995">
        <f t="shared" si="21"/>
        <v>8</v>
      </c>
    </row>
    <row r="1380" spans="1:11">
      <c r="A1380" s="1054">
        <v>25503001</v>
      </c>
      <c r="B1380" s="1055" t="s">
        <v>1489</v>
      </c>
      <c r="C1380" s="1055" t="s">
        <v>379</v>
      </c>
      <c r="D1380" s="1055" t="s">
        <v>1274</v>
      </c>
      <c r="E1380" s="1055" t="s">
        <v>989</v>
      </c>
      <c r="F1380" s="1056">
        <v>-1471</v>
      </c>
      <c r="G1380" s="1056">
        <v>0</v>
      </c>
      <c r="H1380" s="1056">
        <v>298</v>
      </c>
      <c r="I1380" s="1056">
        <v>-1768</v>
      </c>
      <c r="K1380" s="995">
        <f t="shared" si="21"/>
        <v>8</v>
      </c>
    </row>
    <row r="1381" spans="1:11">
      <c r="A1381" s="1054">
        <v>25503001</v>
      </c>
      <c r="B1381" s="1055" t="s">
        <v>1489</v>
      </c>
      <c r="C1381" s="1055" t="s">
        <v>379</v>
      </c>
      <c r="D1381" s="1055" t="s">
        <v>1247</v>
      </c>
      <c r="E1381" s="1055" t="s">
        <v>1248</v>
      </c>
      <c r="F1381" s="1056">
        <v>-1139</v>
      </c>
      <c r="G1381" s="1056">
        <v>0</v>
      </c>
      <c r="H1381" s="1056">
        <v>260</v>
      </c>
      <c r="I1381" s="1056">
        <v>-1399</v>
      </c>
      <c r="K1381" s="995">
        <f t="shared" si="21"/>
        <v>8</v>
      </c>
    </row>
    <row r="1382" spans="1:11">
      <c r="A1382" s="1054">
        <v>25503001</v>
      </c>
      <c r="B1382" s="1055" t="s">
        <v>1489</v>
      </c>
      <c r="C1382" s="1055" t="s">
        <v>379</v>
      </c>
      <c r="D1382" s="1055" t="s">
        <v>1387</v>
      </c>
      <c r="E1382" s="1055" t="s">
        <v>1388</v>
      </c>
      <c r="F1382" s="1056">
        <v>-55</v>
      </c>
      <c r="G1382" s="1056">
        <v>0</v>
      </c>
      <c r="H1382" s="1056">
        <v>0</v>
      </c>
      <c r="I1382" s="1056">
        <v>-55</v>
      </c>
      <c r="K1382" s="995">
        <f t="shared" si="21"/>
        <v>8</v>
      </c>
    </row>
    <row r="1383" spans="1:11">
      <c r="A1383" s="1054">
        <v>25503001</v>
      </c>
      <c r="B1383" s="1055" t="s">
        <v>1489</v>
      </c>
      <c r="C1383" s="1055" t="s">
        <v>379</v>
      </c>
      <c r="D1383" s="1055" t="s">
        <v>1370</v>
      </c>
      <c r="E1383" s="1055" t="s">
        <v>1371</v>
      </c>
      <c r="F1383" s="1056">
        <v>-209</v>
      </c>
      <c r="G1383" s="1056">
        <v>0</v>
      </c>
      <c r="H1383" s="1056">
        <v>203</v>
      </c>
      <c r="I1383" s="1056">
        <v>-413</v>
      </c>
      <c r="K1383" s="995">
        <f t="shared" si="21"/>
        <v>8</v>
      </c>
    </row>
    <row r="1384" spans="1:11">
      <c r="A1384" s="1054">
        <v>25503001</v>
      </c>
      <c r="B1384" s="1055" t="s">
        <v>1489</v>
      </c>
      <c r="C1384" s="1055" t="s">
        <v>379</v>
      </c>
      <c r="D1384" s="1055" t="s">
        <v>1870</v>
      </c>
      <c r="E1384" s="1055" t="s">
        <v>1871</v>
      </c>
      <c r="F1384" s="1056">
        <v>-217</v>
      </c>
      <c r="G1384" s="1056">
        <v>0</v>
      </c>
      <c r="H1384" s="1056">
        <v>148</v>
      </c>
      <c r="I1384" s="1056">
        <v>-366</v>
      </c>
      <c r="K1384" s="995">
        <f t="shared" si="21"/>
        <v>8</v>
      </c>
    </row>
    <row r="1385" spans="1:11">
      <c r="A1385" s="1054">
        <v>25503001</v>
      </c>
      <c r="B1385" s="1055" t="s">
        <v>1489</v>
      </c>
      <c r="C1385" s="1055" t="s">
        <v>379</v>
      </c>
      <c r="D1385" s="1055" t="s">
        <v>1372</v>
      </c>
      <c r="E1385" s="1055" t="s">
        <v>1373</v>
      </c>
      <c r="F1385" s="1056">
        <v>-1045</v>
      </c>
      <c r="G1385" s="1056">
        <v>0</v>
      </c>
      <c r="H1385" s="1056">
        <v>204</v>
      </c>
      <c r="I1385" s="1056">
        <v>-1249</v>
      </c>
      <c r="K1385" s="995">
        <f t="shared" si="21"/>
        <v>8</v>
      </c>
    </row>
    <row r="1386" spans="1:11">
      <c r="A1386" s="1054">
        <v>25503001</v>
      </c>
      <c r="B1386" s="1055" t="s">
        <v>1489</v>
      </c>
      <c r="C1386" s="1055" t="s">
        <v>379</v>
      </c>
      <c r="D1386" s="1055" t="s">
        <v>1785</v>
      </c>
      <c r="E1386" s="1055" t="s">
        <v>1786</v>
      </c>
      <c r="F1386" s="1056">
        <v>-380</v>
      </c>
      <c r="G1386" s="1056">
        <v>0</v>
      </c>
      <c r="H1386" s="1056">
        <v>195</v>
      </c>
      <c r="I1386" s="1056">
        <v>-575</v>
      </c>
      <c r="K1386" s="995">
        <f t="shared" si="21"/>
        <v>8</v>
      </c>
    </row>
    <row r="1387" spans="1:11">
      <c r="A1387" s="1054">
        <v>25503001</v>
      </c>
      <c r="B1387" s="1055" t="s">
        <v>1489</v>
      </c>
      <c r="C1387" s="1055" t="s">
        <v>379</v>
      </c>
      <c r="D1387" s="1055" t="s">
        <v>1374</v>
      </c>
      <c r="E1387" s="1055" t="s">
        <v>1375</v>
      </c>
      <c r="F1387" s="1056">
        <v>-238</v>
      </c>
      <c r="G1387" s="1056">
        <v>0</v>
      </c>
      <c r="H1387" s="1056">
        <v>186</v>
      </c>
      <c r="I1387" s="1056">
        <v>-424</v>
      </c>
      <c r="K1387" s="995">
        <f t="shared" si="21"/>
        <v>8</v>
      </c>
    </row>
    <row r="1388" spans="1:11">
      <c r="A1388" s="1054">
        <v>25503001</v>
      </c>
      <c r="B1388" s="1055" t="s">
        <v>1489</v>
      </c>
      <c r="C1388" s="1055" t="s">
        <v>379</v>
      </c>
      <c r="D1388" s="1055" t="s">
        <v>1389</v>
      </c>
      <c r="E1388" s="1055" t="s">
        <v>1390</v>
      </c>
      <c r="F1388" s="1056">
        <v>-197</v>
      </c>
      <c r="G1388" s="1056">
        <v>0</v>
      </c>
      <c r="H1388" s="1056">
        <v>0</v>
      </c>
      <c r="I1388" s="1056">
        <v>-197</v>
      </c>
      <c r="K1388" s="995">
        <f t="shared" si="21"/>
        <v>8</v>
      </c>
    </row>
    <row r="1389" spans="1:11">
      <c r="A1389" s="1054">
        <v>25503001</v>
      </c>
      <c r="B1389" s="1055" t="s">
        <v>1489</v>
      </c>
      <c r="C1389" s="1055" t="s">
        <v>379</v>
      </c>
      <c r="D1389" s="1055" t="s">
        <v>1249</v>
      </c>
      <c r="E1389" s="1055" t="s">
        <v>583</v>
      </c>
      <c r="F1389" s="1056">
        <v>-1734</v>
      </c>
      <c r="G1389" s="1056">
        <v>0</v>
      </c>
      <c r="H1389" s="1056">
        <v>344</v>
      </c>
      <c r="I1389" s="1056">
        <v>-2078</v>
      </c>
      <c r="K1389" s="995">
        <f t="shared" si="21"/>
        <v>8</v>
      </c>
    </row>
    <row r="1390" spans="1:11">
      <c r="A1390" s="1054">
        <v>25503001</v>
      </c>
      <c r="B1390" s="1055" t="s">
        <v>1489</v>
      </c>
      <c r="C1390" s="1055" t="s">
        <v>379</v>
      </c>
      <c r="D1390" s="1055" t="s">
        <v>1376</v>
      </c>
      <c r="E1390" s="1055" t="s">
        <v>1377</v>
      </c>
      <c r="F1390" s="1056">
        <v>-874</v>
      </c>
      <c r="G1390" s="1056">
        <v>0</v>
      </c>
      <c r="H1390" s="1056">
        <v>230</v>
      </c>
      <c r="I1390" s="1056">
        <v>-1104</v>
      </c>
      <c r="K1390" s="995">
        <f t="shared" si="21"/>
        <v>8</v>
      </c>
    </row>
    <row r="1391" spans="1:11">
      <c r="A1391" s="1054">
        <v>25503001</v>
      </c>
      <c r="B1391" s="1055" t="s">
        <v>1489</v>
      </c>
      <c r="C1391" s="1055" t="s">
        <v>379</v>
      </c>
      <c r="D1391" s="1055" t="s">
        <v>1613</v>
      </c>
      <c r="E1391" s="1055" t="s">
        <v>1614</v>
      </c>
      <c r="F1391" s="1056">
        <v>-537</v>
      </c>
      <c r="G1391" s="1056">
        <v>0</v>
      </c>
      <c r="H1391" s="1056">
        <v>46</v>
      </c>
      <c r="I1391" s="1056">
        <v>-583</v>
      </c>
      <c r="K1391" s="995">
        <f t="shared" si="21"/>
        <v>8</v>
      </c>
    </row>
    <row r="1392" spans="1:11">
      <c r="A1392" s="1054">
        <v>25503001</v>
      </c>
      <c r="B1392" s="1055" t="s">
        <v>1489</v>
      </c>
      <c r="C1392" s="1055" t="s">
        <v>379</v>
      </c>
      <c r="D1392" s="1055" t="s">
        <v>1305</v>
      </c>
      <c r="E1392" s="1055" t="s">
        <v>990</v>
      </c>
      <c r="F1392" s="1056">
        <v>-1234</v>
      </c>
      <c r="G1392" s="1056">
        <v>0</v>
      </c>
      <c r="H1392" s="1056">
        <v>269</v>
      </c>
      <c r="I1392" s="1056">
        <v>-1504</v>
      </c>
      <c r="K1392" s="995">
        <f t="shared" si="21"/>
        <v>8</v>
      </c>
    </row>
    <row r="1393" spans="1:11">
      <c r="A1393" s="1054">
        <v>25503001</v>
      </c>
      <c r="B1393" s="1055" t="s">
        <v>1489</v>
      </c>
      <c r="C1393" s="1055" t="s">
        <v>379</v>
      </c>
      <c r="D1393" s="1055" t="s">
        <v>1306</v>
      </c>
      <c r="E1393" s="1055" t="s">
        <v>997</v>
      </c>
      <c r="F1393" s="1056">
        <v>-1099</v>
      </c>
      <c r="G1393" s="1056">
        <v>0</v>
      </c>
      <c r="H1393" s="1056">
        <v>250</v>
      </c>
      <c r="I1393" s="1056">
        <v>-1349</v>
      </c>
      <c r="K1393" s="995">
        <f t="shared" si="21"/>
        <v>8</v>
      </c>
    </row>
    <row r="1394" spans="1:11">
      <c r="A1394" s="1054">
        <v>25503001</v>
      </c>
      <c r="B1394" s="1055" t="s">
        <v>1489</v>
      </c>
      <c r="C1394" s="1055" t="s">
        <v>379</v>
      </c>
      <c r="D1394" s="1055" t="s">
        <v>1322</v>
      </c>
      <c r="E1394" s="1055" t="s">
        <v>1323</v>
      </c>
      <c r="F1394" s="1056">
        <v>-735</v>
      </c>
      <c r="G1394" s="1056">
        <v>0</v>
      </c>
      <c r="H1394" s="1056">
        <v>0</v>
      </c>
      <c r="I1394" s="1056">
        <v>-735</v>
      </c>
      <c r="K1394" s="995">
        <f t="shared" si="21"/>
        <v>8</v>
      </c>
    </row>
    <row r="1395" spans="1:11">
      <c r="A1395" s="1054">
        <v>25503001</v>
      </c>
      <c r="B1395" s="1055" t="s">
        <v>1489</v>
      </c>
      <c r="C1395" s="1055" t="s">
        <v>379</v>
      </c>
      <c r="D1395" s="1055" t="s">
        <v>1391</v>
      </c>
      <c r="E1395" s="1055" t="s">
        <v>1392</v>
      </c>
      <c r="F1395" s="1056">
        <v>-85</v>
      </c>
      <c r="G1395" s="1056">
        <v>0</v>
      </c>
      <c r="H1395" s="1056">
        <v>0</v>
      </c>
      <c r="I1395" s="1056">
        <v>-85</v>
      </c>
      <c r="K1395" s="995">
        <f t="shared" si="21"/>
        <v>8</v>
      </c>
    </row>
    <row r="1396" spans="1:11">
      <c r="A1396" s="1054">
        <v>25503001</v>
      </c>
      <c r="B1396" s="1055" t="s">
        <v>1489</v>
      </c>
      <c r="C1396" s="1055" t="s">
        <v>379</v>
      </c>
      <c r="D1396" s="1055" t="s">
        <v>1250</v>
      </c>
      <c r="E1396" s="1055" t="s">
        <v>1251</v>
      </c>
      <c r="F1396" s="1056">
        <v>-1174</v>
      </c>
      <c r="G1396" s="1056">
        <v>0</v>
      </c>
      <c r="H1396" s="1056">
        <v>211</v>
      </c>
      <c r="I1396" s="1056">
        <v>-1386</v>
      </c>
      <c r="K1396" s="995">
        <f t="shared" si="21"/>
        <v>8</v>
      </c>
    </row>
    <row r="1397" spans="1:11">
      <c r="A1397" s="1054">
        <v>25503001</v>
      </c>
      <c r="B1397" s="1055" t="s">
        <v>1489</v>
      </c>
      <c r="C1397" s="1055" t="s">
        <v>379</v>
      </c>
      <c r="D1397" s="1055" t="s">
        <v>1787</v>
      </c>
      <c r="E1397" s="1055" t="s">
        <v>1788</v>
      </c>
      <c r="F1397" s="1056">
        <v>-281</v>
      </c>
      <c r="G1397" s="1056">
        <v>0</v>
      </c>
      <c r="H1397" s="1056">
        <v>237</v>
      </c>
      <c r="I1397" s="1056">
        <v>-518</v>
      </c>
      <c r="K1397" s="995">
        <f t="shared" si="21"/>
        <v>8</v>
      </c>
    </row>
    <row r="1398" spans="1:11">
      <c r="A1398" s="1054">
        <v>25503001</v>
      </c>
      <c r="B1398" s="1055" t="s">
        <v>1489</v>
      </c>
      <c r="C1398" s="1055" t="s">
        <v>379</v>
      </c>
      <c r="D1398" s="1055" t="s">
        <v>1378</v>
      </c>
      <c r="E1398" s="1055" t="s">
        <v>1379</v>
      </c>
      <c r="F1398" s="1056">
        <v>-1043</v>
      </c>
      <c r="G1398" s="1056">
        <v>0</v>
      </c>
      <c r="H1398" s="1056">
        <v>0</v>
      </c>
      <c r="I1398" s="1056">
        <v>-1043</v>
      </c>
      <c r="K1398" s="995">
        <f t="shared" si="21"/>
        <v>8</v>
      </c>
    </row>
    <row r="1399" spans="1:11">
      <c r="A1399" s="1054">
        <v>25503001</v>
      </c>
      <c r="B1399" s="1055" t="s">
        <v>1489</v>
      </c>
      <c r="C1399" s="1055" t="s">
        <v>379</v>
      </c>
      <c r="D1399" s="1055" t="s">
        <v>1393</v>
      </c>
      <c r="E1399" s="1055" t="s">
        <v>1394</v>
      </c>
      <c r="F1399" s="1056">
        <v>-8</v>
      </c>
      <c r="G1399" s="1056">
        <v>0</v>
      </c>
      <c r="H1399" s="1056">
        <v>0</v>
      </c>
      <c r="I1399" s="1056">
        <v>-8</v>
      </c>
      <c r="K1399" s="995">
        <f t="shared" si="21"/>
        <v>8</v>
      </c>
    </row>
    <row r="1400" spans="1:11">
      <c r="A1400" s="1054">
        <v>25503001</v>
      </c>
      <c r="B1400" s="1055" t="s">
        <v>1489</v>
      </c>
      <c r="C1400" s="1055" t="s">
        <v>379</v>
      </c>
      <c r="D1400" s="1055" t="s">
        <v>1303</v>
      </c>
      <c r="E1400" s="1055" t="s">
        <v>806</v>
      </c>
      <c r="F1400" s="1056">
        <v>-981</v>
      </c>
      <c r="G1400" s="1056">
        <v>0</v>
      </c>
      <c r="H1400" s="1056">
        <v>182</v>
      </c>
      <c r="I1400" s="1056">
        <v>-1164</v>
      </c>
      <c r="K1400" s="995">
        <f t="shared" si="21"/>
        <v>8</v>
      </c>
    </row>
    <row r="1401" spans="1:11">
      <c r="A1401" s="1054">
        <v>25503001</v>
      </c>
      <c r="B1401" s="1055" t="s">
        <v>1489</v>
      </c>
      <c r="C1401" s="1055" t="s">
        <v>379</v>
      </c>
      <c r="D1401" s="1055" t="s">
        <v>1605</v>
      </c>
      <c r="E1401" s="1055" t="s">
        <v>1606</v>
      </c>
      <c r="F1401" s="1056">
        <v>-821</v>
      </c>
      <c r="G1401" s="1056">
        <v>0</v>
      </c>
      <c r="H1401" s="1056">
        <v>297</v>
      </c>
      <c r="I1401" s="1056">
        <v>-1118</v>
      </c>
      <c r="K1401" s="995">
        <f t="shared" si="21"/>
        <v>8</v>
      </c>
    </row>
    <row r="1402" spans="1:11">
      <c r="A1402" s="1054">
        <v>25503001</v>
      </c>
      <c r="B1402" s="1055" t="s">
        <v>1489</v>
      </c>
      <c r="C1402" s="1055" t="s">
        <v>379</v>
      </c>
      <c r="D1402" s="1055" t="s">
        <v>1789</v>
      </c>
      <c r="E1402" s="1055" t="s">
        <v>1790</v>
      </c>
      <c r="F1402" s="1056">
        <v>-417</v>
      </c>
      <c r="G1402" s="1056">
        <v>0</v>
      </c>
      <c r="H1402" s="1056">
        <v>198</v>
      </c>
      <c r="I1402" s="1056">
        <v>-615</v>
      </c>
      <c r="K1402" s="995">
        <f t="shared" si="21"/>
        <v>8</v>
      </c>
    </row>
    <row r="1403" spans="1:11">
      <c r="A1403" s="1054">
        <v>25503001</v>
      </c>
      <c r="B1403" s="1055" t="s">
        <v>1489</v>
      </c>
      <c r="C1403" s="1055" t="s">
        <v>379</v>
      </c>
      <c r="D1403" s="1055" t="s">
        <v>1254</v>
      </c>
      <c r="E1403" s="1055" t="s">
        <v>744</v>
      </c>
      <c r="F1403" s="1056">
        <v>-1239</v>
      </c>
      <c r="G1403" s="1056">
        <v>0</v>
      </c>
      <c r="H1403" s="1056">
        <v>262</v>
      </c>
      <c r="I1403" s="1056">
        <v>-1501</v>
      </c>
      <c r="K1403" s="995">
        <f t="shared" si="21"/>
        <v>8</v>
      </c>
    </row>
    <row r="1404" spans="1:11">
      <c r="A1404" s="1054">
        <v>25503001</v>
      </c>
      <c r="B1404" s="1055" t="s">
        <v>1489</v>
      </c>
      <c r="C1404" s="1055" t="s">
        <v>379</v>
      </c>
      <c r="D1404" s="1055" t="s">
        <v>1275</v>
      </c>
      <c r="E1404" s="1055" t="s">
        <v>991</v>
      </c>
      <c r="F1404" s="1056">
        <v>-1226</v>
      </c>
      <c r="G1404" s="1056">
        <v>0</v>
      </c>
      <c r="H1404" s="1056">
        <v>250</v>
      </c>
      <c r="I1404" s="1056">
        <v>-1476</v>
      </c>
      <c r="K1404" s="995">
        <f t="shared" si="21"/>
        <v>8</v>
      </c>
    </row>
    <row r="1405" spans="1:11">
      <c r="A1405" s="1054">
        <v>25503001</v>
      </c>
      <c r="B1405" s="1055" t="s">
        <v>1489</v>
      </c>
      <c r="C1405" s="1055" t="s">
        <v>379</v>
      </c>
      <c r="D1405" s="1055" t="s">
        <v>1380</v>
      </c>
      <c r="E1405" s="1055" t="s">
        <v>1381</v>
      </c>
      <c r="F1405" s="1056">
        <v>0</v>
      </c>
      <c r="G1405" s="1056">
        <v>0</v>
      </c>
      <c r="H1405" s="1056">
        <v>125</v>
      </c>
      <c r="I1405" s="1056">
        <v>-125</v>
      </c>
      <c r="K1405" s="995">
        <f t="shared" si="21"/>
        <v>8</v>
      </c>
    </row>
    <row r="1406" spans="1:11">
      <c r="A1406" s="1054">
        <v>25503001</v>
      </c>
      <c r="B1406" s="1055" t="s">
        <v>1489</v>
      </c>
      <c r="C1406" s="1055" t="s">
        <v>379</v>
      </c>
      <c r="D1406" s="1055" t="s">
        <v>1044</v>
      </c>
      <c r="E1406" s="1055" t="s">
        <v>1045</v>
      </c>
      <c r="F1406" s="1056">
        <v>-1235</v>
      </c>
      <c r="G1406" s="1056">
        <v>0</v>
      </c>
      <c r="H1406" s="1056">
        <v>45</v>
      </c>
      <c r="I1406" s="1056">
        <v>-1281</v>
      </c>
      <c r="K1406" s="995">
        <f t="shared" si="21"/>
        <v>8</v>
      </c>
    </row>
    <row r="1407" spans="1:11">
      <c r="A1407" s="1054">
        <v>25503001</v>
      </c>
      <c r="B1407" s="1055" t="s">
        <v>1489</v>
      </c>
      <c r="C1407" s="1055" t="s">
        <v>379</v>
      </c>
      <c r="D1407" s="1055" t="s">
        <v>1395</v>
      </c>
      <c r="E1407" s="1055" t="s">
        <v>1396</v>
      </c>
      <c r="F1407" s="1056">
        <v>-593</v>
      </c>
      <c r="G1407" s="1056">
        <v>0</v>
      </c>
      <c r="H1407" s="1056">
        <v>0</v>
      </c>
      <c r="I1407" s="1056">
        <v>-593</v>
      </c>
      <c r="K1407" s="995">
        <f t="shared" si="21"/>
        <v>8</v>
      </c>
    </row>
    <row r="1408" spans="1:11">
      <c r="A1408" s="1054">
        <v>25503001</v>
      </c>
      <c r="B1408" s="1055" t="s">
        <v>1489</v>
      </c>
      <c r="C1408" s="1055" t="s">
        <v>379</v>
      </c>
      <c r="D1408" s="1055" t="s">
        <v>1382</v>
      </c>
      <c r="E1408" s="1055" t="s">
        <v>1763</v>
      </c>
      <c r="F1408" s="1056">
        <v>-1307</v>
      </c>
      <c r="G1408" s="1056">
        <v>0</v>
      </c>
      <c r="H1408" s="1056">
        <v>263</v>
      </c>
      <c r="I1408" s="1056">
        <v>-1570</v>
      </c>
      <c r="K1408" s="995">
        <f t="shared" si="21"/>
        <v>8</v>
      </c>
    </row>
    <row r="1409" spans="1:11">
      <c r="A1409" s="1054">
        <v>25503001</v>
      </c>
      <c r="B1409" s="1055" t="s">
        <v>1489</v>
      </c>
      <c r="C1409" s="1055" t="s">
        <v>379</v>
      </c>
      <c r="D1409" s="1055" t="s">
        <v>1383</v>
      </c>
      <c r="E1409" s="1055" t="s">
        <v>1384</v>
      </c>
      <c r="F1409" s="1056">
        <v>-989</v>
      </c>
      <c r="G1409" s="1056">
        <v>0</v>
      </c>
      <c r="H1409" s="1056">
        <v>199</v>
      </c>
      <c r="I1409" s="1056">
        <v>-1188</v>
      </c>
      <c r="K1409" s="995">
        <f t="shared" si="21"/>
        <v>8</v>
      </c>
    </row>
    <row r="1410" spans="1:11">
      <c r="A1410" s="1054">
        <v>25503002</v>
      </c>
      <c r="B1410" s="1055" t="s">
        <v>893</v>
      </c>
      <c r="C1410" s="1055" t="s">
        <v>361</v>
      </c>
      <c r="D1410" s="1055" t="s">
        <v>893</v>
      </c>
      <c r="E1410" s="1055" t="s">
        <v>893</v>
      </c>
      <c r="F1410" s="1056">
        <v>44681</v>
      </c>
      <c r="G1410" s="1056">
        <v>10972</v>
      </c>
      <c r="H1410" s="1056">
        <v>0</v>
      </c>
      <c r="I1410" s="1056">
        <v>55653</v>
      </c>
      <c r="K1410" s="995">
        <f t="shared" si="21"/>
        <v>8</v>
      </c>
    </row>
    <row r="1411" spans="1:11">
      <c r="A1411" s="1054">
        <v>25503002</v>
      </c>
      <c r="B1411" s="1055" t="s">
        <v>893</v>
      </c>
      <c r="C1411" s="1055" t="s">
        <v>361</v>
      </c>
      <c r="D1411" s="1055" t="s">
        <v>1278</v>
      </c>
      <c r="E1411" s="1055" t="s">
        <v>1279</v>
      </c>
      <c r="F1411" s="1056">
        <v>13604</v>
      </c>
      <c r="G1411" s="1056">
        <v>2686</v>
      </c>
      <c r="H1411" s="1056">
        <v>0</v>
      </c>
      <c r="I1411" s="1056">
        <v>16291</v>
      </c>
      <c r="K1411" s="995">
        <f t="shared" si="21"/>
        <v>8</v>
      </c>
    </row>
    <row r="1412" spans="1:11">
      <c r="A1412" s="1054">
        <v>25503002</v>
      </c>
      <c r="B1412" s="1055" t="s">
        <v>893</v>
      </c>
      <c r="C1412" s="1055" t="s">
        <v>361</v>
      </c>
      <c r="D1412" s="1055" t="s">
        <v>1280</v>
      </c>
      <c r="E1412" s="1055" t="s">
        <v>1281</v>
      </c>
      <c r="F1412" s="1056">
        <v>1697</v>
      </c>
      <c r="G1412" s="1056">
        <v>609</v>
      </c>
      <c r="H1412" s="1056">
        <v>0</v>
      </c>
      <c r="I1412" s="1056">
        <v>2306</v>
      </c>
      <c r="K1412" s="995">
        <f t="shared" si="21"/>
        <v>8</v>
      </c>
    </row>
    <row r="1413" spans="1:11">
      <c r="A1413" s="1054">
        <v>25503002</v>
      </c>
      <c r="B1413" s="1055" t="s">
        <v>893</v>
      </c>
      <c r="C1413" s="1055" t="s">
        <v>361</v>
      </c>
      <c r="D1413" s="1055" t="s">
        <v>1282</v>
      </c>
      <c r="E1413" s="1055" t="s">
        <v>1281</v>
      </c>
      <c r="F1413" s="1056">
        <v>20514</v>
      </c>
      <c r="G1413" s="1056">
        <v>5280</v>
      </c>
      <c r="H1413" s="1056">
        <v>0</v>
      </c>
      <c r="I1413" s="1056">
        <v>25794</v>
      </c>
      <c r="K1413" s="995">
        <f t="shared" ref="K1413:K1476" si="22">+LEN(A1413)</f>
        <v>8</v>
      </c>
    </row>
    <row r="1414" spans="1:11">
      <c r="A1414" s="1054">
        <v>25503002</v>
      </c>
      <c r="B1414" s="1055" t="s">
        <v>893</v>
      </c>
      <c r="C1414" s="1055" t="s">
        <v>361</v>
      </c>
      <c r="D1414" s="1055" t="s">
        <v>1283</v>
      </c>
      <c r="E1414" s="1055" t="s">
        <v>1284</v>
      </c>
      <c r="F1414" s="1056">
        <v>8865</v>
      </c>
      <c r="G1414" s="1056">
        <v>2397</v>
      </c>
      <c r="H1414" s="1056">
        <v>0</v>
      </c>
      <c r="I1414" s="1056">
        <v>11262</v>
      </c>
      <c r="K1414" s="995">
        <f t="shared" si="22"/>
        <v>8</v>
      </c>
    </row>
    <row r="1415" spans="1:11">
      <c r="A1415" s="1054">
        <v>25503003</v>
      </c>
      <c r="B1415" s="1055" t="s">
        <v>893</v>
      </c>
      <c r="C1415" s="1055" t="s">
        <v>807</v>
      </c>
      <c r="D1415" s="1055" t="s">
        <v>893</v>
      </c>
      <c r="E1415" s="1055" t="s">
        <v>893</v>
      </c>
      <c r="F1415" s="1056">
        <v>-957</v>
      </c>
      <c r="G1415" s="1056">
        <v>0</v>
      </c>
      <c r="H1415" s="1056">
        <v>229</v>
      </c>
      <c r="I1415" s="1056">
        <v>-1186</v>
      </c>
      <c r="K1415" s="995">
        <f t="shared" si="22"/>
        <v>8</v>
      </c>
    </row>
    <row r="1416" spans="1:11">
      <c r="A1416" s="1054">
        <v>25503003</v>
      </c>
      <c r="B1416" s="1055" t="s">
        <v>893</v>
      </c>
      <c r="C1416" s="1055" t="s">
        <v>807</v>
      </c>
      <c r="D1416" s="1055" t="s">
        <v>1385</v>
      </c>
      <c r="E1416" s="1055" t="s">
        <v>1386</v>
      </c>
      <c r="F1416" s="1056">
        <v>-1</v>
      </c>
      <c r="G1416" s="1056">
        <v>0</v>
      </c>
      <c r="H1416" s="1056">
        <v>0</v>
      </c>
      <c r="I1416" s="1056">
        <v>-1</v>
      </c>
      <c r="K1416" s="995">
        <f t="shared" si="22"/>
        <v>8</v>
      </c>
    </row>
    <row r="1417" spans="1:11">
      <c r="A1417" s="1054">
        <v>25503003</v>
      </c>
      <c r="B1417" s="1055" t="s">
        <v>893</v>
      </c>
      <c r="C1417" s="1055" t="s">
        <v>807</v>
      </c>
      <c r="D1417" s="1055" t="s">
        <v>1360</v>
      </c>
      <c r="E1417" s="1055" t="s">
        <v>1361</v>
      </c>
      <c r="F1417" s="1056">
        <v>-40</v>
      </c>
      <c r="G1417" s="1056">
        <v>0</v>
      </c>
      <c r="H1417" s="1056">
        <v>0</v>
      </c>
      <c r="I1417" s="1056">
        <v>-40</v>
      </c>
      <c r="K1417" s="995">
        <f t="shared" si="22"/>
        <v>8</v>
      </c>
    </row>
    <row r="1418" spans="1:11">
      <c r="A1418" s="1054">
        <v>25503003</v>
      </c>
      <c r="B1418" s="1055" t="s">
        <v>893</v>
      </c>
      <c r="C1418" s="1055" t="s">
        <v>807</v>
      </c>
      <c r="D1418" s="1055" t="s">
        <v>1397</v>
      </c>
      <c r="E1418" s="1055" t="s">
        <v>1398</v>
      </c>
      <c r="F1418" s="1056">
        <v>-40</v>
      </c>
      <c r="G1418" s="1056">
        <v>0</v>
      </c>
      <c r="H1418" s="1056">
        <v>0</v>
      </c>
      <c r="I1418" s="1056">
        <v>-40</v>
      </c>
      <c r="K1418" s="995">
        <f t="shared" si="22"/>
        <v>8</v>
      </c>
    </row>
    <row r="1419" spans="1:11">
      <c r="A1419" s="1054">
        <v>25503003</v>
      </c>
      <c r="B1419" s="1055" t="s">
        <v>893</v>
      </c>
      <c r="C1419" s="1055" t="s">
        <v>807</v>
      </c>
      <c r="D1419" s="1055" t="s">
        <v>1270</v>
      </c>
      <c r="E1419" s="1055" t="s">
        <v>988</v>
      </c>
      <c r="F1419" s="1056">
        <v>-434</v>
      </c>
      <c r="G1419" s="1056">
        <v>0</v>
      </c>
      <c r="H1419" s="1056">
        <v>88</v>
      </c>
      <c r="I1419" s="1056">
        <v>-521</v>
      </c>
      <c r="K1419" s="995">
        <f t="shared" si="22"/>
        <v>8</v>
      </c>
    </row>
    <row r="1420" spans="1:11">
      <c r="A1420" s="1054">
        <v>25503003</v>
      </c>
      <c r="B1420" s="1055" t="s">
        <v>893</v>
      </c>
      <c r="C1420" s="1055" t="s">
        <v>807</v>
      </c>
      <c r="D1420" s="1055" t="s">
        <v>1611</v>
      </c>
      <c r="E1420" s="1055" t="s">
        <v>1612</v>
      </c>
      <c r="F1420" s="1056">
        <v>-60</v>
      </c>
      <c r="G1420" s="1056">
        <v>0</v>
      </c>
      <c r="H1420" s="1056">
        <v>0</v>
      </c>
      <c r="I1420" s="1056">
        <v>-60</v>
      </c>
      <c r="K1420" s="995">
        <f t="shared" si="22"/>
        <v>8</v>
      </c>
    </row>
    <row r="1421" spans="1:11">
      <c r="A1421" s="1054">
        <v>25503003</v>
      </c>
      <c r="B1421" s="1055" t="s">
        <v>893</v>
      </c>
      <c r="C1421" s="1055" t="s">
        <v>807</v>
      </c>
      <c r="D1421" s="1055" t="s">
        <v>1870</v>
      </c>
      <c r="E1421" s="1055" t="s">
        <v>1871</v>
      </c>
      <c r="F1421" s="1056">
        <v>-72</v>
      </c>
      <c r="G1421" s="1056">
        <v>0</v>
      </c>
      <c r="H1421" s="1056">
        <v>50</v>
      </c>
      <c r="I1421" s="1056">
        <v>-122</v>
      </c>
      <c r="K1421" s="995">
        <f t="shared" si="22"/>
        <v>8</v>
      </c>
    </row>
    <row r="1422" spans="1:11">
      <c r="A1422" s="1054">
        <v>25503003</v>
      </c>
      <c r="B1422" s="1055" t="s">
        <v>893</v>
      </c>
      <c r="C1422" s="1055" t="s">
        <v>807</v>
      </c>
      <c r="D1422" s="1055" t="s">
        <v>1785</v>
      </c>
      <c r="E1422" s="1055" t="s">
        <v>1786</v>
      </c>
      <c r="F1422" s="1056">
        <v>-127</v>
      </c>
      <c r="G1422" s="1056">
        <v>0</v>
      </c>
      <c r="H1422" s="1056">
        <v>63</v>
      </c>
      <c r="I1422" s="1056">
        <v>-190</v>
      </c>
      <c r="K1422" s="995">
        <f t="shared" si="22"/>
        <v>8</v>
      </c>
    </row>
    <row r="1423" spans="1:11">
      <c r="A1423" s="1054">
        <v>25503003</v>
      </c>
      <c r="B1423" s="1055" t="s">
        <v>893</v>
      </c>
      <c r="C1423" s="1055" t="s">
        <v>807</v>
      </c>
      <c r="D1423" s="1055" t="s">
        <v>1380</v>
      </c>
      <c r="E1423" s="1055" t="s">
        <v>1381</v>
      </c>
      <c r="F1423" s="1056">
        <v>0</v>
      </c>
      <c r="G1423" s="1056">
        <v>0</v>
      </c>
      <c r="H1423" s="1056">
        <v>28</v>
      </c>
      <c r="I1423" s="1056">
        <v>-28</v>
      </c>
      <c r="K1423" s="995">
        <f t="shared" si="22"/>
        <v>8</v>
      </c>
    </row>
    <row r="1424" spans="1:11">
      <c r="A1424" s="1054">
        <v>25503003</v>
      </c>
      <c r="B1424" s="1055" t="s">
        <v>893</v>
      </c>
      <c r="C1424" s="1055" t="s">
        <v>807</v>
      </c>
      <c r="D1424" s="1055" t="s">
        <v>1395</v>
      </c>
      <c r="E1424" s="1055" t="s">
        <v>1396</v>
      </c>
      <c r="F1424" s="1056">
        <v>-184</v>
      </c>
      <c r="G1424" s="1056">
        <v>0</v>
      </c>
      <c r="H1424" s="1056">
        <v>0</v>
      </c>
      <c r="I1424" s="1056">
        <v>-184</v>
      </c>
      <c r="K1424" s="995">
        <f t="shared" si="22"/>
        <v>8</v>
      </c>
    </row>
    <row r="1425" spans="1:11">
      <c r="A1425" s="1054">
        <v>25503004</v>
      </c>
      <c r="B1425" s="1055" t="s">
        <v>893</v>
      </c>
      <c r="C1425" s="1055" t="s">
        <v>753</v>
      </c>
      <c r="D1425" s="1055" t="s">
        <v>893</v>
      </c>
      <c r="E1425" s="1055" t="s">
        <v>893</v>
      </c>
      <c r="F1425" s="1056">
        <v>-10995</v>
      </c>
      <c r="G1425" s="1056">
        <v>0</v>
      </c>
      <c r="H1425" s="1056">
        <v>2312</v>
      </c>
      <c r="I1425" s="1056">
        <v>-13308</v>
      </c>
      <c r="K1425" s="995">
        <f t="shared" si="22"/>
        <v>8</v>
      </c>
    </row>
    <row r="1426" spans="1:11">
      <c r="A1426" s="1054">
        <v>25503004</v>
      </c>
      <c r="B1426" s="1055" t="s">
        <v>893</v>
      </c>
      <c r="C1426" s="1055" t="s">
        <v>753</v>
      </c>
      <c r="D1426" s="1055" t="s">
        <v>1360</v>
      </c>
      <c r="E1426" s="1055" t="s">
        <v>1361</v>
      </c>
      <c r="F1426" s="1056">
        <v>-336</v>
      </c>
      <c r="G1426" s="1056">
        <v>0</v>
      </c>
      <c r="H1426" s="1056">
        <v>78</v>
      </c>
      <c r="I1426" s="1056">
        <v>-414</v>
      </c>
      <c r="K1426" s="995">
        <f t="shared" si="22"/>
        <v>8</v>
      </c>
    </row>
    <row r="1427" spans="1:11">
      <c r="A1427" s="1054">
        <v>25503004</v>
      </c>
      <c r="B1427" s="1055" t="s">
        <v>893</v>
      </c>
      <c r="C1427" s="1055" t="s">
        <v>753</v>
      </c>
      <c r="D1427" s="1055" t="s">
        <v>1298</v>
      </c>
      <c r="E1427" s="1055" t="s">
        <v>987</v>
      </c>
      <c r="F1427" s="1056">
        <v>-90</v>
      </c>
      <c r="G1427" s="1056">
        <v>0</v>
      </c>
      <c r="H1427" s="1056">
        <v>95</v>
      </c>
      <c r="I1427" s="1056">
        <v>-185</v>
      </c>
      <c r="K1427" s="995">
        <f t="shared" si="22"/>
        <v>8</v>
      </c>
    </row>
    <row r="1428" spans="1:11">
      <c r="A1428" s="1054">
        <v>25503004</v>
      </c>
      <c r="B1428" s="1055" t="s">
        <v>893</v>
      </c>
      <c r="C1428" s="1055" t="s">
        <v>753</v>
      </c>
      <c r="D1428" s="1055" t="s">
        <v>1362</v>
      </c>
      <c r="E1428" s="1055" t="s">
        <v>1363</v>
      </c>
      <c r="F1428" s="1056">
        <v>-328</v>
      </c>
      <c r="G1428" s="1056">
        <v>0</v>
      </c>
      <c r="H1428" s="1056">
        <v>58</v>
      </c>
      <c r="I1428" s="1056">
        <v>-386</v>
      </c>
      <c r="K1428" s="995">
        <f t="shared" si="22"/>
        <v>8</v>
      </c>
    </row>
    <row r="1429" spans="1:11">
      <c r="A1429" s="1054">
        <v>25503004</v>
      </c>
      <c r="B1429" s="1055" t="s">
        <v>893</v>
      </c>
      <c r="C1429" s="1055" t="s">
        <v>753</v>
      </c>
      <c r="D1429" s="1055" t="s">
        <v>1364</v>
      </c>
      <c r="E1429" s="1055" t="s">
        <v>1365</v>
      </c>
      <c r="F1429" s="1056">
        <v>-384</v>
      </c>
      <c r="G1429" s="1056">
        <v>0</v>
      </c>
      <c r="H1429" s="1056">
        <v>67</v>
      </c>
      <c r="I1429" s="1056">
        <v>-451</v>
      </c>
      <c r="K1429" s="995">
        <f t="shared" si="22"/>
        <v>8</v>
      </c>
    </row>
    <row r="1430" spans="1:11">
      <c r="A1430" s="1054">
        <v>25503004</v>
      </c>
      <c r="B1430" s="1055" t="s">
        <v>893</v>
      </c>
      <c r="C1430" s="1055" t="s">
        <v>753</v>
      </c>
      <c r="D1430" s="1055" t="s">
        <v>1601</v>
      </c>
      <c r="E1430" s="1055" t="s">
        <v>1602</v>
      </c>
      <c r="F1430" s="1056">
        <v>-772</v>
      </c>
      <c r="G1430" s="1056">
        <v>0</v>
      </c>
      <c r="H1430" s="1056">
        <v>210</v>
      </c>
      <c r="I1430" s="1056">
        <v>-982</v>
      </c>
      <c r="K1430" s="995">
        <f t="shared" si="22"/>
        <v>8</v>
      </c>
    </row>
    <row r="1431" spans="1:11">
      <c r="A1431" s="1054">
        <v>25503004</v>
      </c>
      <c r="B1431" s="1055" t="s">
        <v>893</v>
      </c>
      <c r="C1431" s="1055" t="s">
        <v>753</v>
      </c>
      <c r="D1431" s="1055" t="s">
        <v>1271</v>
      </c>
      <c r="E1431" s="1055" t="s">
        <v>782</v>
      </c>
      <c r="F1431" s="1056">
        <v>-436</v>
      </c>
      <c r="G1431" s="1056">
        <v>0</v>
      </c>
      <c r="H1431" s="1056">
        <v>89</v>
      </c>
      <c r="I1431" s="1056">
        <v>-525</v>
      </c>
      <c r="K1431" s="995">
        <f t="shared" si="22"/>
        <v>8</v>
      </c>
    </row>
    <row r="1432" spans="1:11">
      <c r="A1432" s="1054">
        <v>25503004</v>
      </c>
      <c r="B1432" s="1055" t="s">
        <v>893</v>
      </c>
      <c r="C1432" s="1055" t="s">
        <v>753</v>
      </c>
      <c r="D1432" s="1055" t="s">
        <v>1366</v>
      </c>
      <c r="E1432" s="1055" t="s">
        <v>1367</v>
      </c>
      <c r="F1432" s="1056">
        <v>-335</v>
      </c>
      <c r="G1432" s="1056">
        <v>0</v>
      </c>
      <c r="H1432" s="1056">
        <v>70</v>
      </c>
      <c r="I1432" s="1056">
        <v>-405</v>
      </c>
      <c r="K1432" s="995">
        <f t="shared" si="22"/>
        <v>8</v>
      </c>
    </row>
    <row r="1433" spans="1:11">
      <c r="A1433" s="1054">
        <v>25503004</v>
      </c>
      <c r="B1433" s="1055" t="s">
        <v>893</v>
      </c>
      <c r="C1433" s="1055" t="s">
        <v>753</v>
      </c>
      <c r="D1433" s="1055" t="s">
        <v>1302</v>
      </c>
      <c r="E1433" s="1055" t="s">
        <v>986</v>
      </c>
      <c r="F1433" s="1056">
        <v>-321</v>
      </c>
      <c r="G1433" s="1056">
        <v>0</v>
      </c>
      <c r="H1433" s="1056">
        <v>60</v>
      </c>
      <c r="I1433" s="1056">
        <v>-381</v>
      </c>
      <c r="K1433" s="995">
        <f t="shared" si="22"/>
        <v>8</v>
      </c>
    </row>
    <row r="1434" spans="1:11">
      <c r="A1434" s="1054">
        <v>25503004</v>
      </c>
      <c r="B1434" s="1055" t="s">
        <v>893</v>
      </c>
      <c r="C1434" s="1055" t="s">
        <v>753</v>
      </c>
      <c r="D1434" s="1055" t="s">
        <v>1042</v>
      </c>
      <c r="E1434" s="1055" t="s">
        <v>1732</v>
      </c>
      <c r="F1434" s="1056">
        <v>-377</v>
      </c>
      <c r="G1434" s="1056">
        <v>0</v>
      </c>
      <c r="H1434" s="1056">
        <v>0</v>
      </c>
      <c r="I1434" s="1056">
        <v>-377</v>
      </c>
      <c r="K1434" s="995">
        <f t="shared" si="22"/>
        <v>8</v>
      </c>
    </row>
    <row r="1435" spans="1:11">
      <c r="A1435" s="1054">
        <v>25503004</v>
      </c>
      <c r="B1435" s="1055" t="s">
        <v>893</v>
      </c>
      <c r="C1435" s="1055" t="s">
        <v>753</v>
      </c>
      <c r="D1435" s="1055" t="s">
        <v>1368</v>
      </c>
      <c r="E1435" s="1055" t="s">
        <v>1369</v>
      </c>
      <c r="F1435" s="1056">
        <v>-89</v>
      </c>
      <c r="G1435" s="1056">
        <v>0</v>
      </c>
      <c r="H1435" s="1056">
        <v>63</v>
      </c>
      <c r="I1435" s="1056">
        <v>-151</v>
      </c>
      <c r="K1435" s="995">
        <f t="shared" si="22"/>
        <v>8</v>
      </c>
    </row>
    <row r="1436" spans="1:11">
      <c r="A1436" s="1054">
        <v>25503004</v>
      </c>
      <c r="B1436" s="1055" t="s">
        <v>893</v>
      </c>
      <c r="C1436" s="1055" t="s">
        <v>753</v>
      </c>
      <c r="D1436" s="1055" t="s">
        <v>1246</v>
      </c>
      <c r="E1436" s="1055" t="s">
        <v>743</v>
      </c>
      <c r="F1436" s="1056">
        <v>-55</v>
      </c>
      <c r="G1436" s="1056">
        <v>0</v>
      </c>
      <c r="H1436" s="1056">
        <v>0</v>
      </c>
      <c r="I1436" s="1056">
        <v>-55</v>
      </c>
      <c r="K1436" s="995">
        <f t="shared" si="22"/>
        <v>8</v>
      </c>
    </row>
    <row r="1437" spans="1:11">
      <c r="A1437" s="1054">
        <v>25503004</v>
      </c>
      <c r="B1437" s="1055" t="s">
        <v>893</v>
      </c>
      <c r="C1437" s="1055" t="s">
        <v>753</v>
      </c>
      <c r="D1437" s="1055" t="s">
        <v>1320</v>
      </c>
      <c r="E1437" s="1055" t="s">
        <v>1321</v>
      </c>
      <c r="F1437" s="1056">
        <v>-343</v>
      </c>
      <c r="G1437" s="1056">
        <v>0</v>
      </c>
      <c r="H1437" s="1056">
        <v>72</v>
      </c>
      <c r="I1437" s="1056">
        <v>-415</v>
      </c>
      <c r="K1437" s="995">
        <f t="shared" si="22"/>
        <v>8</v>
      </c>
    </row>
    <row r="1438" spans="1:11">
      <c r="A1438" s="1054">
        <v>25503004</v>
      </c>
      <c r="B1438" s="1055" t="s">
        <v>893</v>
      </c>
      <c r="C1438" s="1055" t="s">
        <v>753</v>
      </c>
      <c r="D1438" s="1055" t="s">
        <v>1274</v>
      </c>
      <c r="E1438" s="1055" t="s">
        <v>989</v>
      </c>
      <c r="F1438" s="1056">
        <v>-490</v>
      </c>
      <c r="G1438" s="1056">
        <v>0</v>
      </c>
      <c r="H1438" s="1056">
        <v>99</v>
      </c>
      <c r="I1438" s="1056">
        <v>-589</v>
      </c>
      <c r="K1438" s="995">
        <f t="shared" si="22"/>
        <v>8</v>
      </c>
    </row>
    <row r="1439" spans="1:11">
      <c r="A1439" s="1054">
        <v>25503004</v>
      </c>
      <c r="B1439" s="1055" t="s">
        <v>893</v>
      </c>
      <c r="C1439" s="1055" t="s">
        <v>753</v>
      </c>
      <c r="D1439" s="1055" t="s">
        <v>1247</v>
      </c>
      <c r="E1439" s="1055" t="s">
        <v>1248</v>
      </c>
      <c r="F1439" s="1056">
        <v>-380</v>
      </c>
      <c r="G1439" s="1056">
        <v>0</v>
      </c>
      <c r="H1439" s="1056">
        <v>87</v>
      </c>
      <c r="I1439" s="1056">
        <v>-466</v>
      </c>
      <c r="K1439" s="995">
        <f t="shared" si="22"/>
        <v>8</v>
      </c>
    </row>
    <row r="1440" spans="1:11">
      <c r="A1440" s="1054">
        <v>25503004</v>
      </c>
      <c r="B1440" s="1055" t="s">
        <v>893</v>
      </c>
      <c r="C1440" s="1055" t="s">
        <v>753</v>
      </c>
      <c r="D1440" s="1055" t="s">
        <v>1387</v>
      </c>
      <c r="E1440" s="1055" t="s">
        <v>1388</v>
      </c>
      <c r="F1440" s="1056">
        <v>-18</v>
      </c>
      <c r="G1440" s="1056">
        <v>0</v>
      </c>
      <c r="H1440" s="1056">
        <v>0</v>
      </c>
      <c r="I1440" s="1056">
        <v>-18</v>
      </c>
      <c r="K1440" s="995">
        <f t="shared" si="22"/>
        <v>8</v>
      </c>
    </row>
    <row r="1441" spans="1:11">
      <c r="A1441" s="1054">
        <v>25503004</v>
      </c>
      <c r="B1441" s="1055" t="s">
        <v>893</v>
      </c>
      <c r="C1441" s="1055" t="s">
        <v>753</v>
      </c>
      <c r="D1441" s="1055" t="s">
        <v>1370</v>
      </c>
      <c r="E1441" s="1055" t="s">
        <v>1371</v>
      </c>
      <c r="F1441" s="1056">
        <v>-70</v>
      </c>
      <c r="G1441" s="1056">
        <v>0</v>
      </c>
      <c r="H1441" s="1056">
        <v>68</v>
      </c>
      <c r="I1441" s="1056">
        <v>-138</v>
      </c>
      <c r="K1441" s="995">
        <f t="shared" si="22"/>
        <v>8</v>
      </c>
    </row>
    <row r="1442" spans="1:11">
      <c r="A1442" s="1054">
        <v>25503004</v>
      </c>
      <c r="B1442" s="1055" t="s">
        <v>893</v>
      </c>
      <c r="C1442" s="1055" t="s">
        <v>753</v>
      </c>
      <c r="D1442" s="1055" t="s">
        <v>1372</v>
      </c>
      <c r="E1442" s="1055" t="s">
        <v>1373</v>
      </c>
      <c r="F1442" s="1056">
        <v>-358</v>
      </c>
      <c r="G1442" s="1056">
        <v>0</v>
      </c>
      <c r="H1442" s="1056">
        <v>68</v>
      </c>
      <c r="I1442" s="1056">
        <v>-426</v>
      </c>
      <c r="K1442" s="995">
        <f t="shared" si="22"/>
        <v>8</v>
      </c>
    </row>
    <row r="1443" spans="1:11">
      <c r="A1443" s="1054">
        <v>25503004</v>
      </c>
      <c r="B1443" s="1055" t="s">
        <v>893</v>
      </c>
      <c r="C1443" s="1055" t="s">
        <v>753</v>
      </c>
      <c r="D1443" s="1055" t="s">
        <v>1374</v>
      </c>
      <c r="E1443" s="1055" t="s">
        <v>1375</v>
      </c>
      <c r="F1443" s="1056">
        <v>-79</v>
      </c>
      <c r="G1443" s="1056">
        <v>0</v>
      </c>
      <c r="H1443" s="1056">
        <v>62</v>
      </c>
      <c r="I1443" s="1056">
        <v>-141</v>
      </c>
      <c r="K1443" s="995">
        <f t="shared" si="22"/>
        <v>8</v>
      </c>
    </row>
    <row r="1444" spans="1:11">
      <c r="A1444" s="1054">
        <v>25503004</v>
      </c>
      <c r="B1444" s="1055" t="s">
        <v>893</v>
      </c>
      <c r="C1444" s="1055" t="s">
        <v>753</v>
      </c>
      <c r="D1444" s="1055" t="s">
        <v>1389</v>
      </c>
      <c r="E1444" s="1055" t="s">
        <v>1390</v>
      </c>
      <c r="F1444" s="1056">
        <v>-66</v>
      </c>
      <c r="G1444" s="1056">
        <v>0</v>
      </c>
      <c r="H1444" s="1056">
        <v>0</v>
      </c>
      <c r="I1444" s="1056">
        <v>-66</v>
      </c>
      <c r="K1444" s="995">
        <f t="shared" si="22"/>
        <v>8</v>
      </c>
    </row>
    <row r="1445" spans="1:11">
      <c r="A1445" s="1054">
        <v>25503004</v>
      </c>
      <c r="B1445" s="1055" t="s">
        <v>893</v>
      </c>
      <c r="C1445" s="1055" t="s">
        <v>753</v>
      </c>
      <c r="D1445" s="1055" t="s">
        <v>1249</v>
      </c>
      <c r="E1445" s="1055" t="s">
        <v>583</v>
      </c>
      <c r="F1445" s="1056">
        <v>-578</v>
      </c>
      <c r="G1445" s="1056">
        <v>0</v>
      </c>
      <c r="H1445" s="1056">
        <v>115</v>
      </c>
      <c r="I1445" s="1056">
        <v>-693</v>
      </c>
      <c r="K1445" s="995">
        <f t="shared" si="22"/>
        <v>8</v>
      </c>
    </row>
    <row r="1446" spans="1:11">
      <c r="A1446" s="1054">
        <v>25503004</v>
      </c>
      <c r="B1446" s="1055" t="s">
        <v>893</v>
      </c>
      <c r="C1446" s="1055" t="s">
        <v>753</v>
      </c>
      <c r="D1446" s="1055" t="s">
        <v>1376</v>
      </c>
      <c r="E1446" s="1055" t="s">
        <v>1377</v>
      </c>
      <c r="F1446" s="1056">
        <v>-291</v>
      </c>
      <c r="G1446" s="1056">
        <v>0</v>
      </c>
      <c r="H1446" s="1056">
        <v>77</v>
      </c>
      <c r="I1446" s="1056">
        <v>-368</v>
      </c>
      <c r="K1446" s="995">
        <f t="shared" si="22"/>
        <v>8</v>
      </c>
    </row>
    <row r="1447" spans="1:11">
      <c r="A1447" s="1054">
        <v>25503004</v>
      </c>
      <c r="B1447" s="1055" t="s">
        <v>893</v>
      </c>
      <c r="C1447" s="1055" t="s">
        <v>753</v>
      </c>
      <c r="D1447" s="1055" t="s">
        <v>1613</v>
      </c>
      <c r="E1447" s="1055" t="s">
        <v>1614</v>
      </c>
      <c r="F1447" s="1056">
        <v>-179</v>
      </c>
      <c r="G1447" s="1056">
        <v>0</v>
      </c>
      <c r="H1447" s="1056">
        <v>15</v>
      </c>
      <c r="I1447" s="1056">
        <v>-194</v>
      </c>
      <c r="K1447" s="995">
        <f t="shared" si="22"/>
        <v>8</v>
      </c>
    </row>
    <row r="1448" spans="1:11">
      <c r="A1448" s="1054">
        <v>25503004</v>
      </c>
      <c r="B1448" s="1055" t="s">
        <v>893</v>
      </c>
      <c r="C1448" s="1055" t="s">
        <v>753</v>
      </c>
      <c r="D1448" s="1055" t="s">
        <v>1305</v>
      </c>
      <c r="E1448" s="1055" t="s">
        <v>990</v>
      </c>
      <c r="F1448" s="1056">
        <v>-411</v>
      </c>
      <c r="G1448" s="1056">
        <v>0</v>
      </c>
      <c r="H1448" s="1056">
        <v>55</v>
      </c>
      <c r="I1448" s="1056">
        <v>-466</v>
      </c>
      <c r="K1448" s="995">
        <f t="shared" si="22"/>
        <v>8</v>
      </c>
    </row>
    <row r="1449" spans="1:11">
      <c r="A1449" s="1054">
        <v>25503004</v>
      </c>
      <c r="B1449" s="1055" t="s">
        <v>893</v>
      </c>
      <c r="C1449" s="1055" t="s">
        <v>753</v>
      </c>
      <c r="D1449" s="1055" t="s">
        <v>1306</v>
      </c>
      <c r="E1449" s="1055" t="s">
        <v>997</v>
      </c>
      <c r="F1449" s="1056">
        <v>-366</v>
      </c>
      <c r="G1449" s="1056">
        <v>0</v>
      </c>
      <c r="H1449" s="1056">
        <v>83</v>
      </c>
      <c r="I1449" s="1056">
        <v>-450</v>
      </c>
      <c r="K1449" s="995">
        <f t="shared" si="22"/>
        <v>8</v>
      </c>
    </row>
    <row r="1450" spans="1:11">
      <c r="A1450" s="1054">
        <v>25503004</v>
      </c>
      <c r="B1450" s="1055" t="s">
        <v>893</v>
      </c>
      <c r="C1450" s="1055" t="s">
        <v>753</v>
      </c>
      <c r="D1450" s="1055" t="s">
        <v>1322</v>
      </c>
      <c r="E1450" s="1055" t="s">
        <v>1323</v>
      </c>
      <c r="F1450" s="1056">
        <v>-246</v>
      </c>
      <c r="G1450" s="1056">
        <v>0</v>
      </c>
      <c r="H1450" s="1056">
        <v>0</v>
      </c>
      <c r="I1450" s="1056">
        <v>-246</v>
      </c>
      <c r="K1450" s="995">
        <f t="shared" si="22"/>
        <v>8</v>
      </c>
    </row>
    <row r="1451" spans="1:11">
      <c r="A1451" s="1054">
        <v>25503004</v>
      </c>
      <c r="B1451" s="1055" t="s">
        <v>893</v>
      </c>
      <c r="C1451" s="1055" t="s">
        <v>753</v>
      </c>
      <c r="D1451" s="1055" t="s">
        <v>1391</v>
      </c>
      <c r="E1451" s="1055" t="s">
        <v>1392</v>
      </c>
      <c r="F1451" s="1056">
        <v>-28</v>
      </c>
      <c r="G1451" s="1056">
        <v>0</v>
      </c>
      <c r="H1451" s="1056">
        <v>0</v>
      </c>
      <c r="I1451" s="1056">
        <v>-28</v>
      </c>
      <c r="K1451" s="995">
        <f t="shared" si="22"/>
        <v>8</v>
      </c>
    </row>
    <row r="1452" spans="1:11">
      <c r="A1452" s="1054">
        <v>25503004</v>
      </c>
      <c r="B1452" s="1055" t="s">
        <v>893</v>
      </c>
      <c r="C1452" s="1055" t="s">
        <v>753</v>
      </c>
      <c r="D1452" s="1055" t="s">
        <v>1250</v>
      </c>
      <c r="E1452" s="1055" t="s">
        <v>1251</v>
      </c>
      <c r="F1452" s="1056">
        <v>-391</v>
      </c>
      <c r="G1452" s="1056">
        <v>0</v>
      </c>
      <c r="H1452" s="1056">
        <v>70</v>
      </c>
      <c r="I1452" s="1056">
        <v>-462</v>
      </c>
      <c r="K1452" s="995">
        <f t="shared" si="22"/>
        <v>8</v>
      </c>
    </row>
    <row r="1453" spans="1:11">
      <c r="A1453" s="1054">
        <v>25503004</v>
      </c>
      <c r="B1453" s="1055" t="s">
        <v>893</v>
      </c>
      <c r="C1453" s="1055" t="s">
        <v>753</v>
      </c>
      <c r="D1453" s="1055" t="s">
        <v>1787</v>
      </c>
      <c r="E1453" s="1055" t="s">
        <v>1788</v>
      </c>
      <c r="F1453" s="1056">
        <v>-94</v>
      </c>
      <c r="G1453" s="1056">
        <v>0</v>
      </c>
      <c r="H1453" s="1056">
        <v>79</v>
      </c>
      <c r="I1453" s="1056">
        <v>-172</v>
      </c>
      <c r="K1453" s="995">
        <f t="shared" si="22"/>
        <v>8</v>
      </c>
    </row>
    <row r="1454" spans="1:11">
      <c r="A1454" s="1054">
        <v>25503004</v>
      </c>
      <c r="B1454" s="1055" t="s">
        <v>893</v>
      </c>
      <c r="C1454" s="1055" t="s">
        <v>753</v>
      </c>
      <c r="D1454" s="1055" t="s">
        <v>1378</v>
      </c>
      <c r="E1454" s="1055" t="s">
        <v>1379</v>
      </c>
      <c r="F1454" s="1056">
        <v>-348</v>
      </c>
      <c r="G1454" s="1056">
        <v>0</v>
      </c>
      <c r="H1454" s="1056">
        <v>0</v>
      </c>
      <c r="I1454" s="1056">
        <v>-348</v>
      </c>
      <c r="K1454" s="995">
        <f t="shared" si="22"/>
        <v>8</v>
      </c>
    </row>
    <row r="1455" spans="1:11">
      <c r="A1455" s="1054">
        <v>25503004</v>
      </c>
      <c r="B1455" s="1055" t="s">
        <v>893</v>
      </c>
      <c r="C1455" s="1055" t="s">
        <v>753</v>
      </c>
      <c r="D1455" s="1055" t="s">
        <v>1393</v>
      </c>
      <c r="E1455" s="1055" t="s">
        <v>1394</v>
      </c>
      <c r="F1455" s="1056">
        <v>-3</v>
      </c>
      <c r="G1455" s="1056">
        <v>0</v>
      </c>
      <c r="H1455" s="1056">
        <v>0</v>
      </c>
      <c r="I1455" s="1056">
        <v>-3</v>
      </c>
      <c r="K1455" s="995">
        <f t="shared" si="22"/>
        <v>8</v>
      </c>
    </row>
    <row r="1456" spans="1:11">
      <c r="A1456" s="1054">
        <v>25503004</v>
      </c>
      <c r="B1456" s="1055" t="s">
        <v>893</v>
      </c>
      <c r="C1456" s="1055" t="s">
        <v>753</v>
      </c>
      <c r="D1456" s="1055" t="s">
        <v>1303</v>
      </c>
      <c r="E1456" s="1055" t="s">
        <v>806</v>
      </c>
      <c r="F1456" s="1056">
        <v>-327</v>
      </c>
      <c r="G1456" s="1056">
        <v>0</v>
      </c>
      <c r="H1456" s="1056">
        <v>61</v>
      </c>
      <c r="I1456" s="1056">
        <v>-388</v>
      </c>
      <c r="K1456" s="995">
        <f t="shared" si="22"/>
        <v>8</v>
      </c>
    </row>
    <row r="1457" spans="1:11">
      <c r="A1457" s="1054">
        <v>25503004</v>
      </c>
      <c r="B1457" s="1055" t="s">
        <v>893</v>
      </c>
      <c r="C1457" s="1055" t="s">
        <v>753</v>
      </c>
      <c r="D1457" s="1055" t="s">
        <v>1605</v>
      </c>
      <c r="E1457" s="1055" t="s">
        <v>1606</v>
      </c>
      <c r="F1457" s="1056">
        <v>-274</v>
      </c>
      <c r="G1457" s="1056">
        <v>0</v>
      </c>
      <c r="H1457" s="1056">
        <v>99</v>
      </c>
      <c r="I1457" s="1056">
        <v>-373</v>
      </c>
      <c r="K1457" s="995">
        <f t="shared" si="22"/>
        <v>8</v>
      </c>
    </row>
    <row r="1458" spans="1:11">
      <c r="A1458" s="1054">
        <v>25503004</v>
      </c>
      <c r="B1458" s="1055" t="s">
        <v>893</v>
      </c>
      <c r="C1458" s="1055" t="s">
        <v>753</v>
      </c>
      <c r="D1458" s="1055" t="s">
        <v>1789</v>
      </c>
      <c r="E1458" s="1055" t="s">
        <v>1790</v>
      </c>
      <c r="F1458" s="1056">
        <v>-135</v>
      </c>
      <c r="G1458" s="1056">
        <v>0</v>
      </c>
      <c r="H1458" s="1056">
        <v>66</v>
      </c>
      <c r="I1458" s="1056">
        <v>-201</v>
      </c>
      <c r="K1458" s="995">
        <f t="shared" si="22"/>
        <v>8</v>
      </c>
    </row>
    <row r="1459" spans="1:11">
      <c r="A1459" s="1054">
        <v>25503004</v>
      </c>
      <c r="B1459" s="1055" t="s">
        <v>893</v>
      </c>
      <c r="C1459" s="1055" t="s">
        <v>753</v>
      </c>
      <c r="D1459" s="1055" t="s">
        <v>1254</v>
      </c>
      <c r="E1459" s="1055" t="s">
        <v>744</v>
      </c>
      <c r="F1459" s="1056">
        <v>-413</v>
      </c>
      <c r="G1459" s="1056">
        <v>0</v>
      </c>
      <c r="H1459" s="1056">
        <v>87</v>
      </c>
      <c r="I1459" s="1056">
        <v>-500</v>
      </c>
      <c r="K1459" s="995">
        <f t="shared" si="22"/>
        <v>8</v>
      </c>
    </row>
    <row r="1460" spans="1:11">
      <c r="A1460" s="1054">
        <v>25503004</v>
      </c>
      <c r="B1460" s="1055" t="s">
        <v>893</v>
      </c>
      <c r="C1460" s="1055" t="s">
        <v>753</v>
      </c>
      <c r="D1460" s="1055" t="s">
        <v>1275</v>
      </c>
      <c r="E1460" s="1055" t="s">
        <v>991</v>
      </c>
      <c r="F1460" s="1056">
        <v>-409</v>
      </c>
      <c r="G1460" s="1056">
        <v>0</v>
      </c>
      <c r="H1460" s="1056">
        <v>83</v>
      </c>
      <c r="I1460" s="1056">
        <v>-492</v>
      </c>
      <c r="K1460" s="995">
        <f t="shared" si="22"/>
        <v>8</v>
      </c>
    </row>
    <row r="1461" spans="1:11">
      <c r="A1461" s="1054">
        <v>25503004</v>
      </c>
      <c r="B1461" s="1055" t="s">
        <v>893</v>
      </c>
      <c r="C1461" s="1055" t="s">
        <v>753</v>
      </c>
      <c r="D1461" s="1055" t="s">
        <v>1380</v>
      </c>
      <c r="E1461" s="1055" t="s">
        <v>1381</v>
      </c>
      <c r="F1461" s="1056">
        <v>0</v>
      </c>
      <c r="G1461" s="1056">
        <v>0</v>
      </c>
      <c r="H1461" s="1056">
        <v>13</v>
      </c>
      <c r="I1461" s="1056">
        <v>-13</v>
      </c>
      <c r="K1461" s="995">
        <f t="shared" si="22"/>
        <v>8</v>
      </c>
    </row>
    <row r="1462" spans="1:11">
      <c r="A1462" s="1054">
        <v>25503004</v>
      </c>
      <c r="B1462" s="1055" t="s">
        <v>893</v>
      </c>
      <c r="C1462" s="1055" t="s">
        <v>753</v>
      </c>
      <c r="D1462" s="1055" t="s">
        <v>1044</v>
      </c>
      <c r="E1462" s="1055" t="s">
        <v>1045</v>
      </c>
      <c r="F1462" s="1056">
        <v>-412</v>
      </c>
      <c r="G1462" s="1056">
        <v>0</v>
      </c>
      <c r="H1462" s="1056">
        <v>15</v>
      </c>
      <c r="I1462" s="1056">
        <v>-427</v>
      </c>
      <c r="K1462" s="995">
        <f t="shared" si="22"/>
        <v>8</v>
      </c>
    </row>
    <row r="1463" spans="1:11">
      <c r="A1463" s="1054">
        <v>25503004</v>
      </c>
      <c r="B1463" s="1055" t="s">
        <v>893</v>
      </c>
      <c r="C1463" s="1055" t="s">
        <v>753</v>
      </c>
      <c r="D1463" s="1055" t="s">
        <v>1382</v>
      </c>
      <c r="E1463" s="1055" t="s">
        <v>1763</v>
      </c>
      <c r="F1463" s="1056">
        <v>-436</v>
      </c>
      <c r="G1463" s="1056">
        <v>0</v>
      </c>
      <c r="H1463" s="1056">
        <v>88</v>
      </c>
      <c r="I1463" s="1056">
        <v>-523</v>
      </c>
      <c r="K1463" s="995">
        <f t="shared" si="22"/>
        <v>8</v>
      </c>
    </row>
    <row r="1464" spans="1:11">
      <c r="A1464" s="1054">
        <v>25503004</v>
      </c>
      <c r="B1464" s="1055" t="s">
        <v>893</v>
      </c>
      <c r="C1464" s="1055" t="s">
        <v>753</v>
      </c>
      <c r="D1464" s="1055" t="s">
        <v>1383</v>
      </c>
      <c r="E1464" s="1055" t="s">
        <v>1384</v>
      </c>
      <c r="F1464" s="1056">
        <v>-329</v>
      </c>
      <c r="G1464" s="1056">
        <v>0</v>
      </c>
      <c r="H1464" s="1056">
        <v>60</v>
      </c>
      <c r="I1464" s="1056">
        <v>-389</v>
      </c>
      <c r="K1464" s="995">
        <f t="shared" si="22"/>
        <v>8</v>
      </c>
    </row>
    <row r="1465" spans="1:11">
      <c r="A1465" s="1054">
        <v>255040</v>
      </c>
      <c r="B1465" s="1055" t="s">
        <v>893</v>
      </c>
      <c r="C1465" s="1055" t="s">
        <v>578</v>
      </c>
      <c r="D1465" s="1055" t="s">
        <v>893</v>
      </c>
      <c r="E1465" s="1055" t="s">
        <v>893</v>
      </c>
      <c r="F1465" s="1056">
        <v>-2392</v>
      </c>
      <c r="G1465" s="1056">
        <v>0</v>
      </c>
      <c r="H1465" s="1056">
        <v>0</v>
      </c>
      <c r="I1465" s="1056">
        <v>-2392</v>
      </c>
      <c r="K1465" s="995">
        <f t="shared" si="22"/>
        <v>6</v>
      </c>
    </row>
    <row r="1466" spans="1:11">
      <c r="A1466" s="1054">
        <v>25504001</v>
      </c>
      <c r="B1466" s="1055" t="s">
        <v>893</v>
      </c>
      <c r="C1466" s="1055" t="s">
        <v>578</v>
      </c>
      <c r="D1466" s="1055" t="s">
        <v>893</v>
      </c>
      <c r="E1466" s="1055" t="s">
        <v>893</v>
      </c>
      <c r="F1466" s="1056">
        <v>0</v>
      </c>
      <c r="G1466" s="1056">
        <v>0</v>
      </c>
      <c r="H1466" s="1056">
        <v>0</v>
      </c>
      <c r="I1466" s="1056">
        <v>0</v>
      </c>
      <c r="K1466" s="995">
        <f t="shared" si="22"/>
        <v>8</v>
      </c>
    </row>
    <row r="1467" spans="1:11">
      <c r="A1467" s="1054">
        <v>25504004</v>
      </c>
      <c r="B1467" s="1055" t="s">
        <v>1489</v>
      </c>
      <c r="C1467" s="1055" t="s">
        <v>754</v>
      </c>
      <c r="D1467" s="1055" t="s">
        <v>893</v>
      </c>
      <c r="E1467" s="1055" t="s">
        <v>893</v>
      </c>
      <c r="F1467" s="1056">
        <v>-2392</v>
      </c>
      <c r="G1467" s="1056">
        <v>0</v>
      </c>
      <c r="H1467" s="1056">
        <v>0</v>
      </c>
      <c r="I1467" s="1056">
        <v>-2392</v>
      </c>
      <c r="K1467" s="995">
        <f t="shared" si="22"/>
        <v>8</v>
      </c>
    </row>
    <row r="1468" spans="1:11">
      <c r="A1468" s="1054">
        <v>25504004</v>
      </c>
      <c r="B1468" s="1055" t="s">
        <v>1489</v>
      </c>
      <c r="C1468" s="1055" t="s">
        <v>754</v>
      </c>
      <c r="D1468" s="1055" t="s">
        <v>1042</v>
      </c>
      <c r="E1468" s="1055" t="s">
        <v>1732</v>
      </c>
      <c r="F1468" s="1056">
        <v>-2392</v>
      </c>
      <c r="G1468" s="1056">
        <v>0</v>
      </c>
      <c r="H1468" s="1056">
        <v>0</v>
      </c>
      <c r="I1468" s="1056">
        <v>-2392</v>
      </c>
      <c r="K1468" s="995">
        <f t="shared" si="22"/>
        <v>8</v>
      </c>
    </row>
    <row r="1469" spans="1:11">
      <c r="A1469" s="1054">
        <v>255095</v>
      </c>
      <c r="B1469" s="1055" t="s">
        <v>893</v>
      </c>
      <c r="C1469" s="1055" t="s">
        <v>323</v>
      </c>
      <c r="D1469" s="1055" t="s">
        <v>893</v>
      </c>
      <c r="E1469" s="1055" t="s">
        <v>893</v>
      </c>
      <c r="F1469" s="1056">
        <v>-3023</v>
      </c>
      <c r="G1469" s="1056">
        <v>1607</v>
      </c>
      <c r="H1469" s="1056">
        <v>593</v>
      </c>
      <c r="I1469" s="1056">
        <v>-2009</v>
      </c>
      <c r="K1469" s="995">
        <f t="shared" si="22"/>
        <v>6</v>
      </c>
    </row>
    <row r="1470" spans="1:11">
      <c r="A1470" s="1054">
        <v>25509501</v>
      </c>
      <c r="B1470" s="1055" t="s">
        <v>893</v>
      </c>
      <c r="C1470" s="1055" t="s">
        <v>579</v>
      </c>
      <c r="D1470" s="1055" t="s">
        <v>893</v>
      </c>
      <c r="E1470" s="1055" t="s">
        <v>893</v>
      </c>
      <c r="F1470" s="1056">
        <v>-562</v>
      </c>
      <c r="G1470" s="1056">
        <v>203</v>
      </c>
      <c r="H1470" s="1056">
        <v>203</v>
      </c>
      <c r="I1470" s="1056">
        <v>-562</v>
      </c>
      <c r="K1470" s="995">
        <f t="shared" si="22"/>
        <v>8</v>
      </c>
    </row>
    <row r="1471" spans="1:11">
      <c r="A1471" s="1054">
        <v>25509501</v>
      </c>
      <c r="B1471" s="1055" t="s">
        <v>893</v>
      </c>
      <c r="C1471" s="1055" t="s">
        <v>579</v>
      </c>
      <c r="D1471" s="1055" t="s">
        <v>1298</v>
      </c>
      <c r="E1471" s="1055" t="s">
        <v>987</v>
      </c>
      <c r="F1471" s="1056">
        <v>-203</v>
      </c>
      <c r="G1471" s="1056">
        <v>203</v>
      </c>
      <c r="H1471" s="1056">
        <v>203</v>
      </c>
      <c r="I1471" s="1056">
        <v>-203</v>
      </c>
      <c r="K1471" s="995">
        <f t="shared" si="22"/>
        <v>8</v>
      </c>
    </row>
    <row r="1472" spans="1:11">
      <c r="A1472" s="1054">
        <v>25509501</v>
      </c>
      <c r="B1472" s="1055" t="s">
        <v>893</v>
      </c>
      <c r="C1472" s="1055" t="s">
        <v>579</v>
      </c>
      <c r="D1472" s="1055" t="s">
        <v>1306</v>
      </c>
      <c r="E1472" s="1055" t="s">
        <v>997</v>
      </c>
      <c r="F1472" s="1056">
        <v>-49</v>
      </c>
      <c r="G1472" s="1056">
        <v>0</v>
      </c>
      <c r="H1472" s="1056">
        <v>0</v>
      </c>
      <c r="I1472" s="1056">
        <v>-49</v>
      </c>
      <c r="K1472" s="995">
        <f t="shared" si="22"/>
        <v>8</v>
      </c>
    </row>
    <row r="1473" spans="1:11">
      <c r="A1473" s="1054">
        <v>25509501</v>
      </c>
      <c r="B1473" s="1055" t="s">
        <v>893</v>
      </c>
      <c r="C1473" s="1055" t="s">
        <v>579</v>
      </c>
      <c r="D1473" s="1055" t="s">
        <v>1254</v>
      </c>
      <c r="E1473" s="1055" t="s">
        <v>744</v>
      </c>
      <c r="F1473" s="1056">
        <v>-21</v>
      </c>
      <c r="G1473" s="1056">
        <v>0</v>
      </c>
      <c r="H1473" s="1056">
        <v>0</v>
      </c>
      <c r="I1473" s="1056">
        <v>-21</v>
      </c>
      <c r="K1473" s="995">
        <f t="shared" si="22"/>
        <v>8</v>
      </c>
    </row>
    <row r="1474" spans="1:11">
      <c r="A1474" s="1054">
        <v>25509501</v>
      </c>
      <c r="B1474" s="1055" t="s">
        <v>893</v>
      </c>
      <c r="C1474" s="1055" t="s">
        <v>579</v>
      </c>
      <c r="D1474" s="1055" t="s">
        <v>1275</v>
      </c>
      <c r="E1474" s="1055" t="s">
        <v>991</v>
      </c>
      <c r="F1474" s="1056">
        <v>-289</v>
      </c>
      <c r="G1474" s="1056">
        <v>0</v>
      </c>
      <c r="H1474" s="1056">
        <v>0</v>
      </c>
      <c r="I1474" s="1056">
        <v>-289</v>
      </c>
      <c r="K1474" s="995">
        <f t="shared" si="22"/>
        <v>8</v>
      </c>
    </row>
    <row r="1475" spans="1:11">
      <c r="A1475" s="1054">
        <v>25509502</v>
      </c>
      <c r="B1475" s="1055" t="s">
        <v>893</v>
      </c>
      <c r="C1475" s="1055" t="s">
        <v>917</v>
      </c>
      <c r="D1475" s="1055" t="s">
        <v>893</v>
      </c>
      <c r="E1475" s="1055" t="s">
        <v>893</v>
      </c>
      <c r="F1475" s="1056">
        <v>-2375</v>
      </c>
      <c r="G1475" s="1056">
        <v>1095</v>
      </c>
      <c r="H1475" s="1056">
        <v>0</v>
      </c>
      <c r="I1475" s="1056">
        <v>-1280</v>
      </c>
      <c r="K1475" s="995">
        <f t="shared" si="22"/>
        <v>8</v>
      </c>
    </row>
    <row r="1476" spans="1:11">
      <c r="A1476" s="1054">
        <v>25509502</v>
      </c>
      <c r="B1476" s="1055" t="s">
        <v>893</v>
      </c>
      <c r="C1476" s="1055" t="s">
        <v>917</v>
      </c>
      <c r="D1476" s="1055" t="s">
        <v>1271</v>
      </c>
      <c r="E1476" s="1055" t="s">
        <v>782</v>
      </c>
      <c r="F1476" s="1056">
        <v>-513</v>
      </c>
      <c r="G1476" s="1056">
        <v>128</v>
      </c>
      <c r="H1476" s="1056">
        <v>0</v>
      </c>
      <c r="I1476" s="1056">
        <v>-385</v>
      </c>
      <c r="K1476" s="995">
        <f t="shared" si="22"/>
        <v>8</v>
      </c>
    </row>
    <row r="1477" spans="1:11">
      <c r="A1477" s="1054">
        <v>25509502</v>
      </c>
      <c r="B1477" s="1055" t="s">
        <v>893</v>
      </c>
      <c r="C1477" s="1055" t="s">
        <v>917</v>
      </c>
      <c r="D1477" s="1055" t="s">
        <v>1302</v>
      </c>
      <c r="E1477" s="1055" t="s">
        <v>986</v>
      </c>
      <c r="F1477" s="1056">
        <v>-1692</v>
      </c>
      <c r="G1477" s="1056">
        <v>967</v>
      </c>
      <c r="H1477" s="1056">
        <v>0</v>
      </c>
      <c r="I1477" s="1056">
        <v>-725</v>
      </c>
      <c r="K1477" s="995">
        <f t="shared" ref="K1477:K1540" si="23">+LEN(A1477)</f>
        <v>8</v>
      </c>
    </row>
    <row r="1478" spans="1:11">
      <c r="A1478" s="1054">
        <v>25509502</v>
      </c>
      <c r="B1478" s="1055" t="s">
        <v>893</v>
      </c>
      <c r="C1478" s="1055" t="s">
        <v>917</v>
      </c>
      <c r="D1478" s="1055" t="s">
        <v>1303</v>
      </c>
      <c r="E1478" s="1055" t="s">
        <v>806</v>
      </c>
      <c r="F1478" s="1056">
        <v>-170</v>
      </c>
      <c r="G1478" s="1056">
        <v>0</v>
      </c>
      <c r="H1478" s="1056">
        <v>0</v>
      </c>
      <c r="I1478" s="1056">
        <v>-170</v>
      </c>
      <c r="K1478" s="995">
        <f t="shared" si="23"/>
        <v>8</v>
      </c>
    </row>
    <row r="1479" spans="1:11">
      <c r="A1479" s="1054">
        <v>25509503</v>
      </c>
      <c r="B1479" s="1055" t="s">
        <v>1489</v>
      </c>
      <c r="C1479" s="1055" t="s">
        <v>755</v>
      </c>
      <c r="D1479" s="1055" t="s">
        <v>893</v>
      </c>
      <c r="E1479" s="1055" t="s">
        <v>893</v>
      </c>
      <c r="F1479" s="1056">
        <v>-514</v>
      </c>
      <c r="G1479" s="1056">
        <v>68</v>
      </c>
      <c r="H1479" s="1056">
        <v>27</v>
      </c>
      <c r="I1479" s="1056">
        <v>-474</v>
      </c>
      <c r="K1479" s="995">
        <f t="shared" si="23"/>
        <v>8</v>
      </c>
    </row>
    <row r="1480" spans="1:11">
      <c r="A1480" s="1054">
        <v>25509503</v>
      </c>
      <c r="B1480" s="1055" t="s">
        <v>1489</v>
      </c>
      <c r="C1480" s="1055" t="s">
        <v>755</v>
      </c>
      <c r="D1480" s="1055" t="s">
        <v>1271</v>
      </c>
      <c r="E1480" s="1055" t="s">
        <v>782</v>
      </c>
      <c r="F1480" s="1056">
        <v>-189</v>
      </c>
      <c r="G1480" s="1056">
        <v>68</v>
      </c>
      <c r="H1480" s="1056">
        <v>14</v>
      </c>
      <c r="I1480" s="1056">
        <v>-135</v>
      </c>
      <c r="K1480" s="995">
        <f t="shared" si="23"/>
        <v>8</v>
      </c>
    </row>
    <row r="1481" spans="1:11">
      <c r="A1481" s="1054">
        <v>25509503</v>
      </c>
      <c r="B1481" s="1055" t="s">
        <v>1489</v>
      </c>
      <c r="C1481" s="1055" t="s">
        <v>755</v>
      </c>
      <c r="D1481" s="1055" t="s">
        <v>1042</v>
      </c>
      <c r="E1481" s="1055" t="s">
        <v>1732</v>
      </c>
      <c r="F1481" s="1056">
        <v>-162</v>
      </c>
      <c r="G1481" s="1056">
        <v>0</v>
      </c>
      <c r="H1481" s="1056">
        <v>0</v>
      </c>
      <c r="I1481" s="1056">
        <v>-162</v>
      </c>
      <c r="K1481" s="995">
        <f t="shared" si="23"/>
        <v>8</v>
      </c>
    </row>
    <row r="1482" spans="1:11">
      <c r="A1482" s="1054">
        <v>25509503</v>
      </c>
      <c r="B1482" s="1055" t="s">
        <v>1489</v>
      </c>
      <c r="C1482" s="1055" t="s">
        <v>755</v>
      </c>
      <c r="D1482" s="1055" t="s">
        <v>1274</v>
      </c>
      <c r="E1482" s="1055" t="s">
        <v>989</v>
      </c>
      <c r="F1482" s="1056">
        <v>-162</v>
      </c>
      <c r="G1482" s="1056">
        <v>0</v>
      </c>
      <c r="H1482" s="1056">
        <v>14</v>
      </c>
      <c r="I1482" s="1056">
        <v>-176</v>
      </c>
      <c r="K1482" s="995">
        <f t="shared" si="23"/>
        <v>8</v>
      </c>
    </row>
    <row r="1483" spans="1:11">
      <c r="A1483" s="1054">
        <v>25509504</v>
      </c>
      <c r="B1483" s="1055" t="s">
        <v>1489</v>
      </c>
      <c r="C1483" s="1055" t="s">
        <v>736</v>
      </c>
      <c r="D1483" s="1055" t="s">
        <v>893</v>
      </c>
      <c r="E1483" s="1055" t="s">
        <v>893</v>
      </c>
      <c r="F1483" s="1056">
        <v>428</v>
      </c>
      <c r="G1483" s="1056">
        <v>0</v>
      </c>
      <c r="H1483" s="1056">
        <v>0</v>
      </c>
      <c r="I1483" s="1056">
        <v>428</v>
      </c>
      <c r="K1483" s="995">
        <f t="shared" si="23"/>
        <v>8</v>
      </c>
    </row>
    <row r="1484" spans="1:11">
      <c r="A1484" s="1054">
        <v>25509504</v>
      </c>
      <c r="B1484" s="1055" t="s">
        <v>1489</v>
      </c>
      <c r="C1484" s="1055" t="s">
        <v>736</v>
      </c>
      <c r="D1484" s="1055" t="s">
        <v>1042</v>
      </c>
      <c r="E1484" s="1055" t="s">
        <v>1732</v>
      </c>
      <c r="F1484" s="1056">
        <v>113</v>
      </c>
      <c r="G1484" s="1056">
        <v>0</v>
      </c>
      <c r="H1484" s="1056">
        <v>0</v>
      </c>
      <c r="I1484" s="1056">
        <v>113</v>
      </c>
      <c r="K1484" s="995">
        <f t="shared" si="23"/>
        <v>8</v>
      </c>
    </row>
    <row r="1485" spans="1:11">
      <c r="A1485" s="1054">
        <v>25509504</v>
      </c>
      <c r="B1485" s="1055" t="s">
        <v>1489</v>
      </c>
      <c r="C1485" s="1055" t="s">
        <v>736</v>
      </c>
      <c r="D1485" s="1055" t="s">
        <v>1043</v>
      </c>
      <c r="E1485" s="1055" t="s">
        <v>318</v>
      </c>
      <c r="F1485" s="1056">
        <v>172</v>
      </c>
      <c r="G1485" s="1056">
        <v>0</v>
      </c>
      <c r="H1485" s="1056">
        <v>0</v>
      </c>
      <c r="I1485" s="1056">
        <v>172</v>
      </c>
      <c r="K1485" s="995">
        <f t="shared" si="23"/>
        <v>8</v>
      </c>
    </row>
    <row r="1486" spans="1:11">
      <c r="A1486" s="1054">
        <v>25509504</v>
      </c>
      <c r="B1486" s="1055" t="s">
        <v>1489</v>
      </c>
      <c r="C1486" s="1055" t="s">
        <v>736</v>
      </c>
      <c r="D1486" s="1055" t="s">
        <v>1220</v>
      </c>
      <c r="E1486" s="1055" t="s">
        <v>1221</v>
      </c>
      <c r="F1486" s="1056">
        <v>143</v>
      </c>
      <c r="G1486" s="1056">
        <v>0</v>
      </c>
      <c r="H1486" s="1056">
        <v>0</v>
      </c>
      <c r="I1486" s="1056">
        <v>143</v>
      </c>
      <c r="K1486" s="995">
        <f t="shared" si="23"/>
        <v>8</v>
      </c>
    </row>
    <row r="1487" spans="1:11">
      <c r="A1487" s="1054">
        <v>25509507</v>
      </c>
      <c r="B1487" s="1055" t="s">
        <v>1489</v>
      </c>
      <c r="C1487" s="1055" t="s">
        <v>1784</v>
      </c>
      <c r="D1487" s="1055" t="s">
        <v>893</v>
      </c>
      <c r="E1487" s="1055" t="s">
        <v>893</v>
      </c>
      <c r="F1487" s="1056">
        <v>0</v>
      </c>
      <c r="G1487" s="1056">
        <v>242</v>
      </c>
      <c r="H1487" s="1056">
        <v>363</v>
      </c>
      <c r="I1487" s="1056">
        <v>-121</v>
      </c>
      <c r="K1487" s="995">
        <f t="shared" si="23"/>
        <v>8</v>
      </c>
    </row>
    <row r="1488" spans="1:11">
      <c r="A1488" s="1054">
        <v>25509507</v>
      </c>
      <c r="B1488" s="1055" t="s">
        <v>1489</v>
      </c>
      <c r="C1488" s="1055" t="s">
        <v>1784</v>
      </c>
      <c r="D1488" s="1055" t="s">
        <v>1302</v>
      </c>
      <c r="E1488" s="1055" t="s">
        <v>986</v>
      </c>
      <c r="F1488" s="1056">
        <v>0</v>
      </c>
      <c r="G1488" s="1056">
        <v>242</v>
      </c>
      <c r="H1488" s="1056">
        <v>242</v>
      </c>
      <c r="I1488" s="1056">
        <v>0</v>
      </c>
      <c r="K1488" s="995">
        <f t="shared" si="23"/>
        <v>8</v>
      </c>
    </row>
    <row r="1489" spans="1:11">
      <c r="A1489" s="1054">
        <v>25509507</v>
      </c>
      <c r="B1489" s="1055" t="s">
        <v>1489</v>
      </c>
      <c r="C1489" s="1055" t="s">
        <v>1784</v>
      </c>
      <c r="D1489" s="1055" t="s">
        <v>1274</v>
      </c>
      <c r="E1489" s="1055" t="s">
        <v>989</v>
      </c>
      <c r="F1489" s="1056">
        <v>0</v>
      </c>
      <c r="G1489" s="1056">
        <v>0</v>
      </c>
      <c r="H1489" s="1056">
        <v>1</v>
      </c>
      <c r="I1489" s="1056">
        <v>-1</v>
      </c>
      <c r="K1489" s="995">
        <f t="shared" si="23"/>
        <v>8</v>
      </c>
    </row>
    <row r="1490" spans="1:11">
      <c r="A1490" s="1054">
        <v>25509507</v>
      </c>
      <c r="B1490" s="1055" t="s">
        <v>1489</v>
      </c>
      <c r="C1490" s="1055" t="s">
        <v>1784</v>
      </c>
      <c r="D1490" s="1055" t="s">
        <v>1372</v>
      </c>
      <c r="E1490" s="1055" t="s">
        <v>1373</v>
      </c>
      <c r="F1490" s="1056">
        <v>0</v>
      </c>
      <c r="G1490" s="1056">
        <v>0</v>
      </c>
      <c r="H1490" s="1056">
        <v>120</v>
      </c>
      <c r="I1490" s="1056">
        <v>-120</v>
      </c>
      <c r="K1490" s="995">
        <f t="shared" si="23"/>
        <v>8</v>
      </c>
    </row>
    <row r="1491" spans="1:11">
      <c r="A1491" s="1054">
        <v>26</v>
      </c>
      <c r="B1491" s="1055" t="s">
        <v>893</v>
      </c>
      <c r="C1491" s="1055" t="s">
        <v>820</v>
      </c>
      <c r="D1491" s="1055" t="s">
        <v>893</v>
      </c>
      <c r="E1491" s="1055" t="s">
        <v>893</v>
      </c>
      <c r="F1491" s="1056">
        <v>-29406</v>
      </c>
      <c r="G1491" s="1056">
        <v>0</v>
      </c>
      <c r="H1491" s="1056">
        <v>3242</v>
      </c>
      <c r="I1491" s="1056">
        <v>-32648</v>
      </c>
      <c r="K1491" s="995">
        <f t="shared" si="23"/>
        <v>2</v>
      </c>
    </row>
    <row r="1492" spans="1:11">
      <c r="A1492" s="1054">
        <v>2615</v>
      </c>
      <c r="B1492" s="1055" t="s">
        <v>1489</v>
      </c>
      <c r="C1492" s="1055" t="s">
        <v>821</v>
      </c>
      <c r="D1492" s="1055" t="s">
        <v>893</v>
      </c>
      <c r="E1492" s="1055" t="s">
        <v>893</v>
      </c>
      <c r="F1492" s="1056">
        <v>-29406</v>
      </c>
      <c r="G1492" s="1056">
        <v>0</v>
      </c>
      <c r="H1492" s="1056">
        <v>3242</v>
      </c>
      <c r="I1492" s="1056">
        <v>-32648</v>
      </c>
      <c r="K1492" s="995">
        <f t="shared" si="23"/>
        <v>4</v>
      </c>
    </row>
    <row r="1493" spans="1:11">
      <c r="A1493" s="1054">
        <v>261510</v>
      </c>
      <c r="B1493" s="1055" t="s">
        <v>1489</v>
      </c>
      <c r="C1493" s="1055" t="s">
        <v>822</v>
      </c>
      <c r="D1493" s="1055" t="s">
        <v>893</v>
      </c>
      <c r="E1493" s="1055" t="s">
        <v>893</v>
      </c>
      <c r="F1493" s="1056">
        <v>-29406</v>
      </c>
      <c r="G1493" s="1056">
        <v>0</v>
      </c>
      <c r="H1493" s="1056">
        <v>3242</v>
      </c>
      <c r="I1493" s="1056">
        <v>-32648</v>
      </c>
      <c r="K1493" s="995">
        <f t="shared" si="23"/>
        <v>6</v>
      </c>
    </row>
    <row r="1494" spans="1:11">
      <c r="A1494" s="1054">
        <v>26151001</v>
      </c>
      <c r="B1494" s="1055" t="s">
        <v>1489</v>
      </c>
      <c r="C1494" s="1055" t="s">
        <v>879</v>
      </c>
      <c r="D1494" s="1055" t="s">
        <v>893</v>
      </c>
      <c r="E1494" s="1055" t="s">
        <v>893</v>
      </c>
      <c r="F1494" s="1056">
        <v>-14473</v>
      </c>
      <c r="G1494" s="1056">
        <v>0</v>
      </c>
      <c r="H1494" s="1056">
        <v>0</v>
      </c>
      <c r="I1494" s="1056">
        <v>-14473</v>
      </c>
      <c r="K1494" s="995">
        <f t="shared" si="23"/>
        <v>8</v>
      </c>
    </row>
    <row r="1495" spans="1:11">
      <c r="A1495" s="1054">
        <v>26151001</v>
      </c>
      <c r="B1495" s="1055" t="s">
        <v>1489</v>
      </c>
      <c r="C1495" s="1055" t="s">
        <v>879</v>
      </c>
      <c r="D1495" s="1055" t="s">
        <v>1401</v>
      </c>
      <c r="E1495" s="1055" t="s">
        <v>1402</v>
      </c>
      <c r="F1495" s="1056">
        <v>-14473</v>
      </c>
      <c r="G1495" s="1056">
        <v>0</v>
      </c>
      <c r="H1495" s="1056">
        <v>0</v>
      </c>
      <c r="I1495" s="1056">
        <v>-14473</v>
      </c>
      <c r="K1495" s="995">
        <f t="shared" si="23"/>
        <v>8</v>
      </c>
    </row>
    <row r="1496" spans="1:11">
      <c r="A1496" s="1054">
        <v>26151002</v>
      </c>
      <c r="B1496" s="1055" t="s">
        <v>1489</v>
      </c>
      <c r="C1496" s="1055" t="s">
        <v>823</v>
      </c>
      <c r="D1496" s="1055" t="s">
        <v>893</v>
      </c>
      <c r="E1496" s="1055" t="s">
        <v>893</v>
      </c>
      <c r="F1496" s="1056">
        <v>-14933</v>
      </c>
      <c r="G1496" s="1056">
        <v>0</v>
      </c>
      <c r="H1496" s="1056">
        <v>3242</v>
      </c>
      <c r="I1496" s="1056">
        <v>-18175</v>
      </c>
      <c r="K1496" s="995">
        <f t="shared" si="23"/>
        <v>8</v>
      </c>
    </row>
    <row r="1497" spans="1:11">
      <c r="A1497" s="1054">
        <v>26151002</v>
      </c>
      <c r="B1497" s="1055" t="s">
        <v>1489</v>
      </c>
      <c r="C1497" s="1055" t="s">
        <v>823</v>
      </c>
      <c r="D1497" s="1055" t="s">
        <v>1401</v>
      </c>
      <c r="E1497" s="1055" t="s">
        <v>1402</v>
      </c>
      <c r="F1497" s="1056">
        <v>-14933</v>
      </c>
      <c r="G1497" s="1056">
        <v>0</v>
      </c>
      <c r="H1497" s="1056">
        <v>3242</v>
      </c>
      <c r="I1497" s="1056">
        <v>-18175</v>
      </c>
      <c r="K1497" s="995">
        <f t="shared" si="23"/>
        <v>8</v>
      </c>
    </row>
    <row r="1498" spans="1:11">
      <c r="A1498" s="1054">
        <v>28</v>
      </c>
      <c r="B1498" s="1055" t="s">
        <v>893</v>
      </c>
      <c r="C1498" s="1055" t="s">
        <v>589</v>
      </c>
      <c r="D1498" s="1055" t="s">
        <v>893</v>
      </c>
      <c r="E1498" s="1055" t="s">
        <v>893</v>
      </c>
      <c r="F1498" s="1056">
        <v>-3571</v>
      </c>
      <c r="G1498" s="1056">
        <v>1577</v>
      </c>
      <c r="H1498" s="1056">
        <v>1718</v>
      </c>
      <c r="I1498" s="1056">
        <v>-3712</v>
      </c>
      <c r="K1498" s="995">
        <f t="shared" si="23"/>
        <v>2</v>
      </c>
    </row>
    <row r="1499" spans="1:11">
      <c r="A1499" s="1054">
        <v>2805</v>
      </c>
      <c r="B1499" s="1055" t="s">
        <v>893</v>
      </c>
      <c r="C1499" s="1055" t="s">
        <v>121</v>
      </c>
      <c r="D1499" s="1055" t="s">
        <v>893</v>
      </c>
      <c r="E1499" s="1055" t="s">
        <v>893</v>
      </c>
      <c r="F1499" s="1056">
        <v>-3571</v>
      </c>
      <c r="G1499" s="1056">
        <v>1577</v>
      </c>
      <c r="H1499" s="1056">
        <v>1718</v>
      </c>
      <c r="I1499" s="1056">
        <v>-3712</v>
      </c>
      <c r="K1499" s="995">
        <f t="shared" si="23"/>
        <v>4</v>
      </c>
    </row>
    <row r="1500" spans="1:11">
      <c r="A1500" s="1054">
        <v>280505</v>
      </c>
      <c r="B1500" s="1055" t="s">
        <v>893</v>
      </c>
      <c r="C1500" s="1055" t="s">
        <v>590</v>
      </c>
      <c r="D1500" s="1055" t="s">
        <v>893</v>
      </c>
      <c r="E1500" s="1055" t="s">
        <v>893</v>
      </c>
      <c r="F1500" s="1056">
        <v>-3571</v>
      </c>
      <c r="G1500" s="1056">
        <v>1577</v>
      </c>
      <c r="H1500" s="1056">
        <v>1718</v>
      </c>
      <c r="I1500" s="1056">
        <v>-3712</v>
      </c>
      <c r="K1500" s="995">
        <f t="shared" si="23"/>
        <v>6</v>
      </c>
    </row>
    <row r="1501" spans="1:11">
      <c r="A1501" s="1054">
        <v>28050501</v>
      </c>
      <c r="B1501" s="1055" t="s">
        <v>893</v>
      </c>
      <c r="C1501" s="1055" t="s">
        <v>590</v>
      </c>
      <c r="D1501" s="1055" t="s">
        <v>893</v>
      </c>
      <c r="E1501" s="1055" t="s">
        <v>893</v>
      </c>
      <c r="F1501" s="1056">
        <v>-3238</v>
      </c>
      <c r="G1501" s="1056">
        <v>164</v>
      </c>
      <c r="H1501" s="1056">
        <v>0</v>
      </c>
      <c r="I1501" s="1056">
        <v>-3074</v>
      </c>
      <c r="K1501" s="995">
        <f t="shared" si="23"/>
        <v>8</v>
      </c>
    </row>
    <row r="1502" spans="1:11">
      <c r="A1502" s="1054">
        <v>28050501</v>
      </c>
      <c r="B1502" s="1055" t="s">
        <v>893</v>
      </c>
      <c r="C1502" s="1055" t="s">
        <v>590</v>
      </c>
      <c r="D1502" s="1055" t="s">
        <v>1034</v>
      </c>
      <c r="E1502" s="1055" t="s">
        <v>504</v>
      </c>
      <c r="F1502" s="1056">
        <v>-3074</v>
      </c>
      <c r="G1502" s="1056">
        <v>0</v>
      </c>
      <c r="H1502" s="1056">
        <v>0</v>
      </c>
      <c r="I1502" s="1056">
        <v>-3074</v>
      </c>
      <c r="K1502" s="995">
        <f t="shared" si="23"/>
        <v>8</v>
      </c>
    </row>
    <row r="1503" spans="1:11">
      <c r="A1503" s="1054">
        <v>28050501</v>
      </c>
      <c r="B1503" s="1055" t="s">
        <v>893</v>
      </c>
      <c r="C1503" s="1055" t="s">
        <v>590</v>
      </c>
      <c r="D1503" s="1055" t="s">
        <v>1035</v>
      </c>
      <c r="E1503" s="1055" t="s">
        <v>573</v>
      </c>
      <c r="F1503" s="1056">
        <v>0</v>
      </c>
      <c r="G1503" s="1056">
        <v>0</v>
      </c>
      <c r="H1503" s="1056">
        <v>0</v>
      </c>
      <c r="I1503" s="1056">
        <v>0</v>
      </c>
      <c r="K1503" s="995">
        <f t="shared" si="23"/>
        <v>8</v>
      </c>
    </row>
    <row r="1504" spans="1:11">
      <c r="A1504" s="1054">
        <v>28050501</v>
      </c>
      <c r="B1504" s="1055" t="s">
        <v>893</v>
      </c>
      <c r="C1504" s="1055" t="s">
        <v>590</v>
      </c>
      <c r="D1504" s="1055" t="s">
        <v>1276</v>
      </c>
      <c r="E1504" s="1055" t="s">
        <v>1277</v>
      </c>
      <c r="F1504" s="1056">
        <v>-164</v>
      </c>
      <c r="G1504" s="1056">
        <v>164</v>
      </c>
      <c r="H1504" s="1056">
        <v>0</v>
      </c>
      <c r="I1504" s="1056">
        <v>0</v>
      </c>
      <c r="K1504" s="995">
        <f t="shared" si="23"/>
        <v>8</v>
      </c>
    </row>
    <row r="1505" spans="1:11">
      <c r="A1505" s="1054">
        <v>28050502</v>
      </c>
      <c r="B1505" s="1055" t="s">
        <v>1489</v>
      </c>
      <c r="C1505" s="1055" t="s">
        <v>794</v>
      </c>
      <c r="D1505" s="1055" t="s">
        <v>893</v>
      </c>
      <c r="E1505" s="1055" t="s">
        <v>893</v>
      </c>
      <c r="F1505" s="1056">
        <v>-326</v>
      </c>
      <c r="G1505" s="1056">
        <v>1413</v>
      </c>
      <c r="H1505" s="1056">
        <v>1718</v>
      </c>
      <c r="I1505" s="1056">
        <v>-632</v>
      </c>
      <c r="K1505" s="995">
        <f t="shared" si="23"/>
        <v>8</v>
      </c>
    </row>
    <row r="1506" spans="1:11">
      <c r="A1506" s="1054">
        <v>28050502</v>
      </c>
      <c r="B1506" s="1055" t="s">
        <v>1489</v>
      </c>
      <c r="C1506" s="1055" t="s">
        <v>794</v>
      </c>
      <c r="D1506" s="1055" t="s">
        <v>1035</v>
      </c>
      <c r="E1506" s="1055" t="s">
        <v>573</v>
      </c>
      <c r="F1506" s="1056">
        <v>-326</v>
      </c>
      <c r="G1506" s="1056">
        <v>1413</v>
      </c>
      <c r="H1506" s="1056">
        <v>1718</v>
      </c>
      <c r="I1506" s="1056">
        <v>-632</v>
      </c>
      <c r="K1506" s="995">
        <f t="shared" si="23"/>
        <v>8</v>
      </c>
    </row>
    <row r="1507" spans="1:11">
      <c r="A1507" s="1054">
        <v>28050503</v>
      </c>
      <c r="B1507" s="1055" t="s">
        <v>1489</v>
      </c>
      <c r="C1507" s="1055" t="s">
        <v>827</v>
      </c>
      <c r="D1507" s="1055" t="s">
        <v>893</v>
      </c>
      <c r="E1507" s="1055" t="s">
        <v>893</v>
      </c>
      <c r="F1507" s="1056">
        <v>-6</v>
      </c>
      <c r="G1507" s="1056">
        <v>0</v>
      </c>
      <c r="H1507" s="1056">
        <v>0</v>
      </c>
      <c r="I1507" s="1056">
        <v>-6</v>
      </c>
      <c r="K1507" s="995">
        <f t="shared" si="23"/>
        <v>8</v>
      </c>
    </row>
    <row r="1508" spans="1:11">
      <c r="A1508" s="1054">
        <v>28050503</v>
      </c>
      <c r="B1508" s="1055" t="s">
        <v>1489</v>
      </c>
      <c r="C1508" s="1055" t="s">
        <v>827</v>
      </c>
      <c r="D1508" s="1055" t="s">
        <v>1038</v>
      </c>
      <c r="E1508" s="1055" t="s">
        <v>505</v>
      </c>
      <c r="F1508" s="1056">
        <v>-6</v>
      </c>
      <c r="G1508" s="1056">
        <v>0</v>
      </c>
      <c r="H1508" s="1056">
        <v>0</v>
      </c>
      <c r="I1508" s="1056">
        <v>-6</v>
      </c>
      <c r="K1508" s="995">
        <f t="shared" si="23"/>
        <v>8</v>
      </c>
    </row>
    <row r="1509" spans="1:11">
      <c r="A1509" s="1054">
        <v>3</v>
      </c>
      <c r="B1509" s="1055" t="s">
        <v>893</v>
      </c>
      <c r="C1509" s="1055" t="s">
        <v>122</v>
      </c>
      <c r="D1509" s="1055" t="s">
        <v>893</v>
      </c>
      <c r="E1509" s="1055" t="s">
        <v>893</v>
      </c>
      <c r="F1509" s="1056">
        <v>-2133408</v>
      </c>
      <c r="G1509" s="1056">
        <v>0</v>
      </c>
      <c r="H1509" s="1056">
        <v>0</v>
      </c>
      <c r="I1509" s="1056">
        <v>-2133408</v>
      </c>
      <c r="K1509" s="995">
        <f t="shared" si="23"/>
        <v>1</v>
      </c>
    </row>
    <row r="1510" spans="1:11">
      <c r="A1510" s="1054">
        <v>31</v>
      </c>
      <c r="B1510" s="1055" t="s">
        <v>893</v>
      </c>
      <c r="C1510" s="1055" t="s">
        <v>123</v>
      </c>
      <c r="D1510" s="1055" t="s">
        <v>893</v>
      </c>
      <c r="E1510" s="1055" t="s">
        <v>893</v>
      </c>
      <c r="F1510" s="1056">
        <v>-1737000</v>
      </c>
      <c r="G1510" s="1056">
        <v>0</v>
      </c>
      <c r="H1510" s="1056">
        <v>0</v>
      </c>
      <c r="I1510" s="1056">
        <v>-1737000</v>
      </c>
      <c r="K1510" s="995">
        <f t="shared" si="23"/>
        <v>2</v>
      </c>
    </row>
    <row r="1511" spans="1:11">
      <c r="A1511" s="1054">
        <v>3105</v>
      </c>
      <c r="B1511" s="1055" t="s">
        <v>893</v>
      </c>
      <c r="C1511" s="1055" t="s">
        <v>362</v>
      </c>
      <c r="D1511" s="1055" t="s">
        <v>893</v>
      </c>
      <c r="E1511" s="1055" t="s">
        <v>893</v>
      </c>
      <c r="F1511" s="1056">
        <v>-1737000</v>
      </c>
      <c r="G1511" s="1056">
        <v>0</v>
      </c>
      <c r="H1511" s="1056">
        <v>0</v>
      </c>
      <c r="I1511" s="1056">
        <v>-1737000</v>
      </c>
      <c r="K1511" s="995">
        <f t="shared" si="23"/>
        <v>4</v>
      </c>
    </row>
    <row r="1512" spans="1:11">
      <c r="A1512" s="1054">
        <v>310505</v>
      </c>
      <c r="B1512" s="1055" t="s">
        <v>893</v>
      </c>
      <c r="C1512" s="1055" t="s">
        <v>363</v>
      </c>
      <c r="D1512" s="1055" t="s">
        <v>893</v>
      </c>
      <c r="E1512" s="1055" t="s">
        <v>893</v>
      </c>
      <c r="F1512" s="1056">
        <v>-1737000</v>
      </c>
      <c r="G1512" s="1056">
        <v>0</v>
      </c>
      <c r="H1512" s="1056">
        <v>0</v>
      </c>
      <c r="I1512" s="1056">
        <v>-1737000</v>
      </c>
      <c r="K1512" s="995">
        <f t="shared" si="23"/>
        <v>6</v>
      </c>
    </row>
    <row r="1513" spans="1:11">
      <c r="A1513" s="1054">
        <v>31050501</v>
      </c>
      <c r="B1513" s="1055" t="s">
        <v>893</v>
      </c>
      <c r="C1513" s="1055" t="s">
        <v>363</v>
      </c>
      <c r="D1513" s="1055" t="s">
        <v>893</v>
      </c>
      <c r="E1513" s="1055" t="s">
        <v>893</v>
      </c>
      <c r="F1513" s="1056">
        <v>-1737000</v>
      </c>
      <c r="G1513" s="1056">
        <v>0</v>
      </c>
      <c r="H1513" s="1056">
        <v>0</v>
      </c>
      <c r="I1513" s="1056">
        <v>-1737000</v>
      </c>
      <c r="K1513" s="995">
        <f t="shared" si="23"/>
        <v>8</v>
      </c>
    </row>
    <row r="1514" spans="1:11">
      <c r="A1514" s="1054">
        <v>33</v>
      </c>
      <c r="B1514" s="1055" t="s">
        <v>893</v>
      </c>
      <c r="C1514" s="1055" t="s">
        <v>124</v>
      </c>
      <c r="D1514" s="1055" t="s">
        <v>893</v>
      </c>
      <c r="E1514" s="1055" t="s">
        <v>893</v>
      </c>
      <c r="F1514" s="1056">
        <v>-73935</v>
      </c>
      <c r="G1514" s="1056">
        <v>0</v>
      </c>
      <c r="H1514" s="1056">
        <v>0</v>
      </c>
      <c r="I1514" s="1056">
        <v>-73935</v>
      </c>
      <c r="K1514" s="995">
        <f t="shared" si="23"/>
        <v>2</v>
      </c>
    </row>
    <row r="1515" spans="1:11">
      <c r="A1515" s="1054">
        <v>3305</v>
      </c>
      <c r="B1515" s="1055" t="s">
        <v>893</v>
      </c>
      <c r="C1515" s="1055" t="s">
        <v>364</v>
      </c>
      <c r="D1515" s="1055" t="s">
        <v>893</v>
      </c>
      <c r="E1515" s="1055" t="s">
        <v>893</v>
      </c>
      <c r="F1515" s="1056">
        <v>-73935</v>
      </c>
      <c r="G1515" s="1056">
        <v>0</v>
      </c>
      <c r="H1515" s="1056">
        <v>0</v>
      </c>
      <c r="I1515" s="1056">
        <v>-73935</v>
      </c>
      <c r="K1515" s="995">
        <f t="shared" si="23"/>
        <v>4</v>
      </c>
    </row>
    <row r="1516" spans="1:11">
      <c r="A1516" s="1054">
        <v>330505</v>
      </c>
      <c r="B1516" s="1055" t="s">
        <v>893</v>
      </c>
      <c r="C1516" s="1055" t="s">
        <v>365</v>
      </c>
      <c r="D1516" s="1055" t="s">
        <v>893</v>
      </c>
      <c r="E1516" s="1055" t="s">
        <v>893</v>
      </c>
      <c r="F1516" s="1056">
        <v>-73935</v>
      </c>
      <c r="G1516" s="1056">
        <v>0</v>
      </c>
      <c r="H1516" s="1056">
        <v>0</v>
      </c>
      <c r="I1516" s="1056">
        <v>-73935</v>
      </c>
      <c r="K1516" s="995">
        <f t="shared" si="23"/>
        <v>6</v>
      </c>
    </row>
    <row r="1517" spans="1:11">
      <c r="A1517" s="1054">
        <v>33050501</v>
      </c>
      <c r="B1517" s="1055" t="s">
        <v>893</v>
      </c>
      <c r="C1517" s="1055" t="s">
        <v>365</v>
      </c>
      <c r="D1517" s="1055" t="s">
        <v>893</v>
      </c>
      <c r="E1517" s="1055" t="s">
        <v>893</v>
      </c>
      <c r="F1517" s="1056">
        <v>-73935</v>
      </c>
      <c r="G1517" s="1056">
        <v>0</v>
      </c>
      <c r="H1517" s="1056">
        <v>0</v>
      </c>
      <c r="I1517" s="1056">
        <v>-73935</v>
      </c>
      <c r="K1517" s="995">
        <f t="shared" si="23"/>
        <v>8</v>
      </c>
    </row>
    <row r="1518" spans="1:11">
      <c r="A1518" s="1054">
        <v>36</v>
      </c>
      <c r="B1518" s="1055" t="s">
        <v>893</v>
      </c>
      <c r="C1518" s="1055" t="s">
        <v>536</v>
      </c>
      <c r="D1518" s="1055" t="s">
        <v>893</v>
      </c>
      <c r="E1518" s="1055" t="s">
        <v>893</v>
      </c>
      <c r="F1518" s="1056">
        <v>0</v>
      </c>
      <c r="G1518" s="1056">
        <v>0</v>
      </c>
      <c r="H1518" s="1056">
        <v>0</v>
      </c>
      <c r="I1518" s="1056">
        <v>0</v>
      </c>
      <c r="K1518" s="995">
        <f t="shared" si="23"/>
        <v>2</v>
      </c>
    </row>
    <row r="1519" spans="1:11">
      <c r="A1519" s="1054">
        <v>3605</v>
      </c>
      <c r="B1519" s="1055" t="s">
        <v>893</v>
      </c>
      <c r="C1519" s="1055" t="s">
        <v>537</v>
      </c>
      <c r="D1519" s="1055" t="s">
        <v>893</v>
      </c>
      <c r="E1519" s="1055" t="s">
        <v>893</v>
      </c>
      <c r="F1519" s="1056">
        <v>0</v>
      </c>
      <c r="G1519" s="1056">
        <v>0</v>
      </c>
      <c r="H1519" s="1056">
        <v>0</v>
      </c>
      <c r="I1519" s="1056">
        <v>0</v>
      </c>
      <c r="K1519" s="995">
        <f t="shared" si="23"/>
        <v>4</v>
      </c>
    </row>
    <row r="1520" spans="1:11">
      <c r="A1520" s="1054">
        <v>360501</v>
      </c>
      <c r="B1520" s="1055" t="s">
        <v>893</v>
      </c>
      <c r="C1520" s="1055" t="s">
        <v>537</v>
      </c>
      <c r="D1520" s="1055" t="s">
        <v>893</v>
      </c>
      <c r="E1520" s="1055" t="s">
        <v>893</v>
      </c>
      <c r="F1520" s="1056">
        <v>0</v>
      </c>
      <c r="G1520" s="1056">
        <v>0</v>
      </c>
      <c r="H1520" s="1056">
        <v>0</v>
      </c>
      <c r="I1520" s="1056">
        <v>0</v>
      </c>
      <c r="K1520" s="995">
        <f t="shared" si="23"/>
        <v>6</v>
      </c>
    </row>
    <row r="1521" spans="1:11">
      <c r="A1521" s="1054">
        <v>36050101</v>
      </c>
      <c r="B1521" s="1055" t="s">
        <v>893</v>
      </c>
      <c r="C1521" s="1055" t="s">
        <v>537</v>
      </c>
      <c r="D1521" s="1055" t="s">
        <v>893</v>
      </c>
      <c r="E1521" s="1055" t="s">
        <v>893</v>
      </c>
      <c r="F1521" s="1056">
        <v>0</v>
      </c>
      <c r="G1521" s="1056">
        <v>0</v>
      </c>
      <c r="H1521" s="1056">
        <v>0</v>
      </c>
      <c r="I1521" s="1056">
        <v>0</v>
      </c>
      <c r="K1521" s="995">
        <f t="shared" si="23"/>
        <v>8</v>
      </c>
    </row>
    <row r="1522" spans="1:11">
      <c r="A1522" s="1054">
        <v>37</v>
      </c>
      <c r="B1522" s="1055" t="s">
        <v>893</v>
      </c>
      <c r="C1522" s="1055" t="s">
        <v>538</v>
      </c>
      <c r="D1522" s="1055" t="s">
        <v>893</v>
      </c>
      <c r="E1522" s="1055" t="s">
        <v>893</v>
      </c>
      <c r="F1522" s="1056">
        <v>-322474</v>
      </c>
      <c r="G1522" s="1056">
        <v>0</v>
      </c>
      <c r="H1522" s="1056">
        <v>0</v>
      </c>
      <c r="I1522" s="1056">
        <v>-322474</v>
      </c>
      <c r="K1522" s="995">
        <f t="shared" si="23"/>
        <v>2</v>
      </c>
    </row>
    <row r="1523" spans="1:11">
      <c r="A1523" s="1054">
        <v>3705</v>
      </c>
      <c r="B1523" s="1055" t="s">
        <v>893</v>
      </c>
      <c r="C1523" s="1055" t="s">
        <v>403</v>
      </c>
      <c r="D1523" s="1055" t="s">
        <v>893</v>
      </c>
      <c r="E1523" s="1055" t="s">
        <v>893</v>
      </c>
      <c r="F1523" s="1056">
        <v>-379652</v>
      </c>
      <c r="G1523" s="1056">
        <v>0</v>
      </c>
      <c r="H1523" s="1056">
        <v>0</v>
      </c>
      <c r="I1523" s="1056">
        <v>-379652</v>
      </c>
      <c r="K1523" s="995">
        <f t="shared" si="23"/>
        <v>4</v>
      </c>
    </row>
    <row r="1524" spans="1:11">
      <c r="A1524" s="1054">
        <v>370501</v>
      </c>
      <c r="B1524" s="1055" t="s">
        <v>893</v>
      </c>
      <c r="C1524" s="1055" t="s">
        <v>403</v>
      </c>
      <c r="D1524" s="1055" t="s">
        <v>893</v>
      </c>
      <c r="E1524" s="1055" t="s">
        <v>893</v>
      </c>
      <c r="F1524" s="1056">
        <v>-379652</v>
      </c>
      <c r="G1524" s="1056">
        <v>0</v>
      </c>
      <c r="H1524" s="1056">
        <v>0</v>
      </c>
      <c r="I1524" s="1056">
        <v>-379652</v>
      </c>
      <c r="K1524" s="995">
        <f t="shared" si="23"/>
        <v>6</v>
      </c>
    </row>
    <row r="1525" spans="1:11">
      <c r="A1525" s="1054">
        <v>37050101</v>
      </c>
      <c r="B1525" s="1055" t="s">
        <v>1489</v>
      </c>
      <c r="C1525" s="1055" t="s">
        <v>756</v>
      </c>
      <c r="D1525" s="1055" t="s">
        <v>893</v>
      </c>
      <c r="E1525" s="1055" t="s">
        <v>893</v>
      </c>
      <c r="F1525" s="1056">
        <v>180000</v>
      </c>
      <c r="G1525" s="1056">
        <v>0</v>
      </c>
      <c r="H1525" s="1056">
        <v>0</v>
      </c>
      <c r="I1525" s="1056">
        <v>180000</v>
      </c>
      <c r="K1525" s="995">
        <f t="shared" si="23"/>
        <v>8</v>
      </c>
    </row>
    <row r="1526" spans="1:11">
      <c r="A1526" s="1054">
        <v>37050103</v>
      </c>
      <c r="B1526" s="1055" t="s">
        <v>1489</v>
      </c>
      <c r="C1526" s="1055" t="s">
        <v>757</v>
      </c>
      <c r="D1526" s="1055" t="s">
        <v>893</v>
      </c>
      <c r="E1526" s="1055" t="s">
        <v>893</v>
      </c>
      <c r="F1526" s="1056">
        <v>-93497</v>
      </c>
      <c r="G1526" s="1056">
        <v>0</v>
      </c>
      <c r="H1526" s="1056">
        <v>0</v>
      </c>
      <c r="I1526" s="1056">
        <v>-93497</v>
      </c>
      <c r="K1526" s="995">
        <f t="shared" si="23"/>
        <v>8</v>
      </c>
    </row>
    <row r="1527" spans="1:11">
      <c r="A1527" s="1054">
        <v>37050104</v>
      </c>
      <c r="B1527" s="1055" t="s">
        <v>1489</v>
      </c>
      <c r="C1527" s="1055" t="s">
        <v>758</v>
      </c>
      <c r="D1527" s="1055" t="s">
        <v>893</v>
      </c>
      <c r="E1527" s="1055" t="s">
        <v>893</v>
      </c>
      <c r="F1527" s="1056">
        <v>-92746</v>
      </c>
      <c r="G1527" s="1056">
        <v>0</v>
      </c>
      <c r="H1527" s="1056">
        <v>0</v>
      </c>
      <c r="I1527" s="1056">
        <v>-92746</v>
      </c>
      <c r="K1527" s="995">
        <f t="shared" si="23"/>
        <v>8</v>
      </c>
    </row>
    <row r="1528" spans="1:11">
      <c r="A1528" s="1054">
        <v>37050105</v>
      </c>
      <c r="B1528" s="1055" t="s">
        <v>1489</v>
      </c>
      <c r="C1528" s="1055" t="s">
        <v>759</v>
      </c>
      <c r="D1528" s="1055" t="s">
        <v>893</v>
      </c>
      <c r="E1528" s="1055" t="s">
        <v>893</v>
      </c>
      <c r="F1528" s="1056">
        <v>-128639</v>
      </c>
      <c r="G1528" s="1056">
        <v>0</v>
      </c>
      <c r="H1528" s="1056">
        <v>0</v>
      </c>
      <c r="I1528" s="1056">
        <v>-128639</v>
      </c>
      <c r="K1528" s="995">
        <f t="shared" si="23"/>
        <v>8</v>
      </c>
    </row>
    <row r="1529" spans="1:11">
      <c r="A1529" s="1054">
        <v>37050107</v>
      </c>
      <c r="B1529" s="1055" t="s">
        <v>1489</v>
      </c>
      <c r="C1529" s="1055" t="s">
        <v>760</v>
      </c>
      <c r="D1529" s="1055" t="s">
        <v>893</v>
      </c>
      <c r="E1529" s="1055" t="s">
        <v>893</v>
      </c>
      <c r="F1529" s="1056">
        <v>-107285</v>
      </c>
      <c r="G1529" s="1056">
        <v>0</v>
      </c>
      <c r="H1529" s="1056">
        <v>0</v>
      </c>
      <c r="I1529" s="1056">
        <v>-107285</v>
      </c>
      <c r="K1529" s="995">
        <f t="shared" si="23"/>
        <v>8</v>
      </c>
    </row>
    <row r="1530" spans="1:11">
      <c r="A1530" s="1054">
        <v>37050108</v>
      </c>
      <c r="B1530" s="1055" t="s">
        <v>1489</v>
      </c>
      <c r="C1530" s="1055" t="s">
        <v>880</v>
      </c>
      <c r="D1530" s="1055" t="s">
        <v>893</v>
      </c>
      <c r="E1530" s="1055" t="s">
        <v>893</v>
      </c>
      <c r="F1530" s="1056">
        <v>-137484</v>
      </c>
      <c r="G1530" s="1056">
        <v>0</v>
      </c>
      <c r="H1530" s="1056">
        <v>0</v>
      </c>
      <c r="I1530" s="1056">
        <v>-137484</v>
      </c>
      <c r="K1530" s="995">
        <f t="shared" si="23"/>
        <v>8</v>
      </c>
    </row>
    <row r="1531" spans="1:11">
      <c r="A1531" s="1054">
        <v>3710</v>
      </c>
      <c r="B1531" s="1055" t="s">
        <v>893</v>
      </c>
      <c r="C1531" s="1055" t="s">
        <v>761</v>
      </c>
      <c r="D1531" s="1055" t="s">
        <v>893</v>
      </c>
      <c r="E1531" s="1055" t="s">
        <v>893</v>
      </c>
      <c r="F1531" s="1056">
        <v>40142</v>
      </c>
      <c r="G1531" s="1056">
        <v>0</v>
      </c>
      <c r="H1531" s="1056">
        <v>0</v>
      </c>
      <c r="I1531" s="1056">
        <v>40142</v>
      </c>
      <c r="K1531" s="995">
        <f t="shared" si="23"/>
        <v>4</v>
      </c>
    </row>
    <row r="1532" spans="1:11">
      <c r="A1532" s="1054">
        <v>371001</v>
      </c>
      <c r="B1532" s="1055" t="s">
        <v>893</v>
      </c>
      <c r="C1532" s="1055" t="s">
        <v>761</v>
      </c>
      <c r="D1532" s="1055" t="s">
        <v>893</v>
      </c>
      <c r="E1532" s="1055" t="s">
        <v>893</v>
      </c>
      <c r="F1532" s="1056">
        <v>40142</v>
      </c>
      <c r="G1532" s="1056">
        <v>0</v>
      </c>
      <c r="H1532" s="1056">
        <v>0</v>
      </c>
      <c r="I1532" s="1056">
        <v>40142</v>
      </c>
      <c r="K1532" s="995">
        <f t="shared" si="23"/>
        <v>6</v>
      </c>
    </row>
    <row r="1533" spans="1:11">
      <c r="A1533" s="1054">
        <v>37100102</v>
      </c>
      <c r="B1533" s="1055" t="s">
        <v>1489</v>
      </c>
      <c r="C1533" s="1055" t="s">
        <v>762</v>
      </c>
      <c r="D1533" s="1055" t="s">
        <v>893</v>
      </c>
      <c r="E1533" s="1055" t="s">
        <v>893</v>
      </c>
      <c r="F1533" s="1056">
        <v>40142</v>
      </c>
      <c r="G1533" s="1056">
        <v>0</v>
      </c>
      <c r="H1533" s="1056">
        <v>0</v>
      </c>
      <c r="I1533" s="1056">
        <v>40142</v>
      </c>
      <c r="K1533" s="995">
        <f t="shared" si="23"/>
        <v>8</v>
      </c>
    </row>
    <row r="1534" spans="1:11">
      <c r="A1534" s="1054">
        <v>3715</v>
      </c>
      <c r="B1534" s="1055" t="s">
        <v>1489</v>
      </c>
      <c r="C1534" s="1055" t="s">
        <v>126</v>
      </c>
      <c r="D1534" s="1055" t="s">
        <v>893</v>
      </c>
      <c r="E1534" s="1055" t="s">
        <v>893</v>
      </c>
      <c r="F1534" s="1056">
        <v>17036</v>
      </c>
      <c r="G1534" s="1056">
        <v>0</v>
      </c>
      <c r="H1534" s="1056">
        <v>0</v>
      </c>
      <c r="I1534" s="1056">
        <v>17036</v>
      </c>
      <c r="K1534" s="995">
        <f t="shared" si="23"/>
        <v>4</v>
      </c>
    </row>
    <row r="1535" spans="1:11">
      <c r="A1535" s="1054">
        <v>371505</v>
      </c>
      <c r="B1535" s="1055" t="s">
        <v>1489</v>
      </c>
      <c r="C1535" s="1055" t="s">
        <v>763</v>
      </c>
      <c r="D1535" s="1055" t="s">
        <v>893</v>
      </c>
      <c r="E1535" s="1055" t="s">
        <v>893</v>
      </c>
      <c r="F1535" s="1056">
        <v>-24077</v>
      </c>
      <c r="G1535" s="1056">
        <v>0</v>
      </c>
      <c r="H1535" s="1056">
        <v>0</v>
      </c>
      <c r="I1535" s="1056">
        <v>-24077</v>
      </c>
      <c r="K1535" s="995">
        <f t="shared" si="23"/>
        <v>6</v>
      </c>
    </row>
    <row r="1536" spans="1:11">
      <c r="A1536" s="1054">
        <v>371507</v>
      </c>
      <c r="B1536" s="1055" t="s">
        <v>1489</v>
      </c>
      <c r="C1536" s="1055" t="s">
        <v>764</v>
      </c>
      <c r="D1536" s="1055" t="s">
        <v>893</v>
      </c>
      <c r="E1536" s="1055" t="s">
        <v>893</v>
      </c>
      <c r="F1536" s="1056">
        <v>49890</v>
      </c>
      <c r="G1536" s="1056">
        <v>0</v>
      </c>
      <c r="H1536" s="1056">
        <v>0</v>
      </c>
      <c r="I1536" s="1056">
        <v>49890</v>
      </c>
      <c r="K1536" s="995">
        <f t="shared" si="23"/>
        <v>6</v>
      </c>
    </row>
    <row r="1537" spans="1:11">
      <c r="A1537" s="1054">
        <v>371507</v>
      </c>
      <c r="B1537" s="1055" t="s">
        <v>1489</v>
      </c>
      <c r="C1537" s="1055" t="s">
        <v>764</v>
      </c>
      <c r="D1537" s="1055" t="s">
        <v>1067</v>
      </c>
      <c r="E1537" s="1055" t="s">
        <v>1068</v>
      </c>
      <c r="F1537" s="1056">
        <v>49890</v>
      </c>
      <c r="G1537" s="1056">
        <v>0</v>
      </c>
      <c r="H1537" s="1056">
        <v>0</v>
      </c>
      <c r="I1537" s="1056">
        <v>49890</v>
      </c>
      <c r="K1537" s="995">
        <f t="shared" si="23"/>
        <v>6</v>
      </c>
    </row>
    <row r="1538" spans="1:11">
      <c r="A1538" s="1054">
        <v>371516</v>
      </c>
      <c r="B1538" s="1055" t="s">
        <v>1489</v>
      </c>
      <c r="C1538" s="1055" t="s">
        <v>738</v>
      </c>
      <c r="D1538" s="1055" t="s">
        <v>893</v>
      </c>
      <c r="E1538" s="1055" t="s">
        <v>893</v>
      </c>
      <c r="F1538" s="1056">
        <v>-8776</v>
      </c>
      <c r="G1538" s="1056">
        <v>0</v>
      </c>
      <c r="H1538" s="1056">
        <v>0</v>
      </c>
      <c r="I1538" s="1056">
        <v>-8776</v>
      </c>
      <c r="K1538" s="995">
        <f t="shared" si="23"/>
        <v>6</v>
      </c>
    </row>
    <row r="1539" spans="1:11">
      <c r="A1539" s="1054">
        <v>371516</v>
      </c>
      <c r="B1539" s="1055" t="s">
        <v>1489</v>
      </c>
      <c r="C1539" s="1055" t="s">
        <v>738</v>
      </c>
      <c r="D1539" s="1055" t="s">
        <v>1067</v>
      </c>
      <c r="E1539" s="1055" t="s">
        <v>1068</v>
      </c>
      <c r="F1539" s="1056">
        <v>-8776</v>
      </c>
      <c r="G1539" s="1056">
        <v>0</v>
      </c>
      <c r="H1539" s="1056">
        <v>0</v>
      </c>
      <c r="I1539" s="1056">
        <v>-8776</v>
      </c>
      <c r="K1539" s="995">
        <f t="shared" si="23"/>
        <v>6</v>
      </c>
    </row>
    <row r="1540" spans="1:11">
      <c r="A1540" s="1054">
        <v>4</v>
      </c>
      <c r="B1540" s="1055" t="s">
        <v>893</v>
      </c>
      <c r="C1540" s="1055" t="s">
        <v>127</v>
      </c>
      <c r="D1540" s="1055" t="s">
        <v>893</v>
      </c>
      <c r="E1540" s="1055" t="s">
        <v>893</v>
      </c>
      <c r="F1540" s="1056">
        <v>-2433088</v>
      </c>
      <c r="G1540" s="1056">
        <v>3156</v>
      </c>
      <c r="H1540" s="1056">
        <v>520621</v>
      </c>
      <c r="I1540" s="1056">
        <v>-2950552</v>
      </c>
      <c r="K1540" s="995">
        <f t="shared" si="23"/>
        <v>1</v>
      </c>
    </row>
    <row r="1541" spans="1:11">
      <c r="A1541" s="1054">
        <v>41</v>
      </c>
      <c r="B1541" s="1055" t="s">
        <v>893</v>
      </c>
      <c r="C1541" s="1055" t="s">
        <v>539</v>
      </c>
      <c r="D1541" s="1055" t="s">
        <v>893</v>
      </c>
      <c r="E1541" s="1055" t="s">
        <v>893</v>
      </c>
      <c r="F1541" s="1056">
        <v>-2423737</v>
      </c>
      <c r="G1541" s="1056">
        <v>3156</v>
      </c>
      <c r="H1541" s="1056">
        <v>518352</v>
      </c>
      <c r="I1541" s="1056">
        <v>-2938933</v>
      </c>
      <c r="K1541" s="995">
        <f t="shared" ref="K1541:K1604" si="24">+LEN(A1541)</f>
        <v>2</v>
      </c>
    </row>
    <row r="1542" spans="1:11">
      <c r="A1542" s="1054">
        <v>4135</v>
      </c>
      <c r="B1542" s="1055" t="s">
        <v>893</v>
      </c>
      <c r="C1542" s="1055" t="s">
        <v>432</v>
      </c>
      <c r="D1542" s="1055" t="s">
        <v>893</v>
      </c>
      <c r="E1542" s="1055" t="s">
        <v>893</v>
      </c>
      <c r="F1542" s="1056">
        <v>-2427473</v>
      </c>
      <c r="G1542" s="1056">
        <v>2453</v>
      </c>
      <c r="H1542" s="1056">
        <v>518352</v>
      </c>
      <c r="I1542" s="1056">
        <v>-2943372</v>
      </c>
      <c r="K1542" s="995">
        <f t="shared" si="24"/>
        <v>4</v>
      </c>
    </row>
    <row r="1543" spans="1:11">
      <c r="A1543" s="1054">
        <v>413595</v>
      </c>
      <c r="B1543" s="1055" t="s">
        <v>893</v>
      </c>
      <c r="C1543" s="1055" t="s">
        <v>540</v>
      </c>
      <c r="D1543" s="1055" t="s">
        <v>893</v>
      </c>
      <c r="E1543" s="1055" t="s">
        <v>893</v>
      </c>
      <c r="F1543" s="1056">
        <v>-2427473</v>
      </c>
      <c r="G1543" s="1056">
        <v>2453</v>
      </c>
      <c r="H1543" s="1056">
        <v>518352</v>
      </c>
      <c r="I1543" s="1056">
        <v>-2943372</v>
      </c>
      <c r="K1543" s="995">
        <f t="shared" si="24"/>
        <v>6</v>
      </c>
    </row>
    <row r="1544" spans="1:11">
      <c r="A1544" s="1054">
        <v>41359503</v>
      </c>
      <c r="B1544" s="1055" t="s">
        <v>1489</v>
      </c>
      <c r="C1544" s="1055" t="s">
        <v>541</v>
      </c>
      <c r="D1544" s="1055" t="s">
        <v>893</v>
      </c>
      <c r="E1544" s="1055" t="s">
        <v>893</v>
      </c>
      <c r="F1544" s="1056">
        <v>-2419223</v>
      </c>
      <c r="G1544" s="1056">
        <v>0</v>
      </c>
      <c r="H1544" s="1056">
        <v>518220</v>
      </c>
      <c r="I1544" s="1056">
        <v>-2937443</v>
      </c>
      <c r="K1544" s="995">
        <f t="shared" si="24"/>
        <v>8</v>
      </c>
    </row>
    <row r="1545" spans="1:11">
      <c r="A1545" s="1054">
        <v>41359503</v>
      </c>
      <c r="B1545" s="1055" t="s">
        <v>1489</v>
      </c>
      <c r="C1545" s="1055" t="s">
        <v>541</v>
      </c>
      <c r="D1545" s="1055" t="s">
        <v>1223</v>
      </c>
      <c r="E1545" s="1055" t="s">
        <v>742</v>
      </c>
      <c r="F1545" s="1056">
        <v>-2419086</v>
      </c>
      <c r="G1545" s="1056">
        <v>0</v>
      </c>
      <c r="H1545" s="1056">
        <v>518220</v>
      </c>
      <c r="I1545" s="1056">
        <v>-2937306</v>
      </c>
      <c r="K1545" s="995">
        <f t="shared" si="24"/>
        <v>8</v>
      </c>
    </row>
    <row r="1546" spans="1:11">
      <c r="A1546" s="1054">
        <v>41359503</v>
      </c>
      <c r="B1546" s="1055" t="s">
        <v>1489</v>
      </c>
      <c r="C1546" s="1055" t="s">
        <v>541</v>
      </c>
      <c r="D1546" s="1055" t="s">
        <v>1324</v>
      </c>
      <c r="E1546" s="1055" t="s">
        <v>1325</v>
      </c>
      <c r="F1546" s="1056">
        <v>-63</v>
      </c>
      <c r="G1546" s="1056">
        <v>0</v>
      </c>
      <c r="H1546" s="1056">
        <v>0</v>
      </c>
      <c r="I1546" s="1056">
        <v>-63</v>
      </c>
      <c r="K1546" s="995">
        <f t="shared" si="24"/>
        <v>8</v>
      </c>
    </row>
    <row r="1547" spans="1:11">
      <c r="A1547" s="1054">
        <v>41359503</v>
      </c>
      <c r="B1547" s="1055" t="s">
        <v>1489</v>
      </c>
      <c r="C1547" s="1055" t="s">
        <v>541</v>
      </c>
      <c r="D1547" s="1055" t="s">
        <v>1676</v>
      </c>
      <c r="E1547" s="1055" t="s">
        <v>1677</v>
      </c>
      <c r="F1547" s="1056">
        <v>-33</v>
      </c>
      <c r="G1547" s="1056">
        <v>0</v>
      </c>
      <c r="H1547" s="1056">
        <v>0</v>
      </c>
      <c r="I1547" s="1056">
        <v>-33</v>
      </c>
      <c r="K1547" s="995">
        <f t="shared" si="24"/>
        <v>8</v>
      </c>
    </row>
    <row r="1548" spans="1:11">
      <c r="A1548" s="1054">
        <v>41359503</v>
      </c>
      <c r="B1548" s="1055" t="s">
        <v>1489</v>
      </c>
      <c r="C1548" s="1055" t="s">
        <v>541</v>
      </c>
      <c r="D1548" s="1055" t="s">
        <v>1707</v>
      </c>
      <c r="E1548" s="1055" t="s">
        <v>1708</v>
      </c>
      <c r="F1548" s="1056">
        <v>-41</v>
      </c>
      <c r="G1548" s="1056">
        <v>0</v>
      </c>
      <c r="H1548" s="1056">
        <v>0</v>
      </c>
      <c r="I1548" s="1056">
        <v>-41</v>
      </c>
      <c r="K1548" s="995">
        <f t="shared" si="24"/>
        <v>8</v>
      </c>
    </row>
    <row r="1549" spans="1:11">
      <c r="A1549" s="1054">
        <v>41359511</v>
      </c>
      <c r="B1549" s="1055" t="s">
        <v>1489</v>
      </c>
      <c r="C1549" s="1055" t="s">
        <v>580</v>
      </c>
      <c r="D1549" s="1055" t="s">
        <v>893</v>
      </c>
      <c r="E1549" s="1055" t="s">
        <v>893</v>
      </c>
      <c r="F1549" s="1056">
        <v>-1351</v>
      </c>
      <c r="G1549" s="1056">
        <v>0</v>
      </c>
      <c r="H1549" s="1056">
        <v>132</v>
      </c>
      <c r="I1549" s="1056">
        <v>-1483</v>
      </c>
      <c r="K1549" s="995">
        <f t="shared" si="24"/>
        <v>8</v>
      </c>
    </row>
    <row r="1550" spans="1:11">
      <c r="A1550" s="1054">
        <v>41359511</v>
      </c>
      <c r="B1550" s="1055" t="s">
        <v>1489</v>
      </c>
      <c r="C1550" s="1055" t="s">
        <v>580</v>
      </c>
      <c r="D1550" s="1055" t="s">
        <v>1298</v>
      </c>
      <c r="E1550" s="1055" t="s">
        <v>987</v>
      </c>
      <c r="F1550" s="1056">
        <v>-30</v>
      </c>
      <c r="G1550" s="1056">
        <v>0</v>
      </c>
      <c r="H1550" s="1056">
        <v>0</v>
      </c>
      <c r="I1550" s="1056">
        <v>-30</v>
      </c>
      <c r="K1550" s="995">
        <f t="shared" si="24"/>
        <v>8</v>
      </c>
    </row>
    <row r="1551" spans="1:11">
      <c r="A1551" s="1054">
        <v>41359511</v>
      </c>
      <c r="B1551" s="1055" t="s">
        <v>1489</v>
      </c>
      <c r="C1551" s="1055" t="s">
        <v>580</v>
      </c>
      <c r="D1551" s="1055" t="s">
        <v>1601</v>
      </c>
      <c r="E1551" s="1055" t="s">
        <v>1602</v>
      </c>
      <c r="F1551" s="1056">
        <v>-101</v>
      </c>
      <c r="G1551" s="1056">
        <v>0</v>
      </c>
      <c r="H1551" s="1056">
        <v>24</v>
      </c>
      <c r="I1551" s="1056">
        <v>-124</v>
      </c>
      <c r="K1551" s="995">
        <f t="shared" si="24"/>
        <v>8</v>
      </c>
    </row>
    <row r="1552" spans="1:11">
      <c r="A1552" s="1054">
        <v>41359511</v>
      </c>
      <c r="B1552" s="1055" t="s">
        <v>1489</v>
      </c>
      <c r="C1552" s="1055" t="s">
        <v>580</v>
      </c>
      <c r="D1552" s="1055" t="s">
        <v>1271</v>
      </c>
      <c r="E1552" s="1055" t="s">
        <v>782</v>
      </c>
      <c r="F1552" s="1056">
        <v>-173</v>
      </c>
      <c r="G1552" s="1056">
        <v>0</v>
      </c>
      <c r="H1552" s="1056">
        <v>38</v>
      </c>
      <c r="I1552" s="1056">
        <v>-211</v>
      </c>
      <c r="K1552" s="995">
        <f t="shared" si="24"/>
        <v>8</v>
      </c>
    </row>
    <row r="1553" spans="1:11">
      <c r="A1553" s="1054">
        <v>41359511</v>
      </c>
      <c r="B1553" s="1055" t="s">
        <v>1489</v>
      </c>
      <c r="C1553" s="1055" t="s">
        <v>580</v>
      </c>
      <c r="D1553" s="1055" t="s">
        <v>1274</v>
      </c>
      <c r="E1553" s="1055" t="s">
        <v>989</v>
      </c>
      <c r="F1553" s="1056">
        <v>-25</v>
      </c>
      <c r="G1553" s="1056">
        <v>0</v>
      </c>
      <c r="H1553" s="1056">
        <v>0</v>
      </c>
      <c r="I1553" s="1056">
        <v>-25</v>
      </c>
      <c r="K1553" s="995">
        <f t="shared" si="24"/>
        <v>8</v>
      </c>
    </row>
    <row r="1554" spans="1:11">
      <c r="A1554" s="1054">
        <v>41359511</v>
      </c>
      <c r="B1554" s="1055" t="s">
        <v>1489</v>
      </c>
      <c r="C1554" s="1055" t="s">
        <v>580</v>
      </c>
      <c r="D1554" s="1055" t="s">
        <v>1033</v>
      </c>
      <c r="E1554" s="1055" t="s">
        <v>695</v>
      </c>
      <c r="F1554" s="1056">
        <v>-903</v>
      </c>
      <c r="G1554" s="1056">
        <v>0</v>
      </c>
      <c r="H1554" s="1056">
        <v>0</v>
      </c>
      <c r="I1554" s="1056">
        <v>-903</v>
      </c>
      <c r="K1554" s="995">
        <f t="shared" si="24"/>
        <v>8</v>
      </c>
    </row>
    <row r="1555" spans="1:11">
      <c r="A1555" s="1054">
        <v>41359511</v>
      </c>
      <c r="B1555" s="1055" t="s">
        <v>1489</v>
      </c>
      <c r="C1555" s="1055" t="s">
        <v>580</v>
      </c>
      <c r="D1555" s="1055" t="s">
        <v>1034</v>
      </c>
      <c r="E1555" s="1055" t="s">
        <v>504</v>
      </c>
      <c r="F1555" s="1056">
        <v>-16</v>
      </c>
      <c r="G1555" s="1056">
        <v>0</v>
      </c>
      <c r="H1555" s="1056">
        <v>0</v>
      </c>
      <c r="I1555" s="1056">
        <v>-16</v>
      </c>
      <c r="K1555" s="995">
        <f t="shared" si="24"/>
        <v>8</v>
      </c>
    </row>
    <row r="1556" spans="1:11">
      <c r="A1556" s="1054">
        <v>41359511</v>
      </c>
      <c r="B1556" s="1055" t="s">
        <v>1489</v>
      </c>
      <c r="C1556" s="1055" t="s">
        <v>580</v>
      </c>
      <c r="D1556" s="1055" t="s">
        <v>1613</v>
      </c>
      <c r="E1556" s="1055" t="s">
        <v>1614</v>
      </c>
      <c r="F1556" s="1056">
        <v>-37</v>
      </c>
      <c r="G1556" s="1056">
        <v>0</v>
      </c>
      <c r="H1556" s="1056">
        <v>0</v>
      </c>
      <c r="I1556" s="1056">
        <v>-37</v>
      </c>
      <c r="K1556" s="995">
        <f t="shared" si="24"/>
        <v>8</v>
      </c>
    </row>
    <row r="1557" spans="1:11">
      <c r="A1557" s="1054">
        <v>41359511</v>
      </c>
      <c r="B1557" s="1055" t="s">
        <v>1489</v>
      </c>
      <c r="C1557" s="1055" t="s">
        <v>580</v>
      </c>
      <c r="D1557" s="1055" t="s">
        <v>1605</v>
      </c>
      <c r="E1557" s="1055" t="s">
        <v>1606</v>
      </c>
      <c r="F1557" s="1056">
        <v>-20</v>
      </c>
      <c r="G1557" s="1056">
        <v>0</v>
      </c>
      <c r="H1557" s="1056">
        <v>71</v>
      </c>
      <c r="I1557" s="1056">
        <v>-91</v>
      </c>
      <c r="K1557" s="995">
        <f t="shared" si="24"/>
        <v>8</v>
      </c>
    </row>
    <row r="1558" spans="1:11">
      <c r="A1558" s="1054">
        <v>41359511</v>
      </c>
      <c r="B1558" s="1055" t="s">
        <v>1489</v>
      </c>
      <c r="C1558" s="1055" t="s">
        <v>580</v>
      </c>
      <c r="D1558" s="1055" t="s">
        <v>1254</v>
      </c>
      <c r="E1558" s="1055" t="s">
        <v>744</v>
      </c>
      <c r="F1558" s="1056">
        <v>-5</v>
      </c>
      <c r="G1558" s="1056">
        <v>0</v>
      </c>
      <c r="H1558" s="1056">
        <v>0</v>
      </c>
      <c r="I1558" s="1056">
        <v>-5</v>
      </c>
      <c r="K1558" s="995">
        <f t="shared" si="24"/>
        <v>8</v>
      </c>
    </row>
    <row r="1559" spans="1:11">
      <c r="A1559" s="1054">
        <v>41359511</v>
      </c>
      <c r="B1559" s="1055" t="s">
        <v>1489</v>
      </c>
      <c r="C1559" s="1055" t="s">
        <v>580</v>
      </c>
      <c r="D1559" s="1055" t="s">
        <v>1044</v>
      </c>
      <c r="E1559" s="1055" t="s">
        <v>1045</v>
      </c>
      <c r="F1559" s="1056">
        <v>-40</v>
      </c>
      <c r="G1559" s="1056">
        <v>0</v>
      </c>
      <c r="H1559" s="1056">
        <v>0</v>
      </c>
      <c r="I1559" s="1056">
        <v>-40</v>
      </c>
      <c r="K1559" s="995">
        <f t="shared" si="24"/>
        <v>8</v>
      </c>
    </row>
    <row r="1560" spans="1:11">
      <c r="A1560" s="1054">
        <v>41359599</v>
      </c>
      <c r="B1560" s="1055" t="s">
        <v>1489</v>
      </c>
      <c r="C1560" s="1055" t="s">
        <v>918</v>
      </c>
      <c r="D1560" s="1055" t="s">
        <v>893</v>
      </c>
      <c r="E1560" s="1055" t="s">
        <v>893</v>
      </c>
      <c r="F1560" s="1056">
        <v>-6899</v>
      </c>
      <c r="G1560" s="1056">
        <v>2453</v>
      </c>
      <c r="H1560" s="1056">
        <v>0</v>
      </c>
      <c r="I1560" s="1056">
        <v>-4446</v>
      </c>
      <c r="K1560" s="995">
        <f t="shared" si="24"/>
        <v>8</v>
      </c>
    </row>
    <row r="1561" spans="1:11">
      <c r="A1561" s="1054">
        <v>41359599</v>
      </c>
      <c r="B1561" s="1055" t="s">
        <v>1489</v>
      </c>
      <c r="C1561" s="1055" t="s">
        <v>918</v>
      </c>
      <c r="D1561" s="1055" t="s">
        <v>1223</v>
      </c>
      <c r="E1561" s="1055" t="s">
        <v>742</v>
      </c>
      <c r="F1561" s="1056">
        <v>-7725</v>
      </c>
      <c r="G1561" s="1056">
        <v>2453</v>
      </c>
      <c r="H1561" s="1056">
        <v>0</v>
      </c>
      <c r="I1561" s="1056">
        <v>-5272</v>
      </c>
      <c r="K1561" s="995">
        <f t="shared" si="24"/>
        <v>8</v>
      </c>
    </row>
    <row r="1562" spans="1:11">
      <c r="A1562" s="1054">
        <v>41359599</v>
      </c>
      <c r="B1562" s="1055" t="s">
        <v>1489</v>
      </c>
      <c r="C1562" s="1055" t="s">
        <v>918</v>
      </c>
      <c r="D1562" s="1055" t="s">
        <v>1083</v>
      </c>
      <c r="E1562" s="1055" t="s">
        <v>256</v>
      </c>
      <c r="F1562" s="1056">
        <v>826</v>
      </c>
      <c r="G1562" s="1056">
        <v>0</v>
      </c>
      <c r="H1562" s="1056">
        <v>0</v>
      </c>
      <c r="I1562" s="1056">
        <v>826</v>
      </c>
      <c r="K1562" s="995">
        <f t="shared" si="24"/>
        <v>8</v>
      </c>
    </row>
    <row r="1563" spans="1:11">
      <c r="A1563" s="1054">
        <v>4175</v>
      </c>
      <c r="B1563" s="1055" t="s">
        <v>893</v>
      </c>
      <c r="C1563" s="1055" t="s">
        <v>367</v>
      </c>
      <c r="D1563" s="1055" t="s">
        <v>893</v>
      </c>
      <c r="E1563" s="1055" t="s">
        <v>893</v>
      </c>
      <c r="F1563" s="1056">
        <v>3735</v>
      </c>
      <c r="G1563" s="1056">
        <v>703</v>
      </c>
      <c r="H1563" s="1056">
        <v>0</v>
      </c>
      <c r="I1563" s="1056">
        <v>4439</v>
      </c>
      <c r="K1563" s="995">
        <f t="shared" si="24"/>
        <v>4</v>
      </c>
    </row>
    <row r="1564" spans="1:11">
      <c r="A1564" s="1054">
        <v>417505</v>
      </c>
      <c r="B1564" s="1055" t="s">
        <v>893</v>
      </c>
      <c r="C1564" s="1055" t="s">
        <v>368</v>
      </c>
      <c r="D1564" s="1055" t="s">
        <v>893</v>
      </c>
      <c r="E1564" s="1055" t="s">
        <v>893</v>
      </c>
      <c r="F1564" s="1056">
        <v>3735</v>
      </c>
      <c r="G1564" s="1056">
        <v>703</v>
      </c>
      <c r="H1564" s="1056">
        <v>0</v>
      </c>
      <c r="I1564" s="1056">
        <v>4439</v>
      </c>
      <c r="K1564" s="995">
        <f t="shared" si="24"/>
        <v>6</v>
      </c>
    </row>
    <row r="1565" spans="1:11">
      <c r="A1565" s="1054">
        <v>41750599</v>
      </c>
      <c r="B1565" s="1055" t="s">
        <v>1489</v>
      </c>
      <c r="C1565" s="1055" t="s">
        <v>919</v>
      </c>
      <c r="D1565" s="1055" t="s">
        <v>893</v>
      </c>
      <c r="E1565" s="1055" t="s">
        <v>893</v>
      </c>
      <c r="F1565" s="1056">
        <v>3735</v>
      </c>
      <c r="G1565" s="1056">
        <v>703</v>
      </c>
      <c r="H1565" s="1056">
        <v>0</v>
      </c>
      <c r="I1565" s="1056">
        <v>4439</v>
      </c>
      <c r="K1565" s="995">
        <f t="shared" si="24"/>
        <v>8</v>
      </c>
    </row>
    <row r="1566" spans="1:11">
      <c r="A1566" s="1054">
        <v>41750599</v>
      </c>
      <c r="B1566" s="1055" t="s">
        <v>1489</v>
      </c>
      <c r="C1566" s="1055" t="s">
        <v>919</v>
      </c>
      <c r="D1566" s="1055" t="s">
        <v>1223</v>
      </c>
      <c r="E1566" s="1055" t="s">
        <v>742</v>
      </c>
      <c r="F1566" s="1056">
        <v>751</v>
      </c>
      <c r="G1566" s="1056">
        <v>703</v>
      </c>
      <c r="H1566" s="1056">
        <v>0</v>
      </c>
      <c r="I1566" s="1056">
        <v>1454</v>
      </c>
      <c r="K1566" s="995">
        <f t="shared" si="24"/>
        <v>8</v>
      </c>
    </row>
    <row r="1567" spans="1:11">
      <c r="A1567" s="1054">
        <v>41750599</v>
      </c>
      <c r="B1567" s="1055" t="s">
        <v>1489</v>
      </c>
      <c r="C1567" s="1055" t="s">
        <v>919</v>
      </c>
      <c r="D1567" s="1055" t="s">
        <v>1083</v>
      </c>
      <c r="E1567" s="1055" t="s">
        <v>256</v>
      </c>
      <c r="F1567" s="1056">
        <v>2985</v>
      </c>
      <c r="G1567" s="1056">
        <v>0</v>
      </c>
      <c r="H1567" s="1056">
        <v>0</v>
      </c>
      <c r="I1567" s="1056">
        <v>2985</v>
      </c>
      <c r="K1567" s="995">
        <f t="shared" si="24"/>
        <v>8</v>
      </c>
    </row>
    <row r="1568" spans="1:11">
      <c r="A1568" s="1054">
        <v>42</v>
      </c>
      <c r="B1568" s="1055" t="s">
        <v>893</v>
      </c>
      <c r="C1568" s="1055" t="s">
        <v>369</v>
      </c>
      <c r="D1568" s="1055" t="s">
        <v>893</v>
      </c>
      <c r="E1568" s="1055" t="s">
        <v>893</v>
      </c>
      <c r="F1568" s="1056">
        <v>-8014</v>
      </c>
      <c r="G1568" s="1056">
        <v>0</v>
      </c>
      <c r="H1568" s="1056">
        <v>1944</v>
      </c>
      <c r="I1568" s="1056">
        <v>-9958</v>
      </c>
      <c r="K1568" s="995">
        <f t="shared" si="24"/>
        <v>2</v>
      </c>
    </row>
    <row r="1569" spans="1:11">
      <c r="A1569" s="1054">
        <v>4210</v>
      </c>
      <c r="B1569" s="1055" t="s">
        <v>893</v>
      </c>
      <c r="C1569" s="1055" t="s">
        <v>375</v>
      </c>
      <c r="D1569" s="1055" t="s">
        <v>893</v>
      </c>
      <c r="E1569" s="1055" t="s">
        <v>893</v>
      </c>
      <c r="F1569" s="1056">
        <v>0</v>
      </c>
      <c r="G1569" s="1056">
        <v>0</v>
      </c>
      <c r="H1569" s="1056">
        <v>0</v>
      </c>
      <c r="I1569" s="1056">
        <v>0</v>
      </c>
      <c r="K1569" s="995">
        <f t="shared" si="24"/>
        <v>4</v>
      </c>
    </row>
    <row r="1570" spans="1:11">
      <c r="A1570" s="1054">
        <v>421005</v>
      </c>
      <c r="B1570" s="1055" t="s">
        <v>893</v>
      </c>
      <c r="C1570" s="1055" t="s">
        <v>130</v>
      </c>
      <c r="D1570" s="1055" t="s">
        <v>893</v>
      </c>
      <c r="E1570" s="1055" t="s">
        <v>893</v>
      </c>
      <c r="F1570" s="1056">
        <v>0</v>
      </c>
      <c r="G1570" s="1056">
        <v>0</v>
      </c>
      <c r="H1570" s="1056">
        <v>0</v>
      </c>
      <c r="I1570" s="1056">
        <v>0</v>
      </c>
      <c r="K1570" s="995">
        <f t="shared" si="24"/>
        <v>6</v>
      </c>
    </row>
    <row r="1571" spans="1:11">
      <c r="A1571" s="1054">
        <v>42100501</v>
      </c>
      <c r="B1571" s="1055" t="s">
        <v>893</v>
      </c>
      <c r="C1571" s="1055" t="s">
        <v>130</v>
      </c>
      <c r="D1571" s="1055" t="s">
        <v>893</v>
      </c>
      <c r="E1571" s="1055" t="s">
        <v>893</v>
      </c>
      <c r="F1571" s="1056">
        <v>0</v>
      </c>
      <c r="G1571" s="1056">
        <v>0</v>
      </c>
      <c r="H1571" s="1056">
        <v>0</v>
      </c>
      <c r="I1571" s="1056">
        <v>0</v>
      </c>
      <c r="K1571" s="995">
        <f t="shared" si="24"/>
        <v>8</v>
      </c>
    </row>
    <row r="1572" spans="1:11">
      <c r="A1572" s="1054">
        <v>42100501</v>
      </c>
      <c r="B1572" s="1055" t="s">
        <v>893</v>
      </c>
      <c r="C1572" s="1055" t="s">
        <v>130</v>
      </c>
      <c r="D1572" s="1055" t="s">
        <v>1168</v>
      </c>
      <c r="E1572" s="1055" t="s">
        <v>1169</v>
      </c>
      <c r="F1572" s="1056">
        <v>0</v>
      </c>
      <c r="G1572" s="1056">
        <v>0</v>
      </c>
      <c r="H1572" s="1056">
        <v>0</v>
      </c>
      <c r="I1572" s="1056">
        <v>0</v>
      </c>
      <c r="K1572" s="995">
        <f t="shared" si="24"/>
        <v>8</v>
      </c>
    </row>
    <row r="1573" spans="1:11">
      <c r="A1573" s="1054">
        <v>4235</v>
      </c>
      <c r="B1573" s="1055" t="s">
        <v>1489</v>
      </c>
      <c r="C1573" s="1055" t="s">
        <v>765</v>
      </c>
      <c r="D1573" s="1055" t="s">
        <v>893</v>
      </c>
      <c r="E1573" s="1055" t="s">
        <v>893</v>
      </c>
      <c r="F1573" s="1056">
        <v>-2739</v>
      </c>
      <c r="G1573" s="1056">
        <v>0</v>
      </c>
      <c r="H1573" s="1056">
        <v>1421</v>
      </c>
      <c r="I1573" s="1056">
        <v>-4161</v>
      </c>
      <c r="K1573" s="995">
        <f t="shared" si="24"/>
        <v>4</v>
      </c>
    </row>
    <row r="1574" spans="1:11">
      <c r="A1574" s="1054">
        <v>423596</v>
      </c>
      <c r="B1574" s="1055" t="s">
        <v>1489</v>
      </c>
      <c r="C1574" s="1055" t="s">
        <v>766</v>
      </c>
      <c r="D1574" s="1055" t="s">
        <v>893</v>
      </c>
      <c r="E1574" s="1055" t="s">
        <v>893</v>
      </c>
      <c r="F1574" s="1056">
        <v>-2739</v>
      </c>
      <c r="G1574" s="1056">
        <v>0</v>
      </c>
      <c r="H1574" s="1056">
        <v>1421</v>
      </c>
      <c r="I1574" s="1056">
        <v>-4161</v>
      </c>
      <c r="K1574" s="995">
        <f t="shared" si="24"/>
        <v>6</v>
      </c>
    </row>
    <row r="1575" spans="1:11">
      <c r="A1575" s="1054">
        <v>42359604</v>
      </c>
      <c r="B1575" s="1055" t="s">
        <v>1489</v>
      </c>
      <c r="C1575" s="1055" t="s">
        <v>783</v>
      </c>
      <c r="D1575" s="1055" t="s">
        <v>893</v>
      </c>
      <c r="E1575" s="1055" t="s">
        <v>893</v>
      </c>
      <c r="F1575" s="1056">
        <v>-2739</v>
      </c>
      <c r="G1575" s="1056">
        <v>0</v>
      </c>
      <c r="H1575" s="1056">
        <v>0</v>
      </c>
      <c r="I1575" s="1056">
        <v>-2739</v>
      </c>
      <c r="K1575" s="995">
        <f t="shared" si="24"/>
        <v>8</v>
      </c>
    </row>
    <row r="1576" spans="1:11">
      <c r="A1576" s="1054">
        <v>42359604</v>
      </c>
      <c r="B1576" s="1055" t="s">
        <v>1489</v>
      </c>
      <c r="C1576" s="1055" t="s">
        <v>783</v>
      </c>
      <c r="D1576" s="1055" t="s">
        <v>1034</v>
      </c>
      <c r="E1576" s="1055" t="s">
        <v>504</v>
      </c>
      <c r="F1576" s="1056">
        <v>-2470</v>
      </c>
      <c r="G1576" s="1056">
        <v>0</v>
      </c>
      <c r="H1576" s="1056">
        <v>0</v>
      </c>
      <c r="I1576" s="1056">
        <v>-2470</v>
      </c>
      <c r="K1576" s="995">
        <f t="shared" si="24"/>
        <v>8</v>
      </c>
    </row>
    <row r="1577" spans="1:11">
      <c r="A1577" s="1054">
        <v>42359604</v>
      </c>
      <c r="B1577" s="1055" t="s">
        <v>1489</v>
      </c>
      <c r="C1577" s="1055" t="s">
        <v>783</v>
      </c>
      <c r="D1577" s="1055" t="s">
        <v>1855</v>
      </c>
      <c r="E1577" s="1055" t="s">
        <v>1856</v>
      </c>
      <c r="F1577" s="1056">
        <v>-120</v>
      </c>
      <c r="G1577" s="1056">
        <v>0</v>
      </c>
      <c r="H1577" s="1056">
        <v>0</v>
      </c>
      <c r="I1577" s="1056">
        <v>-120</v>
      </c>
      <c r="K1577" s="995">
        <f t="shared" si="24"/>
        <v>8</v>
      </c>
    </row>
    <row r="1578" spans="1:11">
      <c r="A1578" s="1054">
        <v>42359604</v>
      </c>
      <c r="B1578" s="1055" t="s">
        <v>1489</v>
      </c>
      <c r="C1578" s="1055" t="s">
        <v>783</v>
      </c>
      <c r="D1578" s="1055" t="s">
        <v>1062</v>
      </c>
      <c r="E1578" s="1055" t="s">
        <v>510</v>
      </c>
      <c r="F1578" s="1056">
        <v>-149</v>
      </c>
      <c r="G1578" s="1056">
        <v>0</v>
      </c>
      <c r="H1578" s="1056">
        <v>0</v>
      </c>
      <c r="I1578" s="1056">
        <v>-149</v>
      </c>
      <c r="K1578" s="995">
        <f t="shared" si="24"/>
        <v>8</v>
      </c>
    </row>
    <row r="1579" spans="1:11">
      <c r="A1579" s="1054">
        <v>42359605</v>
      </c>
      <c r="B1579" s="1055" t="s">
        <v>1489</v>
      </c>
      <c r="C1579" s="1055" t="s">
        <v>766</v>
      </c>
      <c r="D1579" s="1055" t="s">
        <v>893</v>
      </c>
      <c r="E1579" s="1055" t="s">
        <v>893</v>
      </c>
      <c r="F1579" s="1056">
        <v>0</v>
      </c>
      <c r="G1579" s="1056">
        <v>0</v>
      </c>
      <c r="H1579" s="1056">
        <v>1421</v>
      </c>
      <c r="I1579" s="1056">
        <v>-1421</v>
      </c>
      <c r="K1579" s="995">
        <f t="shared" si="24"/>
        <v>8</v>
      </c>
    </row>
    <row r="1580" spans="1:11">
      <c r="A1580" s="1054">
        <v>42359605</v>
      </c>
      <c r="B1580" s="1055" t="s">
        <v>1489</v>
      </c>
      <c r="C1580" s="1055" t="s">
        <v>766</v>
      </c>
      <c r="D1580" s="1055" t="s">
        <v>1034</v>
      </c>
      <c r="E1580" s="1055" t="s">
        <v>504</v>
      </c>
      <c r="F1580" s="1056">
        <v>0</v>
      </c>
      <c r="G1580" s="1056">
        <v>0</v>
      </c>
      <c r="H1580" s="1056">
        <v>1421</v>
      </c>
      <c r="I1580" s="1056">
        <v>-1421</v>
      </c>
      <c r="K1580" s="995">
        <f t="shared" si="24"/>
        <v>8</v>
      </c>
    </row>
    <row r="1581" spans="1:11">
      <c r="A1581" s="1054">
        <v>4250</v>
      </c>
      <c r="B1581" s="1055" t="s">
        <v>893</v>
      </c>
      <c r="C1581" s="1055" t="s">
        <v>370</v>
      </c>
      <c r="D1581" s="1055" t="s">
        <v>893</v>
      </c>
      <c r="E1581" s="1055" t="s">
        <v>893</v>
      </c>
      <c r="F1581" s="1056">
        <v>-16</v>
      </c>
      <c r="G1581" s="1056">
        <v>0</v>
      </c>
      <c r="H1581" s="1056">
        <v>4</v>
      </c>
      <c r="I1581" s="1056">
        <v>-20</v>
      </c>
      <c r="K1581" s="995">
        <f t="shared" si="24"/>
        <v>4</v>
      </c>
    </row>
    <row r="1582" spans="1:11">
      <c r="A1582" s="1054">
        <v>425050</v>
      </c>
      <c r="B1582" s="1055" t="s">
        <v>893</v>
      </c>
      <c r="C1582" s="1055" t="s">
        <v>371</v>
      </c>
      <c r="D1582" s="1055" t="s">
        <v>893</v>
      </c>
      <c r="E1582" s="1055" t="s">
        <v>893</v>
      </c>
      <c r="F1582" s="1056">
        <v>-16</v>
      </c>
      <c r="G1582" s="1056">
        <v>0</v>
      </c>
      <c r="H1582" s="1056">
        <v>4</v>
      </c>
      <c r="I1582" s="1056">
        <v>-20</v>
      </c>
      <c r="K1582" s="995">
        <f t="shared" si="24"/>
        <v>6</v>
      </c>
    </row>
    <row r="1583" spans="1:11">
      <c r="A1583" s="1054">
        <v>42505001</v>
      </c>
      <c r="B1583" s="1055" t="s">
        <v>893</v>
      </c>
      <c r="C1583" s="1055" t="s">
        <v>371</v>
      </c>
      <c r="D1583" s="1055" t="s">
        <v>893</v>
      </c>
      <c r="E1583" s="1055" t="s">
        <v>893</v>
      </c>
      <c r="F1583" s="1056">
        <v>-1</v>
      </c>
      <c r="G1583" s="1056">
        <v>0</v>
      </c>
      <c r="H1583" s="1056">
        <v>0</v>
      </c>
      <c r="I1583" s="1056">
        <v>-1</v>
      </c>
      <c r="K1583" s="995">
        <f t="shared" si="24"/>
        <v>8</v>
      </c>
    </row>
    <row r="1584" spans="1:11">
      <c r="A1584" s="1054">
        <v>42505001</v>
      </c>
      <c r="B1584" s="1055" t="s">
        <v>893</v>
      </c>
      <c r="C1584" s="1055" t="s">
        <v>371</v>
      </c>
      <c r="D1584" s="1055" t="s">
        <v>1362</v>
      </c>
      <c r="E1584" s="1055" t="s">
        <v>1363</v>
      </c>
      <c r="F1584" s="1056">
        <v>0</v>
      </c>
      <c r="G1584" s="1056">
        <v>0</v>
      </c>
      <c r="H1584" s="1056">
        <v>0</v>
      </c>
      <c r="I1584" s="1056">
        <v>0</v>
      </c>
      <c r="K1584" s="995">
        <f t="shared" si="24"/>
        <v>8</v>
      </c>
    </row>
    <row r="1585" spans="1:11">
      <c r="A1585" s="1054">
        <v>42505001</v>
      </c>
      <c r="B1585" s="1055" t="s">
        <v>893</v>
      </c>
      <c r="C1585" s="1055" t="s">
        <v>371</v>
      </c>
      <c r="D1585" s="1055" t="s">
        <v>1198</v>
      </c>
      <c r="E1585" s="1055" t="s">
        <v>337</v>
      </c>
      <c r="F1585" s="1056">
        <v>-1</v>
      </c>
      <c r="G1585" s="1056">
        <v>0</v>
      </c>
      <c r="H1585" s="1056">
        <v>0</v>
      </c>
      <c r="I1585" s="1056">
        <v>-1</v>
      </c>
      <c r="K1585" s="995">
        <f t="shared" si="24"/>
        <v>8</v>
      </c>
    </row>
    <row r="1586" spans="1:11">
      <c r="A1586" s="1054">
        <v>42505003</v>
      </c>
      <c r="B1586" s="1055" t="s">
        <v>1489</v>
      </c>
      <c r="C1586" s="1055" t="s">
        <v>542</v>
      </c>
      <c r="D1586" s="1055" t="s">
        <v>893</v>
      </c>
      <c r="E1586" s="1055" t="s">
        <v>893</v>
      </c>
      <c r="F1586" s="1056">
        <v>-15</v>
      </c>
      <c r="G1586" s="1056">
        <v>0</v>
      </c>
      <c r="H1586" s="1056">
        <v>3</v>
      </c>
      <c r="I1586" s="1056">
        <v>-19</v>
      </c>
      <c r="K1586" s="995">
        <f t="shared" si="24"/>
        <v>8</v>
      </c>
    </row>
    <row r="1587" spans="1:11">
      <c r="A1587" s="1054">
        <v>42505003</v>
      </c>
      <c r="B1587" s="1055" t="s">
        <v>1489</v>
      </c>
      <c r="C1587" s="1055" t="s">
        <v>542</v>
      </c>
      <c r="D1587" s="1055" t="s">
        <v>1360</v>
      </c>
      <c r="E1587" s="1055" t="s">
        <v>1361</v>
      </c>
      <c r="F1587" s="1056">
        <v>0</v>
      </c>
      <c r="G1587" s="1056">
        <v>0</v>
      </c>
      <c r="H1587" s="1056">
        <v>0</v>
      </c>
      <c r="I1587" s="1056">
        <v>-1</v>
      </c>
      <c r="K1587" s="995">
        <f t="shared" si="24"/>
        <v>8</v>
      </c>
    </row>
    <row r="1588" spans="1:11">
      <c r="A1588" s="1054">
        <v>42505003</v>
      </c>
      <c r="B1588" s="1055" t="s">
        <v>1489</v>
      </c>
      <c r="C1588" s="1055" t="s">
        <v>542</v>
      </c>
      <c r="D1588" s="1055" t="s">
        <v>1298</v>
      </c>
      <c r="E1588" s="1055" t="s">
        <v>987</v>
      </c>
      <c r="F1588" s="1056">
        <v>0</v>
      </c>
      <c r="G1588" s="1056">
        <v>0</v>
      </c>
      <c r="H1588" s="1056">
        <v>0</v>
      </c>
      <c r="I1588" s="1056">
        <v>0</v>
      </c>
      <c r="K1588" s="995">
        <f t="shared" si="24"/>
        <v>8</v>
      </c>
    </row>
    <row r="1589" spans="1:11">
      <c r="A1589" s="1054">
        <v>42505003</v>
      </c>
      <c r="B1589" s="1055" t="s">
        <v>1489</v>
      </c>
      <c r="C1589" s="1055" t="s">
        <v>542</v>
      </c>
      <c r="D1589" s="1055" t="s">
        <v>1397</v>
      </c>
      <c r="E1589" s="1055" t="s">
        <v>1398</v>
      </c>
      <c r="F1589" s="1056">
        <v>0</v>
      </c>
      <c r="G1589" s="1056">
        <v>0</v>
      </c>
      <c r="H1589" s="1056">
        <v>0</v>
      </c>
      <c r="I1589" s="1056">
        <v>0</v>
      </c>
      <c r="K1589" s="995">
        <f t="shared" si="24"/>
        <v>8</v>
      </c>
    </row>
    <row r="1590" spans="1:11">
      <c r="A1590" s="1054">
        <v>42505003</v>
      </c>
      <c r="B1590" s="1055" t="s">
        <v>1489</v>
      </c>
      <c r="C1590" s="1055" t="s">
        <v>542</v>
      </c>
      <c r="D1590" s="1055" t="s">
        <v>1362</v>
      </c>
      <c r="E1590" s="1055" t="s">
        <v>1363</v>
      </c>
      <c r="F1590" s="1056">
        <v>0</v>
      </c>
      <c r="G1590" s="1056">
        <v>0</v>
      </c>
      <c r="H1590" s="1056">
        <v>0</v>
      </c>
      <c r="I1590" s="1056">
        <v>-1</v>
      </c>
      <c r="K1590" s="995">
        <f t="shared" si="24"/>
        <v>8</v>
      </c>
    </row>
    <row r="1591" spans="1:11">
      <c r="A1591" s="1054">
        <v>42505003</v>
      </c>
      <c r="B1591" s="1055" t="s">
        <v>1489</v>
      </c>
      <c r="C1591" s="1055" t="s">
        <v>542</v>
      </c>
      <c r="D1591" s="1055" t="s">
        <v>1364</v>
      </c>
      <c r="E1591" s="1055" t="s">
        <v>1365</v>
      </c>
      <c r="F1591" s="1056">
        <v>0</v>
      </c>
      <c r="G1591" s="1056">
        <v>0</v>
      </c>
      <c r="H1591" s="1056">
        <v>0</v>
      </c>
      <c r="I1591" s="1056">
        <v>-1</v>
      </c>
      <c r="K1591" s="995">
        <f t="shared" si="24"/>
        <v>8</v>
      </c>
    </row>
    <row r="1592" spans="1:11">
      <c r="A1592" s="1054">
        <v>42505003</v>
      </c>
      <c r="B1592" s="1055" t="s">
        <v>1489</v>
      </c>
      <c r="C1592" s="1055" t="s">
        <v>542</v>
      </c>
      <c r="D1592" s="1055" t="s">
        <v>1601</v>
      </c>
      <c r="E1592" s="1055" t="s">
        <v>1602</v>
      </c>
      <c r="F1592" s="1056">
        <v>0</v>
      </c>
      <c r="G1592" s="1056">
        <v>0</v>
      </c>
      <c r="H1592" s="1056">
        <v>0</v>
      </c>
      <c r="I1592" s="1056">
        <v>0</v>
      </c>
      <c r="K1592" s="995">
        <f t="shared" si="24"/>
        <v>8</v>
      </c>
    </row>
    <row r="1593" spans="1:11">
      <c r="A1593" s="1054">
        <v>42505003</v>
      </c>
      <c r="B1593" s="1055" t="s">
        <v>1489</v>
      </c>
      <c r="C1593" s="1055" t="s">
        <v>542</v>
      </c>
      <c r="D1593" s="1055" t="s">
        <v>1270</v>
      </c>
      <c r="E1593" s="1055" t="s">
        <v>988</v>
      </c>
      <c r="F1593" s="1056">
        <v>0</v>
      </c>
      <c r="G1593" s="1056">
        <v>0</v>
      </c>
      <c r="H1593" s="1056">
        <v>0</v>
      </c>
      <c r="I1593" s="1056">
        <v>-1</v>
      </c>
      <c r="K1593" s="995">
        <f t="shared" si="24"/>
        <v>8</v>
      </c>
    </row>
    <row r="1594" spans="1:11">
      <c r="A1594" s="1054">
        <v>42505003</v>
      </c>
      <c r="B1594" s="1055" t="s">
        <v>1489</v>
      </c>
      <c r="C1594" s="1055" t="s">
        <v>542</v>
      </c>
      <c r="D1594" s="1055" t="s">
        <v>1271</v>
      </c>
      <c r="E1594" s="1055" t="s">
        <v>782</v>
      </c>
      <c r="F1594" s="1056">
        <v>0</v>
      </c>
      <c r="G1594" s="1056">
        <v>0</v>
      </c>
      <c r="H1594" s="1056">
        <v>0</v>
      </c>
      <c r="I1594" s="1056">
        <v>-1</v>
      </c>
      <c r="K1594" s="995">
        <f t="shared" si="24"/>
        <v>8</v>
      </c>
    </row>
    <row r="1595" spans="1:11">
      <c r="A1595" s="1054">
        <v>42505003</v>
      </c>
      <c r="B1595" s="1055" t="s">
        <v>1489</v>
      </c>
      <c r="C1595" s="1055" t="s">
        <v>542</v>
      </c>
      <c r="D1595" s="1055" t="s">
        <v>1366</v>
      </c>
      <c r="E1595" s="1055" t="s">
        <v>1367</v>
      </c>
      <c r="F1595" s="1056">
        <v>0</v>
      </c>
      <c r="G1595" s="1056">
        <v>0</v>
      </c>
      <c r="H1595" s="1056">
        <v>0</v>
      </c>
      <c r="I1595" s="1056">
        <v>-1</v>
      </c>
      <c r="K1595" s="995">
        <f t="shared" si="24"/>
        <v>8</v>
      </c>
    </row>
    <row r="1596" spans="1:11">
      <c r="A1596" s="1054">
        <v>42505003</v>
      </c>
      <c r="B1596" s="1055" t="s">
        <v>1489</v>
      </c>
      <c r="C1596" s="1055" t="s">
        <v>542</v>
      </c>
      <c r="D1596" s="1055" t="s">
        <v>1302</v>
      </c>
      <c r="E1596" s="1055" t="s">
        <v>986</v>
      </c>
      <c r="F1596" s="1056">
        <v>0</v>
      </c>
      <c r="G1596" s="1056">
        <v>0</v>
      </c>
      <c r="H1596" s="1056">
        <v>0</v>
      </c>
      <c r="I1596" s="1056">
        <v>-1</v>
      </c>
      <c r="K1596" s="995">
        <f t="shared" si="24"/>
        <v>8</v>
      </c>
    </row>
    <row r="1597" spans="1:11">
      <c r="A1597" s="1054">
        <v>42505003</v>
      </c>
      <c r="B1597" s="1055" t="s">
        <v>1489</v>
      </c>
      <c r="C1597" s="1055" t="s">
        <v>542</v>
      </c>
      <c r="D1597" s="1055" t="s">
        <v>1042</v>
      </c>
      <c r="E1597" s="1055" t="s">
        <v>1732</v>
      </c>
      <c r="F1597" s="1056">
        <v>0</v>
      </c>
      <c r="G1597" s="1056">
        <v>0</v>
      </c>
      <c r="H1597" s="1056">
        <v>0</v>
      </c>
      <c r="I1597" s="1056">
        <v>0</v>
      </c>
      <c r="K1597" s="995">
        <f t="shared" si="24"/>
        <v>8</v>
      </c>
    </row>
    <row r="1598" spans="1:11">
      <c r="A1598" s="1054">
        <v>42505003</v>
      </c>
      <c r="B1598" s="1055" t="s">
        <v>1489</v>
      </c>
      <c r="C1598" s="1055" t="s">
        <v>542</v>
      </c>
      <c r="D1598" s="1055" t="s">
        <v>1611</v>
      </c>
      <c r="E1598" s="1055" t="s">
        <v>1612</v>
      </c>
      <c r="F1598" s="1056">
        <v>0</v>
      </c>
      <c r="G1598" s="1056">
        <v>0</v>
      </c>
      <c r="H1598" s="1056">
        <v>0</v>
      </c>
      <c r="I1598" s="1056">
        <v>0</v>
      </c>
      <c r="K1598" s="995">
        <f t="shared" si="24"/>
        <v>8</v>
      </c>
    </row>
    <row r="1599" spans="1:11">
      <c r="A1599" s="1054">
        <v>42505003</v>
      </c>
      <c r="B1599" s="1055" t="s">
        <v>1489</v>
      </c>
      <c r="C1599" s="1055" t="s">
        <v>542</v>
      </c>
      <c r="D1599" s="1055" t="s">
        <v>1368</v>
      </c>
      <c r="E1599" s="1055" t="s">
        <v>1369</v>
      </c>
      <c r="F1599" s="1056">
        <v>0</v>
      </c>
      <c r="G1599" s="1056">
        <v>0</v>
      </c>
      <c r="H1599" s="1056">
        <v>0</v>
      </c>
      <c r="I1599" s="1056">
        <v>0</v>
      </c>
      <c r="K1599" s="995">
        <f t="shared" si="24"/>
        <v>8</v>
      </c>
    </row>
    <row r="1600" spans="1:11">
      <c r="A1600" s="1054">
        <v>42505003</v>
      </c>
      <c r="B1600" s="1055" t="s">
        <v>1489</v>
      </c>
      <c r="C1600" s="1055" t="s">
        <v>542</v>
      </c>
      <c r="D1600" s="1055" t="s">
        <v>1246</v>
      </c>
      <c r="E1600" s="1055" t="s">
        <v>743</v>
      </c>
      <c r="F1600" s="1056">
        <v>0</v>
      </c>
      <c r="G1600" s="1056">
        <v>0</v>
      </c>
      <c r="H1600" s="1056">
        <v>0</v>
      </c>
      <c r="I1600" s="1056">
        <v>0</v>
      </c>
      <c r="K1600" s="995">
        <f t="shared" si="24"/>
        <v>8</v>
      </c>
    </row>
    <row r="1601" spans="1:11">
      <c r="A1601" s="1054">
        <v>42505003</v>
      </c>
      <c r="B1601" s="1055" t="s">
        <v>1489</v>
      </c>
      <c r="C1601" s="1055" t="s">
        <v>542</v>
      </c>
      <c r="D1601" s="1055" t="s">
        <v>1320</v>
      </c>
      <c r="E1601" s="1055" t="s">
        <v>1321</v>
      </c>
      <c r="F1601" s="1056">
        <v>0</v>
      </c>
      <c r="G1601" s="1056">
        <v>0</v>
      </c>
      <c r="H1601" s="1056">
        <v>0</v>
      </c>
      <c r="I1601" s="1056">
        <v>-1</v>
      </c>
      <c r="K1601" s="995">
        <f t="shared" si="24"/>
        <v>8</v>
      </c>
    </row>
    <row r="1602" spans="1:11">
      <c r="A1602" s="1054">
        <v>42505003</v>
      </c>
      <c r="B1602" s="1055" t="s">
        <v>1489</v>
      </c>
      <c r="C1602" s="1055" t="s">
        <v>542</v>
      </c>
      <c r="D1602" s="1055" t="s">
        <v>1274</v>
      </c>
      <c r="E1602" s="1055" t="s">
        <v>989</v>
      </c>
      <c r="F1602" s="1056">
        <v>0</v>
      </c>
      <c r="G1602" s="1056">
        <v>0</v>
      </c>
      <c r="H1602" s="1056">
        <v>0</v>
      </c>
      <c r="I1602" s="1056">
        <v>-1</v>
      </c>
      <c r="K1602" s="995">
        <f t="shared" si="24"/>
        <v>8</v>
      </c>
    </row>
    <row r="1603" spans="1:11">
      <c r="A1603" s="1054">
        <v>42505003</v>
      </c>
      <c r="B1603" s="1055" t="s">
        <v>1489</v>
      </c>
      <c r="C1603" s="1055" t="s">
        <v>542</v>
      </c>
      <c r="D1603" s="1055" t="s">
        <v>1247</v>
      </c>
      <c r="E1603" s="1055" t="s">
        <v>1248</v>
      </c>
      <c r="F1603" s="1056">
        <v>0</v>
      </c>
      <c r="G1603" s="1056">
        <v>0</v>
      </c>
      <c r="H1603" s="1056">
        <v>0</v>
      </c>
      <c r="I1603" s="1056">
        <v>-1</v>
      </c>
      <c r="K1603" s="995">
        <f t="shared" si="24"/>
        <v>8</v>
      </c>
    </row>
    <row r="1604" spans="1:11">
      <c r="A1604" s="1054">
        <v>42505003</v>
      </c>
      <c r="B1604" s="1055" t="s">
        <v>1489</v>
      </c>
      <c r="C1604" s="1055" t="s">
        <v>542</v>
      </c>
      <c r="D1604" s="1055" t="s">
        <v>1387</v>
      </c>
      <c r="E1604" s="1055" t="s">
        <v>1388</v>
      </c>
      <c r="F1604" s="1056">
        <v>0</v>
      </c>
      <c r="G1604" s="1056">
        <v>0</v>
      </c>
      <c r="H1604" s="1056">
        <v>0</v>
      </c>
      <c r="I1604" s="1056">
        <v>0</v>
      </c>
      <c r="K1604" s="995">
        <f t="shared" si="24"/>
        <v>8</v>
      </c>
    </row>
    <row r="1605" spans="1:11">
      <c r="A1605" s="1054">
        <v>42505003</v>
      </c>
      <c r="B1605" s="1055" t="s">
        <v>1489</v>
      </c>
      <c r="C1605" s="1055" t="s">
        <v>542</v>
      </c>
      <c r="D1605" s="1055" t="s">
        <v>1370</v>
      </c>
      <c r="E1605" s="1055" t="s">
        <v>1371</v>
      </c>
      <c r="F1605" s="1056">
        <v>0</v>
      </c>
      <c r="G1605" s="1056">
        <v>0</v>
      </c>
      <c r="H1605" s="1056">
        <v>0</v>
      </c>
      <c r="I1605" s="1056">
        <v>0</v>
      </c>
      <c r="K1605" s="995">
        <f t="shared" ref="K1605:K1668" si="25">+LEN(A1605)</f>
        <v>8</v>
      </c>
    </row>
    <row r="1606" spans="1:11">
      <c r="A1606" s="1054">
        <v>42505003</v>
      </c>
      <c r="B1606" s="1055" t="s">
        <v>1489</v>
      </c>
      <c r="C1606" s="1055" t="s">
        <v>542</v>
      </c>
      <c r="D1606" s="1055" t="s">
        <v>1870</v>
      </c>
      <c r="E1606" s="1055" t="s">
        <v>1871</v>
      </c>
      <c r="F1606" s="1056">
        <v>0</v>
      </c>
      <c r="G1606" s="1056">
        <v>0</v>
      </c>
      <c r="H1606" s="1056">
        <v>0</v>
      </c>
      <c r="I1606" s="1056">
        <v>0</v>
      </c>
      <c r="K1606" s="995">
        <f t="shared" si="25"/>
        <v>8</v>
      </c>
    </row>
    <row r="1607" spans="1:11">
      <c r="A1607" s="1054">
        <v>42505003</v>
      </c>
      <c r="B1607" s="1055" t="s">
        <v>1489</v>
      </c>
      <c r="C1607" s="1055" t="s">
        <v>542</v>
      </c>
      <c r="D1607" s="1055" t="s">
        <v>1372</v>
      </c>
      <c r="E1607" s="1055" t="s">
        <v>1373</v>
      </c>
      <c r="F1607" s="1056">
        <v>0</v>
      </c>
      <c r="G1607" s="1056">
        <v>0</v>
      </c>
      <c r="H1607" s="1056">
        <v>0</v>
      </c>
      <c r="I1607" s="1056">
        <v>-1</v>
      </c>
      <c r="K1607" s="995">
        <f t="shared" si="25"/>
        <v>8</v>
      </c>
    </row>
    <row r="1608" spans="1:11">
      <c r="A1608" s="1054">
        <v>42505003</v>
      </c>
      <c r="B1608" s="1055" t="s">
        <v>1489</v>
      </c>
      <c r="C1608" s="1055" t="s">
        <v>542</v>
      </c>
      <c r="D1608" s="1055" t="s">
        <v>1785</v>
      </c>
      <c r="E1608" s="1055" t="s">
        <v>1786</v>
      </c>
      <c r="F1608" s="1056">
        <v>0</v>
      </c>
      <c r="G1608" s="1056">
        <v>0</v>
      </c>
      <c r="H1608" s="1056">
        <v>0</v>
      </c>
      <c r="I1608" s="1056">
        <v>0</v>
      </c>
      <c r="K1608" s="995">
        <f t="shared" si="25"/>
        <v>8</v>
      </c>
    </row>
    <row r="1609" spans="1:11">
      <c r="A1609" s="1054">
        <v>42505003</v>
      </c>
      <c r="B1609" s="1055" t="s">
        <v>1489</v>
      </c>
      <c r="C1609" s="1055" t="s">
        <v>542</v>
      </c>
      <c r="D1609" s="1055" t="s">
        <v>1374</v>
      </c>
      <c r="E1609" s="1055" t="s">
        <v>1375</v>
      </c>
      <c r="F1609" s="1056">
        <v>0</v>
      </c>
      <c r="G1609" s="1056">
        <v>0</v>
      </c>
      <c r="H1609" s="1056">
        <v>0</v>
      </c>
      <c r="I1609" s="1056">
        <v>0</v>
      </c>
      <c r="K1609" s="995">
        <f t="shared" si="25"/>
        <v>8</v>
      </c>
    </row>
    <row r="1610" spans="1:11">
      <c r="A1610" s="1054">
        <v>42505003</v>
      </c>
      <c r="B1610" s="1055" t="s">
        <v>1489</v>
      </c>
      <c r="C1610" s="1055" t="s">
        <v>542</v>
      </c>
      <c r="D1610" s="1055" t="s">
        <v>1389</v>
      </c>
      <c r="E1610" s="1055" t="s">
        <v>1390</v>
      </c>
      <c r="F1610" s="1056">
        <v>0</v>
      </c>
      <c r="G1610" s="1056">
        <v>0</v>
      </c>
      <c r="H1610" s="1056">
        <v>0</v>
      </c>
      <c r="I1610" s="1056">
        <v>0</v>
      </c>
      <c r="K1610" s="995">
        <f t="shared" si="25"/>
        <v>8</v>
      </c>
    </row>
    <row r="1611" spans="1:11">
      <c r="A1611" s="1054">
        <v>42505003</v>
      </c>
      <c r="B1611" s="1055" t="s">
        <v>1489</v>
      </c>
      <c r="C1611" s="1055" t="s">
        <v>542</v>
      </c>
      <c r="D1611" s="1055" t="s">
        <v>1249</v>
      </c>
      <c r="E1611" s="1055" t="s">
        <v>583</v>
      </c>
      <c r="F1611" s="1056">
        <v>0</v>
      </c>
      <c r="G1611" s="1056">
        <v>0</v>
      </c>
      <c r="H1611" s="1056">
        <v>0</v>
      </c>
      <c r="I1611" s="1056">
        <v>-1</v>
      </c>
      <c r="K1611" s="995">
        <f t="shared" si="25"/>
        <v>8</v>
      </c>
    </row>
    <row r="1612" spans="1:11">
      <c r="A1612" s="1054">
        <v>42505003</v>
      </c>
      <c r="B1612" s="1055" t="s">
        <v>1489</v>
      </c>
      <c r="C1612" s="1055" t="s">
        <v>542</v>
      </c>
      <c r="D1612" s="1055" t="s">
        <v>1376</v>
      </c>
      <c r="E1612" s="1055" t="s">
        <v>1377</v>
      </c>
      <c r="F1612" s="1056">
        <v>0</v>
      </c>
      <c r="G1612" s="1056">
        <v>0</v>
      </c>
      <c r="H1612" s="1056">
        <v>0</v>
      </c>
      <c r="I1612" s="1056">
        <v>0</v>
      </c>
      <c r="K1612" s="995">
        <f t="shared" si="25"/>
        <v>8</v>
      </c>
    </row>
    <row r="1613" spans="1:11">
      <c r="A1613" s="1054">
        <v>42505003</v>
      </c>
      <c r="B1613" s="1055" t="s">
        <v>1489</v>
      </c>
      <c r="C1613" s="1055" t="s">
        <v>542</v>
      </c>
      <c r="D1613" s="1055" t="s">
        <v>1613</v>
      </c>
      <c r="E1613" s="1055" t="s">
        <v>1614</v>
      </c>
      <c r="F1613" s="1056">
        <v>0</v>
      </c>
      <c r="G1613" s="1056">
        <v>0</v>
      </c>
      <c r="H1613" s="1056">
        <v>0</v>
      </c>
      <c r="I1613" s="1056">
        <v>0</v>
      </c>
      <c r="K1613" s="995">
        <f t="shared" si="25"/>
        <v>8</v>
      </c>
    </row>
    <row r="1614" spans="1:11">
      <c r="A1614" s="1054">
        <v>42505003</v>
      </c>
      <c r="B1614" s="1055" t="s">
        <v>1489</v>
      </c>
      <c r="C1614" s="1055" t="s">
        <v>542</v>
      </c>
      <c r="D1614" s="1055" t="s">
        <v>1305</v>
      </c>
      <c r="E1614" s="1055" t="s">
        <v>990</v>
      </c>
      <c r="F1614" s="1056">
        <v>0</v>
      </c>
      <c r="G1614" s="1056">
        <v>0</v>
      </c>
      <c r="H1614" s="1056">
        <v>0</v>
      </c>
      <c r="I1614" s="1056">
        <v>-1</v>
      </c>
      <c r="K1614" s="995">
        <f t="shared" si="25"/>
        <v>8</v>
      </c>
    </row>
    <row r="1615" spans="1:11">
      <c r="A1615" s="1054">
        <v>42505003</v>
      </c>
      <c r="B1615" s="1055" t="s">
        <v>1489</v>
      </c>
      <c r="C1615" s="1055" t="s">
        <v>542</v>
      </c>
      <c r="D1615" s="1055" t="s">
        <v>1306</v>
      </c>
      <c r="E1615" s="1055" t="s">
        <v>997</v>
      </c>
      <c r="F1615" s="1056">
        <v>0</v>
      </c>
      <c r="G1615" s="1056">
        <v>0</v>
      </c>
      <c r="H1615" s="1056">
        <v>0</v>
      </c>
      <c r="I1615" s="1056">
        <v>-1</v>
      </c>
      <c r="K1615" s="995">
        <f t="shared" si="25"/>
        <v>8</v>
      </c>
    </row>
    <row r="1616" spans="1:11">
      <c r="A1616" s="1054">
        <v>42505003</v>
      </c>
      <c r="B1616" s="1055" t="s">
        <v>1489</v>
      </c>
      <c r="C1616" s="1055" t="s">
        <v>542</v>
      </c>
      <c r="D1616" s="1055" t="s">
        <v>1322</v>
      </c>
      <c r="E1616" s="1055" t="s">
        <v>1323</v>
      </c>
      <c r="F1616" s="1056">
        <v>0</v>
      </c>
      <c r="G1616" s="1056">
        <v>0</v>
      </c>
      <c r="H1616" s="1056">
        <v>0</v>
      </c>
      <c r="I1616" s="1056">
        <v>0</v>
      </c>
      <c r="K1616" s="995">
        <f t="shared" si="25"/>
        <v>8</v>
      </c>
    </row>
    <row r="1617" spans="1:11">
      <c r="A1617" s="1054">
        <v>42505003</v>
      </c>
      <c r="B1617" s="1055" t="s">
        <v>1489</v>
      </c>
      <c r="C1617" s="1055" t="s">
        <v>542</v>
      </c>
      <c r="D1617" s="1055" t="s">
        <v>1391</v>
      </c>
      <c r="E1617" s="1055" t="s">
        <v>1392</v>
      </c>
      <c r="F1617" s="1056">
        <v>0</v>
      </c>
      <c r="G1617" s="1056">
        <v>0</v>
      </c>
      <c r="H1617" s="1056">
        <v>0</v>
      </c>
      <c r="I1617" s="1056">
        <v>0</v>
      </c>
      <c r="K1617" s="995">
        <f t="shared" si="25"/>
        <v>8</v>
      </c>
    </row>
    <row r="1618" spans="1:11">
      <c r="A1618" s="1054">
        <v>42505003</v>
      </c>
      <c r="B1618" s="1055" t="s">
        <v>1489</v>
      </c>
      <c r="C1618" s="1055" t="s">
        <v>542</v>
      </c>
      <c r="D1618" s="1055" t="s">
        <v>1250</v>
      </c>
      <c r="E1618" s="1055" t="s">
        <v>1251</v>
      </c>
      <c r="F1618" s="1056">
        <v>0</v>
      </c>
      <c r="G1618" s="1056">
        <v>0</v>
      </c>
      <c r="H1618" s="1056">
        <v>0</v>
      </c>
      <c r="I1618" s="1056">
        <v>-1</v>
      </c>
      <c r="K1618" s="995">
        <f t="shared" si="25"/>
        <v>8</v>
      </c>
    </row>
    <row r="1619" spans="1:11">
      <c r="A1619" s="1054">
        <v>42505003</v>
      </c>
      <c r="B1619" s="1055" t="s">
        <v>1489</v>
      </c>
      <c r="C1619" s="1055" t="s">
        <v>542</v>
      </c>
      <c r="D1619" s="1055" t="s">
        <v>1787</v>
      </c>
      <c r="E1619" s="1055" t="s">
        <v>1788</v>
      </c>
      <c r="F1619" s="1056">
        <v>0</v>
      </c>
      <c r="G1619" s="1056">
        <v>0</v>
      </c>
      <c r="H1619" s="1056">
        <v>0</v>
      </c>
      <c r="I1619" s="1056">
        <v>0</v>
      </c>
      <c r="K1619" s="995">
        <f t="shared" si="25"/>
        <v>8</v>
      </c>
    </row>
    <row r="1620" spans="1:11">
      <c r="A1620" s="1054">
        <v>42505003</v>
      </c>
      <c r="B1620" s="1055" t="s">
        <v>1489</v>
      </c>
      <c r="C1620" s="1055" t="s">
        <v>542</v>
      </c>
      <c r="D1620" s="1055" t="s">
        <v>1378</v>
      </c>
      <c r="E1620" s="1055" t="s">
        <v>1379</v>
      </c>
      <c r="F1620" s="1056">
        <v>0</v>
      </c>
      <c r="G1620" s="1056">
        <v>0</v>
      </c>
      <c r="H1620" s="1056">
        <v>0</v>
      </c>
      <c r="I1620" s="1056">
        <v>0</v>
      </c>
      <c r="K1620" s="995">
        <f t="shared" si="25"/>
        <v>8</v>
      </c>
    </row>
    <row r="1621" spans="1:11">
      <c r="A1621" s="1054">
        <v>42505003</v>
      </c>
      <c r="B1621" s="1055" t="s">
        <v>1489</v>
      </c>
      <c r="C1621" s="1055" t="s">
        <v>542</v>
      </c>
      <c r="D1621" s="1055" t="s">
        <v>1303</v>
      </c>
      <c r="E1621" s="1055" t="s">
        <v>806</v>
      </c>
      <c r="F1621" s="1056">
        <v>0</v>
      </c>
      <c r="G1621" s="1056">
        <v>0</v>
      </c>
      <c r="H1621" s="1056">
        <v>0</v>
      </c>
      <c r="I1621" s="1056">
        <v>-1</v>
      </c>
      <c r="K1621" s="995">
        <f t="shared" si="25"/>
        <v>8</v>
      </c>
    </row>
    <row r="1622" spans="1:11">
      <c r="A1622" s="1054">
        <v>42505003</v>
      </c>
      <c r="B1622" s="1055" t="s">
        <v>1489</v>
      </c>
      <c r="C1622" s="1055" t="s">
        <v>542</v>
      </c>
      <c r="D1622" s="1055" t="s">
        <v>1605</v>
      </c>
      <c r="E1622" s="1055" t="s">
        <v>1606</v>
      </c>
      <c r="F1622" s="1056">
        <v>0</v>
      </c>
      <c r="G1622" s="1056">
        <v>0</v>
      </c>
      <c r="H1622" s="1056">
        <v>0</v>
      </c>
      <c r="I1622" s="1056">
        <v>0</v>
      </c>
      <c r="K1622" s="995">
        <f t="shared" si="25"/>
        <v>8</v>
      </c>
    </row>
    <row r="1623" spans="1:11">
      <c r="A1623" s="1054">
        <v>42505003</v>
      </c>
      <c r="B1623" s="1055" t="s">
        <v>1489</v>
      </c>
      <c r="C1623" s="1055" t="s">
        <v>542</v>
      </c>
      <c r="D1623" s="1055" t="s">
        <v>1789</v>
      </c>
      <c r="E1623" s="1055" t="s">
        <v>1790</v>
      </c>
      <c r="F1623" s="1056">
        <v>0</v>
      </c>
      <c r="G1623" s="1056">
        <v>0</v>
      </c>
      <c r="H1623" s="1056">
        <v>0</v>
      </c>
      <c r="I1623" s="1056">
        <v>0</v>
      </c>
      <c r="K1623" s="995">
        <f t="shared" si="25"/>
        <v>8</v>
      </c>
    </row>
    <row r="1624" spans="1:11">
      <c r="A1624" s="1054">
        <v>42505003</v>
      </c>
      <c r="B1624" s="1055" t="s">
        <v>1489</v>
      </c>
      <c r="C1624" s="1055" t="s">
        <v>542</v>
      </c>
      <c r="D1624" s="1055" t="s">
        <v>1254</v>
      </c>
      <c r="E1624" s="1055" t="s">
        <v>744</v>
      </c>
      <c r="F1624" s="1056">
        <v>0</v>
      </c>
      <c r="G1624" s="1056">
        <v>0</v>
      </c>
      <c r="H1624" s="1056">
        <v>0</v>
      </c>
      <c r="I1624" s="1056">
        <v>-1</v>
      </c>
      <c r="K1624" s="995">
        <f t="shared" si="25"/>
        <v>8</v>
      </c>
    </row>
    <row r="1625" spans="1:11">
      <c r="A1625" s="1054">
        <v>42505003</v>
      </c>
      <c r="B1625" s="1055" t="s">
        <v>1489</v>
      </c>
      <c r="C1625" s="1055" t="s">
        <v>542</v>
      </c>
      <c r="D1625" s="1055" t="s">
        <v>1275</v>
      </c>
      <c r="E1625" s="1055" t="s">
        <v>991</v>
      </c>
      <c r="F1625" s="1056">
        <v>0</v>
      </c>
      <c r="G1625" s="1056">
        <v>0</v>
      </c>
      <c r="H1625" s="1056">
        <v>0</v>
      </c>
      <c r="I1625" s="1056">
        <v>-1</v>
      </c>
      <c r="K1625" s="995">
        <f t="shared" si="25"/>
        <v>8</v>
      </c>
    </row>
    <row r="1626" spans="1:11">
      <c r="A1626" s="1054">
        <v>42505003</v>
      </c>
      <c r="B1626" s="1055" t="s">
        <v>1489</v>
      </c>
      <c r="C1626" s="1055" t="s">
        <v>542</v>
      </c>
      <c r="D1626" s="1055" t="s">
        <v>1380</v>
      </c>
      <c r="E1626" s="1055" t="s">
        <v>1381</v>
      </c>
      <c r="F1626" s="1056">
        <v>0</v>
      </c>
      <c r="G1626" s="1056">
        <v>0</v>
      </c>
      <c r="H1626" s="1056">
        <v>0</v>
      </c>
      <c r="I1626" s="1056">
        <v>0</v>
      </c>
      <c r="K1626" s="995">
        <f t="shared" si="25"/>
        <v>8</v>
      </c>
    </row>
    <row r="1627" spans="1:11">
      <c r="A1627" s="1054">
        <v>42505003</v>
      </c>
      <c r="B1627" s="1055" t="s">
        <v>1489</v>
      </c>
      <c r="C1627" s="1055" t="s">
        <v>542</v>
      </c>
      <c r="D1627" s="1055" t="s">
        <v>1044</v>
      </c>
      <c r="E1627" s="1055" t="s">
        <v>1045</v>
      </c>
      <c r="F1627" s="1056">
        <v>0</v>
      </c>
      <c r="G1627" s="1056">
        <v>0</v>
      </c>
      <c r="H1627" s="1056">
        <v>0</v>
      </c>
      <c r="I1627" s="1056">
        <v>-1</v>
      </c>
      <c r="K1627" s="995">
        <f t="shared" si="25"/>
        <v>8</v>
      </c>
    </row>
    <row r="1628" spans="1:11">
      <c r="A1628" s="1054">
        <v>42505003</v>
      </c>
      <c r="B1628" s="1055" t="s">
        <v>1489</v>
      </c>
      <c r="C1628" s="1055" t="s">
        <v>542</v>
      </c>
      <c r="D1628" s="1055" t="s">
        <v>1395</v>
      </c>
      <c r="E1628" s="1055" t="s">
        <v>1396</v>
      </c>
      <c r="F1628" s="1056">
        <v>0</v>
      </c>
      <c r="G1628" s="1056">
        <v>0</v>
      </c>
      <c r="H1628" s="1056">
        <v>0</v>
      </c>
      <c r="I1628" s="1056">
        <v>0</v>
      </c>
      <c r="K1628" s="995">
        <f t="shared" si="25"/>
        <v>8</v>
      </c>
    </row>
    <row r="1629" spans="1:11">
      <c r="A1629" s="1054">
        <v>42505003</v>
      </c>
      <c r="B1629" s="1055" t="s">
        <v>1489</v>
      </c>
      <c r="C1629" s="1055" t="s">
        <v>542</v>
      </c>
      <c r="D1629" s="1055" t="s">
        <v>1382</v>
      </c>
      <c r="E1629" s="1055" t="s">
        <v>1763</v>
      </c>
      <c r="F1629" s="1056">
        <v>0</v>
      </c>
      <c r="G1629" s="1056">
        <v>0</v>
      </c>
      <c r="H1629" s="1056">
        <v>0</v>
      </c>
      <c r="I1629" s="1056">
        <v>-1</v>
      </c>
      <c r="K1629" s="995">
        <f t="shared" si="25"/>
        <v>8</v>
      </c>
    </row>
    <row r="1630" spans="1:11">
      <c r="A1630" s="1054">
        <v>42505003</v>
      </c>
      <c r="B1630" s="1055" t="s">
        <v>1489</v>
      </c>
      <c r="C1630" s="1055" t="s">
        <v>542</v>
      </c>
      <c r="D1630" s="1055" t="s">
        <v>1383</v>
      </c>
      <c r="E1630" s="1055" t="s">
        <v>1384</v>
      </c>
      <c r="F1630" s="1056">
        <v>0</v>
      </c>
      <c r="G1630" s="1056">
        <v>0</v>
      </c>
      <c r="H1630" s="1056">
        <v>0</v>
      </c>
      <c r="I1630" s="1056">
        <v>-1</v>
      </c>
      <c r="K1630" s="995">
        <f t="shared" si="25"/>
        <v>8</v>
      </c>
    </row>
    <row r="1631" spans="1:11">
      <c r="A1631" s="1054">
        <v>4255</v>
      </c>
      <c r="B1631" s="1055" t="s">
        <v>1489</v>
      </c>
      <c r="C1631" s="1055" t="s">
        <v>132</v>
      </c>
      <c r="D1631" s="1055" t="s">
        <v>893</v>
      </c>
      <c r="E1631" s="1055" t="s">
        <v>893</v>
      </c>
      <c r="F1631" s="1056">
        <v>-1051</v>
      </c>
      <c r="G1631" s="1056">
        <v>0</v>
      </c>
      <c r="H1631" s="1056">
        <v>0</v>
      </c>
      <c r="I1631" s="1056">
        <v>-1051</v>
      </c>
      <c r="K1631" s="995">
        <f t="shared" si="25"/>
        <v>4</v>
      </c>
    </row>
    <row r="1632" spans="1:11">
      <c r="A1632" s="1054">
        <v>425540</v>
      </c>
      <c r="B1632" s="1055" t="s">
        <v>893</v>
      </c>
      <c r="C1632" s="1055" t="s">
        <v>372</v>
      </c>
      <c r="D1632" s="1055" t="s">
        <v>893</v>
      </c>
      <c r="E1632" s="1055" t="s">
        <v>893</v>
      </c>
      <c r="F1632" s="1056">
        <v>-1051</v>
      </c>
      <c r="G1632" s="1056">
        <v>0</v>
      </c>
      <c r="H1632" s="1056">
        <v>0</v>
      </c>
      <c r="I1632" s="1056">
        <v>-1051</v>
      </c>
      <c r="K1632" s="995">
        <f t="shared" si="25"/>
        <v>6</v>
      </c>
    </row>
    <row r="1633" spans="1:11">
      <c r="A1633" s="1054">
        <v>42554001</v>
      </c>
      <c r="B1633" s="1055" t="s">
        <v>893</v>
      </c>
      <c r="C1633" s="1055" t="s">
        <v>372</v>
      </c>
      <c r="D1633" s="1055" t="s">
        <v>893</v>
      </c>
      <c r="E1633" s="1055" t="s">
        <v>893</v>
      </c>
      <c r="F1633" s="1056">
        <v>-1051</v>
      </c>
      <c r="G1633" s="1056">
        <v>0</v>
      </c>
      <c r="H1633" s="1056">
        <v>0</v>
      </c>
      <c r="I1633" s="1056">
        <v>-1051</v>
      </c>
      <c r="K1633" s="995">
        <f t="shared" si="25"/>
        <v>8</v>
      </c>
    </row>
    <row r="1634" spans="1:11">
      <c r="A1634" s="1054">
        <v>42554001</v>
      </c>
      <c r="B1634" s="1055" t="s">
        <v>893</v>
      </c>
      <c r="C1634" s="1055" t="s">
        <v>372</v>
      </c>
      <c r="D1634" s="1055" t="s">
        <v>1320</v>
      </c>
      <c r="E1634" s="1055" t="s">
        <v>1321</v>
      </c>
      <c r="F1634" s="1056">
        <v>-617</v>
      </c>
      <c r="G1634" s="1056">
        <v>0</v>
      </c>
      <c r="H1634" s="1056">
        <v>0</v>
      </c>
      <c r="I1634" s="1056">
        <v>-617</v>
      </c>
      <c r="K1634" s="995">
        <f t="shared" si="25"/>
        <v>8</v>
      </c>
    </row>
    <row r="1635" spans="1:11">
      <c r="A1635" s="1054">
        <v>42554001</v>
      </c>
      <c r="B1635" s="1055" t="s">
        <v>893</v>
      </c>
      <c r="C1635" s="1055" t="s">
        <v>372</v>
      </c>
      <c r="D1635" s="1055" t="s">
        <v>1255</v>
      </c>
      <c r="E1635" s="1055" t="s">
        <v>1256</v>
      </c>
      <c r="F1635" s="1056">
        <v>-218</v>
      </c>
      <c r="G1635" s="1056">
        <v>0</v>
      </c>
      <c r="H1635" s="1056">
        <v>0</v>
      </c>
      <c r="I1635" s="1056">
        <v>-218</v>
      </c>
      <c r="K1635" s="995">
        <f t="shared" si="25"/>
        <v>8</v>
      </c>
    </row>
    <row r="1636" spans="1:11">
      <c r="A1636" s="1054">
        <v>42554001</v>
      </c>
      <c r="B1636" s="1055" t="s">
        <v>893</v>
      </c>
      <c r="C1636" s="1055" t="s">
        <v>372</v>
      </c>
      <c r="D1636" s="1055" t="s">
        <v>1044</v>
      </c>
      <c r="E1636" s="1055" t="s">
        <v>1045</v>
      </c>
      <c r="F1636" s="1056">
        <v>-217</v>
      </c>
      <c r="G1636" s="1056">
        <v>0</v>
      </c>
      <c r="H1636" s="1056">
        <v>0</v>
      </c>
      <c r="I1636" s="1056">
        <v>-217</v>
      </c>
      <c r="K1636" s="995">
        <f t="shared" si="25"/>
        <v>8</v>
      </c>
    </row>
    <row r="1637" spans="1:11">
      <c r="A1637" s="1054">
        <v>4295</v>
      </c>
      <c r="B1637" s="1055" t="s">
        <v>893</v>
      </c>
      <c r="C1637" s="1055" t="s">
        <v>133</v>
      </c>
      <c r="D1637" s="1055" t="s">
        <v>893</v>
      </c>
      <c r="E1637" s="1055" t="s">
        <v>893</v>
      </c>
      <c r="F1637" s="1056">
        <v>-4208</v>
      </c>
      <c r="G1637" s="1056">
        <v>0</v>
      </c>
      <c r="H1637" s="1056">
        <v>519</v>
      </c>
      <c r="I1637" s="1056">
        <v>-4727</v>
      </c>
      <c r="K1637" s="995">
        <f t="shared" si="25"/>
        <v>4</v>
      </c>
    </row>
    <row r="1638" spans="1:11">
      <c r="A1638" s="1054">
        <v>429505</v>
      </c>
      <c r="B1638" s="1055" t="s">
        <v>893</v>
      </c>
      <c r="C1638" s="1055" t="s">
        <v>373</v>
      </c>
      <c r="D1638" s="1055" t="s">
        <v>893</v>
      </c>
      <c r="E1638" s="1055" t="s">
        <v>893</v>
      </c>
      <c r="F1638" s="1056">
        <v>-344</v>
      </c>
      <c r="G1638" s="1056">
        <v>0</v>
      </c>
      <c r="H1638" s="1056">
        <v>53</v>
      </c>
      <c r="I1638" s="1056">
        <v>-397</v>
      </c>
      <c r="K1638" s="995">
        <f t="shared" si="25"/>
        <v>6</v>
      </c>
    </row>
    <row r="1639" spans="1:11">
      <c r="A1639" s="1054">
        <v>42950501</v>
      </c>
      <c r="B1639" s="1055" t="s">
        <v>893</v>
      </c>
      <c r="C1639" s="1055" t="s">
        <v>373</v>
      </c>
      <c r="D1639" s="1055" t="s">
        <v>893</v>
      </c>
      <c r="E1639" s="1055" t="s">
        <v>893</v>
      </c>
      <c r="F1639" s="1056">
        <v>-344</v>
      </c>
      <c r="G1639" s="1056">
        <v>0</v>
      </c>
      <c r="H1639" s="1056">
        <v>53</v>
      </c>
      <c r="I1639" s="1056">
        <v>-397</v>
      </c>
      <c r="K1639" s="995">
        <f t="shared" si="25"/>
        <v>8</v>
      </c>
    </row>
    <row r="1640" spans="1:11">
      <c r="A1640" s="1054">
        <v>42950501</v>
      </c>
      <c r="B1640" s="1055" t="s">
        <v>893</v>
      </c>
      <c r="C1640" s="1055" t="s">
        <v>373</v>
      </c>
      <c r="D1640" s="1055" t="s">
        <v>1385</v>
      </c>
      <c r="E1640" s="1055" t="s">
        <v>1386</v>
      </c>
      <c r="F1640" s="1056">
        <v>-1</v>
      </c>
      <c r="G1640" s="1056">
        <v>0</v>
      </c>
      <c r="H1640" s="1056">
        <v>0</v>
      </c>
      <c r="I1640" s="1056">
        <v>-1</v>
      </c>
      <c r="K1640" s="995">
        <f t="shared" si="25"/>
        <v>8</v>
      </c>
    </row>
    <row r="1641" spans="1:11">
      <c r="A1641" s="1054">
        <v>42950501</v>
      </c>
      <c r="B1641" s="1055" t="s">
        <v>893</v>
      </c>
      <c r="C1641" s="1055" t="s">
        <v>373</v>
      </c>
      <c r="D1641" s="1055" t="s">
        <v>1178</v>
      </c>
      <c r="E1641" s="1055" t="s">
        <v>1012</v>
      </c>
      <c r="F1641" s="1056">
        <v>0</v>
      </c>
      <c r="G1641" s="1056">
        <v>0</v>
      </c>
      <c r="H1641" s="1056">
        <v>0</v>
      </c>
      <c r="I1641" s="1056">
        <v>0</v>
      </c>
      <c r="K1641" s="995">
        <f t="shared" si="25"/>
        <v>8</v>
      </c>
    </row>
    <row r="1642" spans="1:11">
      <c r="A1642" s="1054">
        <v>42950501</v>
      </c>
      <c r="B1642" s="1055" t="s">
        <v>893</v>
      </c>
      <c r="C1642" s="1055" t="s">
        <v>373</v>
      </c>
      <c r="D1642" s="1055" t="s">
        <v>1042</v>
      </c>
      <c r="E1642" s="1055" t="s">
        <v>1732</v>
      </c>
      <c r="F1642" s="1056">
        <v>0</v>
      </c>
      <c r="G1642" s="1056">
        <v>0</v>
      </c>
      <c r="H1642" s="1056">
        <v>16</v>
      </c>
      <c r="I1642" s="1056">
        <v>-16</v>
      </c>
      <c r="K1642" s="995">
        <f t="shared" si="25"/>
        <v>8</v>
      </c>
    </row>
    <row r="1643" spans="1:11">
      <c r="A1643" s="1054">
        <v>42950501</v>
      </c>
      <c r="B1643" s="1055" t="s">
        <v>893</v>
      </c>
      <c r="C1643" s="1055" t="s">
        <v>373</v>
      </c>
      <c r="D1643" s="1055" t="s">
        <v>1320</v>
      </c>
      <c r="E1643" s="1055" t="s">
        <v>1321</v>
      </c>
      <c r="F1643" s="1056">
        <v>0</v>
      </c>
      <c r="G1643" s="1056">
        <v>0</v>
      </c>
      <c r="H1643" s="1056">
        <v>0</v>
      </c>
      <c r="I1643" s="1056">
        <v>0</v>
      </c>
      <c r="K1643" s="995">
        <f t="shared" si="25"/>
        <v>8</v>
      </c>
    </row>
    <row r="1644" spans="1:11">
      <c r="A1644" s="1054">
        <v>42950501</v>
      </c>
      <c r="B1644" s="1055" t="s">
        <v>893</v>
      </c>
      <c r="C1644" s="1055" t="s">
        <v>373</v>
      </c>
      <c r="D1644" s="1055" t="s">
        <v>1035</v>
      </c>
      <c r="E1644" s="1055" t="s">
        <v>573</v>
      </c>
      <c r="F1644" s="1056">
        <v>0</v>
      </c>
      <c r="G1644" s="1056">
        <v>0</v>
      </c>
      <c r="H1644" s="1056">
        <v>10</v>
      </c>
      <c r="I1644" s="1056">
        <v>-10</v>
      </c>
      <c r="K1644" s="995">
        <f t="shared" si="25"/>
        <v>8</v>
      </c>
    </row>
    <row r="1645" spans="1:11">
      <c r="A1645" s="1054">
        <v>42950501</v>
      </c>
      <c r="B1645" s="1055" t="s">
        <v>893</v>
      </c>
      <c r="C1645" s="1055" t="s">
        <v>373</v>
      </c>
      <c r="D1645" s="1055" t="s">
        <v>1322</v>
      </c>
      <c r="E1645" s="1055" t="s">
        <v>1323</v>
      </c>
      <c r="F1645" s="1056">
        <v>0</v>
      </c>
      <c r="G1645" s="1056">
        <v>0</v>
      </c>
      <c r="H1645" s="1056">
        <v>4</v>
      </c>
      <c r="I1645" s="1056">
        <v>-4</v>
      </c>
      <c r="K1645" s="995">
        <f t="shared" si="25"/>
        <v>8</v>
      </c>
    </row>
    <row r="1646" spans="1:11">
      <c r="A1646" s="1054">
        <v>42950501</v>
      </c>
      <c r="B1646" s="1055" t="s">
        <v>893</v>
      </c>
      <c r="C1646" s="1055" t="s">
        <v>373</v>
      </c>
      <c r="D1646" s="1055" t="s">
        <v>1060</v>
      </c>
      <c r="E1646" s="1055" t="s">
        <v>1061</v>
      </c>
      <c r="F1646" s="1056">
        <v>-343</v>
      </c>
      <c r="G1646" s="1056">
        <v>0</v>
      </c>
      <c r="H1646" s="1056">
        <v>23</v>
      </c>
      <c r="I1646" s="1056">
        <v>-366</v>
      </c>
      <c r="K1646" s="995">
        <f t="shared" si="25"/>
        <v>8</v>
      </c>
    </row>
    <row r="1647" spans="1:11">
      <c r="A1647" s="1054">
        <v>429516</v>
      </c>
      <c r="B1647" s="1055" t="s">
        <v>1489</v>
      </c>
      <c r="C1647" s="1055" t="s">
        <v>767</v>
      </c>
      <c r="D1647" s="1055" t="s">
        <v>893</v>
      </c>
      <c r="E1647" s="1055" t="s">
        <v>893</v>
      </c>
      <c r="F1647" s="1056">
        <v>-3856</v>
      </c>
      <c r="G1647" s="1056">
        <v>0</v>
      </c>
      <c r="H1647" s="1056">
        <v>463</v>
      </c>
      <c r="I1647" s="1056">
        <v>-4318</v>
      </c>
      <c r="K1647" s="995">
        <f t="shared" si="25"/>
        <v>6</v>
      </c>
    </row>
    <row r="1648" spans="1:11">
      <c r="A1648" s="1054">
        <v>42951601</v>
      </c>
      <c r="B1648" s="1055" t="s">
        <v>1489</v>
      </c>
      <c r="C1648" s="1055" t="s">
        <v>767</v>
      </c>
      <c r="D1648" s="1055" t="s">
        <v>893</v>
      </c>
      <c r="E1648" s="1055" t="s">
        <v>893</v>
      </c>
      <c r="F1648" s="1056">
        <v>-3856</v>
      </c>
      <c r="G1648" s="1056">
        <v>0</v>
      </c>
      <c r="H1648" s="1056">
        <v>463</v>
      </c>
      <c r="I1648" s="1056">
        <v>-4318</v>
      </c>
      <c r="K1648" s="995">
        <f t="shared" si="25"/>
        <v>8</v>
      </c>
    </row>
    <row r="1649" spans="1:11">
      <c r="A1649" s="1054">
        <v>42951601</v>
      </c>
      <c r="B1649" s="1055" t="s">
        <v>1489</v>
      </c>
      <c r="C1649" s="1055" t="s">
        <v>767</v>
      </c>
      <c r="D1649" s="1055" t="s">
        <v>1298</v>
      </c>
      <c r="E1649" s="1055" t="s">
        <v>987</v>
      </c>
      <c r="F1649" s="1056">
        <v>-127</v>
      </c>
      <c r="G1649" s="1056">
        <v>0</v>
      </c>
      <c r="H1649" s="1056">
        <v>34</v>
      </c>
      <c r="I1649" s="1056">
        <v>-161</v>
      </c>
      <c r="K1649" s="995">
        <f t="shared" si="25"/>
        <v>8</v>
      </c>
    </row>
    <row r="1650" spans="1:11">
      <c r="A1650" s="1054">
        <v>42951601</v>
      </c>
      <c r="B1650" s="1055" t="s">
        <v>1489</v>
      </c>
      <c r="C1650" s="1055" t="s">
        <v>767</v>
      </c>
      <c r="D1650" s="1055" t="s">
        <v>1270</v>
      </c>
      <c r="E1650" s="1055" t="s">
        <v>988</v>
      </c>
      <c r="F1650" s="1056">
        <v>-456</v>
      </c>
      <c r="G1650" s="1056">
        <v>0</v>
      </c>
      <c r="H1650" s="1056">
        <v>67</v>
      </c>
      <c r="I1650" s="1056">
        <v>-523</v>
      </c>
      <c r="K1650" s="995">
        <f t="shared" si="25"/>
        <v>8</v>
      </c>
    </row>
    <row r="1651" spans="1:11">
      <c r="A1651" s="1054">
        <v>42951601</v>
      </c>
      <c r="B1651" s="1055" t="s">
        <v>1489</v>
      </c>
      <c r="C1651" s="1055" t="s">
        <v>767</v>
      </c>
      <c r="D1651" s="1055" t="s">
        <v>1304</v>
      </c>
      <c r="E1651" s="1055" t="s">
        <v>1819</v>
      </c>
      <c r="F1651" s="1056">
        <v>-650</v>
      </c>
      <c r="G1651" s="1056">
        <v>0</v>
      </c>
      <c r="H1651" s="1056">
        <v>73</v>
      </c>
      <c r="I1651" s="1056">
        <v>-723</v>
      </c>
      <c r="K1651" s="995">
        <f t="shared" si="25"/>
        <v>8</v>
      </c>
    </row>
    <row r="1652" spans="1:11">
      <c r="A1652" s="1054">
        <v>42951601</v>
      </c>
      <c r="B1652" s="1055" t="s">
        <v>1489</v>
      </c>
      <c r="C1652" s="1055" t="s">
        <v>767</v>
      </c>
      <c r="D1652" s="1055" t="s">
        <v>1320</v>
      </c>
      <c r="E1652" s="1055" t="s">
        <v>1321</v>
      </c>
      <c r="F1652" s="1056">
        <v>-300</v>
      </c>
      <c r="G1652" s="1056">
        <v>0</v>
      </c>
      <c r="H1652" s="1056">
        <v>0</v>
      </c>
      <c r="I1652" s="1056">
        <v>-300</v>
      </c>
      <c r="K1652" s="995">
        <f t="shared" si="25"/>
        <v>8</v>
      </c>
    </row>
    <row r="1653" spans="1:11">
      <c r="A1653" s="1054">
        <v>42951601</v>
      </c>
      <c r="B1653" s="1055" t="s">
        <v>1489</v>
      </c>
      <c r="C1653" s="1055" t="s">
        <v>767</v>
      </c>
      <c r="D1653" s="1055" t="s">
        <v>1274</v>
      </c>
      <c r="E1653" s="1055" t="s">
        <v>989</v>
      </c>
      <c r="F1653" s="1056">
        <v>-337</v>
      </c>
      <c r="G1653" s="1056">
        <v>0</v>
      </c>
      <c r="H1653" s="1056">
        <v>94</v>
      </c>
      <c r="I1653" s="1056">
        <v>-431</v>
      </c>
      <c r="K1653" s="995">
        <f t="shared" si="25"/>
        <v>8</v>
      </c>
    </row>
    <row r="1654" spans="1:11">
      <c r="A1654" s="1054">
        <v>42951601</v>
      </c>
      <c r="B1654" s="1055" t="s">
        <v>1489</v>
      </c>
      <c r="C1654" s="1055" t="s">
        <v>767</v>
      </c>
      <c r="D1654" s="1055" t="s">
        <v>1249</v>
      </c>
      <c r="E1654" s="1055" t="s">
        <v>583</v>
      </c>
      <c r="F1654" s="1056">
        <v>-777</v>
      </c>
      <c r="G1654" s="1056">
        <v>0</v>
      </c>
      <c r="H1654" s="1056">
        <v>28</v>
      </c>
      <c r="I1654" s="1056">
        <v>-806</v>
      </c>
      <c r="K1654" s="995">
        <f t="shared" si="25"/>
        <v>8</v>
      </c>
    </row>
    <row r="1655" spans="1:11">
      <c r="A1655" s="1054">
        <v>42951601</v>
      </c>
      <c r="B1655" s="1055" t="s">
        <v>1489</v>
      </c>
      <c r="C1655" s="1055" t="s">
        <v>767</v>
      </c>
      <c r="D1655" s="1055" t="s">
        <v>1305</v>
      </c>
      <c r="E1655" s="1055" t="s">
        <v>990</v>
      </c>
      <c r="F1655" s="1056">
        <v>-327</v>
      </c>
      <c r="G1655" s="1056">
        <v>0</v>
      </c>
      <c r="H1655" s="1056">
        <v>3</v>
      </c>
      <c r="I1655" s="1056">
        <v>-331</v>
      </c>
      <c r="K1655" s="995">
        <f t="shared" si="25"/>
        <v>8</v>
      </c>
    </row>
    <row r="1656" spans="1:11">
      <c r="A1656" s="1054">
        <v>42951601</v>
      </c>
      <c r="B1656" s="1055" t="s">
        <v>1489</v>
      </c>
      <c r="C1656" s="1055" t="s">
        <v>767</v>
      </c>
      <c r="D1656" s="1055" t="s">
        <v>1605</v>
      </c>
      <c r="E1656" s="1055" t="s">
        <v>1606</v>
      </c>
      <c r="F1656" s="1056">
        <v>-323</v>
      </c>
      <c r="G1656" s="1056">
        <v>0</v>
      </c>
      <c r="H1656" s="1056">
        <v>110</v>
      </c>
      <c r="I1656" s="1056">
        <v>-433</v>
      </c>
      <c r="K1656" s="995">
        <f t="shared" si="25"/>
        <v>8</v>
      </c>
    </row>
    <row r="1657" spans="1:11">
      <c r="A1657" s="1054">
        <v>42951601</v>
      </c>
      <c r="B1657" s="1055" t="s">
        <v>1489</v>
      </c>
      <c r="C1657" s="1055" t="s">
        <v>767</v>
      </c>
      <c r="D1657" s="1055" t="s">
        <v>1254</v>
      </c>
      <c r="E1657" s="1055" t="s">
        <v>744</v>
      </c>
      <c r="F1657" s="1056">
        <v>-181</v>
      </c>
      <c r="G1657" s="1056">
        <v>0</v>
      </c>
      <c r="H1657" s="1056">
        <v>35</v>
      </c>
      <c r="I1657" s="1056">
        <v>-215</v>
      </c>
      <c r="K1657" s="995">
        <f t="shared" si="25"/>
        <v>8</v>
      </c>
    </row>
    <row r="1658" spans="1:11">
      <c r="A1658" s="1054">
        <v>42951601</v>
      </c>
      <c r="B1658" s="1055" t="s">
        <v>1489</v>
      </c>
      <c r="C1658" s="1055" t="s">
        <v>767</v>
      </c>
      <c r="D1658" s="1055" t="s">
        <v>1275</v>
      </c>
      <c r="E1658" s="1055" t="s">
        <v>991</v>
      </c>
      <c r="F1658" s="1056">
        <v>-210</v>
      </c>
      <c r="G1658" s="1056">
        <v>0</v>
      </c>
      <c r="H1658" s="1056">
        <v>19</v>
      </c>
      <c r="I1658" s="1056">
        <v>-229</v>
      </c>
      <c r="K1658" s="995">
        <f t="shared" si="25"/>
        <v>8</v>
      </c>
    </row>
    <row r="1659" spans="1:11">
      <c r="A1659" s="1054">
        <v>42951601</v>
      </c>
      <c r="B1659" s="1055" t="s">
        <v>1489</v>
      </c>
      <c r="C1659" s="1055" t="s">
        <v>767</v>
      </c>
      <c r="D1659" s="1055" t="s">
        <v>1060</v>
      </c>
      <c r="E1659" s="1055" t="s">
        <v>1061</v>
      </c>
      <c r="F1659" s="1056">
        <v>-168</v>
      </c>
      <c r="G1659" s="1056">
        <v>0</v>
      </c>
      <c r="H1659" s="1056">
        <v>0</v>
      </c>
      <c r="I1659" s="1056">
        <v>-168</v>
      </c>
      <c r="K1659" s="995">
        <f t="shared" si="25"/>
        <v>8</v>
      </c>
    </row>
    <row r="1660" spans="1:11">
      <c r="A1660" s="1054">
        <v>429581</v>
      </c>
      <c r="B1660" s="1055" t="s">
        <v>893</v>
      </c>
      <c r="C1660" s="1055" t="s">
        <v>374</v>
      </c>
      <c r="D1660" s="1055" t="s">
        <v>893</v>
      </c>
      <c r="E1660" s="1055" t="s">
        <v>893</v>
      </c>
      <c r="F1660" s="1056">
        <v>-8</v>
      </c>
      <c r="G1660" s="1056">
        <v>0</v>
      </c>
      <c r="H1660" s="1056">
        <v>3</v>
      </c>
      <c r="I1660" s="1056">
        <v>-11</v>
      </c>
      <c r="K1660" s="995">
        <f t="shared" si="25"/>
        <v>6</v>
      </c>
    </row>
    <row r="1661" spans="1:11">
      <c r="A1661" s="1054">
        <v>42958101</v>
      </c>
      <c r="B1661" s="1055" t="s">
        <v>893</v>
      </c>
      <c r="C1661" s="1055" t="s">
        <v>374</v>
      </c>
      <c r="D1661" s="1055" t="s">
        <v>893</v>
      </c>
      <c r="E1661" s="1055" t="s">
        <v>893</v>
      </c>
      <c r="F1661" s="1056">
        <v>-8</v>
      </c>
      <c r="G1661" s="1056">
        <v>0</v>
      </c>
      <c r="H1661" s="1056">
        <v>3</v>
      </c>
      <c r="I1661" s="1056">
        <v>-11</v>
      </c>
      <c r="K1661" s="995">
        <f t="shared" si="25"/>
        <v>8</v>
      </c>
    </row>
    <row r="1662" spans="1:11">
      <c r="A1662" s="1054">
        <v>42958101</v>
      </c>
      <c r="B1662" s="1055" t="s">
        <v>893</v>
      </c>
      <c r="C1662" s="1055" t="s">
        <v>374</v>
      </c>
      <c r="D1662" s="1055" t="s">
        <v>1298</v>
      </c>
      <c r="E1662" s="1055" t="s">
        <v>987</v>
      </c>
      <c r="F1662" s="1056">
        <v>0</v>
      </c>
      <c r="G1662" s="1056">
        <v>0</v>
      </c>
      <c r="H1662" s="1056">
        <v>0</v>
      </c>
      <c r="I1662" s="1056">
        <v>0</v>
      </c>
      <c r="K1662" s="995">
        <f t="shared" si="25"/>
        <v>8</v>
      </c>
    </row>
    <row r="1663" spans="1:11">
      <c r="A1663" s="1054">
        <v>42958101</v>
      </c>
      <c r="B1663" s="1055" t="s">
        <v>893</v>
      </c>
      <c r="C1663" s="1055" t="s">
        <v>374</v>
      </c>
      <c r="D1663" s="1055" t="s">
        <v>1270</v>
      </c>
      <c r="E1663" s="1055" t="s">
        <v>988</v>
      </c>
      <c r="F1663" s="1056">
        <v>0</v>
      </c>
      <c r="G1663" s="1056">
        <v>0</v>
      </c>
      <c r="H1663" s="1056">
        <v>0</v>
      </c>
      <c r="I1663" s="1056">
        <v>0</v>
      </c>
      <c r="K1663" s="995">
        <f t="shared" si="25"/>
        <v>8</v>
      </c>
    </row>
    <row r="1664" spans="1:11">
      <c r="A1664" s="1054">
        <v>42958101</v>
      </c>
      <c r="B1664" s="1055" t="s">
        <v>893</v>
      </c>
      <c r="C1664" s="1055" t="s">
        <v>374</v>
      </c>
      <c r="D1664" s="1055" t="s">
        <v>1329</v>
      </c>
      <c r="E1664" s="1055" t="s">
        <v>1330</v>
      </c>
      <c r="F1664" s="1056">
        <v>-2</v>
      </c>
      <c r="G1664" s="1056">
        <v>0</v>
      </c>
      <c r="H1664" s="1056">
        <v>0</v>
      </c>
      <c r="I1664" s="1056">
        <v>-2</v>
      </c>
      <c r="K1664" s="995">
        <f t="shared" si="25"/>
        <v>8</v>
      </c>
    </row>
    <row r="1665" spans="1:11">
      <c r="A1665" s="1054">
        <v>42958101</v>
      </c>
      <c r="B1665" s="1055" t="s">
        <v>893</v>
      </c>
      <c r="C1665" s="1055" t="s">
        <v>374</v>
      </c>
      <c r="D1665" s="1055" t="s">
        <v>1274</v>
      </c>
      <c r="E1665" s="1055" t="s">
        <v>989</v>
      </c>
      <c r="F1665" s="1056">
        <v>0</v>
      </c>
      <c r="G1665" s="1056">
        <v>0</v>
      </c>
      <c r="H1665" s="1056">
        <v>0</v>
      </c>
      <c r="I1665" s="1056">
        <v>0</v>
      </c>
      <c r="K1665" s="995">
        <f t="shared" si="25"/>
        <v>8</v>
      </c>
    </row>
    <row r="1666" spans="1:11">
      <c r="A1666" s="1054">
        <v>42958101</v>
      </c>
      <c r="B1666" s="1055" t="s">
        <v>893</v>
      </c>
      <c r="C1666" s="1055" t="s">
        <v>374</v>
      </c>
      <c r="D1666" s="1055" t="s">
        <v>1247</v>
      </c>
      <c r="E1666" s="1055" t="s">
        <v>1248</v>
      </c>
      <c r="F1666" s="1056">
        <v>-1</v>
      </c>
      <c r="G1666" s="1056">
        <v>0</v>
      </c>
      <c r="H1666" s="1056">
        <v>0</v>
      </c>
      <c r="I1666" s="1056">
        <v>-1</v>
      </c>
      <c r="K1666" s="995">
        <f t="shared" si="25"/>
        <v>8</v>
      </c>
    </row>
    <row r="1667" spans="1:11">
      <c r="A1667" s="1054">
        <v>42958101</v>
      </c>
      <c r="B1667" s="1055" t="s">
        <v>893</v>
      </c>
      <c r="C1667" s="1055" t="s">
        <v>374</v>
      </c>
      <c r="D1667" s="1055" t="s">
        <v>1222</v>
      </c>
      <c r="E1667" s="1055" t="s">
        <v>332</v>
      </c>
      <c r="F1667" s="1056">
        <v>-1</v>
      </c>
      <c r="G1667" s="1056">
        <v>0</v>
      </c>
      <c r="H1667" s="1056">
        <v>1</v>
      </c>
      <c r="I1667" s="1056">
        <v>-2</v>
      </c>
      <c r="K1667" s="995">
        <f t="shared" si="25"/>
        <v>8</v>
      </c>
    </row>
    <row r="1668" spans="1:11">
      <c r="A1668" s="1054">
        <v>42958101</v>
      </c>
      <c r="B1668" s="1055" t="s">
        <v>893</v>
      </c>
      <c r="C1668" s="1055" t="s">
        <v>374</v>
      </c>
      <c r="D1668" s="1055" t="s">
        <v>1171</v>
      </c>
      <c r="E1668" s="1055" t="s">
        <v>335</v>
      </c>
      <c r="F1668" s="1056">
        <v>0</v>
      </c>
      <c r="G1668" s="1056">
        <v>0</v>
      </c>
      <c r="H1668" s="1056">
        <v>0</v>
      </c>
      <c r="I1668" s="1056">
        <v>0</v>
      </c>
      <c r="K1668" s="995">
        <f t="shared" si="25"/>
        <v>8</v>
      </c>
    </row>
    <row r="1669" spans="1:11">
      <c r="A1669" s="1054">
        <v>42958101</v>
      </c>
      <c r="B1669" s="1055" t="s">
        <v>893</v>
      </c>
      <c r="C1669" s="1055" t="s">
        <v>374</v>
      </c>
      <c r="D1669" s="1055" t="s">
        <v>1191</v>
      </c>
      <c r="E1669" s="1055" t="s">
        <v>1021</v>
      </c>
      <c r="F1669" s="1056">
        <v>0</v>
      </c>
      <c r="G1669" s="1056">
        <v>0</v>
      </c>
      <c r="H1669" s="1056">
        <v>0</v>
      </c>
      <c r="I1669" s="1056">
        <v>0</v>
      </c>
      <c r="K1669" s="995">
        <f t="shared" ref="K1669:K1732" si="26">+LEN(A1669)</f>
        <v>8</v>
      </c>
    </row>
    <row r="1670" spans="1:11">
      <c r="A1670" s="1054">
        <v>42958101</v>
      </c>
      <c r="B1670" s="1055" t="s">
        <v>893</v>
      </c>
      <c r="C1670" s="1055" t="s">
        <v>374</v>
      </c>
      <c r="D1670" s="1055" t="s">
        <v>1034</v>
      </c>
      <c r="E1670" s="1055" t="s">
        <v>504</v>
      </c>
      <c r="F1670" s="1056">
        <v>0</v>
      </c>
      <c r="G1670" s="1056">
        <v>0</v>
      </c>
      <c r="H1670" s="1056">
        <v>0</v>
      </c>
      <c r="I1670" s="1056">
        <v>0</v>
      </c>
      <c r="K1670" s="995">
        <f t="shared" si="26"/>
        <v>8</v>
      </c>
    </row>
    <row r="1671" spans="1:11">
      <c r="A1671" s="1054">
        <v>42958101</v>
      </c>
      <c r="B1671" s="1055" t="s">
        <v>893</v>
      </c>
      <c r="C1671" s="1055" t="s">
        <v>374</v>
      </c>
      <c r="D1671" s="1055" t="s">
        <v>1074</v>
      </c>
      <c r="E1671" s="1055" t="s">
        <v>257</v>
      </c>
      <c r="F1671" s="1056">
        <v>0</v>
      </c>
      <c r="G1671" s="1056">
        <v>0</v>
      </c>
      <c r="H1671" s="1056">
        <v>0</v>
      </c>
      <c r="I1671" s="1056">
        <v>0</v>
      </c>
      <c r="K1671" s="995">
        <f t="shared" si="26"/>
        <v>8</v>
      </c>
    </row>
    <row r="1672" spans="1:11">
      <c r="A1672" s="1054">
        <v>42958101</v>
      </c>
      <c r="B1672" s="1055" t="s">
        <v>893</v>
      </c>
      <c r="C1672" s="1055" t="s">
        <v>374</v>
      </c>
      <c r="D1672" s="1055" t="s">
        <v>1352</v>
      </c>
      <c r="E1672" s="1055" t="s">
        <v>1353</v>
      </c>
      <c r="F1672" s="1056">
        <v>0</v>
      </c>
      <c r="G1672" s="1056">
        <v>0</v>
      </c>
      <c r="H1672" s="1056">
        <v>0</v>
      </c>
      <c r="I1672" s="1056">
        <v>0</v>
      </c>
      <c r="K1672" s="995">
        <f t="shared" si="26"/>
        <v>8</v>
      </c>
    </row>
    <row r="1673" spans="1:11">
      <c r="A1673" s="1054">
        <v>42958101</v>
      </c>
      <c r="B1673" s="1055" t="s">
        <v>893</v>
      </c>
      <c r="C1673" s="1055" t="s">
        <v>374</v>
      </c>
      <c r="D1673" s="1055" t="s">
        <v>1035</v>
      </c>
      <c r="E1673" s="1055" t="s">
        <v>573</v>
      </c>
      <c r="F1673" s="1056">
        <v>-2</v>
      </c>
      <c r="G1673" s="1056">
        <v>0</v>
      </c>
      <c r="H1673" s="1056">
        <v>2</v>
      </c>
      <c r="I1673" s="1056">
        <v>-4</v>
      </c>
      <c r="K1673" s="995">
        <f t="shared" si="26"/>
        <v>8</v>
      </c>
    </row>
    <row r="1674" spans="1:11">
      <c r="A1674" s="1054">
        <v>42958101</v>
      </c>
      <c r="B1674" s="1055" t="s">
        <v>893</v>
      </c>
      <c r="C1674" s="1055" t="s">
        <v>374</v>
      </c>
      <c r="D1674" s="1055" t="s">
        <v>1226</v>
      </c>
      <c r="E1674" s="1055" t="s">
        <v>1227</v>
      </c>
      <c r="F1674" s="1056">
        <v>0</v>
      </c>
      <c r="G1674" s="1056">
        <v>0</v>
      </c>
      <c r="H1674" s="1056">
        <v>0</v>
      </c>
      <c r="I1674" s="1056">
        <v>0</v>
      </c>
      <c r="K1674" s="995">
        <f t="shared" si="26"/>
        <v>8</v>
      </c>
    </row>
    <row r="1675" spans="1:11">
      <c r="A1675" s="1054">
        <v>42958101</v>
      </c>
      <c r="B1675" s="1055" t="s">
        <v>893</v>
      </c>
      <c r="C1675" s="1055" t="s">
        <v>374</v>
      </c>
      <c r="D1675" s="1055" t="s">
        <v>1036</v>
      </c>
      <c r="E1675" s="1055" t="s">
        <v>1037</v>
      </c>
      <c r="F1675" s="1056">
        <v>0</v>
      </c>
      <c r="G1675" s="1056">
        <v>0</v>
      </c>
      <c r="H1675" s="1056">
        <v>0</v>
      </c>
      <c r="I1675" s="1056">
        <v>0</v>
      </c>
      <c r="K1675" s="995">
        <f t="shared" si="26"/>
        <v>8</v>
      </c>
    </row>
    <row r="1676" spans="1:11">
      <c r="A1676" s="1054">
        <v>42958101</v>
      </c>
      <c r="B1676" s="1055" t="s">
        <v>893</v>
      </c>
      <c r="C1676" s="1055" t="s">
        <v>374</v>
      </c>
      <c r="D1676" s="1055" t="s">
        <v>1249</v>
      </c>
      <c r="E1676" s="1055" t="s">
        <v>583</v>
      </c>
      <c r="F1676" s="1056">
        <v>0</v>
      </c>
      <c r="G1676" s="1056">
        <v>0</v>
      </c>
      <c r="H1676" s="1056">
        <v>0</v>
      </c>
      <c r="I1676" s="1056">
        <v>0</v>
      </c>
      <c r="K1676" s="995">
        <f t="shared" si="26"/>
        <v>8</v>
      </c>
    </row>
    <row r="1677" spans="1:11">
      <c r="A1677" s="1054">
        <v>42958101</v>
      </c>
      <c r="B1677" s="1055" t="s">
        <v>893</v>
      </c>
      <c r="C1677" s="1055" t="s">
        <v>374</v>
      </c>
      <c r="D1677" s="1055" t="s">
        <v>1305</v>
      </c>
      <c r="E1677" s="1055" t="s">
        <v>990</v>
      </c>
      <c r="F1677" s="1056">
        <v>0</v>
      </c>
      <c r="G1677" s="1056">
        <v>0</v>
      </c>
      <c r="H1677" s="1056">
        <v>0</v>
      </c>
      <c r="I1677" s="1056">
        <v>0</v>
      </c>
      <c r="K1677" s="995">
        <f t="shared" si="26"/>
        <v>8</v>
      </c>
    </row>
    <row r="1678" spans="1:11">
      <c r="A1678" s="1054">
        <v>42958101</v>
      </c>
      <c r="B1678" s="1055" t="s">
        <v>893</v>
      </c>
      <c r="C1678" s="1055" t="s">
        <v>374</v>
      </c>
      <c r="D1678" s="1055" t="s">
        <v>1254</v>
      </c>
      <c r="E1678" s="1055" t="s">
        <v>744</v>
      </c>
      <c r="F1678" s="1056">
        <v>0</v>
      </c>
      <c r="G1678" s="1056">
        <v>0</v>
      </c>
      <c r="H1678" s="1056">
        <v>0</v>
      </c>
      <c r="I1678" s="1056">
        <v>0</v>
      </c>
      <c r="K1678" s="995">
        <f t="shared" si="26"/>
        <v>8</v>
      </c>
    </row>
    <row r="1679" spans="1:11">
      <c r="A1679" s="1054">
        <v>42958101</v>
      </c>
      <c r="B1679" s="1055" t="s">
        <v>893</v>
      </c>
      <c r="C1679" s="1055" t="s">
        <v>374</v>
      </c>
      <c r="D1679" s="1055" t="s">
        <v>1383</v>
      </c>
      <c r="E1679" s="1055" t="s">
        <v>1384</v>
      </c>
      <c r="F1679" s="1056">
        <v>-1</v>
      </c>
      <c r="G1679" s="1056">
        <v>0</v>
      </c>
      <c r="H1679" s="1056">
        <v>0</v>
      </c>
      <c r="I1679" s="1056">
        <v>-1</v>
      </c>
      <c r="K1679" s="995">
        <f t="shared" si="26"/>
        <v>8</v>
      </c>
    </row>
    <row r="1680" spans="1:11">
      <c r="A1680" s="1054">
        <v>43</v>
      </c>
      <c r="B1680" s="1055" t="s">
        <v>893</v>
      </c>
      <c r="C1680" s="1055" t="s">
        <v>134</v>
      </c>
      <c r="D1680" s="1055" t="s">
        <v>893</v>
      </c>
      <c r="E1680" s="1055" t="s">
        <v>893</v>
      </c>
      <c r="F1680" s="1056">
        <v>-1337</v>
      </c>
      <c r="G1680" s="1056">
        <v>0</v>
      </c>
      <c r="H1680" s="1056">
        <v>324</v>
      </c>
      <c r="I1680" s="1056">
        <v>-1661</v>
      </c>
      <c r="K1680" s="995">
        <f t="shared" si="26"/>
        <v>2</v>
      </c>
    </row>
    <row r="1681" spans="1:11">
      <c r="A1681" s="1054">
        <v>4310</v>
      </c>
      <c r="B1681" s="1055" t="s">
        <v>1489</v>
      </c>
      <c r="C1681" s="1055" t="s">
        <v>134</v>
      </c>
      <c r="D1681" s="1055" t="s">
        <v>893</v>
      </c>
      <c r="E1681" s="1055" t="s">
        <v>893</v>
      </c>
      <c r="F1681" s="1056">
        <v>-1337</v>
      </c>
      <c r="G1681" s="1056">
        <v>0</v>
      </c>
      <c r="H1681" s="1056">
        <v>324</v>
      </c>
      <c r="I1681" s="1056">
        <v>-1661</v>
      </c>
      <c r="K1681" s="995">
        <f t="shared" si="26"/>
        <v>4</v>
      </c>
    </row>
    <row r="1682" spans="1:11">
      <c r="A1682" s="1054">
        <v>431005</v>
      </c>
      <c r="B1682" s="1055" t="s">
        <v>1489</v>
      </c>
      <c r="C1682" s="1055" t="s">
        <v>130</v>
      </c>
      <c r="D1682" s="1055" t="s">
        <v>893</v>
      </c>
      <c r="E1682" s="1055" t="s">
        <v>893</v>
      </c>
      <c r="F1682" s="1056">
        <v>-936</v>
      </c>
      <c r="G1682" s="1056">
        <v>0</v>
      </c>
      <c r="H1682" s="1056">
        <v>217</v>
      </c>
      <c r="I1682" s="1056">
        <v>-1152</v>
      </c>
      <c r="K1682" s="995">
        <f t="shared" si="26"/>
        <v>6</v>
      </c>
    </row>
    <row r="1683" spans="1:11">
      <c r="A1683" s="1054">
        <v>431005</v>
      </c>
      <c r="B1683" s="1055" t="s">
        <v>1489</v>
      </c>
      <c r="C1683" s="1055" t="s">
        <v>130</v>
      </c>
      <c r="D1683" s="1055" t="s">
        <v>1285</v>
      </c>
      <c r="E1683" s="1055" t="s">
        <v>786</v>
      </c>
      <c r="F1683" s="1056">
        <v>-1207</v>
      </c>
      <c r="G1683" s="1056">
        <v>0</v>
      </c>
      <c r="H1683" s="1056">
        <v>214</v>
      </c>
      <c r="I1683" s="1056">
        <v>-1421</v>
      </c>
      <c r="K1683" s="995">
        <f t="shared" si="26"/>
        <v>6</v>
      </c>
    </row>
    <row r="1684" spans="1:11">
      <c r="A1684" s="1054">
        <v>431005</v>
      </c>
      <c r="B1684" s="1055" t="s">
        <v>1489</v>
      </c>
      <c r="C1684" s="1055" t="s">
        <v>130</v>
      </c>
      <c r="D1684" s="1055" t="s">
        <v>1171</v>
      </c>
      <c r="E1684" s="1055" t="s">
        <v>335</v>
      </c>
      <c r="F1684" s="1056">
        <v>-16</v>
      </c>
      <c r="G1684" s="1056">
        <v>0</v>
      </c>
      <c r="H1684" s="1056">
        <v>3</v>
      </c>
      <c r="I1684" s="1056">
        <v>-19</v>
      </c>
      <c r="K1684" s="995">
        <f t="shared" si="26"/>
        <v>6</v>
      </c>
    </row>
    <row r="1685" spans="1:11">
      <c r="A1685" s="1054">
        <v>431005</v>
      </c>
      <c r="B1685" s="1055" t="s">
        <v>1489</v>
      </c>
      <c r="C1685" s="1055" t="s">
        <v>130</v>
      </c>
      <c r="D1685" s="1055" t="s">
        <v>1168</v>
      </c>
      <c r="E1685" s="1055" t="s">
        <v>1169</v>
      </c>
      <c r="F1685" s="1056">
        <v>287</v>
      </c>
      <c r="G1685" s="1056">
        <v>0</v>
      </c>
      <c r="H1685" s="1056">
        <v>0</v>
      </c>
      <c r="I1685" s="1056">
        <v>287</v>
      </c>
      <c r="K1685" s="995">
        <f t="shared" si="26"/>
        <v>6</v>
      </c>
    </row>
    <row r="1686" spans="1:11">
      <c r="A1686" s="1054">
        <v>431005</v>
      </c>
      <c r="B1686" s="1055" t="s">
        <v>1489</v>
      </c>
      <c r="C1686" s="1055" t="s">
        <v>130</v>
      </c>
      <c r="D1686" s="1055" t="s">
        <v>1046</v>
      </c>
      <c r="E1686" s="1055" t="s">
        <v>1026</v>
      </c>
      <c r="F1686" s="1056">
        <v>0</v>
      </c>
      <c r="G1686" s="1056">
        <v>0</v>
      </c>
      <c r="H1686" s="1056">
        <v>0</v>
      </c>
      <c r="I1686" s="1056">
        <v>0</v>
      </c>
      <c r="K1686" s="995">
        <f t="shared" si="26"/>
        <v>6</v>
      </c>
    </row>
    <row r="1687" spans="1:11">
      <c r="A1687" s="1054">
        <v>431040</v>
      </c>
      <c r="B1687" s="1055" t="s">
        <v>1489</v>
      </c>
      <c r="C1687" s="1055" t="s">
        <v>401</v>
      </c>
      <c r="D1687" s="1055" t="s">
        <v>893</v>
      </c>
      <c r="E1687" s="1055" t="s">
        <v>893</v>
      </c>
      <c r="F1687" s="1056">
        <v>-401</v>
      </c>
      <c r="G1687" s="1056">
        <v>0</v>
      </c>
      <c r="H1687" s="1056">
        <v>108</v>
      </c>
      <c r="I1687" s="1056">
        <v>-509</v>
      </c>
      <c r="K1687" s="995">
        <f t="shared" si="26"/>
        <v>6</v>
      </c>
    </row>
    <row r="1688" spans="1:11">
      <c r="A1688" s="1054">
        <v>431040</v>
      </c>
      <c r="B1688" s="1055" t="s">
        <v>1489</v>
      </c>
      <c r="C1688" s="1055" t="s">
        <v>401</v>
      </c>
      <c r="D1688" s="1055" t="s">
        <v>1625</v>
      </c>
      <c r="E1688" s="1055" t="s">
        <v>1626</v>
      </c>
      <c r="F1688" s="1056">
        <v>-10</v>
      </c>
      <c r="G1688" s="1056">
        <v>0</v>
      </c>
      <c r="H1688" s="1056">
        <v>11</v>
      </c>
      <c r="I1688" s="1056">
        <v>-22</v>
      </c>
      <c r="K1688" s="995">
        <f t="shared" si="26"/>
        <v>6</v>
      </c>
    </row>
    <row r="1689" spans="1:11">
      <c r="A1689" s="1054">
        <v>431040</v>
      </c>
      <c r="B1689" s="1055" t="s">
        <v>1489</v>
      </c>
      <c r="C1689" s="1055" t="s">
        <v>401</v>
      </c>
      <c r="D1689" s="1055" t="s">
        <v>1198</v>
      </c>
      <c r="E1689" s="1055" t="s">
        <v>337</v>
      </c>
      <c r="F1689" s="1056">
        <v>0</v>
      </c>
      <c r="G1689" s="1056">
        <v>0</v>
      </c>
      <c r="H1689" s="1056">
        <v>0</v>
      </c>
      <c r="I1689" s="1056">
        <v>0</v>
      </c>
      <c r="K1689" s="995">
        <f t="shared" si="26"/>
        <v>6</v>
      </c>
    </row>
    <row r="1690" spans="1:11">
      <c r="A1690" s="1054">
        <v>431040</v>
      </c>
      <c r="B1690" s="1055" t="s">
        <v>1489</v>
      </c>
      <c r="C1690" s="1055" t="s">
        <v>401</v>
      </c>
      <c r="D1690" s="1055" t="s">
        <v>1035</v>
      </c>
      <c r="E1690" s="1055" t="s">
        <v>573</v>
      </c>
      <c r="F1690" s="1056">
        <v>-62</v>
      </c>
      <c r="G1690" s="1056">
        <v>0</v>
      </c>
      <c r="H1690" s="1056">
        <v>15</v>
      </c>
      <c r="I1690" s="1056">
        <v>-77</v>
      </c>
      <c r="K1690" s="995">
        <f t="shared" si="26"/>
        <v>6</v>
      </c>
    </row>
    <row r="1691" spans="1:11">
      <c r="A1691" s="1054">
        <v>431040</v>
      </c>
      <c r="B1691" s="1055" t="s">
        <v>1489</v>
      </c>
      <c r="C1691" s="1055" t="s">
        <v>401</v>
      </c>
      <c r="D1691" s="1055" t="s">
        <v>1170</v>
      </c>
      <c r="E1691" s="1055" t="s">
        <v>696</v>
      </c>
      <c r="F1691" s="1056">
        <v>-329</v>
      </c>
      <c r="G1691" s="1056">
        <v>0</v>
      </c>
      <c r="H1691" s="1056">
        <v>81</v>
      </c>
      <c r="I1691" s="1056">
        <v>-410</v>
      </c>
      <c r="K1691" s="995">
        <f t="shared" si="26"/>
        <v>6</v>
      </c>
    </row>
    <row r="1692" spans="1:11">
      <c r="A1692" s="1054">
        <v>5</v>
      </c>
      <c r="B1692" s="1055" t="s">
        <v>893</v>
      </c>
      <c r="C1692" s="1055" t="s">
        <v>135</v>
      </c>
      <c r="D1692" s="1055" t="s">
        <v>893</v>
      </c>
      <c r="E1692" s="1055" t="s">
        <v>893</v>
      </c>
      <c r="F1692" s="1056">
        <v>1375532</v>
      </c>
      <c r="G1692" s="1056">
        <v>308170</v>
      </c>
      <c r="H1692" s="1056">
        <v>6836</v>
      </c>
      <c r="I1692" s="1056">
        <v>1676866</v>
      </c>
      <c r="K1692" s="995">
        <f t="shared" si="26"/>
        <v>1</v>
      </c>
    </row>
    <row r="1693" spans="1:11">
      <c r="A1693" s="1054">
        <v>52</v>
      </c>
      <c r="B1693" s="1055" t="s">
        <v>893</v>
      </c>
      <c r="C1693" s="1055" t="s">
        <v>395</v>
      </c>
      <c r="D1693" s="1055" t="s">
        <v>893</v>
      </c>
      <c r="E1693" s="1055" t="s">
        <v>893</v>
      </c>
      <c r="F1693" s="1056">
        <v>1282521</v>
      </c>
      <c r="G1693" s="1056">
        <v>288213</v>
      </c>
      <c r="H1693" s="1056">
        <v>539</v>
      </c>
      <c r="I1693" s="1056">
        <v>1570195</v>
      </c>
      <c r="K1693" s="995">
        <f t="shared" si="26"/>
        <v>2</v>
      </c>
    </row>
    <row r="1694" spans="1:11">
      <c r="A1694" s="1054">
        <v>5204</v>
      </c>
      <c r="B1694" s="1055" t="s">
        <v>893</v>
      </c>
      <c r="C1694" s="1055" t="s">
        <v>768</v>
      </c>
      <c r="D1694" s="1055" t="s">
        <v>893</v>
      </c>
      <c r="E1694" s="1055" t="s">
        <v>893</v>
      </c>
      <c r="F1694" s="1056">
        <v>54701</v>
      </c>
      <c r="G1694" s="1056">
        <v>11910</v>
      </c>
      <c r="H1694" s="1056">
        <v>0</v>
      </c>
      <c r="I1694" s="1056">
        <v>66611</v>
      </c>
      <c r="K1694" s="995">
        <f t="shared" si="26"/>
        <v>4</v>
      </c>
    </row>
    <row r="1695" spans="1:11">
      <c r="A1695" s="1054">
        <v>520468</v>
      </c>
      <c r="B1695" s="1055" t="s">
        <v>893</v>
      </c>
      <c r="C1695" s="1055" t="s">
        <v>377</v>
      </c>
      <c r="D1695" s="1055" t="s">
        <v>893</v>
      </c>
      <c r="E1695" s="1055" t="s">
        <v>893</v>
      </c>
      <c r="F1695" s="1056">
        <v>6840</v>
      </c>
      <c r="G1695" s="1056">
        <v>1541</v>
      </c>
      <c r="H1695" s="1056">
        <v>0</v>
      </c>
      <c r="I1695" s="1056">
        <v>8380</v>
      </c>
      <c r="K1695" s="995">
        <f t="shared" si="26"/>
        <v>6</v>
      </c>
    </row>
    <row r="1696" spans="1:11">
      <c r="A1696" s="1054">
        <v>520468</v>
      </c>
      <c r="B1696" s="1055" t="s">
        <v>893</v>
      </c>
      <c r="C1696" s="1055" t="s">
        <v>377</v>
      </c>
      <c r="D1696" s="1055" t="s">
        <v>1385</v>
      </c>
      <c r="E1696" s="1055" t="s">
        <v>1386</v>
      </c>
      <c r="F1696" s="1056">
        <v>1</v>
      </c>
      <c r="G1696" s="1056">
        <v>0</v>
      </c>
      <c r="H1696" s="1056">
        <v>0</v>
      </c>
      <c r="I1696" s="1056">
        <v>1</v>
      </c>
      <c r="K1696" s="995">
        <f t="shared" si="26"/>
        <v>6</v>
      </c>
    </row>
    <row r="1697" spans="1:11">
      <c r="A1697" s="1054">
        <v>520468</v>
      </c>
      <c r="B1697" s="1055" t="s">
        <v>893</v>
      </c>
      <c r="C1697" s="1055" t="s">
        <v>377</v>
      </c>
      <c r="D1697" s="1055" t="s">
        <v>1360</v>
      </c>
      <c r="E1697" s="1055" t="s">
        <v>1361</v>
      </c>
      <c r="F1697" s="1056">
        <v>230</v>
      </c>
      <c r="G1697" s="1056">
        <v>47</v>
      </c>
      <c r="H1697" s="1056">
        <v>0</v>
      </c>
      <c r="I1697" s="1056">
        <v>277</v>
      </c>
      <c r="K1697" s="995">
        <f t="shared" si="26"/>
        <v>6</v>
      </c>
    </row>
    <row r="1698" spans="1:11">
      <c r="A1698" s="1054">
        <v>520468</v>
      </c>
      <c r="B1698" s="1055" t="s">
        <v>893</v>
      </c>
      <c r="C1698" s="1055" t="s">
        <v>377</v>
      </c>
      <c r="D1698" s="1055" t="s">
        <v>1298</v>
      </c>
      <c r="E1698" s="1055" t="s">
        <v>987</v>
      </c>
      <c r="F1698" s="1056">
        <v>55</v>
      </c>
      <c r="G1698" s="1056">
        <v>58</v>
      </c>
      <c r="H1698" s="1056">
        <v>0</v>
      </c>
      <c r="I1698" s="1056">
        <v>113</v>
      </c>
      <c r="K1698" s="995">
        <f t="shared" si="26"/>
        <v>6</v>
      </c>
    </row>
    <row r="1699" spans="1:11">
      <c r="A1699" s="1054">
        <v>520468</v>
      </c>
      <c r="B1699" s="1055" t="s">
        <v>893</v>
      </c>
      <c r="C1699" s="1055" t="s">
        <v>377</v>
      </c>
      <c r="D1699" s="1055" t="s">
        <v>1397</v>
      </c>
      <c r="E1699" s="1055" t="s">
        <v>1398</v>
      </c>
      <c r="F1699" s="1056">
        <v>25</v>
      </c>
      <c r="G1699" s="1056">
        <v>0</v>
      </c>
      <c r="H1699" s="1056">
        <v>0</v>
      </c>
      <c r="I1699" s="1056">
        <v>25</v>
      </c>
      <c r="K1699" s="995">
        <f t="shared" si="26"/>
        <v>6</v>
      </c>
    </row>
    <row r="1700" spans="1:11">
      <c r="A1700" s="1054">
        <v>520468</v>
      </c>
      <c r="B1700" s="1055" t="s">
        <v>893</v>
      </c>
      <c r="C1700" s="1055" t="s">
        <v>377</v>
      </c>
      <c r="D1700" s="1055" t="s">
        <v>1362</v>
      </c>
      <c r="E1700" s="1055" t="s">
        <v>1363</v>
      </c>
      <c r="F1700" s="1056">
        <v>199</v>
      </c>
      <c r="G1700" s="1056">
        <v>35</v>
      </c>
      <c r="H1700" s="1056">
        <v>0</v>
      </c>
      <c r="I1700" s="1056">
        <v>234</v>
      </c>
      <c r="K1700" s="995">
        <f t="shared" si="26"/>
        <v>6</v>
      </c>
    </row>
    <row r="1701" spans="1:11">
      <c r="A1701" s="1054">
        <v>520468</v>
      </c>
      <c r="B1701" s="1055" t="s">
        <v>893</v>
      </c>
      <c r="C1701" s="1055" t="s">
        <v>377</v>
      </c>
      <c r="D1701" s="1055" t="s">
        <v>1364</v>
      </c>
      <c r="E1701" s="1055" t="s">
        <v>1365</v>
      </c>
      <c r="F1701" s="1056">
        <v>232</v>
      </c>
      <c r="G1701" s="1056">
        <v>41</v>
      </c>
      <c r="H1701" s="1056">
        <v>0</v>
      </c>
      <c r="I1701" s="1056">
        <v>273</v>
      </c>
      <c r="K1701" s="995">
        <f t="shared" si="26"/>
        <v>6</v>
      </c>
    </row>
    <row r="1702" spans="1:11">
      <c r="A1702" s="1054">
        <v>520468</v>
      </c>
      <c r="B1702" s="1055" t="s">
        <v>893</v>
      </c>
      <c r="C1702" s="1055" t="s">
        <v>377</v>
      </c>
      <c r="D1702" s="1055" t="s">
        <v>1601</v>
      </c>
      <c r="E1702" s="1055" t="s">
        <v>1602</v>
      </c>
      <c r="F1702" s="1056">
        <v>470</v>
      </c>
      <c r="G1702" s="1056">
        <v>128</v>
      </c>
      <c r="H1702" s="1056">
        <v>0</v>
      </c>
      <c r="I1702" s="1056">
        <v>598</v>
      </c>
      <c r="K1702" s="995">
        <f t="shared" si="26"/>
        <v>6</v>
      </c>
    </row>
    <row r="1703" spans="1:11">
      <c r="A1703" s="1054">
        <v>520468</v>
      </c>
      <c r="B1703" s="1055" t="s">
        <v>893</v>
      </c>
      <c r="C1703" s="1055" t="s">
        <v>377</v>
      </c>
      <c r="D1703" s="1055" t="s">
        <v>1270</v>
      </c>
      <c r="E1703" s="1055" t="s">
        <v>988</v>
      </c>
      <c r="F1703" s="1056">
        <v>234</v>
      </c>
      <c r="G1703" s="1056">
        <v>53</v>
      </c>
      <c r="H1703" s="1056">
        <v>0</v>
      </c>
      <c r="I1703" s="1056">
        <v>287</v>
      </c>
      <c r="K1703" s="995">
        <f t="shared" si="26"/>
        <v>6</v>
      </c>
    </row>
    <row r="1704" spans="1:11">
      <c r="A1704" s="1054">
        <v>520468</v>
      </c>
      <c r="B1704" s="1055" t="s">
        <v>893</v>
      </c>
      <c r="C1704" s="1055" t="s">
        <v>377</v>
      </c>
      <c r="D1704" s="1055" t="s">
        <v>1271</v>
      </c>
      <c r="E1704" s="1055" t="s">
        <v>782</v>
      </c>
      <c r="F1704" s="1056">
        <v>231</v>
      </c>
      <c r="G1704" s="1056">
        <v>54</v>
      </c>
      <c r="H1704" s="1056">
        <v>0</v>
      </c>
      <c r="I1704" s="1056">
        <v>285</v>
      </c>
      <c r="K1704" s="995">
        <f t="shared" si="26"/>
        <v>6</v>
      </c>
    </row>
    <row r="1705" spans="1:11">
      <c r="A1705" s="1054">
        <v>520468</v>
      </c>
      <c r="B1705" s="1055" t="s">
        <v>893</v>
      </c>
      <c r="C1705" s="1055" t="s">
        <v>377</v>
      </c>
      <c r="D1705" s="1055" t="s">
        <v>1366</v>
      </c>
      <c r="E1705" s="1055" t="s">
        <v>1367</v>
      </c>
      <c r="F1705" s="1056">
        <v>197</v>
      </c>
      <c r="G1705" s="1056">
        <v>40</v>
      </c>
      <c r="H1705" s="1056">
        <v>0</v>
      </c>
      <c r="I1705" s="1056">
        <v>238</v>
      </c>
      <c r="K1705" s="995">
        <f t="shared" si="26"/>
        <v>6</v>
      </c>
    </row>
    <row r="1706" spans="1:11">
      <c r="A1706" s="1054">
        <v>520468</v>
      </c>
      <c r="B1706" s="1055" t="s">
        <v>893</v>
      </c>
      <c r="C1706" s="1055" t="s">
        <v>377</v>
      </c>
      <c r="D1706" s="1055" t="s">
        <v>1302</v>
      </c>
      <c r="E1706" s="1055" t="s">
        <v>986</v>
      </c>
      <c r="F1706" s="1056">
        <v>196</v>
      </c>
      <c r="G1706" s="1056">
        <v>37</v>
      </c>
      <c r="H1706" s="1056">
        <v>0</v>
      </c>
      <c r="I1706" s="1056">
        <v>232</v>
      </c>
      <c r="K1706" s="995">
        <f t="shared" si="26"/>
        <v>6</v>
      </c>
    </row>
    <row r="1707" spans="1:11">
      <c r="A1707" s="1054">
        <v>520468</v>
      </c>
      <c r="B1707" s="1055" t="s">
        <v>893</v>
      </c>
      <c r="C1707" s="1055" t="s">
        <v>377</v>
      </c>
      <c r="D1707" s="1055" t="s">
        <v>1042</v>
      </c>
      <c r="E1707" s="1055" t="s">
        <v>1732</v>
      </c>
      <c r="F1707" s="1056">
        <v>229</v>
      </c>
      <c r="G1707" s="1056">
        <v>0</v>
      </c>
      <c r="H1707" s="1056">
        <v>0</v>
      </c>
      <c r="I1707" s="1056">
        <v>229</v>
      </c>
      <c r="K1707" s="995">
        <f t="shared" si="26"/>
        <v>6</v>
      </c>
    </row>
    <row r="1708" spans="1:11">
      <c r="A1708" s="1054">
        <v>520468</v>
      </c>
      <c r="B1708" s="1055" t="s">
        <v>893</v>
      </c>
      <c r="C1708" s="1055" t="s">
        <v>377</v>
      </c>
      <c r="D1708" s="1055" t="s">
        <v>1611</v>
      </c>
      <c r="E1708" s="1055" t="s">
        <v>1612</v>
      </c>
      <c r="F1708" s="1056">
        <v>36</v>
      </c>
      <c r="G1708" s="1056">
        <v>0</v>
      </c>
      <c r="H1708" s="1056">
        <v>0</v>
      </c>
      <c r="I1708" s="1056">
        <v>36</v>
      </c>
      <c r="K1708" s="995">
        <f t="shared" si="26"/>
        <v>6</v>
      </c>
    </row>
    <row r="1709" spans="1:11">
      <c r="A1709" s="1054">
        <v>520468</v>
      </c>
      <c r="B1709" s="1055" t="s">
        <v>893</v>
      </c>
      <c r="C1709" s="1055" t="s">
        <v>377</v>
      </c>
      <c r="D1709" s="1055" t="s">
        <v>1368</v>
      </c>
      <c r="E1709" s="1055" t="s">
        <v>1369</v>
      </c>
      <c r="F1709" s="1056">
        <v>54</v>
      </c>
      <c r="G1709" s="1056">
        <v>38</v>
      </c>
      <c r="H1709" s="1056">
        <v>0</v>
      </c>
      <c r="I1709" s="1056">
        <v>92</v>
      </c>
      <c r="K1709" s="995">
        <f t="shared" si="26"/>
        <v>6</v>
      </c>
    </row>
    <row r="1710" spans="1:11">
      <c r="A1710" s="1054">
        <v>520468</v>
      </c>
      <c r="B1710" s="1055" t="s">
        <v>893</v>
      </c>
      <c r="C1710" s="1055" t="s">
        <v>377</v>
      </c>
      <c r="D1710" s="1055" t="s">
        <v>1246</v>
      </c>
      <c r="E1710" s="1055" t="s">
        <v>743</v>
      </c>
      <c r="F1710" s="1056">
        <v>18</v>
      </c>
      <c r="G1710" s="1056">
        <v>0</v>
      </c>
      <c r="H1710" s="1056">
        <v>0</v>
      </c>
      <c r="I1710" s="1056">
        <v>18</v>
      </c>
      <c r="K1710" s="995">
        <f t="shared" si="26"/>
        <v>6</v>
      </c>
    </row>
    <row r="1711" spans="1:11">
      <c r="A1711" s="1054">
        <v>520468</v>
      </c>
      <c r="B1711" s="1055" t="s">
        <v>893</v>
      </c>
      <c r="C1711" s="1055" t="s">
        <v>377</v>
      </c>
      <c r="D1711" s="1055" t="s">
        <v>1320</v>
      </c>
      <c r="E1711" s="1055" t="s">
        <v>1321</v>
      </c>
      <c r="F1711" s="1056">
        <v>162</v>
      </c>
      <c r="G1711" s="1056">
        <v>44</v>
      </c>
      <c r="H1711" s="1056">
        <v>0</v>
      </c>
      <c r="I1711" s="1056">
        <v>206</v>
      </c>
      <c r="K1711" s="995">
        <f t="shared" si="26"/>
        <v>6</v>
      </c>
    </row>
    <row r="1712" spans="1:11">
      <c r="A1712" s="1054">
        <v>520468</v>
      </c>
      <c r="B1712" s="1055" t="s">
        <v>893</v>
      </c>
      <c r="C1712" s="1055" t="s">
        <v>377</v>
      </c>
      <c r="D1712" s="1055" t="s">
        <v>1274</v>
      </c>
      <c r="E1712" s="1055" t="s">
        <v>989</v>
      </c>
      <c r="F1712" s="1056">
        <v>267</v>
      </c>
      <c r="G1712" s="1056">
        <v>60</v>
      </c>
      <c r="H1712" s="1056">
        <v>0</v>
      </c>
      <c r="I1712" s="1056">
        <v>328</v>
      </c>
      <c r="K1712" s="995">
        <f t="shared" si="26"/>
        <v>6</v>
      </c>
    </row>
    <row r="1713" spans="1:11">
      <c r="A1713" s="1054">
        <v>520468</v>
      </c>
      <c r="B1713" s="1055" t="s">
        <v>893</v>
      </c>
      <c r="C1713" s="1055" t="s">
        <v>377</v>
      </c>
      <c r="D1713" s="1055" t="s">
        <v>1247</v>
      </c>
      <c r="E1713" s="1055" t="s">
        <v>1248</v>
      </c>
      <c r="F1713" s="1056">
        <v>203</v>
      </c>
      <c r="G1713" s="1056">
        <v>53</v>
      </c>
      <c r="H1713" s="1056">
        <v>0</v>
      </c>
      <c r="I1713" s="1056">
        <v>255</v>
      </c>
      <c r="K1713" s="995">
        <f t="shared" si="26"/>
        <v>6</v>
      </c>
    </row>
    <row r="1714" spans="1:11">
      <c r="A1714" s="1054">
        <v>520468</v>
      </c>
      <c r="B1714" s="1055" t="s">
        <v>893</v>
      </c>
      <c r="C1714" s="1055" t="s">
        <v>377</v>
      </c>
      <c r="D1714" s="1055" t="s">
        <v>1387</v>
      </c>
      <c r="E1714" s="1055" t="s">
        <v>1388</v>
      </c>
      <c r="F1714" s="1056">
        <v>11</v>
      </c>
      <c r="G1714" s="1056">
        <v>0</v>
      </c>
      <c r="H1714" s="1056">
        <v>0</v>
      </c>
      <c r="I1714" s="1056">
        <v>11</v>
      </c>
      <c r="K1714" s="995">
        <f t="shared" si="26"/>
        <v>6</v>
      </c>
    </row>
    <row r="1715" spans="1:11">
      <c r="A1715" s="1054">
        <v>520468</v>
      </c>
      <c r="B1715" s="1055" t="s">
        <v>893</v>
      </c>
      <c r="C1715" s="1055" t="s">
        <v>377</v>
      </c>
      <c r="D1715" s="1055" t="s">
        <v>1370</v>
      </c>
      <c r="E1715" s="1055" t="s">
        <v>1371</v>
      </c>
      <c r="F1715" s="1056">
        <v>43</v>
      </c>
      <c r="G1715" s="1056">
        <v>41</v>
      </c>
      <c r="H1715" s="1056">
        <v>0</v>
      </c>
      <c r="I1715" s="1056">
        <v>84</v>
      </c>
      <c r="K1715" s="995">
        <f t="shared" si="26"/>
        <v>6</v>
      </c>
    </row>
    <row r="1716" spans="1:11">
      <c r="A1716" s="1054">
        <v>520468</v>
      </c>
      <c r="B1716" s="1055" t="s">
        <v>893</v>
      </c>
      <c r="C1716" s="1055" t="s">
        <v>377</v>
      </c>
      <c r="D1716" s="1055" t="s">
        <v>1870</v>
      </c>
      <c r="E1716" s="1055" t="s">
        <v>1871</v>
      </c>
      <c r="F1716" s="1056">
        <v>44</v>
      </c>
      <c r="G1716" s="1056">
        <v>30</v>
      </c>
      <c r="H1716" s="1056">
        <v>0</v>
      </c>
      <c r="I1716" s="1056">
        <v>74</v>
      </c>
      <c r="K1716" s="995">
        <f t="shared" si="26"/>
        <v>6</v>
      </c>
    </row>
    <row r="1717" spans="1:11">
      <c r="A1717" s="1054">
        <v>520468</v>
      </c>
      <c r="B1717" s="1055" t="s">
        <v>893</v>
      </c>
      <c r="C1717" s="1055" t="s">
        <v>377</v>
      </c>
      <c r="D1717" s="1055" t="s">
        <v>1372</v>
      </c>
      <c r="E1717" s="1055" t="s">
        <v>1373</v>
      </c>
      <c r="F1717" s="1056">
        <v>186</v>
      </c>
      <c r="G1717" s="1056">
        <v>42</v>
      </c>
      <c r="H1717" s="1056">
        <v>0</v>
      </c>
      <c r="I1717" s="1056">
        <v>228</v>
      </c>
      <c r="K1717" s="995">
        <f t="shared" si="26"/>
        <v>6</v>
      </c>
    </row>
    <row r="1718" spans="1:11">
      <c r="A1718" s="1054">
        <v>520468</v>
      </c>
      <c r="B1718" s="1055" t="s">
        <v>893</v>
      </c>
      <c r="C1718" s="1055" t="s">
        <v>377</v>
      </c>
      <c r="D1718" s="1055" t="s">
        <v>1785</v>
      </c>
      <c r="E1718" s="1055" t="s">
        <v>1786</v>
      </c>
      <c r="F1718" s="1056">
        <v>77</v>
      </c>
      <c r="G1718" s="1056">
        <v>37</v>
      </c>
      <c r="H1718" s="1056">
        <v>0</v>
      </c>
      <c r="I1718" s="1056">
        <v>114</v>
      </c>
      <c r="K1718" s="995">
        <f t="shared" si="26"/>
        <v>6</v>
      </c>
    </row>
    <row r="1719" spans="1:11">
      <c r="A1719" s="1054">
        <v>520468</v>
      </c>
      <c r="B1719" s="1055" t="s">
        <v>893</v>
      </c>
      <c r="C1719" s="1055" t="s">
        <v>377</v>
      </c>
      <c r="D1719" s="1055" t="s">
        <v>1374</v>
      </c>
      <c r="E1719" s="1055" t="s">
        <v>1375</v>
      </c>
      <c r="F1719" s="1056">
        <v>48</v>
      </c>
      <c r="G1719" s="1056">
        <v>38</v>
      </c>
      <c r="H1719" s="1056">
        <v>0</v>
      </c>
      <c r="I1719" s="1056">
        <v>86</v>
      </c>
      <c r="K1719" s="995">
        <f t="shared" si="26"/>
        <v>6</v>
      </c>
    </row>
    <row r="1720" spans="1:11">
      <c r="A1720" s="1054">
        <v>520468</v>
      </c>
      <c r="B1720" s="1055" t="s">
        <v>893</v>
      </c>
      <c r="C1720" s="1055" t="s">
        <v>377</v>
      </c>
      <c r="D1720" s="1055" t="s">
        <v>1389</v>
      </c>
      <c r="E1720" s="1055" t="s">
        <v>1390</v>
      </c>
      <c r="F1720" s="1056">
        <v>40</v>
      </c>
      <c r="G1720" s="1056">
        <v>0</v>
      </c>
      <c r="H1720" s="1056">
        <v>0</v>
      </c>
      <c r="I1720" s="1056">
        <v>40</v>
      </c>
      <c r="K1720" s="995">
        <f t="shared" si="26"/>
        <v>6</v>
      </c>
    </row>
    <row r="1721" spans="1:11">
      <c r="A1721" s="1054">
        <v>520468</v>
      </c>
      <c r="B1721" s="1055" t="s">
        <v>893</v>
      </c>
      <c r="C1721" s="1055" t="s">
        <v>377</v>
      </c>
      <c r="D1721" s="1055" t="s">
        <v>1249</v>
      </c>
      <c r="E1721" s="1055" t="s">
        <v>583</v>
      </c>
      <c r="F1721" s="1056">
        <v>352</v>
      </c>
      <c r="G1721" s="1056">
        <v>70</v>
      </c>
      <c r="H1721" s="1056">
        <v>0</v>
      </c>
      <c r="I1721" s="1056">
        <v>422</v>
      </c>
      <c r="K1721" s="995">
        <f t="shared" si="26"/>
        <v>6</v>
      </c>
    </row>
    <row r="1722" spans="1:11">
      <c r="A1722" s="1054">
        <v>520468</v>
      </c>
      <c r="B1722" s="1055" t="s">
        <v>893</v>
      </c>
      <c r="C1722" s="1055" t="s">
        <v>377</v>
      </c>
      <c r="D1722" s="1055" t="s">
        <v>1376</v>
      </c>
      <c r="E1722" s="1055" t="s">
        <v>1377</v>
      </c>
      <c r="F1722" s="1056">
        <v>178</v>
      </c>
      <c r="G1722" s="1056">
        <v>47</v>
      </c>
      <c r="H1722" s="1056">
        <v>0</v>
      </c>
      <c r="I1722" s="1056">
        <v>224</v>
      </c>
      <c r="K1722" s="995">
        <f t="shared" si="26"/>
        <v>6</v>
      </c>
    </row>
    <row r="1723" spans="1:11">
      <c r="A1723" s="1054">
        <v>520468</v>
      </c>
      <c r="B1723" s="1055" t="s">
        <v>893</v>
      </c>
      <c r="C1723" s="1055" t="s">
        <v>377</v>
      </c>
      <c r="D1723" s="1055" t="s">
        <v>1613</v>
      </c>
      <c r="E1723" s="1055" t="s">
        <v>1614</v>
      </c>
      <c r="F1723" s="1056">
        <v>108</v>
      </c>
      <c r="G1723" s="1056">
        <v>9</v>
      </c>
      <c r="H1723" s="1056">
        <v>0</v>
      </c>
      <c r="I1723" s="1056">
        <v>117</v>
      </c>
      <c r="K1723" s="995">
        <f t="shared" si="26"/>
        <v>6</v>
      </c>
    </row>
    <row r="1724" spans="1:11">
      <c r="A1724" s="1054">
        <v>520468</v>
      </c>
      <c r="B1724" s="1055" t="s">
        <v>893</v>
      </c>
      <c r="C1724" s="1055" t="s">
        <v>377</v>
      </c>
      <c r="D1724" s="1055" t="s">
        <v>1305</v>
      </c>
      <c r="E1724" s="1055" t="s">
        <v>990</v>
      </c>
      <c r="F1724" s="1056">
        <v>244</v>
      </c>
      <c r="G1724" s="1056">
        <v>31</v>
      </c>
      <c r="H1724" s="1056">
        <v>0</v>
      </c>
      <c r="I1724" s="1056">
        <v>275</v>
      </c>
      <c r="K1724" s="995">
        <f t="shared" si="26"/>
        <v>6</v>
      </c>
    </row>
    <row r="1725" spans="1:11">
      <c r="A1725" s="1054">
        <v>520468</v>
      </c>
      <c r="B1725" s="1055" t="s">
        <v>893</v>
      </c>
      <c r="C1725" s="1055" t="s">
        <v>377</v>
      </c>
      <c r="D1725" s="1055" t="s">
        <v>1306</v>
      </c>
      <c r="E1725" s="1055" t="s">
        <v>997</v>
      </c>
      <c r="F1725" s="1056">
        <v>223</v>
      </c>
      <c r="G1725" s="1056">
        <v>51</v>
      </c>
      <c r="H1725" s="1056">
        <v>0</v>
      </c>
      <c r="I1725" s="1056">
        <v>274</v>
      </c>
      <c r="K1725" s="995">
        <f t="shared" si="26"/>
        <v>6</v>
      </c>
    </row>
    <row r="1726" spans="1:11">
      <c r="A1726" s="1054">
        <v>520468</v>
      </c>
      <c r="B1726" s="1055" t="s">
        <v>893</v>
      </c>
      <c r="C1726" s="1055" t="s">
        <v>377</v>
      </c>
      <c r="D1726" s="1055" t="s">
        <v>1322</v>
      </c>
      <c r="E1726" s="1055" t="s">
        <v>1323</v>
      </c>
      <c r="F1726" s="1056">
        <v>141</v>
      </c>
      <c r="G1726" s="1056">
        <v>0</v>
      </c>
      <c r="H1726" s="1056">
        <v>0</v>
      </c>
      <c r="I1726" s="1056">
        <v>141</v>
      </c>
      <c r="K1726" s="995">
        <f t="shared" si="26"/>
        <v>6</v>
      </c>
    </row>
    <row r="1727" spans="1:11">
      <c r="A1727" s="1054">
        <v>520468</v>
      </c>
      <c r="B1727" s="1055" t="s">
        <v>893</v>
      </c>
      <c r="C1727" s="1055" t="s">
        <v>377</v>
      </c>
      <c r="D1727" s="1055" t="s">
        <v>1391</v>
      </c>
      <c r="E1727" s="1055" t="s">
        <v>1392</v>
      </c>
      <c r="F1727" s="1056">
        <v>17</v>
      </c>
      <c r="G1727" s="1056">
        <v>0</v>
      </c>
      <c r="H1727" s="1056">
        <v>0</v>
      </c>
      <c r="I1727" s="1056">
        <v>17</v>
      </c>
      <c r="K1727" s="995">
        <f t="shared" si="26"/>
        <v>6</v>
      </c>
    </row>
    <row r="1728" spans="1:11">
      <c r="A1728" s="1054">
        <v>520468</v>
      </c>
      <c r="B1728" s="1055" t="s">
        <v>893</v>
      </c>
      <c r="C1728" s="1055" t="s">
        <v>377</v>
      </c>
      <c r="D1728" s="1055" t="s">
        <v>1250</v>
      </c>
      <c r="E1728" s="1055" t="s">
        <v>1251</v>
      </c>
      <c r="F1728" s="1056">
        <v>198</v>
      </c>
      <c r="G1728" s="1056">
        <v>43</v>
      </c>
      <c r="H1728" s="1056">
        <v>0</v>
      </c>
      <c r="I1728" s="1056">
        <v>241</v>
      </c>
      <c r="K1728" s="995">
        <f t="shared" si="26"/>
        <v>6</v>
      </c>
    </row>
    <row r="1729" spans="1:11">
      <c r="A1729" s="1054">
        <v>520468</v>
      </c>
      <c r="B1729" s="1055" t="s">
        <v>893</v>
      </c>
      <c r="C1729" s="1055" t="s">
        <v>377</v>
      </c>
      <c r="D1729" s="1055" t="s">
        <v>1787</v>
      </c>
      <c r="E1729" s="1055" t="s">
        <v>1788</v>
      </c>
      <c r="F1729" s="1056">
        <v>55</v>
      </c>
      <c r="G1729" s="1056">
        <v>48</v>
      </c>
      <c r="H1729" s="1056">
        <v>0</v>
      </c>
      <c r="I1729" s="1056">
        <v>103</v>
      </c>
      <c r="K1729" s="995">
        <f t="shared" si="26"/>
        <v>6</v>
      </c>
    </row>
    <row r="1730" spans="1:11">
      <c r="A1730" s="1054">
        <v>520468</v>
      </c>
      <c r="B1730" s="1055" t="s">
        <v>893</v>
      </c>
      <c r="C1730" s="1055" t="s">
        <v>377</v>
      </c>
      <c r="D1730" s="1055" t="s">
        <v>1378</v>
      </c>
      <c r="E1730" s="1055" t="s">
        <v>1379</v>
      </c>
      <c r="F1730" s="1056">
        <v>212</v>
      </c>
      <c r="G1730" s="1056">
        <v>0</v>
      </c>
      <c r="H1730" s="1056">
        <v>0</v>
      </c>
      <c r="I1730" s="1056">
        <v>212</v>
      </c>
      <c r="K1730" s="995">
        <f t="shared" si="26"/>
        <v>6</v>
      </c>
    </row>
    <row r="1731" spans="1:11">
      <c r="A1731" s="1054">
        <v>520468</v>
      </c>
      <c r="B1731" s="1055" t="s">
        <v>893</v>
      </c>
      <c r="C1731" s="1055" t="s">
        <v>377</v>
      </c>
      <c r="D1731" s="1055" t="s">
        <v>1393</v>
      </c>
      <c r="E1731" s="1055" t="s">
        <v>1394</v>
      </c>
      <c r="F1731" s="1056">
        <v>2</v>
      </c>
      <c r="G1731" s="1056">
        <v>0</v>
      </c>
      <c r="H1731" s="1056">
        <v>0</v>
      </c>
      <c r="I1731" s="1056">
        <v>2</v>
      </c>
      <c r="K1731" s="995">
        <f t="shared" si="26"/>
        <v>6</v>
      </c>
    </row>
    <row r="1732" spans="1:11">
      <c r="A1732" s="1054">
        <v>520468</v>
      </c>
      <c r="B1732" s="1055" t="s">
        <v>893</v>
      </c>
      <c r="C1732" s="1055" t="s">
        <v>377</v>
      </c>
      <c r="D1732" s="1055" t="s">
        <v>1303</v>
      </c>
      <c r="E1732" s="1055" t="s">
        <v>806</v>
      </c>
      <c r="F1732" s="1056">
        <v>199</v>
      </c>
      <c r="G1732" s="1056">
        <v>37</v>
      </c>
      <c r="H1732" s="1056">
        <v>0</v>
      </c>
      <c r="I1732" s="1056">
        <v>236</v>
      </c>
      <c r="K1732" s="995">
        <f t="shared" si="26"/>
        <v>6</v>
      </c>
    </row>
    <row r="1733" spans="1:11">
      <c r="A1733" s="1054">
        <v>520468</v>
      </c>
      <c r="B1733" s="1055" t="s">
        <v>893</v>
      </c>
      <c r="C1733" s="1055" t="s">
        <v>377</v>
      </c>
      <c r="D1733" s="1055" t="s">
        <v>1605</v>
      </c>
      <c r="E1733" s="1055" t="s">
        <v>1606</v>
      </c>
      <c r="F1733" s="1056">
        <v>132</v>
      </c>
      <c r="G1733" s="1056">
        <v>60</v>
      </c>
      <c r="H1733" s="1056">
        <v>0</v>
      </c>
      <c r="I1733" s="1056">
        <v>192</v>
      </c>
      <c r="K1733" s="995">
        <f t="shared" ref="K1733:K1796" si="27">+LEN(A1733)</f>
        <v>6</v>
      </c>
    </row>
    <row r="1734" spans="1:11">
      <c r="A1734" s="1054">
        <v>520468</v>
      </c>
      <c r="B1734" s="1055" t="s">
        <v>893</v>
      </c>
      <c r="C1734" s="1055" t="s">
        <v>377</v>
      </c>
      <c r="D1734" s="1055" t="s">
        <v>1789</v>
      </c>
      <c r="E1734" s="1055" t="s">
        <v>1790</v>
      </c>
      <c r="F1734" s="1056">
        <v>71</v>
      </c>
      <c r="G1734" s="1056">
        <v>38</v>
      </c>
      <c r="H1734" s="1056">
        <v>0</v>
      </c>
      <c r="I1734" s="1056">
        <v>109</v>
      </c>
      <c r="K1734" s="995">
        <f t="shared" si="27"/>
        <v>6</v>
      </c>
    </row>
    <row r="1735" spans="1:11">
      <c r="A1735" s="1054">
        <v>520468</v>
      </c>
      <c r="B1735" s="1055" t="s">
        <v>893</v>
      </c>
      <c r="C1735" s="1055" t="s">
        <v>377</v>
      </c>
      <c r="D1735" s="1055" t="s">
        <v>1254</v>
      </c>
      <c r="E1735" s="1055" t="s">
        <v>744</v>
      </c>
      <c r="F1735" s="1056">
        <v>220</v>
      </c>
      <c r="G1735" s="1056">
        <v>53</v>
      </c>
      <c r="H1735" s="1056">
        <v>0</v>
      </c>
      <c r="I1735" s="1056">
        <v>273</v>
      </c>
      <c r="K1735" s="995">
        <f t="shared" si="27"/>
        <v>6</v>
      </c>
    </row>
    <row r="1736" spans="1:11">
      <c r="A1736" s="1054">
        <v>520468</v>
      </c>
      <c r="B1736" s="1055" t="s">
        <v>893</v>
      </c>
      <c r="C1736" s="1055" t="s">
        <v>377</v>
      </c>
      <c r="D1736" s="1055" t="s">
        <v>1275</v>
      </c>
      <c r="E1736" s="1055" t="s">
        <v>991</v>
      </c>
      <c r="F1736" s="1056">
        <v>234</v>
      </c>
      <c r="G1736" s="1056">
        <v>51</v>
      </c>
      <c r="H1736" s="1056">
        <v>0</v>
      </c>
      <c r="I1736" s="1056">
        <v>285</v>
      </c>
      <c r="K1736" s="995">
        <f t="shared" si="27"/>
        <v>6</v>
      </c>
    </row>
    <row r="1737" spans="1:11">
      <c r="A1737" s="1054">
        <v>520468</v>
      </c>
      <c r="B1737" s="1055" t="s">
        <v>893</v>
      </c>
      <c r="C1737" s="1055" t="s">
        <v>377</v>
      </c>
      <c r="D1737" s="1055" t="s">
        <v>1380</v>
      </c>
      <c r="E1737" s="1055" t="s">
        <v>1381</v>
      </c>
      <c r="F1737" s="1056">
        <v>0</v>
      </c>
      <c r="G1737" s="1056">
        <v>26</v>
      </c>
      <c r="H1737" s="1056">
        <v>0</v>
      </c>
      <c r="I1737" s="1056">
        <v>26</v>
      </c>
      <c r="K1737" s="995">
        <f t="shared" si="27"/>
        <v>6</v>
      </c>
    </row>
    <row r="1738" spans="1:11">
      <c r="A1738" s="1054">
        <v>520468</v>
      </c>
      <c r="B1738" s="1055" t="s">
        <v>893</v>
      </c>
      <c r="C1738" s="1055" t="s">
        <v>377</v>
      </c>
      <c r="D1738" s="1055" t="s">
        <v>1044</v>
      </c>
      <c r="E1738" s="1055" t="s">
        <v>1045</v>
      </c>
      <c r="F1738" s="1056">
        <v>243</v>
      </c>
      <c r="G1738" s="1056">
        <v>9</v>
      </c>
      <c r="H1738" s="1056">
        <v>0</v>
      </c>
      <c r="I1738" s="1056">
        <v>252</v>
      </c>
      <c r="K1738" s="995">
        <f t="shared" si="27"/>
        <v>6</v>
      </c>
    </row>
    <row r="1739" spans="1:11">
      <c r="A1739" s="1054">
        <v>520468</v>
      </c>
      <c r="B1739" s="1055" t="s">
        <v>893</v>
      </c>
      <c r="C1739" s="1055" t="s">
        <v>377</v>
      </c>
      <c r="D1739" s="1055" t="s">
        <v>1395</v>
      </c>
      <c r="E1739" s="1055" t="s">
        <v>1396</v>
      </c>
      <c r="F1739" s="1056">
        <v>111</v>
      </c>
      <c r="G1739" s="1056">
        <v>0</v>
      </c>
      <c r="H1739" s="1056">
        <v>0</v>
      </c>
      <c r="I1739" s="1056">
        <v>111</v>
      </c>
      <c r="K1739" s="995">
        <f t="shared" si="27"/>
        <v>6</v>
      </c>
    </row>
    <row r="1740" spans="1:11">
      <c r="A1740" s="1054">
        <v>520468</v>
      </c>
      <c r="B1740" s="1055" t="s">
        <v>893</v>
      </c>
      <c r="C1740" s="1055" t="s">
        <v>377</v>
      </c>
      <c r="D1740" s="1055" t="s">
        <v>1382</v>
      </c>
      <c r="E1740" s="1055" t="s">
        <v>1763</v>
      </c>
      <c r="F1740" s="1056">
        <v>236</v>
      </c>
      <c r="G1740" s="1056">
        <v>53</v>
      </c>
      <c r="H1740" s="1056">
        <v>0</v>
      </c>
      <c r="I1740" s="1056">
        <v>289</v>
      </c>
      <c r="K1740" s="995">
        <f t="shared" si="27"/>
        <v>6</v>
      </c>
    </row>
    <row r="1741" spans="1:11">
      <c r="A1741" s="1054">
        <v>520468</v>
      </c>
      <c r="B1741" s="1055" t="s">
        <v>893</v>
      </c>
      <c r="C1741" s="1055" t="s">
        <v>377</v>
      </c>
      <c r="D1741" s="1055" t="s">
        <v>1383</v>
      </c>
      <c r="E1741" s="1055" t="s">
        <v>1384</v>
      </c>
      <c r="F1741" s="1056">
        <v>177</v>
      </c>
      <c r="G1741" s="1056">
        <v>37</v>
      </c>
      <c r="H1741" s="1056">
        <v>0</v>
      </c>
      <c r="I1741" s="1056">
        <v>214</v>
      </c>
      <c r="K1741" s="995">
        <f t="shared" si="27"/>
        <v>6</v>
      </c>
    </row>
    <row r="1742" spans="1:11">
      <c r="A1742" s="1054">
        <v>520469</v>
      </c>
      <c r="B1742" s="1055" t="s">
        <v>893</v>
      </c>
      <c r="C1742" s="1055" t="s">
        <v>378</v>
      </c>
      <c r="D1742" s="1055" t="s">
        <v>893</v>
      </c>
      <c r="E1742" s="1055" t="s">
        <v>893</v>
      </c>
      <c r="F1742" s="1056">
        <v>6</v>
      </c>
      <c r="G1742" s="1056">
        <v>0</v>
      </c>
      <c r="H1742" s="1056">
        <v>0</v>
      </c>
      <c r="I1742" s="1056">
        <v>6</v>
      </c>
      <c r="K1742" s="995">
        <f t="shared" si="27"/>
        <v>6</v>
      </c>
    </row>
    <row r="1743" spans="1:11">
      <c r="A1743" s="1054">
        <v>520469</v>
      </c>
      <c r="B1743" s="1055" t="s">
        <v>893</v>
      </c>
      <c r="C1743" s="1055" t="s">
        <v>378</v>
      </c>
      <c r="D1743" s="1055" t="s">
        <v>1385</v>
      </c>
      <c r="E1743" s="1055" t="s">
        <v>1386</v>
      </c>
      <c r="F1743" s="1056">
        <v>1</v>
      </c>
      <c r="G1743" s="1056">
        <v>0</v>
      </c>
      <c r="H1743" s="1056">
        <v>0</v>
      </c>
      <c r="I1743" s="1056">
        <v>1</v>
      </c>
      <c r="K1743" s="995">
        <f t="shared" si="27"/>
        <v>6</v>
      </c>
    </row>
    <row r="1744" spans="1:11">
      <c r="A1744" s="1054">
        <v>520469</v>
      </c>
      <c r="B1744" s="1055" t="s">
        <v>893</v>
      </c>
      <c r="C1744" s="1055" t="s">
        <v>378</v>
      </c>
      <c r="D1744" s="1055" t="s">
        <v>1360</v>
      </c>
      <c r="E1744" s="1055" t="s">
        <v>1361</v>
      </c>
      <c r="F1744" s="1056">
        <v>0</v>
      </c>
      <c r="G1744" s="1056">
        <v>0</v>
      </c>
      <c r="H1744" s="1056">
        <v>0</v>
      </c>
      <c r="I1744" s="1056">
        <v>0</v>
      </c>
      <c r="K1744" s="995">
        <f t="shared" si="27"/>
        <v>6</v>
      </c>
    </row>
    <row r="1745" spans="1:11">
      <c r="A1745" s="1054">
        <v>520469</v>
      </c>
      <c r="B1745" s="1055" t="s">
        <v>893</v>
      </c>
      <c r="C1745" s="1055" t="s">
        <v>378</v>
      </c>
      <c r="D1745" s="1055" t="s">
        <v>1397</v>
      </c>
      <c r="E1745" s="1055" t="s">
        <v>1398</v>
      </c>
      <c r="F1745" s="1056">
        <v>0</v>
      </c>
      <c r="G1745" s="1056">
        <v>0</v>
      </c>
      <c r="H1745" s="1056">
        <v>0</v>
      </c>
      <c r="I1745" s="1056">
        <v>0</v>
      </c>
      <c r="K1745" s="995">
        <f t="shared" si="27"/>
        <v>6</v>
      </c>
    </row>
    <row r="1746" spans="1:11">
      <c r="A1746" s="1054">
        <v>520469</v>
      </c>
      <c r="B1746" s="1055" t="s">
        <v>893</v>
      </c>
      <c r="C1746" s="1055" t="s">
        <v>378</v>
      </c>
      <c r="D1746" s="1055" t="s">
        <v>1362</v>
      </c>
      <c r="E1746" s="1055" t="s">
        <v>1363</v>
      </c>
      <c r="F1746" s="1056">
        <v>0</v>
      </c>
      <c r="G1746" s="1056">
        <v>0</v>
      </c>
      <c r="H1746" s="1056">
        <v>0</v>
      </c>
      <c r="I1746" s="1056">
        <v>0</v>
      </c>
      <c r="K1746" s="995">
        <f t="shared" si="27"/>
        <v>6</v>
      </c>
    </row>
    <row r="1747" spans="1:11">
      <c r="A1747" s="1054">
        <v>520469</v>
      </c>
      <c r="B1747" s="1055" t="s">
        <v>893</v>
      </c>
      <c r="C1747" s="1055" t="s">
        <v>378</v>
      </c>
      <c r="D1747" s="1055" t="s">
        <v>1364</v>
      </c>
      <c r="E1747" s="1055" t="s">
        <v>1365</v>
      </c>
      <c r="F1747" s="1056">
        <v>0</v>
      </c>
      <c r="G1747" s="1056">
        <v>0</v>
      </c>
      <c r="H1747" s="1056">
        <v>0</v>
      </c>
      <c r="I1747" s="1056">
        <v>0</v>
      </c>
      <c r="K1747" s="995">
        <f t="shared" si="27"/>
        <v>6</v>
      </c>
    </row>
    <row r="1748" spans="1:11">
      <c r="A1748" s="1054">
        <v>520469</v>
      </c>
      <c r="B1748" s="1055" t="s">
        <v>893</v>
      </c>
      <c r="C1748" s="1055" t="s">
        <v>378</v>
      </c>
      <c r="D1748" s="1055" t="s">
        <v>1270</v>
      </c>
      <c r="E1748" s="1055" t="s">
        <v>988</v>
      </c>
      <c r="F1748" s="1056">
        <v>0</v>
      </c>
      <c r="G1748" s="1056">
        <v>0</v>
      </c>
      <c r="H1748" s="1056">
        <v>0</v>
      </c>
      <c r="I1748" s="1056">
        <v>0</v>
      </c>
      <c r="K1748" s="995">
        <f t="shared" si="27"/>
        <v>6</v>
      </c>
    </row>
    <row r="1749" spans="1:11">
      <c r="A1749" s="1054">
        <v>520469</v>
      </c>
      <c r="B1749" s="1055" t="s">
        <v>893</v>
      </c>
      <c r="C1749" s="1055" t="s">
        <v>378</v>
      </c>
      <c r="D1749" s="1055" t="s">
        <v>1366</v>
      </c>
      <c r="E1749" s="1055" t="s">
        <v>1367</v>
      </c>
      <c r="F1749" s="1056">
        <v>0</v>
      </c>
      <c r="G1749" s="1056">
        <v>0</v>
      </c>
      <c r="H1749" s="1056">
        <v>0</v>
      </c>
      <c r="I1749" s="1056">
        <v>0</v>
      </c>
      <c r="K1749" s="995">
        <f t="shared" si="27"/>
        <v>6</v>
      </c>
    </row>
    <row r="1750" spans="1:11">
      <c r="A1750" s="1054">
        <v>520469</v>
      </c>
      <c r="B1750" s="1055" t="s">
        <v>893</v>
      </c>
      <c r="C1750" s="1055" t="s">
        <v>378</v>
      </c>
      <c r="D1750" s="1055" t="s">
        <v>1302</v>
      </c>
      <c r="E1750" s="1055" t="s">
        <v>986</v>
      </c>
      <c r="F1750" s="1056">
        <v>0</v>
      </c>
      <c r="G1750" s="1056">
        <v>0</v>
      </c>
      <c r="H1750" s="1056">
        <v>0</v>
      </c>
      <c r="I1750" s="1056">
        <v>0</v>
      </c>
      <c r="K1750" s="995">
        <f t="shared" si="27"/>
        <v>6</v>
      </c>
    </row>
    <row r="1751" spans="1:11">
      <c r="A1751" s="1054">
        <v>520469</v>
      </c>
      <c r="B1751" s="1055" t="s">
        <v>893</v>
      </c>
      <c r="C1751" s="1055" t="s">
        <v>378</v>
      </c>
      <c r="D1751" s="1055" t="s">
        <v>1042</v>
      </c>
      <c r="E1751" s="1055" t="s">
        <v>1732</v>
      </c>
      <c r="F1751" s="1056">
        <v>0</v>
      </c>
      <c r="G1751" s="1056">
        <v>0</v>
      </c>
      <c r="H1751" s="1056">
        <v>0</v>
      </c>
      <c r="I1751" s="1056">
        <v>0</v>
      </c>
      <c r="K1751" s="995">
        <f t="shared" si="27"/>
        <v>6</v>
      </c>
    </row>
    <row r="1752" spans="1:11">
      <c r="A1752" s="1054">
        <v>520469</v>
      </c>
      <c r="B1752" s="1055" t="s">
        <v>893</v>
      </c>
      <c r="C1752" s="1055" t="s">
        <v>378</v>
      </c>
      <c r="D1752" s="1055" t="s">
        <v>1246</v>
      </c>
      <c r="E1752" s="1055" t="s">
        <v>743</v>
      </c>
      <c r="F1752" s="1056">
        <v>2</v>
      </c>
      <c r="G1752" s="1056">
        <v>0</v>
      </c>
      <c r="H1752" s="1056">
        <v>0</v>
      </c>
      <c r="I1752" s="1056">
        <v>2</v>
      </c>
      <c r="K1752" s="995">
        <f t="shared" si="27"/>
        <v>6</v>
      </c>
    </row>
    <row r="1753" spans="1:11">
      <c r="A1753" s="1054">
        <v>520469</v>
      </c>
      <c r="B1753" s="1055" t="s">
        <v>893</v>
      </c>
      <c r="C1753" s="1055" t="s">
        <v>378</v>
      </c>
      <c r="D1753" s="1055" t="s">
        <v>1320</v>
      </c>
      <c r="E1753" s="1055" t="s">
        <v>1321</v>
      </c>
      <c r="F1753" s="1056">
        <v>0</v>
      </c>
      <c r="G1753" s="1056">
        <v>0</v>
      </c>
      <c r="H1753" s="1056">
        <v>0</v>
      </c>
      <c r="I1753" s="1056">
        <v>0</v>
      </c>
      <c r="K1753" s="995">
        <f t="shared" si="27"/>
        <v>6</v>
      </c>
    </row>
    <row r="1754" spans="1:11">
      <c r="A1754" s="1054">
        <v>520469</v>
      </c>
      <c r="B1754" s="1055" t="s">
        <v>893</v>
      </c>
      <c r="C1754" s="1055" t="s">
        <v>378</v>
      </c>
      <c r="D1754" s="1055" t="s">
        <v>1274</v>
      </c>
      <c r="E1754" s="1055" t="s">
        <v>989</v>
      </c>
      <c r="F1754" s="1056">
        <v>0</v>
      </c>
      <c r="G1754" s="1056">
        <v>0</v>
      </c>
      <c r="H1754" s="1056">
        <v>0</v>
      </c>
      <c r="I1754" s="1056">
        <v>0</v>
      </c>
      <c r="K1754" s="995">
        <f t="shared" si="27"/>
        <v>6</v>
      </c>
    </row>
    <row r="1755" spans="1:11">
      <c r="A1755" s="1054">
        <v>520469</v>
      </c>
      <c r="B1755" s="1055" t="s">
        <v>893</v>
      </c>
      <c r="C1755" s="1055" t="s">
        <v>378</v>
      </c>
      <c r="D1755" s="1055" t="s">
        <v>1247</v>
      </c>
      <c r="E1755" s="1055" t="s">
        <v>1248</v>
      </c>
      <c r="F1755" s="1056">
        <v>0</v>
      </c>
      <c r="G1755" s="1056">
        <v>0</v>
      </c>
      <c r="H1755" s="1056">
        <v>0</v>
      </c>
      <c r="I1755" s="1056">
        <v>0</v>
      </c>
      <c r="K1755" s="995">
        <f t="shared" si="27"/>
        <v>6</v>
      </c>
    </row>
    <row r="1756" spans="1:11">
      <c r="A1756" s="1054">
        <v>520469</v>
      </c>
      <c r="B1756" s="1055" t="s">
        <v>893</v>
      </c>
      <c r="C1756" s="1055" t="s">
        <v>378</v>
      </c>
      <c r="D1756" s="1055" t="s">
        <v>1387</v>
      </c>
      <c r="E1756" s="1055" t="s">
        <v>1388</v>
      </c>
      <c r="F1756" s="1056">
        <v>0</v>
      </c>
      <c r="G1756" s="1056">
        <v>0</v>
      </c>
      <c r="H1756" s="1056">
        <v>0</v>
      </c>
      <c r="I1756" s="1056">
        <v>0</v>
      </c>
      <c r="K1756" s="995">
        <f t="shared" si="27"/>
        <v>6</v>
      </c>
    </row>
    <row r="1757" spans="1:11">
      <c r="A1757" s="1054">
        <v>520469</v>
      </c>
      <c r="B1757" s="1055" t="s">
        <v>893</v>
      </c>
      <c r="C1757" s="1055" t="s">
        <v>378</v>
      </c>
      <c r="D1757" s="1055" t="s">
        <v>1372</v>
      </c>
      <c r="E1757" s="1055" t="s">
        <v>1373</v>
      </c>
      <c r="F1757" s="1056">
        <v>0</v>
      </c>
      <c r="G1757" s="1056">
        <v>0</v>
      </c>
      <c r="H1757" s="1056">
        <v>0</v>
      </c>
      <c r="I1757" s="1056">
        <v>0</v>
      </c>
      <c r="K1757" s="995">
        <f t="shared" si="27"/>
        <v>6</v>
      </c>
    </row>
    <row r="1758" spans="1:11">
      <c r="A1758" s="1054">
        <v>520469</v>
      </c>
      <c r="B1758" s="1055" t="s">
        <v>893</v>
      </c>
      <c r="C1758" s="1055" t="s">
        <v>378</v>
      </c>
      <c r="D1758" s="1055" t="s">
        <v>1389</v>
      </c>
      <c r="E1758" s="1055" t="s">
        <v>1390</v>
      </c>
      <c r="F1758" s="1056">
        <v>0</v>
      </c>
      <c r="G1758" s="1056">
        <v>0</v>
      </c>
      <c r="H1758" s="1056">
        <v>0</v>
      </c>
      <c r="I1758" s="1056">
        <v>0</v>
      </c>
      <c r="K1758" s="995">
        <f t="shared" si="27"/>
        <v>6</v>
      </c>
    </row>
    <row r="1759" spans="1:11">
      <c r="A1759" s="1054">
        <v>520469</v>
      </c>
      <c r="B1759" s="1055" t="s">
        <v>893</v>
      </c>
      <c r="C1759" s="1055" t="s">
        <v>378</v>
      </c>
      <c r="D1759" s="1055" t="s">
        <v>1249</v>
      </c>
      <c r="E1759" s="1055" t="s">
        <v>583</v>
      </c>
      <c r="F1759" s="1056">
        <v>0</v>
      </c>
      <c r="G1759" s="1056">
        <v>0</v>
      </c>
      <c r="H1759" s="1056">
        <v>0</v>
      </c>
      <c r="I1759" s="1056">
        <v>0</v>
      </c>
      <c r="K1759" s="995">
        <f t="shared" si="27"/>
        <v>6</v>
      </c>
    </row>
    <row r="1760" spans="1:11">
      <c r="A1760" s="1054">
        <v>520469</v>
      </c>
      <c r="B1760" s="1055" t="s">
        <v>893</v>
      </c>
      <c r="C1760" s="1055" t="s">
        <v>378</v>
      </c>
      <c r="D1760" s="1055" t="s">
        <v>1305</v>
      </c>
      <c r="E1760" s="1055" t="s">
        <v>990</v>
      </c>
      <c r="F1760" s="1056">
        <v>0</v>
      </c>
      <c r="G1760" s="1056">
        <v>0</v>
      </c>
      <c r="H1760" s="1056">
        <v>0</v>
      </c>
      <c r="I1760" s="1056">
        <v>0</v>
      </c>
      <c r="K1760" s="995">
        <f t="shared" si="27"/>
        <v>6</v>
      </c>
    </row>
    <row r="1761" spans="1:11">
      <c r="A1761" s="1054">
        <v>520469</v>
      </c>
      <c r="B1761" s="1055" t="s">
        <v>893</v>
      </c>
      <c r="C1761" s="1055" t="s">
        <v>378</v>
      </c>
      <c r="D1761" s="1055" t="s">
        <v>1306</v>
      </c>
      <c r="E1761" s="1055" t="s">
        <v>997</v>
      </c>
      <c r="F1761" s="1056">
        <v>0</v>
      </c>
      <c r="G1761" s="1056">
        <v>0</v>
      </c>
      <c r="H1761" s="1056">
        <v>0</v>
      </c>
      <c r="I1761" s="1056">
        <v>0</v>
      </c>
      <c r="K1761" s="995">
        <f t="shared" si="27"/>
        <v>6</v>
      </c>
    </row>
    <row r="1762" spans="1:11">
      <c r="A1762" s="1054">
        <v>520469</v>
      </c>
      <c r="B1762" s="1055" t="s">
        <v>893</v>
      </c>
      <c r="C1762" s="1055" t="s">
        <v>378</v>
      </c>
      <c r="D1762" s="1055" t="s">
        <v>1322</v>
      </c>
      <c r="E1762" s="1055" t="s">
        <v>1323</v>
      </c>
      <c r="F1762" s="1056">
        <v>0</v>
      </c>
      <c r="G1762" s="1056">
        <v>0</v>
      </c>
      <c r="H1762" s="1056">
        <v>0</v>
      </c>
      <c r="I1762" s="1056">
        <v>0</v>
      </c>
      <c r="K1762" s="995">
        <f t="shared" si="27"/>
        <v>6</v>
      </c>
    </row>
    <row r="1763" spans="1:11">
      <c r="A1763" s="1054">
        <v>520469</v>
      </c>
      <c r="B1763" s="1055" t="s">
        <v>893</v>
      </c>
      <c r="C1763" s="1055" t="s">
        <v>378</v>
      </c>
      <c r="D1763" s="1055" t="s">
        <v>1391</v>
      </c>
      <c r="E1763" s="1055" t="s">
        <v>1392</v>
      </c>
      <c r="F1763" s="1056">
        <v>0</v>
      </c>
      <c r="G1763" s="1056">
        <v>0</v>
      </c>
      <c r="H1763" s="1056">
        <v>0</v>
      </c>
      <c r="I1763" s="1056">
        <v>0</v>
      </c>
      <c r="K1763" s="995">
        <f t="shared" si="27"/>
        <v>6</v>
      </c>
    </row>
    <row r="1764" spans="1:11">
      <c r="A1764" s="1054">
        <v>520469</v>
      </c>
      <c r="B1764" s="1055" t="s">
        <v>893</v>
      </c>
      <c r="C1764" s="1055" t="s">
        <v>378</v>
      </c>
      <c r="D1764" s="1055" t="s">
        <v>1250</v>
      </c>
      <c r="E1764" s="1055" t="s">
        <v>1251</v>
      </c>
      <c r="F1764" s="1056">
        <v>0</v>
      </c>
      <c r="G1764" s="1056">
        <v>0</v>
      </c>
      <c r="H1764" s="1056">
        <v>0</v>
      </c>
      <c r="I1764" s="1056">
        <v>0</v>
      </c>
      <c r="K1764" s="995">
        <f t="shared" si="27"/>
        <v>6</v>
      </c>
    </row>
    <row r="1765" spans="1:11">
      <c r="A1765" s="1054">
        <v>520469</v>
      </c>
      <c r="B1765" s="1055" t="s">
        <v>893</v>
      </c>
      <c r="C1765" s="1055" t="s">
        <v>378</v>
      </c>
      <c r="D1765" s="1055" t="s">
        <v>1378</v>
      </c>
      <c r="E1765" s="1055" t="s">
        <v>1379</v>
      </c>
      <c r="F1765" s="1056">
        <v>0</v>
      </c>
      <c r="G1765" s="1056">
        <v>0</v>
      </c>
      <c r="H1765" s="1056">
        <v>0</v>
      </c>
      <c r="I1765" s="1056">
        <v>0</v>
      </c>
      <c r="K1765" s="995">
        <f t="shared" si="27"/>
        <v>6</v>
      </c>
    </row>
    <row r="1766" spans="1:11">
      <c r="A1766" s="1054">
        <v>520469</v>
      </c>
      <c r="B1766" s="1055" t="s">
        <v>893</v>
      </c>
      <c r="C1766" s="1055" t="s">
        <v>378</v>
      </c>
      <c r="D1766" s="1055" t="s">
        <v>1393</v>
      </c>
      <c r="E1766" s="1055" t="s">
        <v>1394</v>
      </c>
      <c r="F1766" s="1056">
        <v>0</v>
      </c>
      <c r="G1766" s="1056">
        <v>0</v>
      </c>
      <c r="H1766" s="1056">
        <v>0</v>
      </c>
      <c r="I1766" s="1056">
        <v>0</v>
      </c>
      <c r="K1766" s="995">
        <f t="shared" si="27"/>
        <v>6</v>
      </c>
    </row>
    <row r="1767" spans="1:11">
      <c r="A1767" s="1054">
        <v>520469</v>
      </c>
      <c r="B1767" s="1055" t="s">
        <v>893</v>
      </c>
      <c r="C1767" s="1055" t="s">
        <v>378</v>
      </c>
      <c r="D1767" s="1055" t="s">
        <v>1303</v>
      </c>
      <c r="E1767" s="1055" t="s">
        <v>806</v>
      </c>
      <c r="F1767" s="1056">
        <v>0</v>
      </c>
      <c r="G1767" s="1056">
        <v>0</v>
      </c>
      <c r="H1767" s="1056">
        <v>0</v>
      </c>
      <c r="I1767" s="1056">
        <v>0</v>
      </c>
      <c r="K1767" s="995">
        <f t="shared" si="27"/>
        <v>6</v>
      </c>
    </row>
    <row r="1768" spans="1:11">
      <c r="A1768" s="1054">
        <v>520469</v>
      </c>
      <c r="B1768" s="1055" t="s">
        <v>893</v>
      </c>
      <c r="C1768" s="1055" t="s">
        <v>378</v>
      </c>
      <c r="D1768" s="1055" t="s">
        <v>1254</v>
      </c>
      <c r="E1768" s="1055" t="s">
        <v>744</v>
      </c>
      <c r="F1768" s="1056">
        <v>0</v>
      </c>
      <c r="G1768" s="1056">
        <v>0</v>
      </c>
      <c r="H1768" s="1056">
        <v>0</v>
      </c>
      <c r="I1768" s="1056">
        <v>0</v>
      </c>
      <c r="K1768" s="995">
        <f t="shared" si="27"/>
        <v>6</v>
      </c>
    </row>
    <row r="1769" spans="1:11">
      <c r="A1769" s="1054">
        <v>520469</v>
      </c>
      <c r="B1769" s="1055" t="s">
        <v>893</v>
      </c>
      <c r="C1769" s="1055" t="s">
        <v>378</v>
      </c>
      <c r="D1769" s="1055" t="s">
        <v>1275</v>
      </c>
      <c r="E1769" s="1055" t="s">
        <v>991</v>
      </c>
      <c r="F1769" s="1056">
        <v>0</v>
      </c>
      <c r="G1769" s="1056">
        <v>0</v>
      </c>
      <c r="H1769" s="1056">
        <v>0</v>
      </c>
      <c r="I1769" s="1056">
        <v>0</v>
      </c>
      <c r="K1769" s="995">
        <f t="shared" si="27"/>
        <v>6</v>
      </c>
    </row>
    <row r="1770" spans="1:11">
      <c r="A1770" s="1054">
        <v>520469</v>
      </c>
      <c r="B1770" s="1055" t="s">
        <v>893</v>
      </c>
      <c r="C1770" s="1055" t="s">
        <v>378</v>
      </c>
      <c r="D1770" s="1055" t="s">
        <v>1044</v>
      </c>
      <c r="E1770" s="1055" t="s">
        <v>1045</v>
      </c>
      <c r="F1770" s="1056">
        <v>0</v>
      </c>
      <c r="G1770" s="1056">
        <v>0</v>
      </c>
      <c r="H1770" s="1056">
        <v>0</v>
      </c>
      <c r="I1770" s="1056">
        <v>0</v>
      </c>
      <c r="K1770" s="995">
        <f t="shared" si="27"/>
        <v>6</v>
      </c>
    </row>
    <row r="1771" spans="1:11">
      <c r="A1771" s="1054">
        <v>520469</v>
      </c>
      <c r="B1771" s="1055" t="s">
        <v>893</v>
      </c>
      <c r="C1771" s="1055" t="s">
        <v>378</v>
      </c>
      <c r="D1771" s="1055" t="s">
        <v>1395</v>
      </c>
      <c r="E1771" s="1055" t="s">
        <v>1396</v>
      </c>
      <c r="F1771" s="1056">
        <v>0</v>
      </c>
      <c r="G1771" s="1056">
        <v>0</v>
      </c>
      <c r="H1771" s="1056">
        <v>0</v>
      </c>
      <c r="I1771" s="1056">
        <v>0</v>
      </c>
      <c r="K1771" s="995">
        <f t="shared" si="27"/>
        <v>6</v>
      </c>
    </row>
    <row r="1772" spans="1:11">
      <c r="A1772" s="1054">
        <v>520469</v>
      </c>
      <c r="B1772" s="1055" t="s">
        <v>893</v>
      </c>
      <c r="C1772" s="1055" t="s">
        <v>378</v>
      </c>
      <c r="D1772" s="1055" t="s">
        <v>1382</v>
      </c>
      <c r="E1772" s="1055" t="s">
        <v>1763</v>
      </c>
      <c r="F1772" s="1056">
        <v>0</v>
      </c>
      <c r="G1772" s="1056">
        <v>0</v>
      </c>
      <c r="H1772" s="1056">
        <v>0</v>
      </c>
      <c r="I1772" s="1056">
        <v>0</v>
      </c>
      <c r="K1772" s="995">
        <f t="shared" si="27"/>
        <v>6</v>
      </c>
    </row>
    <row r="1773" spans="1:11">
      <c r="A1773" s="1054">
        <v>520469</v>
      </c>
      <c r="B1773" s="1055" t="s">
        <v>893</v>
      </c>
      <c r="C1773" s="1055" t="s">
        <v>378</v>
      </c>
      <c r="D1773" s="1055" t="s">
        <v>1383</v>
      </c>
      <c r="E1773" s="1055" t="s">
        <v>1384</v>
      </c>
      <c r="F1773" s="1056">
        <v>1</v>
      </c>
      <c r="G1773" s="1056">
        <v>0</v>
      </c>
      <c r="H1773" s="1056">
        <v>0</v>
      </c>
      <c r="I1773" s="1056">
        <v>1</v>
      </c>
      <c r="K1773" s="995">
        <f t="shared" si="27"/>
        <v>6</v>
      </c>
    </row>
    <row r="1774" spans="1:11">
      <c r="A1774" s="1054">
        <v>520470</v>
      </c>
      <c r="B1774" s="1055" t="s">
        <v>893</v>
      </c>
      <c r="C1774" s="1055" t="s">
        <v>379</v>
      </c>
      <c r="D1774" s="1055" t="s">
        <v>893</v>
      </c>
      <c r="E1774" s="1055" t="s">
        <v>893</v>
      </c>
      <c r="F1774" s="1056">
        <v>35838</v>
      </c>
      <c r="G1774" s="1056">
        <v>7773</v>
      </c>
      <c r="H1774" s="1056">
        <v>0</v>
      </c>
      <c r="I1774" s="1056">
        <v>43611</v>
      </c>
      <c r="K1774" s="995">
        <f t="shared" si="27"/>
        <v>6</v>
      </c>
    </row>
    <row r="1775" spans="1:11">
      <c r="A1775" s="1054">
        <v>520470</v>
      </c>
      <c r="B1775" s="1055" t="s">
        <v>893</v>
      </c>
      <c r="C1775" s="1055" t="s">
        <v>379</v>
      </c>
      <c r="D1775" s="1055" t="s">
        <v>1385</v>
      </c>
      <c r="E1775" s="1055" t="s">
        <v>1386</v>
      </c>
      <c r="F1775" s="1056">
        <v>7</v>
      </c>
      <c r="G1775" s="1056">
        <v>0</v>
      </c>
      <c r="H1775" s="1056">
        <v>0</v>
      </c>
      <c r="I1775" s="1056">
        <v>7</v>
      </c>
      <c r="K1775" s="995">
        <f t="shared" si="27"/>
        <v>6</v>
      </c>
    </row>
    <row r="1776" spans="1:11">
      <c r="A1776" s="1054">
        <v>520470</v>
      </c>
      <c r="B1776" s="1055" t="s">
        <v>893</v>
      </c>
      <c r="C1776" s="1055" t="s">
        <v>379</v>
      </c>
      <c r="D1776" s="1055" t="s">
        <v>1360</v>
      </c>
      <c r="E1776" s="1055" t="s">
        <v>1361</v>
      </c>
      <c r="F1776" s="1056">
        <v>1130</v>
      </c>
      <c r="G1776" s="1056">
        <v>233</v>
      </c>
      <c r="H1776" s="1056">
        <v>0</v>
      </c>
      <c r="I1776" s="1056">
        <v>1363</v>
      </c>
      <c r="K1776" s="995">
        <f t="shared" si="27"/>
        <v>6</v>
      </c>
    </row>
    <row r="1777" spans="1:11">
      <c r="A1777" s="1054">
        <v>520470</v>
      </c>
      <c r="B1777" s="1055" t="s">
        <v>893</v>
      </c>
      <c r="C1777" s="1055" t="s">
        <v>379</v>
      </c>
      <c r="D1777" s="1055" t="s">
        <v>1298</v>
      </c>
      <c r="E1777" s="1055" t="s">
        <v>987</v>
      </c>
      <c r="F1777" s="1056">
        <v>269</v>
      </c>
      <c r="G1777" s="1056">
        <v>286</v>
      </c>
      <c r="H1777" s="1056">
        <v>0</v>
      </c>
      <c r="I1777" s="1056">
        <v>555</v>
      </c>
      <c r="K1777" s="995">
        <f t="shared" si="27"/>
        <v>6</v>
      </c>
    </row>
    <row r="1778" spans="1:11">
      <c r="A1778" s="1054">
        <v>520470</v>
      </c>
      <c r="B1778" s="1055" t="s">
        <v>893</v>
      </c>
      <c r="C1778" s="1055" t="s">
        <v>379</v>
      </c>
      <c r="D1778" s="1055" t="s">
        <v>1397</v>
      </c>
      <c r="E1778" s="1055" t="s">
        <v>1398</v>
      </c>
      <c r="F1778" s="1056">
        <v>121</v>
      </c>
      <c r="G1778" s="1056">
        <v>0</v>
      </c>
      <c r="H1778" s="1056">
        <v>0</v>
      </c>
      <c r="I1778" s="1056">
        <v>121</v>
      </c>
      <c r="K1778" s="995">
        <f t="shared" si="27"/>
        <v>6</v>
      </c>
    </row>
    <row r="1779" spans="1:11">
      <c r="A1779" s="1054">
        <v>520470</v>
      </c>
      <c r="B1779" s="1055" t="s">
        <v>893</v>
      </c>
      <c r="C1779" s="1055" t="s">
        <v>379</v>
      </c>
      <c r="D1779" s="1055" t="s">
        <v>1362</v>
      </c>
      <c r="E1779" s="1055" t="s">
        <v>1363</v>
      </c>
      <c r="F1779" s="1056">
        <v>985</v>
      </c>
      <c r="G1779" s="1056">
        <v>173</v>
      </c>
      <c r="H1779" s="1056">
        <v>0</v>
      </c>
      <c r="I1779" s="1056">
        <v>1158</v>
      </c>
      <c r="K1779" s="995">
        <f t="shared" si="27"/>
        <v>6</v>
      </c>
    </row>
    <row r="1780" spans="1:11">
      <c r="A1780" s="1054">
        <v>520470</v>
      </c>
      <c r="B1780" s="1055" t="s">
        <v>893</v>
      </c>
      <c r="C1780" s="1055" t="s">
        <v>379</v>
      </c>
      <c r="D1780" s="1055" t="s">
        <v>1364</v>
      </c>
      <c r="E1780" s="1055" t="s">
        <v>1365</v>
      </c>
      <c r="F1780" s="1056">
        <v>1152</v>
      </c>
      <c r="G1780" s="1056">
        <v>221</v>
      </c>
      <c r="H1780" s="1056">
        <v>0</v>
      </c>
      <c r="I1780" s="1056">
        <v>1373</v>
      </c>
      <c r="K1780" s="995">
        <f t="shared" si="27"/>
        <v>6</v>
      </c>
    </row>
    <row r="1781" spans="1:11">
      <c r="A1781" s="1054">
        <v>520470</v>
      </c>
      <c r="B1781" s="1055" t="s">
        <v>893</v>
      </c>
      <c r="C1781" s="1055" t="s">
        <v>379</v>
      </c>
      <c r="D1781" s="1055" t="s">
        <v>1601</v>
      </c>
      <c r="E1781" s="1055" t="s">
        <v>1602</v>
      </c>
      <c r="F1781" s="1056">
        <v>2316</v>
      </c>
      <c r="G1781" s="1056">
        <v>630</v>
      </c>
      <c r="H1781" s="1056">
        <v>0</v>
      </c>
      <c r="I1781" s="1056">
        <v>2946</v>
      </c>
      <c r="K1781" s="995">
        <f t="shared" si="27"/>
        <v>6</v>
      </c>
    </row>
    <row r="1782" spans="1:11">
      <c r="A1782" s="1054">
        <v>520470</v>
      </c>
      <c r="B1782" s="1055" t="s">
        <v>893</v>
      </c>
      <c r="C1782" s="1055" t="s">
        <v>379</v>
      </c>
      <c r="D1782" s="1055" t="s">
        <v>1270</v>
      </c>
      <c r="E1782" s="1055" t="s">
        <v>988</v>
      </c>
      <c r="F1782" s="1056">
        <v>1302</v>
      </c>
      <c r="G1782" s="1056">
        <v>263</v>
      </c>
      <c r="H1782" s="1056">
        <v>0</v>
      </c>
      <c r="I1782" s="1056">
        <v>1564</v>
      </c>
      <c r="K1782" s="995">
        <f t="shared" si="27"/>
        <v>6</v>
      </c>
    </row>
    <row r="1783" spans="1:11">
      <c r="A1783" s="1054">
        <v>520470</v>
      </c>
      <c r="B1783" s="1055" t="s">
        <v>893</v>
      </c>
      <c r="C1783" s="1055" t="s">
        <v>379</v>
      </c>
      <c r="D1783" s="1055" t="s">
        <v>1271</v>
      </c>
      <c r="E1783" s="1055" t="s">
        <v>782</v>
      </c>
      <c r="F1783" s="1056">
        <v>1292</v>
      </c>
      <c r="G1783" s="1056">
        <v>267</v>
      </c>
      <c r="H1783" s="1056">
        <v>0</v>
      </c>
      <c r="I1783" s="1056">
        <v>1558</v>
      </c>
      <c r="K1783" s="995">
        <f t="shared" si="27"/>
        <v>6</v>
      </c>
    </row>
    <row r="1784" spans="1:11">
      <c r="A1784" s="1054">
        <v>520470</v>
      </c>
      <c r="B1784" s="1055" t="s">
        <v>893</v>
      </c>
      <c r="C1784" s="1055" t="s">
        <v>379</v>
      </c>
      <c r="D1784" s="1055" t="s">
        <v>1366</v>
      </c>
      <c r="E1784" s="1055" t="s">
        <v>1367</v>
      </c>
      <c r="F1784" s="1056">
        <v>1006</v>
      </c>
      <c r="G1784" s="1056">
        <v>210</v>
      </c>
      <c r="H1784" s="1056">
        <v>0</v>
      </c>
      <c r="I1784" s="1056">
        <v>1215</v>
      </c>
      <c r="K1784" s="995">
        <f t="shared" si="27"/>
        <v>6</v>
      </c>
    </row>
    <row r="1785" spans="1:11">
      <c r="A1785" s="1054">
        <v>520470</v>
      </c>
      <c r="B1785" s="1055" t="s">
        <v>893</v>
      </c>
      <c r="C1785" s="1055" t="s">
        <v>379</v>
      </c>
      <c r="D1785" s="1055" t="s">
        <v>1302</v>
      </c>
      <c r="E1785" s="1055" t="s">
        <v>986</v>
      </c>
      <c r="F1785" s="1056">
        <v>962</v>
      </c>
      <c r="G1785" s="1056">
        <v>181</v>
      </c>
      <c r="H1785" s="1056">
        <v>0</v>
      </c>
      <c r="I1785" s="1056">
        <v>1143</v>
      </c>
      <c r="K1785" s="995">
        <f t="shared" si="27"/>
        <v>6</v>
      </c>
    </row>
    <row r="1786" spans="1:11">
      <c r="A1786" s="1054">
        <v>520470</v>
      </c>
      <c r="B1786" s="1055" t="s">
        <v>893</v>
      </c>
      <c r="C1786" s="1055" t="s">
        <v>379</v>
      </c>
      <c r="D1786" s="1055" t="s">
        <v>1042</v>
      </c>
      <c r="E1786" s="1055" t="s">
        <v>1732</v>
      </c>
      <c r="F1786" s="1056">
        <v>1068</v>
      </c>
      <c r="G1786" s="1056">
        <v>0</v>
      </c>
      <c r="H1786" s="1056">
        <v>0</v>
      </c>
      <c r="I1786" s="1056">
        <v>1068</v>
      </c>
      <c r="K1786" s="995">
        <f t="shared" si="27"/>
        <v>6</v>
      </c>
    </row>
    <row r="1787" spans="1:11">
      <c r="A1787" s="1054">
        <v>520470</v>
      </c>
      <c r="B1787" s="1055" t="s">
        <v>893</v>
      </c>
      <c r="C1787" s="1055" t="s">
        <v>379</v>
      </c>
      <c r="D1787" s="1055" t="s">
        <v>1611</v>
      </c>
      <c r="E1787" s="1055" t="s">
        <v>1612</v>
      </c>
      <c r="F1787" s="1056">
        <v>195</v>
      </c>
      <c r="G1787" s="1056">
        <v>0</v>
      </c>
      <c r="H1787" s="1056">
        <v>0</v>
      </c>
      <c r="I1787" s="1056">
        <v>195</v>
      </c>
      <c r="K1787" s="995">
        <f t="shared" si="27"/>
        <v>6</v>
      </c>
    </row>
    <row r="1788" spans="1:11">
      <c r="A1788" s="1054">
        <v>520470</v>
      </c>
      <c r="B1788" s="1055" t="s">
        <v>893</v>
      </c>
      <c r="C1788" s="1055" t="s">
        <v>379</v>
      </c>
      <c r="D1788" s="1055" t="s">
        <v>1368</v>
      </c>
      <c r="E1788" s="1055" t="s">
        <v>1369</v>
      </c>
      <c r="F1788" s="1056">
        <v>266</v>
      </c>
      <c r="G1788" s="1056">
        <v>188</v>
      </c>
      <c r="H1788" s="1056">
        <v>0</v>
      </c>
      <c r="I1788" s="1056">
        <v>454</v>
      </c>
      <c r="K1788" s="995">
        <f t="shared" si="27"/>
        <v>6</v>
      </c>
    </row>
    <row r="1789" spans="1:11">
      <c r="A1789" s="1054">
        <v>520470</v>
      </c>
      <c r="B1789" s="1055" t="s">
        <v>893</v>
      </c>
      <c r="C1789" s="1055" t="s">
        <v>379</v>
      </c>
      <c r="D1789" s="1055" t="s">
        <v>1246</v>
      </c>
      <c r="E1789" s="1055" t="s">
        <v>743</v>
      </c>
      <c r="F1789" s="1056">
        <v>173</v>
      </c>
      <c r="G1789" s="1056">
        <v>0</v>
      </c>
      <c r="H1789" s="1056">
        <v>0</v>
      </c>
      <c r="I1789" s="1056">
        <v>173</v>
      </c>
      <c r="K1789" s="995">
        <f t="shared" si="27"/>
        <v>6</v>
      </c>
    </row>
    <row r="1790" spans="1:11">
      <c r="A1790" s="1054">
        <v>520470</v>
      </c>
      <c r="B1790" s="1055" t="s">
        <v>893</v>
      </c>
      <c r="C1790" s="1055" t="s">
        <v>379</v>
      </c>
      <c r="D1790" s="1055" t="s">
        <v>1320</v>
      </c>
      <c r="E1790" s="1055" t="s">
        <v>1321</v>
      </c>
      <c r="F1790" s="1056">
        <v>1030</v>
      </c>
      <c r="G1790" s="1056">
        <v>217</v>
      </c>
      <c r="H1790" s="1056">
        <v>0</v>
      </c>
      <c r="I1790" s="1056">
        <v>1247</v>
      </c>
      <c r="K1790" s="995">
        <f t="shared" si="27"/>
        <v>6</v>
      </c>
    </row>
    <row r="1791" spans="1:11">
      <c r="A1791" s="1054">
        <v>520470</v>
      </c>
      <c r="B1791" s="1055" t="s">
        <v>893</v>
      </c>
      <c r="C1791" s="1055" t="s">
        <v>379</v>
      </c>
      <c r="D1791" s="1055" t="s">
        <v>1274</v>
      </c>
      <c r="E1791" s="1055" t="s">
        <v>989</v>
      </c>
      <c r="F1791" s="1056">
        <v>1471</v>
      </c>
      <c r="G1791" s="1056">
        <v>298</v>
      </c>
      <c r="H1791" s="1056">
        <v>0</v>
      </c>
      <c r="I1791" s="1056">
        <v>1768</v>
      </c>
      <c r="K1791" s="995">
        <f t="shared" si="27"/>
        <v>6</v>
      </c>
    </row>
    <row r="1792" spans="1:11">
      <c r="A1792" s="1054">
        <v>520470</v>
      </c>
      <c r="B1792" s="1055" t="s">
        <v>893</v>
      </c>
      <c r="C1792" s="1055" t="s">
        <v>379</v>
      </c>
      <c r="D1792" s="1055" t="s">
        <v>1247</v>
      </c>
      <c r="E1792" s="1055" t="s">
        <v>1248</v>
      </c>
      <c r="F1792" s="1056">
        <v>1139</v>
      </c>
      <c r="G1792" s="1056">
        <v>260</v>
      </c>
      <c r="H1792" s="1056">
        <v>0</v>
      </c>
      <c r="I1792" s="1056">
        <v>1399</v>
      </c>
      <c r="K1792" s="995">
        <f t="shared" si="27"/>
        <v>6</v>
      </c>
    </row>
    <row r="1793" spans="1:11">
      <c r="A1793" s="1054">
        <v>520470</v>
      </c>
      <c r="B1793" s="1055" t="s">
        <v>893</v>
      </c>
      <c r="C1793" s="1055" t="s">
        <v>379</v>
      </c>
      <c r="D1793" s="1055" t="s">
        <v>1387</v>
      </c>
      <c r="E1793" s="1055" t="s">
        <v>1388</v>
      </c>
      <c r="F1793" s="1056">
        <v>55</v>
      </c>
      <c r="G1793" s="1056">
        <v>0</v>
      </c>
      <c r="H1793" s="1056">
        <v>0</v>
      </c>
      <c r="I1793" s="1056">
        <v>55</v>
      </c>
      <c r="K1793" s="995">
        <f t="shared" si="27"/>
        <v>6</v>
      </c>
    </row>
    <row r="1794" spans="1:11">
      <c r="A1794" s="1054">
        <v>520470</v>
      </c>
      <c r="B1794" s="1055" t="s">
        <v>893</v>
      </c>
      <c r="C1794" s="1055" t="s">
        <v>379</v>
      </c>
      <c r="D1794" s="1055" t="s">
        <v>1370</v>
      </c>
      <c r="E1794" s="1055" t="s">
        <v>1371</v>
      </c>
      <c r="F1794" s="1056">
        <v>209</v>
      </c>
      <c r="G1794" s="1056">
        <v>203</v>
      </c>
      <c r="H1794" s="1056">
        <v>0</v>
      </c>
      <c r="I1794" s="1056">
        <v>413</v>
      </c>
      <c r="K1794" s="995">
        <f t="shared" si="27"/>
        <v>6</v>
      </c>
    </row>
    <row r="1795" spans="1:11">
      <c r="A1795" s="1054">
        <v>520470</v>
      </c>
      <c r="B1795" s="1055" t="s">
        <v>893</v>
      </c>
      <c r="C1795" s="1055" t="s">
        <v>379</v>
      </c>
      <c r="D1795" s="1055" t="s">
        <v>1870</v>
      </c>
      <c r="E1795" s="1055" t="s">
        <v>1871</v>
      </c>
      <c r="F1795" s="1056">
        <v>217</v>
      </c>
      <c r="G1795" s="1056">
        <v>148</v>
      </c>
      <c r="H1795" s="1056">
        <v>0</v>
      </c>
      <c r="I1795" s="1056">
        <v>366</v>
      </c>
      <c r="K1795" s="995">
        <f t="shared" si="27"/>
        <v>6</v>
      </c>
    </row>
    <row r="1796" spans="1:11">
      <c r="A1796" s="1054">
        <v>520470</v>
      </c>
      <c r="B1796" s="1055" t="s">
        <v>893</v>
      </c>
      <c r="C1796" s="1055" t="s">
        <v>379</v>
      </c>
      <c r="D1796" s="1055" t="s">
        <v>1372</v>
      </c>
      <c r="E1796" s="1055" t="s">
        <v>1373</v>
      </c>
      <c r="F1796" s="1056">
        <v>1045</v>
      </c>
      <c r="G1796" s="1056">
        <v>204</v>
      </c>
      <c r="H1796" s="1056">
        <v>0</v>
      </c>
      <c r="I1796" s="1056">
        <v>1249</v>
      </c>
      <c r="K1796" s="995">
        <f t="shared" si="27"/>
        <v>6</v>
      </c>
    </row>
    <row r="1797" spans="1:11">
      <c r="A1797" s="1054">
        <v>520470</v>
      </c>
      <c r="B1797" s="1055" t="s">
        <v>893</v>
      </c>
      <c r="C1797" s="1055" t="s">
        <v>379</v>
      </c>
      <c r="D1797" s="1055" t="s">
        <v>1785</v>
      </c>
      <c r="E1797" s="1055" t="s">
        <v>1786</v>
      </c>
      <c r="F1797" s="1056">
        <v>380</v>
      </c>
      <c r="G1797" s="1056">
        <v>195</v>
      </c>
      <c r="H1797" s="1056">
        <v>0</v>
      </c>
      <c r="I1797" s="1056">
        <v>575</v>
      </c>
      <c r="K1797" s="995">
        <f t="shared" ref="K1797:K1860" si="28">+LEN(A1797)</f>
        <v>6</v>
      </c>
    </row>
    <row r="1798" spans="1:11">
      <c r="A1798" s="1054">
        <v>520470</v>
      </c>
      <c r="B1798" s="1055" t="s">
        <v>893</v>
      </c>
      <c r="C1798" s="1055" t="s">
        <v>379</v>
      </c>
      <c r="D1798" s="1055" t="s">
        <v>1374</v>
      </c>
      <c r="E1798" s="1055" t="s">
        <v>1375</v>
      </c>
      <c r="F1798" s="1056">
        <v>238</v>
      </c>
      <c r="G1798" s="1056">
        <v>186</v>
      </c>
      <c r="H1798" s="1056">
        <v>0</v>
      </c>
      <c r="I1798" s="1056">
        <v>424</v>
      </c>
      <c r="K1798" s="995">
        <f t="shared" si="28"/>
        <v>6</v>
      </c>
    </row>
    <row r="1799" spans="1:11">
      <c r="A1799" s="1054">
        <v>520470</v>
      </c>
      <c r="B1799" s="1055" t="s">
        <v>893</v>
      </c>
      <c r="C1799" s="1055" t="s">
        <v>379</v>
      </c>
      <c r="D1799" s="1055" t="s">
        <v>1389</v>
      </c>
      <c r="E1799" s="1055" t="s">
        <v>1390</v>
      </c>
      <c r="F1799" s="1056">
        <v>197</v>
      </c>
      <c r="G1799" s="1056">
        <v>0</v>
      </c>
      <c r="H1799" s="1056">
        <v>0</v>
      </c>
      <c r="I1799" s="1056">
        <v>197</v>
      </c>
      <c r="K1799" s="995">
        <f t="shared" si="28"/>
        <v>6</v>
      </c>
    </row>
    <row r="1800" spans="1:11">
      <c r="A1800" s="1054">
        <v>520470</v>
      </c>
      <c r="B1800" s="1055" t="s">
        <v>893</v>
      </c>
      <c r="C1800" s="1055" t="s">
        <v>379</v>
      </c>
      <c r="D1800" s="1055" t="s">
        <v>1249</v>
      </c>
      <c r="E1800" s="1055" t="s">
        <v>583</v>
      </c>
      <c r="F1800" s="1056">
        <v>1734</v>
      </c>
      <c r="G1800" s="1056">
        <v>344</v>
      </c>
      <c r="H1800" s="1056">
        <v>0</v>
      </c>
      <c r="I1800" s="1056">
        <v>2078</v>
      </c>
      <c r="K1800" s="995">
        <f t="shared" si="28"/>
        <v>6</v>
      </c>
    </row>
    <row r="1801" spans="1:11">
      <c r="A1801" s="1054">
        <v>520470</v>
      </c>
      <c r="B1801" s="1055" t="s">
        <v>893</v>
      </c>
      <c r="C1801" s="1055" t="s">
        <v>379</v>
      </c>
      <c r="D1801" s="1055" t="s">
        <v>1376</v>
      </c>
      <c r="E1801" s="1055" t="s">
        <v>1377</v>
      </c>
      <c r="F1801" s="1056">
        <v>874</v>
      </c>
      <c r="G1801" s="1056">
        <v>230</v>
      </c>
      <c r="H1801" s="1056">
        <v>0</v>
      </c>
      <c r="I1801" s="1056">
        <v>1104</v>
      </c>
      <c r="K1801" s="995">
        <f t="shared" si="28"/>
        <v>6</v>
      </c>
    </row>
    <row r="1802" spans="1:11">
      <c r="A1802" s="1054">
        <v>520470</v>
      </c>
      <c r="B1802" s="1055" t="s">
        <v>893</v>
      </c>
      <c r="C1802" s="1055" t="s">
        <v>379</v>
      </c>
      <c r="D1802" s="1055" t="s">
        <v>1613</v>
      </c>
      <c r="E1802" s="1055" t="s">
        <v>1614</v>
      </c>
      <c r="F1802" s="1056">
        <v>537</v>
      </c>
      <c r="G1802" s="1056">
        <v>46</v>
      </c>
      <c r="H1802" s="1056">
        <v>0</v>
      </c>
      <c r="I1802" s="1056">
        <v>583</v>
      </c>
      <c r="K1802" s="995">
        <f t="shared" si="28"/>
        <v>6</v>
      </c>
    </row>
    <row r="1803" spans="1:11">
      <c r="A1803" s="1054">
        <v>520470</v>
      </c>
      <c r="B1803" s="1055" t="s">
        <v>893</v>
      </c>
      <c r="C1803" s="1055" t="s">
        <v>379</v>
      </c>
      <c r="D1803" s="1055" t="s">
        <v>1305</v>
      </c>
      <c r="E1803" s="1055" t="s">
        <v>990</v>
      </c>
      <c r="F1803" s="1056">
        <v>1234</v>
      </c>
      <c r="G1803" s="1056">
        <v>269</v>
      </c>
      <c r="H1803" s="1056">
        <v>0</v>
      </c>
      <c r="I1803" s="1056">
        <v>1504</v>
      </c>
      <c r="K1803" s="995">
        <f t="shared" si="28"/>
        <v>6</v>
      </c>
    </row>
    <row r="1804" spans="1:11">
      <c r="A1804" s="1054">
        <v>520470</v>
      </c>
      <c r="B1804" s="1055" t="s">
        <v>893</v>
      </c>
      <c r="C1804" s="1055" t="s">
        <v>379</v>
      </c>
      <c r="D1804" s="1055" t="s">
        <v>1306</v>
      </c>
      <c r="E1804" s="1055" t="s">
        <v>997</v>
      </c>
      <c r="F1804" s="1056">
        <v>1099</v>
      </c>
      <c r="G1804" s="1056">
        <v>250</v>
      </c>
      <c r="H1804" s="1056">
        <v>0</v>
      </c>
      <c r="I1804" s="1056">
        <v>1349</v>
      </c>
      <c r="K1804" s="995">
        <f t="shared" si="28"/>
        <v>6</v>
      </c>
    </row>
    <row r="1805" spans="1:11">
      <c r="A1805" s="1054">
        <v>520470</v>
      </c>
      <c r="B1805" s="1055" t="s">
        <v>893</v>
      </c>
      <c r="C1805" s="1055" t="s">
        <v>379</v>
      </c>
      <c r="D1805" s="1055" t="s">
        <v>1322</v>
      </c>
      <c r="E1805" s="1055" t="s">
        <v>1323</v>
      </c>
      <c r="F1805" s="1056">
        <v>735</v>
      </c>
      <c r="G1805" s="1056">
        <v>0</v>
      </c>
      <c r="H1805" s="1056">
        <v>0</v>
      </c>
      <c r="I1805" s="1056">
        <v>735</v>
      </c>
      <c r="K1805" s="995">
        <f t="shared" si="28"/>
        <v>6</v>
      </c>
    </row>
    <row r="1806" spans="1:11">
      <c r="A1806" s="1054">
        <v>520470</v>
      </c>
      <c r="B1806" s="1055" t="s">
        <v>893</v>
      </c>
      <c r="C1806" s="1055" t="s">
        <v>379</v>
      </c>
      <c r="D1806" s="1055" t="s">
        <v>1391</v>
      </c>
      <c r="E1806" s="1055" t="s">
        <v>1392</v>
      </c>
      <c r="F1806" s="1056">
        <v>85</v>
      </c>
      <c r="G1806" s="1056">
        <v>0</v>
      </c>
      <c r="H1806" s="1056">
        <v>0</v>
      </c>
      <c r="I1806" s="1056">
        <v>85</v>
      </c>
      <c r="K1806" s="995">
        <f t="shared" si="28"/>
        <v>6</v>
      </c>
    </row>
    <row r="1807" spans="1:11">
      <c r="A1807" s="1054">
        <v>520470</v>
      </c>
      <c r="B1807" s="1055" t="s">
        <v>893</v>
      </c>
      <c r="C1807" s="1055" t="s">
        <v>379</v>
      </c>
      <c r="D1807" s="1055" t="s">
        <v>1250</v>
      </c>
      <c r="E1807" s="1055" t="s">
        <v>1251</v>
      </c>
      <c r="F1807" s="1056">
        <v>1174</v>
      </c>
      <c r="G1807" s="1056">
        <v>211</v>
      </c>
      <c r="H1807" s="1056">
        <v>0</v>
      </c>
      <c r="I1807" s="1056">
        <v>1386</v>
      </c>
      <c r="K1807" s="995">
        <f t="shared" si="28"/>
        <v>6</v>
      </c>
    </row>
    <row r="1808" spans="1:11">
      <c r="A1808" s="1054">
        <v>520470</v>
      </c>
      <c r="B1808" s="1055" t="s">
        <v>893</v>
      </c>
      <c r="C1808" s="1055" t="s">
        <v>379</v>
      </c>
      <c r="D1808" s="1055" t="s">
        <v>1787</v>
      </c>
      <c r="E1808" s="1055" t="s">
        <v>1788</v>
      </c>
      <c r="F1808" s="1056">
        <v>281</v>
      </c>
      <c r="G1808" s="1056">
        <v>237</v>
      </c>
      <c r="H1808" s="1056">
        <v>0</v>
      </c>
      <c r="I1808" s="1056">
        <v>518</v>
      </c>
      <c r="K1808" s="995">
        <f t="shared" si="28"/>
        <v>6</v>
      </c>
    </row>
    <row r="1809" spans="1:11">
      <c r="A1809" s="1054">
        <v>520470</v>
      </c>
      <c r="B1809" s="1055" t="s">
        <v>893</v>
      </c>
      <c r="C1809" s="1055" t="s">
        <v>379</v>
      </c>
      <c r="D1809" s="1055" t="s">
        <v>1378</v>
      </c>
      <c r="E1809" s="1055" t="s">
        <v>1379</v>
      </c>
      <c r="F1809" s="1056">
        <v>1043</v>
      </c>
      <c r="G1809" s="1056">
        <v>0</v>
      </c>
      <c r="H1809" s="1056">
        <v>0</v>
      </c>
      <c r="I1809" s="1056">
        <v>1043</v>
      </c>
      <c r="K1809" s="995">
        <f t="shared" si="28"/>
        <v>6</v>
      </c>
    </row>
    <row r="1810" spans="1:11">
      <c r="A1810" s="1054">
        <v>520470</v>
      </c>
      <c r="B1810" s="1055" t="s">
        <v>893</v>
      </c>
      <c r="C1810" s="1055" t="s">
        <v>379</v>
      </c>
      <c r="D1810" s="1055" t="s">
        <v>1393</v>
      </c>
      <c r="E1810" s="1055" t="s">
        <v>1394</v>
      </c>
      <c r="F1810" s="1056">
        <v>8</v>
      </c>
      <c r="G1810" s="1056">
        <v>0</v>
      </c>
      <c r="H1810" s="1056">
        <v>0</v>
      </c>
      <c r="I1810" s="1056">
        <v>8</v>
      </c>
      <c r="K1810" s="995">
        <f t="shared" si="28"/>
        <v>6</v>
      </c>
    </row>
    <row r="1811" spans="1:11">
      <c r="A1811" s="1054">
        <v>520470</v>
      </c>
      <c r="B1811" s="1055" t="s">
        <v>893</v>
      </c>
      <c r="C1811" s="1055" t="s">
        <v>379</v>
      </c>
      <c r="D1811" s="1055" t="s">
        <v>1303</v>
      </c>
      <c r="E1811" s="1055" t="s">
        <v>806</v>
      </c>
      <c r="F1811" s="1056">
        <v>981</v>
      </c>
      <c r="G1811" s="1056">
        <v>182</v>
      </c>
      <c r="H1811" s="1056">
        <v>0</v>
      </c>
      <c r="I1811" s="1056">
        <v>1164</v>
      </c>
      <c r="K1811" s="995">
        <f t="shared" si="28"/>
        <v>6</v>
      </c>
    </row>
    <row r="1812" spans="1:11">
      <c r="A1812" s="1054">
        <v>520470</v>
      </c>
      <c r="B1812" s="1055" t="s">
        <v>893</v>
      </c>
      <c r="C1812" s="1055" t="s">
        <v>379</v>
      </c>
      <c r="D1812" s="1055" t="s">
        <v>1605</v>
      </c>
      <c r="E1812" s="1055" t="s">
        <v>1606</v>
      </c>
      <c r="F1812" s="1056">
        <v>821</v>
      </c>
      <c r="G1812" s="1056">
        <v>297</v>
      </c>
      <c r="H1812" s="1056">
        <v>0</v>
      </c>
      <c r="I1812" s="1056">
        <v>1118</v>
      </c>
      <c r="K1812" s="995">
        <f t="shared" si="28"/>
        <v>6</v>
      </c>
    </row>
    <row r="1813" spans="1:11">
      <c r="A1813" s="1054">
        <v>520470</v>
      </c>
      <c r="B1813" s="1055" t="s">
        <v>893</v>
      </c>
      <c r="C1813" s="1055" t="s">
        <v>379</v>
      </c>
      <c r="D1813" s="1055" t="s">
        <v>1789</v>
      </c>
      <c r="E1813" s="1055" t="s">
        <v>1790</v>
      </c>
      <c r="F1813" s="1056">
        <v>417</v>
      </c>
      <c r="G1813" s="1056">
        <v>198</v>
      </c>
      <c r="H1813" s="1056">
        <v>0</v>
      </c>
      <c r="I1813" s="1056">
        <v>615</v>
      </c>
      <c r="K1813" s="995">
        <f t="shared" si="28"/>
        <v>6</v>
      </c>
    </row>
    <row r="1814" spans="1:11">
      <c r="A1814" s="1054">
        <v>520470</v>
      </c>
      <c r="B1814" s="1055" t="s">
        <v>893</v>
      </c>
      <c r="C1814" s="1055" t="s">
        <v>379</v>
      </c>
      <c r="D1814" s="1055" t="s">
        <v>1254</v>
      </c>
      <c r="E1814" s="1055" t="s">
        <v>744</v>
      </c>
      <c r="F1814" s="1056">
        <v>1239</v>
      </c>
      <c r="G1814" s="1056">
        <v>262</v>
      </c>
      <c r="H1814" s="1056">
        <v>0</v>
      </c>
      <c r="I1814" s="1056">
        <v>1501</v>
      </c>
      <c r="K1814" s="995">
        <f t="shared" si="28"/>
        <v>6</v>
      </c>
    </row>
    <row r="1815" spans="1:11">
      <c r="A1815" s="1054">
        <v>520470</v>
      </c>
      <c r="B1815" s="1055" t="s">
        <v>893</v>
      </c>
      <c r="C1815" s="1055" t="s">
        <v>379</v>
      </c>
      <c r="D1815" s="1055" t="s">
        <v>1275</v>
      </c>
      <c r="E1815" s="1055" t="s">
        <v>991</v>
      </c>
      <c r="F1815" s="1056">
        <v>1226</v>
      </c>
      <c r="G1815" s="1056">
        <v>250</v>
      </c>
      <c r="H1815" s="1056">
        <v>0</v>
      </c>
      <c r="I1815" s="1056">
        <v>1476</v>
      </c>
      <c r="K1815" s="995">
        <f t="shared" si="28"/>
        <v>6</v>
      </c>
    </row>
    <row r="1816" spans="1:11">
      <c r="A1816" s="1054">
        <v>520470</v>
      </c>
      <c r="B1816" s="1055" t="s">
        <v>893</v>
      </c>
      <c r="C1816" s="1055" t="s">
        <v>379</v>
      </c>
      <c r="D1816" s="1055" t="s">
        <v>1380</v>
      </c>
      <c r="E1816" s="1055" t="s">
        <v>1381</v>
      </c>
      <c r="F1816" s="1056">
        <v>0</v>
      </c>
      <c r="G1816" s="1056">
        <v>125</v>
      </c>
      <c r="H1816" s="1056">
        <v>0</v>
      </c>
      <c r="I1816" s="1056">
        <v>125</v>
      </c>
      <c r="K1816" s="995">
        <f t="shared" si="28"/>
        <v>6</v>
      </c>
    </row>
    <row r="1817" spans="1:11">
      <c r="A1817" s="1054">
        <v>520470</v>
      </c>
      <c r="B1817" s="1055" t="s">
        <v>893</v>
      </c>
      <c r="C1817" s="1055" t="s">
        <v>379</v>
      </c>
      <c r="D1817" s="1055" t="s">
        <v>1044</v>
      </c>
      <c r="E1817" s="1055" t="s">
        <v>1045</v>
      </c>
      <c r="F1817" s="1056">
        <v>1235</v>
      </c>
      <c r="G1817" s="1056">
        <v>45</v>
      </c>
      <c r="H1817" s="1056">
        <v>0</v>
      </c>
      <c r="I1817" s="1056">
        <v>1281</v>
      </c>
      <c r="K1817" s="995">
        <f t="shared" si="28"/>
        <v>6</v>
      </c>
    </row>
    <row r="1818" spans="1:11">
      <c r="A1818" s="1054">
        <v>520470</v>
      </c>
      <c r="B1818" s="1055" t="s">
        <v>893</v>
      </c>
      <c r="C1818" s="1055" t="s">
        <v>379</v>
      </c>
      <c r="D1818" s="1055" t="s">
        <v>1395</v>
      </c>
      <c r="E1818" s="1055" t="s">
        <v>1396</v>
      </c>
      <c r="F1818" s="1056">
        <v>593</v>
      </c>
      <c r="G1818" s="1056">
        <v>0</v>
      </c>
      <c r="H1818" s="1056">
        <v>0</v>
      </c>
      <c r="I1818" s="1056">
        <v>593</v>
      </c>
      <c r="K1818" s="995">
        <f t="shared" si="28"/>
        <v>6</v>
      </c>
    </row>
    <row r="1819" spans="1:11">
      <c r="A1819" s="1054">
        <v>520470</v>
      </c>
      <c r="B1819" s="1055" t="s">
        <v>893</v>
      </c>
      <c r="C1819" s="1055" t="s">
        <v>379</v>
      </c>
      <c r="D1819" s="1055" t="s">
        <v>1382</v>
      </c>
      <c r="E1819" s="1055" t="s">
        <v>1763</v>
      </c>
      <c r="F1819" s="1056">
        <v>1307</v>
      </c>
      <c r="G1819" s="1056">
        <v>263</v>
      </c>
      <c r="H1819" s="1056">
        <v>0</v>
      </c>
      <c r="I1819" s="1056">
        <v>1570</v>
      </c>
      <c r="K1819" s="995">
        <f t="shared" si="28"/>
        <v>6</v>
      </c>
    </row>
    <row r="1820" spans="1:11">
      <c r="A1820" s="1054">
        <v>520470</v>
      </c>
      <c r="B1820" s="1055" t="s">
        <v>893</v>
      </c>
      <c r="C1820" s="1055" t="s">
        <v>379</v>
      </c>
      <c r="D1820" s="1055" t="s">
        <v>1383</v>
      </c>
      <c r="E1820" s="1055" t="s">
        <v>1384</v>
      </c>
      <c r="F1820" s="1056">
        <v>989</v>
      </c>
      <c r="G1820" s="1056">
        <v>199</v>
      </c>
      <c r="H1820" s="1056">
        <v>0</v>
      </c>
      <c r="I1820" s="1056">
        <v>1188</v>
      </c>
      <c r="K1820" s="995">
        <f t="shared" si="28"/>
        <v>6</v>
      </c>
    </row>
    <row r="1821" spans="1:11">
      <c r="A1821" s="1054">
        <v>520472</v>
      </c>
      <c r="B1821" s="1055" t="s">
        <v>893</v>
      </c>
      <c r="C1821" s="1055" t="s">
        <v>380</v>
      </c>
      <c r="D1821" s="1055" t="s">
        <v>893</v>
      </c>
      <c r="E1821" s="1055" t="s">
        <v>893</v>
      </c>
      <c r="F1821" s="1056">
        <v>12017</v>
      </c>
      <c r="G1821" s="1056">
        <v>2596</v>
      </c>
      <c r="H1821" s="1056">
        <v>0</v>
      </c>
      <c r="I1821" s="1056">
        <v>14614</v>
      </c>
      <c r="K1821" s="995">
        <f t="shared" si="28"/>
        <v>6</v>
      </c>
    </row>
    <row r="1822" spans="1:11">
      <c r="A1822" s="1054">
        <v>520472</v>
      </c>
      <c r="B1822" s="1055" t="s">
        <v>893</v>
      </c>
      <c r="C1822" s="1055" t="s">
        <v>380</v>
      </c>
      <c r="D1822" s="1055" t="s">
        <v>1385</v>
      </c>
      <c r="E1822" s="1055" t="s">
        <v>1386</v>
      </c>
      <c r="F1822" s="1056">
        <v>12</v>
      </c>
      <c r="G1822" s="1056">
        <v>0</v>
      </c>
      <c r="H1822" s="1056">
        <v>0</v>
      </c>
      <c r="I1822" s="1056">
        <v>12</v>
      </c>
      <c r="K1822" s="995">
        <f t="shared" si="28"/>
        <v>6</v>
      </c>
    </row>
    <row r="1823" spans="1:11">
      <c r="A1823" s="1054">
        <v>520472</v>
      </c>
      <c r="B1823" s="1055" t="s">
        <v>893</v>
      </c>
      <c r="C1823" s="1055" t="s">
        <v>380</v>
      </c>
      <c r="D1823" s="1055" t="s">
        <v>1360</v>
      </c>
      <c r="E1823" s="1055" t="s">
        <v>1361</v>
      </c>
      <c r="F1823" s="1056">
        <v>377</v>
      </c>
      <c r="G1823" s="1056">
        <v>78</v>
      </c>
      <c r="H1823" s="1056">
        <v>0</v>
      </c>
      <c r="I1823" s="1056">
        <v>454</v>
      </c>
      <c r="K1823" s="995">
        <f t="shared" si="28"/>
        <v>6</v>
      </c>
    </row>
    <row r="1824" spans="1:11">
      <c r="A1824" s="1054">
        <v>520472</v>
      </c>
      <c r="B1824" s="1055" t="s">
        <v>893</v>
      </c>
      <c r="C1824" s="1055" t="s">
        <v>380</v>
      </c>
      <c r="D1824" s="1055" t="s">
        <v>1298</v>
      </c>
      <c r="E1824" s="1055" t="s">
        <v>987</v>
      </c>
      <c r="F1824" s="1056">
        <v>90</v>
      </c>
      <c r="G1824" s="1056">
        <v>96</v>
      </c>
      <c r="H1824" s="1056">
        <v>0</v>
      </c>
      <c r="I1824" s="1056">
        <v>185</v>
      </c>
      <c r="K1824" s="995">
        <f t="shared" si="28"/>
        <v>6</v>
      </c>
    </row>
    <row r="1825" spans="1:11">
      <c r="A1825" s="1054">
        <v>520472</v>
      </c>
      <c r="B1825" s="1055" t="s">
        <v>893</v>
      </c>
      <c r="C1825" s="1055" t="s">
        <v>380</v>
      </c>
      <c r="D1825" s="1055" t="s">
        <v>1397</v>
      </c>
      <c r="E1825" s="1055" t="s">
        <v>1398</v>
      </c>
      <c r="F1825" s="1056">
        <v>63</v>
      </c>
      <c r="G1825" s="1056">
        <v>0</v>
      </c>
      <c r="H1825" s="1056">
        <v>0</v>
      </c>
      <c r="I1825" s="1056">
        <v>63</v>
      </c>
      <c r="K1825" s="995">
        <f t="shared" si="28"/>
        <v>6</v>
      </c>
    </row>
    <row r="1826" spans="1:11">
      <c r="A1826" s="1054">
        <v>520472</v>
      </c>
      <c r="B1826" s="1055" t="s">
        <v>893</v>
      </c>
      <c r="C1826" s="1055" t="s">
        <v>380</v>
      </c>
      <c r="D1826" s="1055" t="s">
        <v>1362</v>
      </c>
      <c r="E1826" s="1055" t="s">
        <v>1363</v>
      </c>
      <c r="F1826" s="1056">
        <v>328</v>
      </c>
      <c r="G1826" s="1056">
        <v>58</v>
      </c>
      <c r="H1826" s="1056">
        <v>0</v>
      </c>
      <c r="I1826" s="1056">
        <v>386</v>
      </c>
      <c r="K1826" s="995">
        <f t="shared" si="28"/>
        <v>6</v>
      </c>
    </row>
    <row r="1827" spans="1:11">
      <c r="A1827" s="1054">
        <v>520472</v>
      </c>
      <c r="B1827" s="1055" t="s">
        <v>893</v>
      </c>
      <c r="C1827" s="1055" t="s">
        <v>380</v>
      </c>
      <c r="D1827" s="1055" t="s">
        <v>1364</v>
      </c>
      <c r="E1827" s="1055" t="s">
        <v>1365</v>
      </c>
      <c r="F1827" s="1056">
        <v>383</v>
      </c>
      <c r="G1827" s="1056">
        <v>67</v>
      </c>
      <c r="H1827" s="1056">
        <v>0</v>
      </c>
      <c r="I1827" s="1056">
        <v>450</v>
      </c>
      <c r="K1827" s="995">
        <f t="shared" si="28"/>
        <v>6</v>
      </c>
    </row>
    <row r="1828" spans="1:11">
      <c r="A1828" s="1054">
        <v>520472</v>
      </c>
      <c r="B1828" s="1055" t="s">
        <v>893</v>
      </c>
      <c r="C1828" s="1055" t="s">
        <v>380</v>
      </c>
      <c r="D1828" s="1055" t="s">
        <v>1601</v>
      </c>
      <c r="E1828" s="1055" t="s">
        <v>1602</v>
      </c>
      <c r="F1828" s="1056">
        <v>772</v>
      </c>
      <c r="G1828" s="1056">
        <v>210</v>
      </c>
      <c r="H1828" s="1056">
        <v>0</v>
      </c>
      <c r="I1828" s="1056">
        <v>982</v>
      </c>
      <c r="K1828" s="995">
        <f t="shared" si="28"/>
        <v>6</v>
      </c>
    </row>
    <row r="1829" spans="1:11">
      <c r="A1829" s="1054">
        <v>520472</v>
      </c>
      <c r="B1829" s="1055" t="s">
        <v>893</v>
      </c>
      <c r="C1829" s="1055" t="s">
        <v>380</v>
      </c>
      <c r="D1829" s="1055" t="s">
        <v>1270</v>
      </c>
      <c r="E1829" s="1055" t="s">
        <v>988</v>
      </c>
      <c r="F1829" s="1056">
        <v>460</v>
      </c>
      <c r="G1829" s="1056">
        <v>88</v>
      </c>
      <c r="H1829" s="1056">
        <v>0</v>
      </c>
      <c r="I1829" s="1056">
        <v>547</v>
      </c>
      <c r="K1829" s="995">
        <f t="shared" si="28"/>
        <v>6</v>
      </c>
    </row>
    <row r="1830" spans="1:11">
      <c r="A1830" s="1054">
        <v>520472</v>
      </c>
      <c r="B1830" s="1055" t="s">
        <v>893</v>
      </c>
      <c r="C1830" s="1055" t="s">
        <v>380</v>
      </c>
      <c r="D1830" s="1055" t="s">
        <v>1271</v>
      </c>
      <c r="E1830" s="1055" t="s">
        <v>782</v>
      </c>
      <c r="F1830" s="1056">
        <v>437</v>
      </c>
      <c r="G1830" s="1056">
        <v>89</v>
      </c>
      <c r="H1830" s="1056">
        <v>0</v>
      </c>
      <c r="I1830" s="1056">
        <v>526</v>
      </c>
      <c r="K1830" s="995">
        <f t="shared" si="28"/>
        <v>6</v>
      </c>
    </row>
    <row r="1831" spans="1:11">
      <c r="A1831" s="1054">
        <v>520472</v>
      </c>
      <c r="B1831" s="1055" t="s">
        <v>893</v>
      </c>
      <c r="C1831" s="1055" t="s">
        <v>380</v>
      </c>
      <c r="D1831" s="1055" t="s">
        <v>1366</v>
      </c>
      <c r="E1831" s="1055" t="s">
        <v>1367</v>
      </c>
      <c r="F1831" s="1056">
        <v>324</v>
      </c>
      <c r="G1831" s="1056">
        <v>66</v>
      </c>
      <c r="H1831" s="1056">
        <v>0</v>
      </c>
      <c r="I1831" s="1056">
        <v>390</v>
      </c>
      <c r="K1831" s="995">
        <f t="shared" si="28"/>
        <v>6</v>
      </c>
    </row>
    <row r="1832" spans="1:11">
      <c r="A1832" s="1054">
        <v>520472</v>
      </c>
      <c r="B1832" s="1055" t="s">
        <v>893</v>
      </c>
      <c r="C1832" s="1055" t="s">
        <v>380</v>
      </c>
      <c r="D1832" s="1055" t="s">
        <v>1302</v>
      </c>
      <c r="E1832" s="1055" t="s">
        <v>986</v>
      </c>
      <c r="F1832" s="1056">
        <v>321</v>
      </c>
      <c r="G1832" s="1056">
        <v>60</v>
      </c>
      <c r="H1832" s="1056">
        <v>0</v>
      </c>
      <c r="I1832" s="1056">
        <v>381</v>
      </c>
      <c r="K1832" s="995">
        <f t="shared" si="28"/>
        <v>6</v>
      </c>
    </row>
    <row r="1833" spans="1:11">
      <c r="A1833" s="1054">
        <v>520472</v>
      </c>
      <c r="B1833" s="1055" t="s">
        <v>893</v>
      </c>
      <c r="C1833" s="1055" t="s">
        <v>380</v>
      </c>
      <c r="D1833" s="1055" t="s">
        <v>1042</v>
      </c>
      <c r="E1833" s="1055" t="s">
        <v>1732</v>
      </c>
      <c r="F1833" s="1056">
        <v>369</v>
      </c>
      <c r="G1833" s="1056">
        <v>0</v>
      </c>
      <c r="H1833" s="1056">
        <v>0</v>
      </c>
      <c r="I1833" s="1056">
        <v>369</v>
      </c>
      <c r="K1833" s="995">
        <f t="shared" si="28"/>
        <v>6</v>
      </c>
    </row>
    <row r="1834" spans="1:11">
      <c r="A1834" s="1054">
        <v>520472</v>
      </c>
      <c r="B1834" s="1055" t="s">
        <v>893</v>
      </c>
      <c r="C1834" s="1055" t="s">
        <v>380</v>
      </c>
      <c r="D1834" s="1055" t="s">
        <v>1611</v>
      </c>
      <c r="E1834" s="1055" t="s">
        <v>1612</v>
      </c>
      <c r="F1834" s="1056">
        <v>62</v>
      </c>
      <c r="G1834" s="1056">
        <v>0</v>
      </c>
      <c r="H1834" s="1056">
        <v>0</v>
      </c>
      <c r="I1834" s="1056">
        <v>62</v>
      </c>
      <c r="K1834" s="995">
        <f t="shared" si="28"/>
        <v>6</v>
      </c>
    </row>
    <row r="1835" spans="1:11">
      <c r="A1835" s="1054">
        <v>520472</v>
      </c>
      <c r="B1835" s="1055" t="s">
        <v>893</v>
      </c>
      <c r="C1835" s="1055" t="s">
        <v>380</v>
      </c>
      <c r="D1835" s="1055" t="s">
        <v>1368</v>
      </c>
      <c r="E1835" s="1055" t="s">
        <v>1369</v>
      </c>
      <c r="F1835" s="1056">
        <v>89</v>
      </c>
      <c r="G1835" s="1056">
        <v>63</v>
      </c>
      <c r="H1835" s="1056">
        <v>0</v>
      </c>
      <c r="I1835" s="1056">
        <v>152</v>
      </c>
      <c r="K1835" s="995">
        <f t="shared" si="28"/>
        <v>6</v>
      </c>
    </row>
    <row r="1836" spans="1:11">
      <c r="A1836" s="1054">
        <v>520472</v>
      </c>
      <c r="B1836" s="1055" t="s">
        <v>893</v>
      </c>
      <c r="C1836" s="1055" t="s">
        <v>380</v>
      </c>
      <c r="D1836" s="1055" t="s">
        <v>1246</v>
      </c>
      <c r="E1836" s="1055" t="s">
        <v>743</v>
      </c>
      <c r="F1836" s="1056">
        <v>104</v>
      </c>
      <c r="G1836" s="1056">
        <v>0</v>
      </c>
      <c r="H1836" s="1056">
        <v>0</v>
      </c>
      <c r="I1836" s="1056">
        <v>104</v>
      </c>
      <c r="K1836" s="995">
        <f t="shared" si="28"/>
        <v>6</v>
      </c>
    </row>
    <row r="1837" spans="1:11">
      <c r="A1837" s="1054">
        <v>520472</v>
      </c>
      <c r="B1837" s="1055" t="s">
        <v>893</v>
      </c>
      <c r="C1837" s="1055" t="s">
        <v>380</v>
      </c>
      <c r="D1837" s="1055" t="s">
        <v>1320</v>
      </c>
      <c r="E1837" s="1055" t="s">
        <v>1321</v>
      </c>
      <c r="F1837" s="1056">
        <v>300</v>
      </c>
      <c r="G1837" s="1056">
        <v>72</v>
      </c>
      <c r="H1837" s="1056">
        <v>0</v>
      </c>
      <c r="I1837" s="1056">
        <v>372</v>
      </c>
      <c r="K1837" s="995">
        <f t="shared" si="28"/>
        <v>6</v>
      </c>
    </row>
    <row r="1838" spans="1:11">
      <c r="A1838" s="1054">
        <v>520472</v>
      </c>
      <c r="B1838" s="1055" t="s">
        <v>893</v>
      </c>
      <c r="C1838" s="1055" t="s">
        <v>380</v>
      </c>
      <c r="D1838" s="1055" t="s">
        <v>1274</v>
      </c>
      <c r="E1838" s="1055" t="s">
        <v>989</v>
      </c>
      <c r="F1838" s="1056">
        <v>509</v>
      </c>
      <c r="G1838" s="1056">
        <v>99</v>
      </c>
      <c r="H1838" s="1056">
        <v>0</v>
      </c>
      <c r="I1838" s="1056">
        <v>608</v>
      </c>
      <c r="K1838" s="995">
        <f t="shared" si="28"/>
        <v>6</v>
      </c>
    </row>
    <row r="1839" spans="1:11">
      <c r="A1839" s="1054">
        <v>520472</v>
      </c>
      <c r="B1839" s="1055" t="s">
        <v>893</v>
      </c>
      <c r="C1839" s="1055" t="s">
        <v>380</v>
      </c>
      <c r="D1839" s="1055" t="s">
        <v>1247</v>
      </c>
      <c r="E1839" s="1055" t="s">
        <v>1248</v>
      </c>
      <c r="F1839" s="1056">
        <v>371</v>
      </c>
      <c r="G1839" s="1056">
        <v>87</v>
      </c>
      <c r="H1839" s="1056">
        <v>0</v>
      </c>
      <c r="I1839" s="1056">
        <v>457</v>
      </c>
      <c r="K1839" s="995">
        <f t="shared" si="28"/>
        <v>6</v>
      </c>
    </row>
    <row r="1840" spans="1:11">
      <c r="A1840" s="1054">
        <v>520472</v>
      </c>
      <c r="B1840" s="1055" t="s">
        <v>893</v>
      </c>
      <c r="C1840" s="1055" t="s">
        <v>380</v>
      </c>
      <c r="D1840" s="1055" t="s">
        <v>1387</v>
      </c>
      <c r="E1840" s="1055" t="s">
        <v>1388</v>
      </c>
      <c r="F1840" s="1056">
        <v>24</v>
      </c>
      <c r="G1840" s="1056">
        <v>0</v>
      </c>
      <c r="H1840" s="1056">
        <v>0</v>
      </c>
      <c r="I1840" s="1056">
        <v>24</v>
      </c>
      <c r="K1840" s="995">
        <f t="shared" si="28"/>
        <v>6</v>
      </c>
    </row>
    <row r="1841" spans="1:11">
      <c r="A1841" s="1054">
        <v>520472</v>
      </c>
      <c r="B1841" s="1055" t="s">
        <v>893</v>
      </c>
      <c r="C1841" s="1055" t="s">
        <v>380</v>
      </c>
      <c r="D1841" s="1055" t="s">
        <v>1370</v>
      </c>
      <c r="E1841" s="1055" t="s">
        <v>1371</v>
      </c>
      <c r="F1841" s="1056">
        <v>70</v>
      </c>
      <c r="G1841" s="1056">
        <v>68</v>
      </c>
      <c r="H1841" s="1056">
        <v>0</v>
      </c>
      <c r="I1841" s="1056">
        <v>138</v>
      </c>
      <c r="K1841" s="995">
        <f t="shared" si="28"/>
        <v>6</v>
      </c>
    </row>
    <row r="1842" spans="1:11">
      <c r="A1842" s="1054">
        <v>520472</v>
      </c>
      <c r="B1842" s="1055" t="s">
        <v>893</v>
      </c>
      <c r="C1842" s="1055" t="s">
        <v>380</v>
      </c>
      <c r="D1842" s="1055" t="s">
        <v>1870</v>
      </c>
      <c r="E1842" s="1055" t="s">
        <v>1871</v>
      </c>
      <c r="F1842" s="1056">
        <v>72</v>
      </c>
      <c r="G1842" s="1056">
        <v>53</v>
      </c>
      <c r="H1842" s="1056">
        <v>0</v>
      </c>
      <c r="I1842" s="1056">
        <v>126</v>
      </c>
      <c r="K1842" s="995">
        <f t="shared" si="28"/>
        <v>6</v>
      </c>
    </row>
    <row r="1843" spans="1:11">
      <c r="A1843" s="1054">
        <v>520472</v>
      </c>
      <c r="B1843" s="1055" t="s">
        <v>893</v>
      </c>
      <c r="C1843" s="1055" t="s">
        <v>380</v>
      </c>
      <c r="D1843" s="1055" t="s">
        <v>1372</v>
      </c>
      <c r="E1843" s="1055" t="s">
        <v>1373</v>
      </c>
      <c r="F1843" s="1056">
        <v>343</v>
      </c>
      <c r="G1843" s="1056">
        <v>68</v>
      </c>
      <c r="H1843" s="1056">
        <v>0</v>
      </c>
      <c r="I1843" s="1056">
        <v>411</v>
      </c>
      <c r="K1843" s="995">
        <f t="shared" si="28"/>
        <v>6</v>
      </c>
    </row>
    <row r="1844" spans="1:11">
      <c r="A1844" s="1054">
        <v>520472</v>
      </c>
      <c r="B1844" s="1055" t="s">
        <v>893</v>
      </c>
      <c r="C1844" s="1055" t="s">
        <v>380</v>
      </c>
      <c r="D1844" s="1055" t="s">
        <v>1785</v>
      </c>
      <c r="E1844" s="1055" t="s">
        <v>1786</v>
      </c>
      <c r="F1844" s="1056">
        <v>127</v>
      </c>
      <c r="G1844" s="1056">
        <v>61</v>
      </c>
      <c r="H1844" s="1056">
        <v>0</v>
      </c>
      <c r="I1844" s="1056">
        <v>188</v>
      </c>
      <c r="K1844" s="995">
        <f t="shared" si="28"/>
        <v>6</v>
      </c>
    </row>
    <row r="1845" spans="1:11">
      <c r="A1845" s="1054">
        <v>520472</v>
      </c>
      <c r="B1845" s="1055" t="s">
        <v>893</v>
      </c>
      <c r="C1845" s="1055" t="s">
        <v>380</v>
      </c>
      <c r="D1845" s="1055" t="s">
        <v>1374</v>
      </c>
      <c r="E1845" s="1055" t="s">
        <v>1375</v>
      </c>
      <c r="F1845" s="1056">
        <v>79</v>
      </c>
      <c r="G1845" s="1056">
        <v>62</v>
      </c>
      <c r="H1845" s="1056">
        <v>0</v>
      </c>
      <c r="I1845" s="1056">
        <v>141</v>
      </c>
      <c r="K1845" s="995">
        <f t="shared" si="28"/>
        <v>6</v>
      </c>
    </row>
    <row r="1846" spans="1:11">
      <c r="A1846" s="1054">
        <v>520472</v>
      </c>
      <c r="B1846" s="1055" t="s">
        <v>893</v>
      </c>
      <c r="C1846" s="1055" t="s">
        <v>380</v>
      </c>
      <c r="D1846" s="1055" t="s">
        <v>1389</v>
      </c>
      <c r="E1846" s="1055" t="s">
        <v>1390</v>
      </c>
      <c r="F1846" s="1056">
        <v>76</v>
      </c>
      <c r="G1846" s="1056">
        <v>0</v>
      </c>
      <c r="H1846" s="1056">
        <v>0</v>
      </c>
      <c r="I1846" s="1056">
        <v>76</v>
      </c>
      <c r="K1846" s="995">
        <f t="shared" si="28"/>
        <v>6</v>
      </c>
    </row>
    <row r="1847" spans="1:11">
      <c r="A1847" s="1054">
        <v>520472</v>
      </c>
      <c r="B1847" s="1055" t="s">
        <v>893</v>
      </c>
      <c r="C1847" s="1055" t="s">
        <v>380</v>
      </c>
      <c r="D1847" s="1055" t="s">
        <v>1249</v>
      </c>
      <c r="E1847" s="1055" t="s">
        <v>583</v>
      </c>
      <c r="F1847" s="1056">
        <v>578</v>
      </c>
      <c r="G1847" s="1056">
        <v>115</v>
      </c>
      <c r="H1847" s="1056">
        <v>0</v>
      </c>
      <c r="I1847" s="1056">
        <v>693</v>
      </c>
      <c r="K1847" s="995">
        <f t="shared" si="28"/>
        <v>6</v>
      </c>
    </row>
    <row r="1848" spans="1:11">
      <c r="A1848" s="1054">
        <v>520472</v>
      </c>
      <c r="B1848" s="1055" t="s">
        <v>893</v>
      </c>
      <c r="C1848" s="1055" t="s">
        <v>380</v>
      </c>
      <c r="D1848" s="1055" t="s">
        <v>1376</v>
      </c>
      <c r="E1848" s="1055" t="s">
        <v>1377</v>
      </c>
      <c r="F1848" s="1056">
        <v>291</v>
      </c>
      <c r="G1848" s="1056">
        <v>77</v>
      </c>
      <c r="H1848" s="1056">
        <v>0</v>
      </c>
      <c r="I1848" s="1056">
        <v>368</v>
      </c>
      <c r="K1848" s="995">
        <f t="shared" si="28"/>
        <v>6</v>
      </c>
    </row>
    <row r="1849" spans="1:11">
      <c r="A1849" s="1054">
        <v>520472</v>
      </c>
      <c r="B1849" s="1055" t="s">
        <v>893</v>
      </c>
      <c r="C1849" s="1055" t="s">
        <v>380</v>
      </c>
      <c r="D1849" s="1055" t="s">
        <v>1613</v>
      </c>
      <c r="E1849" s="1055" t="s">
        <v>1614</v>
      </c>
      <c r="F1849" s="1056">
        <v>179</v>
      </c>
      <c r="G1849" s="1056">
        <v>30</v>
      </c>
      <c r="H1849" s="1056">
        <v>0</v>
      </c>
      <c r="I1849" s="1056">
        <v>210</v>
      </c>
      <c r="K1849" s="995">
        <f t="shared" si="28"/>
        <v>6</v>
      </c>
    </row>
    <row r="1850" spans="1:11">
      <c r="A1850" s="1054">
        <v>520472</v>
      </c>
      <c r="B1850" s="1055" t="s">
        <v>893</v>
      </c>
      <c r="C1850" s="1055" t="s">
        <v>380</v>
      </c>
      <c r="D1850" s="1055" t="s">
        <v>1305</v>
      </c>
      <c r="E1850" s="1055" t="s">
        <v>990</v>
      </c>
      <c r="F1850" s="1056">
        <v>400</v>
      </c>
      <c r="G1850" s="1056">
        <v>51</v>
      </c>
      <c r="H1850" s="1056">
        <v>0</v>
      </c>
      <c r="I1850" s="1056">
        <v>452</v>
      </c>
      <c r="K1850" s="995">
        <f t="shared" si="28"/>
        <v>6</v>
      </c>
    </row>
    <row r="1851" spans="1:11">
      <c r="A1851" s="1054">
        <v>520472</v>
      </c>
      <c r="B1851" s="1055" t="s">
        <v>893</v>
      </c>
      <c r="C1851" s="1055" t="s">
        <v>380</v>
      </c>
      <c r="D1851" s="1055" t="s">
        <v>1306</v>
      </c>
      <c r="E1851" s="1055" t="s">
        <v>997</v>
      </c>
      <c r="F1851" s="1056">
        <v>366</v>
      </c>
      <c r="G1851" s="1056">
        <v>84</v>
      </c>
      <c r="H1851" s="1056">
        <v>0</v>
      </c>
      <c r="I1851" s="1056">
        <v>450</v>
      </c>
      <c r="K1851" s="995">
        <f t="shared" si="28"/>
        <v>6</v>
      </c>
    </row>
    <row r="1852" spans="1:11">
      <c r="A1852" s="1054">
        <v>520472</v>
      </c>
      <c r="B1852" s="1055" t="s">
        <v>893</v>
      </c>
      <c r="C1852" s="1055" t="s">
        <v>380</v>
      </c>
      <c r="D1852" s="1055" t="s">
        <v>1322</v>
      </c>
      <c r="E1852" s="1055" t="s">
        <v>1323</v>
      </c>
      <c r="F1852" s="1056">
        <v>245</v>
      </c>
      <c r="G1852" s="1056">
        <v>0</v>
      </c>
      <c r="H1852" s="1056">
        <v>0</v>
      </c>
      <c r="I1852" s="1056">
        <v>245</v>
      </c>
      <c r="K1852" s="995">
        <f t="shared" si="28"/>
        <v>6</v>
      </c>
    </row>
    <row r="1853" spans="1:11">
      <c r="A1853" s="1054">
        <v>520472</v>
      </c>
      <c r="B1853" s="1055" t="s">
        <v>893</v>
      </c>
      <c r="C1853" s="1055" t="s">
        <v>380</v>
      </c>
      <c r="D1853" s="1055" t="s">
        <v>1391</v>
      </c>
      <c r="E1853" s="1055" t="s">
        <v>1392</v>
      </c>
      <c r="F1853" s="1056">
        <v>37</v>
      </c>
      <c r="G1853" s="1056">
        <v>0</v>
      </c>
      <c r="H1853" s="1056">
        <v>0</v>
      </c>
      <c r="I1853" s="1056">
        <v>37</v>
      </c>
      <c r="K1853" s="995">
        <f t="shared" si="28"/>
        <v>6</v>
      </c>
    </row>
    <row r="1854" spans="1:11">
      <c r="A1854" s="1054">
        <v>520472</v>
      </c>
      <c r="B1854" s="1055" t="s">
        <v>893</v>
      </c>
      <c r="C1854" s="1055" t="s">
        <v>380</v>
      </c>
      <c r="D1854" s="1055" t="s">
        <v>1250</v>
      </c>
      <c r="E1854" s="1055" t="s">
        <v>1251</v>
      </c>
      <c r="F1854" s="1056">
        <v>373</v>
      </c>
      <c r="G1854" s="1056">
        <v>70</v>
      </c>
      <c r="H1854" s="1056">
        <v>0</v>
      </c>
      <c r="I1854" s="1056">
        <v>443</v>
      </c>
      <c r="K1854" s="995">
        <f t="shared" si="28"/>
        <v>6</v>
      </c>
    </row>
    <row r="1855" spans="1:11">
      <c r="A1855" s="1054">
        <v>520472</v>
      </c>
      <c r="B1855" s="1055" t="s">
        <v>893</v>
      </c>
      <c r="C1855" s="1055" t="s">
        <v>380</v>
      </c>
      <c r="D1855" s="1055" t="s">
        <v>1787</v>
      </c>
      <c r="E1855" s="1055" t="s">
        <v>1788</v>
      </c>
      <c r="F1855" s="1056">
        <v>90</v>
      </c>
      <c r="G1855" s="1056">
        <v>79</v>
      </c>
      <c r="H1855" s="1056">
        <v>0</v>
      </c>
      <c r="I1855" s="1056">
        <v>169</v>
      </c>
      <c r="K1855" s="995">
        <f t="shared" si="28"/>
        <v>6</v>
      </c>
    </row>
    <row r="1856" spans="1:11">
      <c r="A1856" s="1054">
        <v>520472</v>
      </c>
      <c r="B1856" s="1055" t="s">
        <v>893</v>
      </c>
      <c r="C1856" s="1055" t="s">
        <v>380</v>
      </c>
      <c r="D1856" s="1055" t="s">
        <v>1378</v>
      </c>
      <c r="E1856" s="1055" t="s">
        <v>1379</v>
      </c>
      <c r="F1856" s="1056">
        <v>348</v>
      </c>
      <c r="G1856" s="1056">
        <v>0</v>
      </c>
      <c r="H1856" s="1056">
        <v>0</v>
      </c>
      <c r="I1856" s="1056">
        <v>348</v>
      </c>
      <c r="K1856" s="995">
        <f t="shared" si="28"/>
        <v>6</v>
      </c>
    </row>
    <row r="1857" spans="1:11">
      <c r="A1857" s="1054">
        <v>520472</v>
      </c>
      <c r="B1857" s="1055" t="s">
        <v>893</v>
      </c>
      <c r="C1857" s="1055" t="s">
        <v>380</v>
      </c>
      <c r="D1857" s="1055" t="s">
        <v>1393</v>
      </c>
      <c r="E1857" s="1055" t="s">
        <v>1394</v>
      </c>
      <c r="F1857" s="1056">
        <v>10</v>
      </c>
      <c r="G1857" s="1056">
        <v>0</v>
      </c>
      <c r="H1857" s="1056">
        <v>0</v>
      </c>
      <c r="I1857" s="1056">
        <v>10</v>
      </c>
      <c r="K1857" s="995">
        <f t="shared" si="28"/>
        <v>6</v>
      </c>
    </row>
    <row r="1858" spans="1:11">
      <c r="A1858" s="1054">
        <v>520472</v>
      </c>
      <c r="B1858" s="1055" t="s">
        <v>893</v>
      </c>
      <c r="C1858" s="1055" t="s">
        <v>380</v>
      </c>
      <c r="D1858" s="1055" t="s">
        <v>1303</v>
      </c>
      <c r="E1858" s="1055" t="s">
        <v>806</v>
      </c>
      <c r="F1858" s="1056">
        <v>327</v>
      </c>
      <c r="G1858" s="1056">
        <v>61</v>
      </c>
      <c r="H1858" s="1056">
        <v>0</v>
      </c>
      <c r="I1858" s="1056">
        <v>388</v>
      </c>
      <c r="K1858" s="995">
        <f t="shared" si="28"/>
        <v>6</v>
      </c>
    </row>
    <row r="1859" spans="1:11">
      <c r="A1859" s="1054">
        <v>520472</v>
      </c>
      <c r="B1859" s="1055" t="s">
        <v>893</v>
      </c>
      <c r="C1859" s="1055" t="s">
        <v>380</v>
      </c>
      <c r="D1859" s="1055" t="s">
        <v>1605</v>
      </c>
      <c r="E1859" s="1055" t="s">
        <v>1606</v>
      </c>
      <c r="F1859" s="1056">
        <v>261</v>
      </c>
      <c r="G1859" s="1056">
        <v>99</v>
      </c>
      <c r="H1859" s="1056">
        <v>0</v>
      </c>
      <c r="I1859" s="1056">
        <v>360</v>
      </c>
      <c r="K1859" s="995">
        <f t="shared" si="28"/>
        <v>6</v>
      </c>
    </row>
    <row r="1860" spans="1:11">
      <c r="A1860" s="1054">
        <v>520472</v>
      </c>
      <c r="B1860" s="1055" t="s">
        <v>893</v>
      </c>
      <c r="C1860" s="1055" t="s">
        <v>380</v>
      </c>
      <c r="D1860" s="1055" t="s">
        <v>1789</v>
      </c>
      <c r="E1860" s="1055" t="s">
        <v>1790</v>
      </c>
      <c r="F1860" s="1056">
        <v>133</v>
      </c>
      <c r="G1860" s="1056">
        <v>62</v>
      </c>
      <c r="H1860" s="1056">
        <v>0</v>
      </c>
      <c r="I1860" s="1056">
        <v>195</v>
      </c>
      <c r="K1860" s="995">
        <f t="shared" si="28"/>
        <v>6</v>
      </c>
    </row>
    <row r="1861" spans="1:11">
      <c r="A1861" s="1054">
        <v>520472</v>
      </c>
      <c r="B1861" s="1055" t="s">
        <v>893</v>
      </c>
      <c r="C1861" s="1055" t="s">
        <v>380</v>
      </c>
      <c r="D1861" s="1055" t="s">
        <v>1254</v>
      </c>
      <c r="E1861" s="1055" t="s">
        <v>744</v>
      </c>
      <c r="F1861" s="1056">
        <v>402</v>
      </c>
      <c r="G1861" s="1056">
        <v>88</v>
      </c>
      <c r="H1861" s="1056">
        <v>0</v>
      </c>
      <c r="I1861" s="1056">
        <v>489</v>
      </c>
      <c r="K1861" s="995">
        <f t="shared" ref="K1861:K1924" si="29">+LEN(A1861)</f>
        <v>6</v>
      </c>
    </row>
    <row r="1862" spans="1:11">
      <c r="A1862" s="1054">
        <v>520472</v>
      </c>
      <c r="B1862" s="1055" t="s">
        <v>893</v>
      </c>
      <c r="C1862" s="1055" t="s">
        <v>380</v>
      </c>
      <c r="D1862" s="1055" t="s">
        <v>1275</v>
      </c>
      <c r="E1862" s="1055" t="s">
        <v>991</v>
      </c>
      <c r="F1862" s="1056">
        <v>420</v>
      </c>
      <c r="G1862" s="1056">
        <v>83</v>
      </c>
      <c r="H1862" s="1056">
        <v>0</v>
      </c>
      <c r="I1862" s="1056">
        <v>503</v>
      </c>
      <c r="K1862" s="995">
        <f t="shared" si="29"/>
        <v>6</v>
      </c>
    </row>
    <row r="1863" spans="1:11">
      <c r="A1863" s="1054">
        <v>520472</v>
      </c>
      <c r="B1863" s="1055" t="s">
        <v>893</v>
      </c>
      <c r="C1863" s="1055" t="s">
        <v>380</v>
      </c>
      <c r="D1863" s="1055" t="s">
        <v>1380</v>
      </c>
      <c r="E1863" s="1055" t="s">
        <v>1381</v>
      </c>
      <c r="F1863" s="1056">
        <v>0</v>
      </c>
      <c r="G1863" s="1056">
        <v>42</v>
      </c>
      <c r="H1863" s="1056">
        <v>0</v>
      </c>
      <c r="I1863" s="1056">
        <v>42</v>
      </c>
      <c r="K1863" s="995">
        <f t="shared" si="29"/>
        <v>6</v>
      </c>
    </row>
    <row r="1864" spans="1:11">
      <c r="A1864" s="1054">
        <v>520472</v>
      </c>
      <c r="B1864" s="1055" t="s">
        <v>893</v>
      </c>
      <c r="C1864" s="1055" t="s">
        <v>380</v>
      </c>
      <c r="D1864" s="1055" t="s">
        <v>1044</v>
      </c>
      <c r="E1864" s="1055" t="s">
        <v>1045</v>
      </c>
      <c r="F1864" s="1056">
        <v>398</v>
      </c>
      <c r="G1864" s="1056">
        <v>63</v>
      </c>
      <c r="H1864" s="1056">
        <v>0</v>
      </c>
      <c r="I1864" s="1056">
        <v>462</v>
      </c>
      <c r="K1864" s="995">
        <f t="shared" si="29"/>
        <v>6</v>
      </c>
    </row>
    <row r="1865" spans="1:11">
      <c r="A1865" s="1054">
        <v>520472</v>
      </c>
      <c r="B1865" s="1055" t="s">
        <v>893</v>
      </c>
      <c r="C1865" s="1055" t="s">
        <v>380</v>
      </c>
      <c r="D1865" s="1055" t="s">
        <v>1395</v>
      </c>
      <c r="E1865" s="1055" t="s">
        <v>1396</v>
      </c>
      <c r="F1865" s="1056">
        <v>209</v>
      </c>
      <c r="G1865" s="1056">
        <v>0</v>
      </c>
      <c r="H1865" s="1056">
        <v>0</v>
      </c>
      <c r="I1865" s="1056">
        <v>209</v>
      </c>
      <c r="K1865" s="995">
        <f t="shared" si="29"/>
        <v>6</v>
      </c>
    </row>
    <row r="1866" spans="1:11">
      <c r="A1866" s="1054">
        <v>520472</v>
      </c>
      <c r="B1866" s="1055" t="s">
        <v>893</v>
      </c>
      <c r="C1866" s="1055" t="s">
        <v>380</v>
      </c>
      <c r="D1866" s="1055" t="s">
        <v>1382</v>
      </c>
      <c r="E1866" s="1055" t="s">
        <v>1763</v>
      </c>
      <c r="F1866" s="1056">
        <v>463</v>
      </c>
      <c r="G1866" s="1056">
        <v>88</v>
      </c>
      <c r="H1866" s="1056">
        <v>0</v>
      </c>
      <c r="I1866" s="1056">
        <v>551</v>
      </c>
      <c r="K1866" s="995">
        <f t="shared" si="29"/>
        <v>6</v>
      </c>
    </row>
    <row r="1867" spans="1:11">
      <c r="A1867" s="1054">
        <v>520472</v>
      </c>
      <c r="B1867" s="1055" t="s">
        <v>893</v>
      </c>
      <c r="C1867" s="1055" t="s">
        <v>380</v>
      </c>
      <c r="D1867" s="1055" t="s">
        <v>1383</v>
      </c>
      <c r="E1867" s="1055" t="s">
        <v>1384</v>
      </c>
      <c r="F1867" s="1056">
        <v>325</v>
      </c>
      <c r="G1867" s="1056">
        <v>60</v>
      </c>
      <c r="H1867" s="1056">
        <v>0</v>
      </c>
      <c r="I1867" s="1056">
        <v>385</v>
      </c>
      <c r="K1867" s="995">
        <f t="shared" si="29"/>
        <v>6</v>
      </c>
    </row>
    <row r="1868" spans="1:11">
      <c r="A1868" s="1054">
        <v>5205</v>
      </c>
      <c r="B1868" s="1055" t="s">
        <v>893</v>
      </c>
      <c r="C1868" s="1055" t="s">
        <v>543</v>
      </c>
      <c r="D1868" s="1055" t="s">
        <v>893</v>
      </c>
      <c r="E1868" s="1055" t="s">
        <v>893</v>
      </c>
      <c r="F1868" s="1056">
        <v>402496</v>
      </c>
      <c r="G1868" s="1056">
        <v>90568</v>
      </c>
      <c r="H1868" s="1056">
        <v>3</v>
      </c>
      <c r="I1868" s="1056">
        <v>493062</v>
      </c>
      <c r="K1868" s="995">
        <f t="shared" si="29"/>
        <v>4</v>
      </c>
    </row>
    <row r="1869" spans="1:11">
      <c r="A1869" s="1054">
        <v>520506</v>
      </c>
      <c r="B1869" s="1055" t="s">
        <v>893</v>
      </c>
      <c r="C1869" s="1055" t="s">
        <v>381</v>
      </c>
      <c r="D1869" s="1055" t="s">
        <v>893</v>
      </c>
      <c r="E1869" s="1055" t="s">
        <v>893</v>
      </c>
      <c r="F1869" s="1056">
        <v>230463</v>
      </c>
      <c r="G1869" s="1056">
        <v>51262</v>
      </c>
      <c r="H1869" s="1056">
        <v>0</v>
      </c>
      <c r="I1869" s="1056">
        <v>281725</v>
      </c>
      <c r="K1869" s="995">
        <f t="shared" si="29"/>
        <v>6</v>
      </c>
    </row>
    <row r="1870" spans="1:11">
      <c r="A1870" s="1054">
        <v>52050601</v>
      </c>
      <c r="B1870" s="1055" t="s">
        <v>893</v>
      </c>
      <c r="C1870" s="1055" t="s">
        <v>381</v>
      </c>
      <c r="D1870" s="1055" t="s">
        <v>893</v>
      </c>
      <c r="E1870" s="1055" t="s">
        <v>893</v>
      </c>
      <c r="F1870" s="1056">
        <v>230463</v>
      </c>
      <c r="G1870" s="1056">
        <v>51262</v>
      </c>
      <c r="H1870" s="1056">
        <v>0</v>
      </c>
      <c r="I1870" s="1056">
        <v>281725</v>
      </c>
      <c r="K1870" s="995">
        <f t="shared" si="29"/>
        <v>8</v>
      </c>
    </row>
    <row r="1871" spans="1:11">
      <c r="A1871" s="1054">
        <v>52050601</v>
      </c>
      <c r="B1871" s="1055" t="s">
        <v>893</v>
      </c>
      <c r="C1871" s="1055" t="s">
        <v>381</v>
      </c>
      <c r="D1871" s="1055" t="s">
        <v>1360</v>
      </c>
      <c r="E1871" s="1055" t="s">
        <v>1361</v>
      </c>
      <c r="F1871" s="1056">
        <v>7118</v>
      </c>
      <c r="G1871" s="1056">
        <v>1424</v>
      </c>
      <c r="H1871" s="1056">
        <v>0</v>
      </c>
      <c r="I1871" s="1056">
        <v>8541</v>
      </c>
      <c r="K1871" s="995">
        <f t="shared" si="29"/>
        <v>8</v>
      </c>
    </row>
    <row r="1872" spans="1:11">
      <c r="A1872" s="1054">
        <v>52050601</v>
      </c>
      <c r="B1872" s="1055" t="s">
        <v>893</v>
      </c>
      <c r="C1872" s="1055" t="s">
        <v>381</v>
      </c>
      <c r="D1872" s="1055" t="s">
        <v>1298</v>
      </c>
      <c r="E1872" s="1055" t="s">
        <v>987</v>
      </c>
      <c r="F1872" s="1056">
        <v>1697</v>
      </c>
      <c r="G1872" s="1056">
        <v>1697</v>
      </c>
      <c r="H1872" s="1056">
        <v>0</v>
      </c>
      <c r="I1872" s="1056">
        <v>3394</v>
      </c>
      <c r="K1872" s="995">
        <f t="shared" si="29"/>
        <v>8</v>
      </c>
    </row>
    <row r="1873" spans="1:11">
      <c r="A1873" s="1054">
        <v>52050601</v>
      </c>
      <c r="B1873" s="1055" t="s">
        <v>893</v>
      </c>
      <c r="C1873" s="1055" t="s">
        <v>381</v>
      </c>
      <c r="D1873" s="1055" t="s">
        <v>1397</v>
      </c>
      <c r="E1873" s="1055" t="s">
        <v>1398</v>
      </c>
      <c r="F1873" s="1056">
        <v>759</v>
      </c>
      <c r="G1873" s="1056">
        <v>0</v>
      </c>
      <c r="H1873" s="1056">
        <v>0</v>
      </c>
      <c r="I1873" s="1056">
        <v>759</v>
      </c>
      <c r="K1873" s="995">
        <f t="shared" si="29"/>
        <v>8</v>
      </c>
    </row>
    <row r="1874" spans="1:11">
      <c r="A1874" s="1054">
        <v>52050601</v>
      </c>
      <c r="B1874" s="1055" t="s">
        <v>893</v>
      </c>
      <c r="C1874" s="1055" t="s">
        <v>381</v>
      </c>
      <c r="D1874" s="1055" t="s">
        <v>1362</v>
      </c>
      <c r="E1874" s="1055" t="s">
        <v>1363</v>
      </c>
      <c r="F1874" s="1056">
        <v>7118</v>
      </c>
      <c r="G1874" s="1056">
        <v>1424</v>
      </c>
      <c r="H1874" s="1056">
        <v>0</v>
      </c>
      <c r="I1874" s="1056">
        <v>8541</v>
      </c>
      <c r="K1874" s="995">
        <f t="shared" si="29"/>
        <v>8</v>
      </c>
    </row>
    <row r="1875" spans="1:11">
      <c r="A1875" s="1054">
        <v>52050601</v>
      </c>
      <c r="B1875" s="1055" t="s">
        <v>893</v>
      </c>
      <c r="C1875" s="1055" t="s">
        <v>381</v>
      </c>
      <c r="D1875" s="1055" t="s">
        <v>1364</v>
      </c>
      <c r="E1875" s="1055" t="s">
        <v>1365</v>
      </c>
      <c r="F1875" s="1056">
        <v>7118</v>
      </c>
      <c r="G1875" s="1056">
        <v>1329</v>
      </c>
      <c r="H1875" s="1056">
        <v>0</v>
      </c>
      <c r="I1875" s="1056">
        <v>8446</v>
      </c>
      <c r="K1875" s="995">
        <f t="shared" si="29"/>
        <v>8</v>
      </c>
    </row>
    <row r="1876" spans="1:11">
      <c r="A1876" s="1054">
        <v>52050601</v>
      </c>
      <c r="B1876" s="1055" t="s">
        <v>893</v>
      </c>
      <c r="C1876" s="1055" t="s">
        <v>381</v>
      </c>
      <c r="D1876" s="1055" t="s">
        <v>1601</v>
      </c>
      <c r="E1876" s="1055" t="s">
        <v>1602</v>
      </c>
      <c r="F1876" s="1056">
        <v>14800</v>
      </c>
      <c r="G1876" s="1056">
        <v>4000</v>
      </c>
      <c r="H1876" s="1056">
        <v>0</v>
      </c>
      <c r="I1876" s="1056">
        <v>18800</v>
      </c>
      <c r="K1876" s="995">
        <f t="shared" si="29"/>
        <v>8</v>
      </c>
    </row>
    <row r="1877" spans="1:11">
      <c r="A1877" s="1054">
        <v>52050601</v>
      </c>
      <c r="B1877" s="1055" t="s">
        <v>893</v>
      </c>
      <c r="C1877" s="1055" t="s">
        <v>381</v>
      </c>
      <c r="D1877" s="1055" t="s">
        <v>1270</v>
      </c>
      <c r="E1877" s="1055" t="s">
        <v>988</v>
      </c>
      <c r="F1877" s="1056">
        <v>9553</v>
      </c>
      <c r="G1877" s="1056">
        <v>2188</v>
      </c>
      <c r="H1877" s="1056">
        <v>0</v>
      </c>
      <c r="I1877" s="1056">
        <v>11741</v>
      </c>
      <c r="K1877" s="995">
        <f t="shared" si="29"/>
        <v>8</v>
      </c>
    </row>
    <row r="1878" spans="1:11">
      <c r="A1878" s="1054">
        <v>52050601</v>
      </c>
      <c r="B1878" s="1055" t="s">
        <v>893</v>
      </c>
      <c r="C1878" s="1055" t="s">
        <v>381</v>
      </c>
      <c r="D1878" s="1055" t="s">
        <v>1271</v>
      </c>
      <c r="E1878" s="1055" t="s">
        <v>782</v>
      </c>
      <c r="F1878" s="1056">
        <v>9428</v>
      </c>
      <c r="G1878" s="1056">
        <v>2176</v>
      </c>
      <c r="H1878" s="1056">
        <v>0</v>
      </c>
      <c r="I1878" s="1056">
        <v>11603</v>
      </c>
      <c r="K1878" s="995">
        <f t="shared" si="29"/>
        <v>8</v>
      </c>
    </row>
    <row r="1879" spans="1:11">
      <c r="A1879" s="1054">
        <v>52050601</v>
      </c>
      <c r="B1879" s="1055" t="s">
        <v>893</v>
      </c>
      <c r="C1879" s="1055" t="s">
        <v>381</v>
      </c>
      <c r="D1879" s="1055" t="s">
        <v>1366</v>
      </c>
      <c r="E1879" s="1055" t="s">
        <v>1367</v>
      </c>
      <c r="F1879" s="1056">
        <v>6833</v>
      </c>
      <c r="G1879" s="1056">
        <v>1329</v>
      </c>
      <c r="H1879" s="1056">
        <v>0</v>
      </c>
      <c r="I1879" s="1056">
        <v>8161</v>
      </c>
      <c r="K1879" s="995">
        <f t="shared" si="29"/>
        <v>8</v>
      </c>
    </row>
    <row r="1880" spans="1:11">
      <c r="A1880" s="1054">
        <v>52050601</v>
      </c>
      <c r="B1880" s="1055" t="s">
        <v>893</v>
      </c>
      <c r="C1880" s="1055" t="s">
        <v>381</v>
      </c>
      <c r="D1880" s="1055" t="s">
        <v>1302</v>
      </c>
      <c r="E1880" s="1055" t="s">
        <v>986</v>
      </c>
      <c r="F1880" s="1056">
        <v>7118</v>
      </c>
      <c r="G1880" s="1056">
        <v>1424</v>
      </c>
      <c r="H1880" s="1056">
        <v>0</v>
      </c>
      <c r="I1880" s="1056">
        <v>8541</v>
      </c>
      <c r="K1880" s="995">
        <f t="shared" si="29"/>
        <v>8</v>
      </c>
    </row>
    <row r="1881" spans="1:11">
      <c r="A1881" s="1054">
        <v>52050601</v>
      </c>
      <c r="B1881" s="1055" t="s">
        <v>893</v>
      </c>
      <c r="C1881" s="1055" t="s">
        <v>381</v>
      </c>
      <c r="D1881" s="1055" t="s">
        <v>1042</v>
      </c>
      <c r="E1881" s="1055" t="s">
        <v>1732</v>
      </c>
      <c r="F1881" s="1056">
        <v>5172</v>
      </c>
      <c r="G1881" s="1056">
        <v>0</v>
      </c>
      <c r="H1881" s="1056">
        <v>0</v>
      </c>
      <c r="I1881" s="1056">
        <v>5172</v>
      </c>
      <c r="K1881" s="995">
        <f t="shared" si="29"/>
        <v>8</v>
      </c>
    </row>
    <row r="1882" spans="1:11">
      <c r="A1882" s="1054">
        <v>52050601</v>
      </c>
      <c r="B1882" s="1055" t="s">
        <v>893</v>
      </c>
      <c r="C1882" s="1055" t="s">
        <v>381</v>
      </c>
      <c r="D1882" s="1055" t="s">
        <v>1611</v>
      </c>
      <c r="E1882" s="1055" t="s">
        <v>1612</v>
      </c>
      <c r="F1882" s="1056">
        <v>1471</v>
      </c>
      <c r="G1882" s="1056">
        <v>0</v>
      </c>
      <c r="H1882" s="1056">
        <v>0</v>
      </c>
      <c r="I1882" s="1056">
        <v>1471</v>
      </c>
      <c r="K1882" s="995">
        <f t="shared" si="29"/>
        <v>8</v>
      </c>
    </row>
    <row r="1883" spans="1:11">
      <c r="A1883" s="1054">
        <v>52050601</v>
      </c>
      <c r="B1883" s="1055" t="s">
        <v>893</v>
      </c>
      <c r="C1883" s="1055" t="s">
        <v>381</v>
      </c>
      <c r="D1883" s="1055" t="s">
        <v>1368</v>
      </c>
      <c r="E1883" s="1055" t="s">
        <v>1369</v>
      </c>
      <c r="F1883" s="1056">
        <v>1898</v>
      </c>
      <c r="G1883" s="1056">
        <v>1424</v>
      </c>
      <c r="H1883" s="1056">
        <v>0</v>
      </c>
      <c r="I1883" s="1056">
        <v>3322</v>
      </c>
      <c r="K1883" s="995">
        <f t="shared" si="29"/>
        <v>8</v>
      </c>
    </row>
    <row r="1884" spans="1:11">
      <c r="A1884" s="1054">
        <v>52050601</v>
      </c>
      <c r="B1884" s="1055" t="s">
        <v>893</v>
      </c>
      <c r="C1884" s="1055" t="s">
        <v>381</v>
      </c>
      <c r="D1884" s="1055" t="s">
        <v>1246</v>
      </c>
      <c r="E1884" s="1055" t="s">
        <v>743</v>
      </c>
      <c r="F1884" s="1056">
        <v>759</v>
      </c>
      <c r="G1884" s="1056">
        <v>0</v>
      </c>
      <c r="H1884" s="1056">
        <v>0</v>
      </c>
      <c r="I1884" s="1056">
        <v>759</v>
      </c>
      <c r="K1884" s="995">
        <f t="shared" si="29"/>
        <v>8</v>
      </c>
    </row>
    <row r="1885" spans="1:11">
      <c r="A1885" s="1054">
        <v>52050601</v>
      </c>
      <c r="B1885" s="1055" t="s">
        <v>893</v>
      </c>
      <c r="C1885" s="1055" t="s">
        <v>381</v>
      </c>
      <c r="D1885" s="1055" t="s">
        <v>1320</v>
      </c>
      <c r="E1885" s="1055" t="s">
        <v>1321</v>
      </c>
      <c r="F1885" s="1056">
        <v>5504</v>
      </c>
      <c r="G1885" s="1056">
        <v>1424</v>
      </c>
      <c r="H1885" s="1056">
        <v>0</v>
      </c>
      <c r="I1885" s="1056">
        <v>6928</v>
      </c>
      <c r="K1885" s="995">
        <f t="shared" si="29"/>
        <v>8</v>
      </c>
    </row>
    <row r="1886" spans="1:11">
      <c r="A1886" s="1054">
        <v>52050601</v>
      </c>
      <c r="B1886" s="1055" t="s">
        <v>893</v>
      </c>
      <c r="C1886" s="1055" t="s">
        <v>381</v>
      </c>
      <c r="D1886" s="1055" t="s">
        <v>1274</v>
      </c>
      <c r="E1886" s="1055" t="s">
        <v>989</v>
      </c>
      <c r="F1886" s="1056">
        <v>9772</v>
      </c>
      <c r="G1886" s="1056">
        <v>2188</v>
      </c>
      <c r="H1886" s="1056">
        <v>0</v>
      </c>
      <c r="I1886" s="1056">
        <v>11960</v>
      </c>
      <c r="K1886" s="995">
        <f t="shared" si="29"/>
        <v>8</v>
      </c>
    </row>
    <row r="1887" spans="1:11">
      <c r="A1887" s="1054">
        <v>52050601</v>
      </c>
      <c r="B1887" s="1055" t="s">
        <v>893</v>
      </c>
      <c r="C1887" s="1055" t="s">
        <v>381</v>
      </c>
      <c r="D1887" s="1055" t="s">
        <v>1247</v>
      </c>
      <c r="E1887" s="1055" t="s">
        <v>1248</v>
      </c>
      <c r="F1887" s="1056">
        <v>6168</v>
      </c>
      <c r="G1887" s="1056">
        <v>1424</v>
      </c>
      <c r="H1887" s="1056">
        <v>0</v>
      </c>
      <c r="I1887" s="1056">
        <v>7592</v>
      </c>
      <c r="K1887" s="995">
        <f t="shared" si="29"/>
        <v>8</v>
      </c>
    </row>
    <row r="1888" spans="1:11">
      <c r="A1888" s="1054">
        <v>52050601</v>
      </c>
      <c r="B1888" s="1055" t="s">
        <v>893</v>
      </c>
      <c r="C1888" s="1055" t="s">
        <v>381</v>
      </c>
      <c r="D1888" s="1055" t="s">
        <v>1387</v>
      </c>
      <c r="E1888" s="1055" t="s">
        <v>1388</v>
      </c>
      <c r="F1888" s="1056">
        <v>190</v>
      </c>
      <c r="G1888" s="1056">
        <v>0</v>
      </c>
      <c r="H1888" s="1056">
        <v>0</v>
      </c>
      <c r="I1888" s="1056">
        <v>190</v>
      </c>
      <c r="K1888" s="995">
        <f t="shared" si="29"/>
        <v>8</v>
      </c>
    </row>
    <row r="1889" spans="1:11">
      <c r="A1889" s="1054">
        <v>52050601</v>
      </c>
      <c r="B1889" s="1055" t="s">
        <v>893</v>
      </c>
      <c r="C1889" s="1055" t="s">
        <v>381</v>
      </c>
      <c r="D1889" s="1055" t="s">
        <v>1370</v>
      </c>
      <c r="E1889" s="1055" t="s">
        <v>1371</v>
      </c>
      <c r="F1889" s="1056">
        <v>1424</v>
      </c>
      <c r="G1889" s="1056">
        <v>1424</v>
      </c>
      <c r="H1889" s="1056">
        <v>0</v>
      </c>
      <c r="I1889" s="1056">
        <v>2847</v>
      </c>
      <c r="K1889" s="995">
        <f t="shared" si="29"/>
        <v>8</v>
      </c>
    </row>
    <row r="1890" spans="1:11">
      <c r="A1890" s="1054">
        <v>52050601</v>
      </c>
      <c r="B1890" s="1055" t="s">
        <v>893</v>
      </c>
      <c r="C1890" s="1055" t="s">
        <v>381</v>
      </c>
      <c r="D1890" s="1055" t="s">
        <v>1870</v>
      </c>
      <c r="E1890" s="1055" t="s">
        <v>1871</v>
      </c>
      <c r="F1890" s="1056">
        <v>1550</v>
      </c>
      <c r="G1890" s="1056">
        <v>878</v>
      </c>
      <c r="H1890" s="1056">
        <v>0</v>
      </c>
      <c r="I1890" s="1056">
        <v>2428</v>
      </c>
      <c r="K1890" s="995">
        <f t="shared" si="29"/>
        <v>8</v>
      </c>
    </row>
    <row r="1891" spans="1:11">
      <c r="A1891" s="1054">
        <v>52050601</v>
      </c>
      <c r="B1891" s="1055" t="s">
        <v>893</v>
      </c>
      <c r="C1891" s="1055" t="s">
        <v>381</v>
      </c>
      <c r="D1891" s="1055" t="s">
        <v>1372</v>
      </c>
      <c r="E1891" s="1055" t="s">
        <v>1373</v>
      </c>
      <c r="F1891" s="1056">
        <v>6263</v>
      </c>
      <c r="G1891" s="1056">
        <v>1424</v>
      </c>
      <c r="H1891" s="1056">
        <v>0</v>
      </c>
      <c r="I1891" s="1056">
        <v>7687</v>
      </c>
      <c r="K1891" s="995">
        <f t="shared" si="29"/>
        <v>8</v>
      </c>
    </row>
    <row r="1892" spans="1:11">
      <c r="A1892" s="1054">
        <v>52050601</v>
      </c>
      <c r="B1892" s="1055" t="s">
        <v>893</v>
      </c>
      <c r="C1892" s="1055" t="s">
        <v>381</v>
      </c>
      <c r="D1892" s="1055" t="s">
        <v>1785</v>
      </c>
      <c r="E1892" s="1055" t="s">
        <v>1786</v>
      </c>
      <c r="F1892" s="1056">
        <v>2847</v>
      </c>
      <c r="G1892" s="1056">
        <v>1329</v>
      </c>
      <c r="H1892" s="1056">
        <v>0</v>
      </c>
      <c r="I1892" s="1056">
        <v>4176</v>
      </c>
      <c r="K1892" s="995">
        <f t="shared" si="29"/>
        <v>8</v>
      </c>
    </row>
    <row r="1893" spans="1:11">
      <c r="A1893" s="1054">
        <v>52050601</v>
      </c>
      <c r="B1893" s="1055" t="s">
        <v>893</v>
      </c>
      <c r="C1893" s="1055" t="s">
        <v>381</v>
      </c>
      <c r="D1893" s="1055" t="s">
        <v>1374</v>
      </c>
      <c r="E1893" s="1055" t="s">
        <v>1375</v>
      </c>
      <c r="F1893" s="1056">
        <v>1898</v>
      </c>
      <c r="G1893" s="1056">
        <v>1424</v>
      </c>
      <c r="H1893" s="1056">
        <v>0</v>
      </c>
      <c r="I1893" s="1056">
        <v>3322</v>
      </c>
      <c r="K1893" s="995">
        <f t="shared" si="29"/>
        <v>8</v>
      </c>
    </row>
    <row r="1894" spans="1:11">
      <c r="A1894" s="1054">
        <v>52050601</v>
      </c>
      <c r="B1894" s="1055" t="s">
        <v>893</v>
      </c>
      <c r="C1894" s="1055" t="s">
        <v>381</v>
      </c>
      <c r="D1894" s="1055" t="s">
        <v>1389</v>
      </c>
      <c r="E1894" s="1055" t="s">
        <v>1390</v>
      </c>
      <c r="F1894" s="1056">
        <v>1044</v>
      </c>
      <c r="G1894" s="1056">
        <v>0</v>
      </c>
      <c r="H1894" s="1056">
        <v>0</v>
      </c>
      <c r="I1894" s="1056">
        <v>1044</v>
      </c>
      <c r="K1894" s="995">
        <f t="shared" si="29"/>
        <v>8</v>
      </c>
    </row>
    <row r="1895" spans="1:11">
      <c r="A1895" s="1054">
        <v>52050601</v>
      </c>
      <c r="B1895" s="1055" t="s">
        <v>893</v>
      </c>
      <c r="C1895" s="1055" t="s">
        <v>381</v>
      </c>
      <c r="D1895" s="1055" t="s">
        <v>1249</v>
      </c>
      <c r="E1895" s="1055" t="s">
        <v>583</v>
      </c>
      <c r="F1895" s="1056">
        <v>8485</v>
      </c>
      <c r="G1895" s="1056">
        <v>1697</v>
      </c>
      <c r="H1895" s="1056">
        <v>0</v>
      </c>
      <c r="I1895" s="1056">
        <v>10182</v>
      </c>
      <c r="K1895" s="995">
        <f t="shared" si="29"/>
        <v>8</v>
      </c>
    </row>
    <row r="1896" spans="1:11">
      <c r="A1896" s="1054">
        <v>52050601</v>
      </c>
      <c r="B1896" s="1055" t="s">
        <v>893</v>
      </c>
      <c r="C1896" s="1055" t="s">
        <v>381</v>
      </c>
      <c r="D1896" s="1055" t="s">
        <v>1376</v>
      </c>
      <c r="E1896" s="1055" t="s">
        <v>1377</v>
      </c>
      <c r="F1896" s="1056">
        <v>5694</v>
      </c>
      <c r="G1896" s="1056">
        <v>1424</v>
      </c>
      <c r="H1896" s="1056">
        <v>0</v>
      </c>
      <c r="I1896" s="1056">
        <v>7118</v>
      </c>
      <c r="K1896" s="995">
        <f t="shared" si="29"/>
        <v>8</v>
      </c>
    </row>
    <row r="1897" spans="1:11">
      <c r="A1897" s="1054">
        <v>52050601</v>
      </c>
      <c r="B1897" s="1055" t="s">
        <v>893</v>
      </c>
      <c r="C1897" s="1055" t="s">
        <v>381</v>
      </c>
      <c r="D1897" s="1055" t="s">
        <v>1613</v>
      </c>
      <c r="E1897" s="1055" t="s">
        <v>1614</v>
      </c>
      <c r="F1897" s="1056">
        <v>4270</v>
      </c>
      <c r="G1897" s="1056">
        <v>332</v>
      </c>
      <c r="H1897" s="1056">
        <v>0</v>
      </c>
      <c r="I1897" s="1056">
        <v>4603</v>
      </c>
      <c r="K1897" s="995">
        <f t="shared" si="29"/>
        <v>8</v>
      </c>
    </row>
    <row r="1898" spans="1:11">
      <c r="A1898" s="1054">
        <v>52050601</v>
      </c>
      <c r="B1898" s="1055" t="s">
        <v>893</v>
      </c>
      <c r="C1898" s="1055" t="s">
        <v>381</v>
      </c>
      <c r="D1898" s="1055" t="s">
        <v>1305</v>
      </c>
      <c r="E1898" s="1055" t="s">
        <v>990</v>
      </c>
      <c r="F1898" s="1056">
        <v>8146</v>
      </c>
      <c r="G1898" s="1056">
        <v>1075</v>
      </c>
      <c r="H1898" s="1056">
        <v>0</v>
      </c>
      <c r="I1898" s="1056">
        <v>9221</v>
      </c>
      <c r="K1898" s="995">
        <f t="shared" si="29"/>
        <v>8</v>
      </c>
    </row>
    <row r="1899" spans="1:11">
      <c r="A1899" s="1054">
        <v>52050601</v>
      </c>
      <c r="B1899" s="1055" t="s">
        <v>893</v>
      </c>
      <c r="C1899" s="1055" t="s">
        <v>381</v>
      </c>
      <c r="D1899" s="1055" t="s">
        <v>1306</v>
      </c>
      <c r="E1899" s="1055" t="s">
        <v>997</v>
      </c>
      <c r="F1899" s="1056">
        <v>7118</v>
      </c>
      <c r="G1899" s="1056">
        <v>1424</v>
      </c>
      <c r="H1899" s="1056">
        <v>0</v>
      </c>
      <c r="I1899" s="1056">
        <v>8541</v>
      </c>
      <c r="K1899" s="995">
        <f t="shared" si="29"/>
        <v>8</v>
      </c>
    </row>
    <row r="1900" spans="1:11">
      <c r="A1900" s="1054">
        <v>52050601</v>
      </c>
      <c r="B1900" s="1055" t="s">
        <v>893</v>
      </c>
      <c r="C1900" s="1055" t="s">
        <v>381</v>
      </c>
      <c r="D1900" s="1055" t="s">
        <v>1322</v>
      </c>
      <c r="E1900" s="1055" t="s">
        <v>1323</v>
      </c>
      <c r="F1900" s="1056">
        <v>5267</v>
      </c>
      <c r="G1900" s="1056">
        <v>0</v>
      </c>
      <c r="H1900" s="1056">
        <v>0</v>
      </c>
      <c r="I1900" s="1056">
        <v>5267</v>
      </c>
      <c r="K1900" s="995">
        <f t="shared" si="29"/>
        <v>8</v>
      </c>
    </row>
    <row r="1901" spans="1:11">
      <c r="A1901" s="1054">
        <v>52050601</v>
      </c>
      <c r="B1901" s="1055" t="s">
        <v>893</v>
      </c>
      <c r="C1901" s="1055" t="s">
        <v>381</v>
      </c>
      <c r="D1901" s="1055" t="s">
        <v>1391</v>
      </c>
      <c r="E1901" s="1055" t="s">
        <v>1392</v>
      </c>
      <c r="F1901" s="1056">
        <v>712</v>
      </c>
      <c r="G1901" s="1056">
        <v>0</v>
      </c>
      <c r="H1901" s="1056">
        <v>0</v>
      </c>
      <c r="I1901" s="1056">
        <v>712</v>
      </c>
      <c r="K1901" s="995">
        <f t="shared" si="29"/>
        <v>8</v>
      </c>
    </row>
    <row r="1902" spans="1:11">
      <c r="A1902" s="1054">
        <v>52050601</v>
      </c>
      <c r="B1902" s="1055" t="s">
        <v>893</v>
      </c>
      <c r="C1902" s="1055" t="s">
        <v>381</v>
      </c>
      <c r="D1902" s="1055" t="s">
        <v>1250</v>
      </c>
      <c r="E1902" s="1055" t="s">
        <v>1251</v>
      </c>
      <c r="F1902" s="1056">
        <v>5931</v>
      </c>
      <c r="G1902" s="1056">
        <v>1424</v>
      </c>
      <c r="H1902" s="1056">
        <v>0</v>
      </c>
      <c r="I1902" s="1056">
        <v>7355</v>
      </c>
      <c r="K1902" s="995">
        <f t="shared" si="29"/>
        <v>8</v>
      </c>
    </row>
    <row r="1903" spans="1:11">
      <c r="A1903" s="1054">
        <v>52050601</v>
      </c>
      <c r="B1903" s="1055" t="s">
        <v>893</v>
      </c>
      <c r="C1903" s="1055" t="s">
        <v>381</v>
      </c>
      <c r="D1903" s="1055" t="s">
        <v>1787</v>
      </c>
      <c r="E1903" s="1055" t="s">
        <v>1788</v>
      </c>
      <c r="F1903" s="1056">
        <v>1803</v>
      </c>
      <c r="G1903" s="1056">
        <v>1424</v>
      </c>
      <c r="H1903" s="1056">
        <v>0</v>
      </c>
      <c r="I1903" s="1056">
        <v>3227</v>
      </c>
      <c r="K1903" s="995">
        <f t="shared" si="29"/>
        <v>8</v>
      </c>
    </row>
    <row r="1904" spans="1:11">
      <c r="A1904" s="1054">
        <v>52050601</v>
      </c>
      <c r="B1904" s="1055" t="s">
        <v>893</v>
      </c>
      <c r="C1904" s="1055" t="s">
        <v>381</v>
      </c>
      <c r="D1904" s="1055" t="s">
        <v>1378</v>
      </c>
      <c r="E1904" s="1055" t="s">
        <v>1379</v>
      </c>
      <c r="F1904" s="1056">
        <v>7117</v>
      </c>
      <c r="G1904" s="1056">
        <v>0</v>
      </c>
      <c r="H1904" s="1056">
        <v>0</v>
      </c>
      <c r="I1904" s="1056">
        <v>7117</v>
      </c>
      <c r="K1904" s="995">
        <f t="shared" si="29"/>
        <v>8</v>
      </c>
    </row>
    <row r="1905" spans="1:11">
      <c r="A1905" s="1054">
        <v>52050601</v>
      </c>
      <c r="B1905" s="1055" t="s">
        <v>893</v>
      </c>
      <c r="C1905" s="1055" t="s">
        <v>381</v>
      </c>
      <c r="D1905" s="1055" t="s">
        <v>1303</v>
      </c>
      <c r="E1905" s="1055" t="s">
        <v>806</v>
      </c>
      <c r="F1905" s="1056">
        <v>7118</v>
      </c>
      <c r="G1905" s="1056">
        <v>1424</v>
      </c>
      <c r="H1905" s="1056">
        <v>0</v>
      </c>
      <c r="I1905" s="1056">
        <v>8541</v>
      </c>
      <c r="K1905" s="995">
        <f t="shared" si="29"/>
        <v>8</v>
      </c>
    </row>
    <row r="1906" spans="1:11">
      <c r="A1906" s="1054">
        <v>52050601</v>
      </c>
      <c r="B1906" s="1055" t="s">
        <v>893</v>
      </c>
      <c r="C1906" s="1055" t="s">
        <v>381</v>
      </c>
      <c r="D1906" s="1055" t="s">
        <v>1605</v>
      </c>
      <c r="E1906" s="1055" t="s">
        <v>1606</v>
      </c>
      <c r="F1906" s="1056">
        <v>3847</v>
      </c>
      <c r="G1906" s="1056">
        <v>1697</v>
      </c>
      <c r="H1906" s="1056">
        <v>0</v>
      </c>
      <c r="I1906" s="1056">
        <v>5544</v>
      </c>
      <c r="K1906" s="995">
        <f t="shared" si="29"/>
        <v>8</v>
      </c>
    </row>
    <row r="1907" spans="1:11">
      <c r="A1907" s="1054">
        <v>52050601</v>
      </c>
      <c r="B1907" s="1055" t="s">
        <v>893</v>
      </c>
      <c r="C1907" s="1055" t="s">
        <v>381</v>
      </c>
      <c r="D1907" s="1055" t="s">
        <v>1789</v>
      </c>
      <c r="E1907" s="1055" t="s">
        <v>1790</v>
      </c>
      <c r="F1907" s="1056">
        <v>2420</v>
      </c>
      <c r="G1907" s="1056">
        <v>1329</v>
      </c>
      <c r="H1907" s="1056">
        <v>0</v>
      </c>
      <c r="I1907" s="1056">
        <v>3749</v>
      </c>
      <c r="K1907" s="995">
        <f t="shared" si="29"/>
        <v>8</v>
      </c>
    </row>
    <row r="1908" spans="1:11">
      <c r="A1908" s="1054">
        <v>52050601</v>
      </c>
      <c r="B1908" s="1055" t="s">
        <v>893</v>
      </c>
      <c r="C1908" s="1055" t="s">
        <v>381</v>
      </c>
      <c r="D1908" s="1055" t="s">
        <v>1254</v>
      </c>
      <c r="E1908" s="1055" t="s">
        <v>744</v>
      </c>
      <c r="F1908" s="1056">
        <v>7354</v>
      </c>
      <c r="G1908" s="1056">
        <v>1697</v>
      </c>
      <c r="H1908" s="1056">
        <v>0</v>
      </c>
      <c r="I1908" s="1056">
        <v>9051</v>
      </c>
      <c r="K1908" s="995">
        <f t="shared" si="29"/>
        <v>8</v>
      </c>
    </row>
    <row r="1909" spans="1:11">
      <c r="A1909" s="1054">
        <v>52050601</v>
      </c>
      <c r="B1909" s="1055" t="s">
        <v>893</v>
      </c>
      <c r="C1909" s="1055" t="s">
        <v>381</v>
      </c>
      <c r="D1909" s="1055" t="s">
        <v>1275</v>
      </c>
      <c r="E1909" s="1055" t="s">
        <v>991</v>
      </c>
      <c r="F1909" s="1056">
        <v>7976</v>
      </c>
      <c r="G1909" s="1056">
        <v>1697</v>
      </c>
      <c r="H1909" s="1056">
        <v>0</v>
      </c>
      <c r="I1909" s="1056">
        <v>9673</v>
      </c>
      <c r="K1909" s="995">
        <f t="shared" si="29"/>
        <v>8</v>
      </c>
    </row>
    <row r="1910" spans="1:11">
      <c r="A1910" s="1054">
        <v>52050601</v>
      </c>
      <c r="B1910" s="1055" t="s">
        <v>893</v>
      </c>
      <c r="C1910" s="1055" t="s">
        <v>381</v>
      </c>
      <c r="D1910" s="1055" t="s">
        <v>1380</v>
      </c>
      <c r="E1910" s="1055" t="s">
        <v>1381</v>
      </c>
      <c r="F1910" s="1056">
        <v>0</v>
      </c>
      <c r="G1910" s="1056">
        <v>1044</v>
      </c>
      <c r="H1910" s="1056">
        <v>0</v>
      </c>
      <c r="I1910" s="1056">
        <v>1044</v>
      </c>
      <c r="K1910" s="995">
        <f t="shared" si="29"/>
        <v>8</v>
      </c>
    </row>
    <row r="1911" spans="1:11">
      <c r="A1911" s="1054">
        <v>52050601</v>
      </c>
      <c r="B1911" s="1055" t="s">
        <v>893</v>
      </c>
      <c r="C1911" s="1055" t="s">
        <v>381</v>
      </c>
      <c r="D1911" s="1055" t="s">
        <v>1044</v>
      </c>
      <c r="E1911" s="1055" t="s">
        <v>1045</v>
      </c>
      <c r="F1911" s="1056">
        <v>9950</v>
      </c>
      <c r="G1911" s="1056">
        <v>137</v>
      </c>
      <c r="H1911" s="1056">
        <v>0</v>
      </c>
      <c r="I1911" s="1056">
        <v>10087</v>
      </c>
      <c r="K1911" s="995">
        <f t="shared" si="29"/>
        <v>8</v>
      </c>
    </row>
    <row r="1912" spans="1:11">
      <c r="A1912" s="1054">
        <v>52050601</v>
      </c>
      <c r="B1912" s="1055" t="s">
        <v>893</v>
      </c>
      <c r="C1912" s="1055" t="s">
        <v>381</v>
      </c>
      <c r="D1912" s="1055" t="s">
        <v>1395</v>
      </c>
      <c r="E1912" s="1055" t="s">
        <v>1396</v>
      </c>
      <c r="F1912" s="1056">
        <v>3891</v>
      </c>
      <c r="G1912" s="1056">
        <v>0</v>
      </c>
      <c r="H1912" s="1056">
        <v>0</v>
      </c>
      <c r="I1912" s="1056">
        <v>3891</v>
      </c>
      <c r="K1912" s="995">
        <f t="shared" si="29"/>
        <v>8</v>
      </c>
    </row>
    <row r="1913" spans="1:11">
      <c r="A1913" s="1054">
        <v>52050601</v>
      </c>
      <c r="B1913" s="1055" t="s">
        <v>893</v>
      </c>
      <c r="C1913" s="1055" t="s">
        <v>381</v>
      </c>
      <c r="D1913" s="1055" t="s">
        <v>1382</v>
      </c>
      <c r="E1913" s="1055" t="s">
        <v>1763</v>
      </c>
      <c r="F1913" s="1056">
        <v>9553</v>
      </c>
      <c r="G1913" s="1056">
        <v>2188</v>
      </c>
      <c r="H1913" s="1056">
        <v>0</v>
      </c>
      <c r="I1913" s="1056">
        <v>11741</v>
      </c>
      <c r="K1913" s="995">
        <f t="shared" si="29"/>
        <v>8</v>
      </c>
    </row>
    <row r="1914" spans="1:11">
      <c r="A1914" s="1054">
        <v>52050601</v>
      </c>
      <c r="B1914" s="1055" t="s">
        <v>893</v>
      </c>
      <c r="C1914" s="1055" t="s">
        <v>381</v>
      </c>
      <c r="D1914" s="1055" t="s">
        <v>1383</v>
      </c>
      <c r="E1914" s="1055" t="s">
        <v>1384</v>
      </c>
      <c r="F1914" s="1056">
        <v>6311</v>
      </c>
      <c r="G1914" s="1056">
        <v>1329</v>
      </c>
      <c r="H1914" s="1056">
        <v>0</v>
      </c>
      <c r="I1914" s="1056">
        <v>7639</v>
      </c>
      <c r="K1914" s="995">
        <f t="shared" si="29"/>
        <v>8</v>
      </c>
    </row>
    <row r="1915" spans="1:11">
      <c r="A1915" s="1054">
        <v>520515</v>
      </c>
      <c r="B1915" s="1055" t="s">
        <v>893</v>
      </c>
      <c r="C1915" s="1055" t="s">
        <v>544</v>
      </c>
      <c r="D1915" s="1055" t="s">
        <v>893</v>
      </c>
      <c r="E1915" s="1055" t="s">
        <v>893</v>
      </c>
      <c r="F1915" s="1056">
        <v>43163</v>
      </c>
      <c r="G1915" s="1056">
        <v>10669</v>
      </c>
      <c r="H1915" s="1056">
        <v>0</v>
      </c>
      <c r="I1915" s="1056">
        <v>53832</v>
      </c>
      <c r="K1915" s="995">
        <f t="shared" si="29"/>
        <v>6</v>
      </c>
    </row>
    <row r="1916" spans="1:11">
      <c r="A1916" s="1054">
        <v>52051501</v>
      </c>
      <c r="B1916" s="1055" t="s">
        <v>893</v>
      </c>
      <c r="C1916" s="1055" t="s">
        <v>544</v>
      </c>
      <c r="D1916" s="1055" t="s">
        <v>893</v>
      </c>
      <c r="E1916" s="1055" t="s">
        <v>893</v>
      </c>
      <c r="F1916" s="1056">
        <v>43163</v>
      </c>
      <c r="G1916" s="1056">
        <v>10669</v>
      </c>
      <c r="H1916" s="1056">
        <v>0</v>
      </c>
      <c r="I1916" s="1056">
        <v>53832</v>
      </c>
      <c r="K1916" s="995">
        <f t="shared" si="29"/>
        <v>8</v>
      </c>
    </row>
    <row r="1917" spans="1:11">
      <c r="A1917" s="1054">
        <v>52051501</v>
      </c>
      <c r="B1917" s="1055" t="s">
        <v>893</v>
      </c>
      <c r="C1917" s="1055" t="s">
        <v>544</v>
      </c>
      <c r="D1917" s="1055" t="s">
        <v>1385</v>
      </c>
      <c r="E1917" s="1055" t="s">
        <v>1386</v>
      </c>
      <c r="F1917" s="1056">
        <v>23</v>
      </c>
      <c r="G1917" s="1056">
        <v>0</v>
      </c>
      <c r="H1917" s="1056">
        <v>0</v>
      </c>
      <c r="I1917" s="1056">
        <v>23</v>
      </c>
      <c r="K1917" s="995">
        <f t="shared" si="29"/>
        <v>8</v>
      </c>
    </row>
    <row r="1918" spans="1:11">
      <c r="A1918" s="1054">
        <v>52051501</v>
      </c>
      <c r="B1918" s="1055" t="s">
        <v>893</v>
      </c>
      <c r="C1918" s="1055" t="s">
        <v>544</v>
      </c>
      <c r="D1918" s="1055" t="s">
        <v>1360</v>
      </c>
      <c r="E1918" s="1055" t="s">
        <v>1361</v>
      </c>
      <c r="F1918" s="1056">
        <v>2292</v>
      </c>
      <c r="G1918" s="1056">
        <v>521</v>
      </c>
      <c r="H1918" s="1056">
        <v>0</v>
      </c>
      <c r="I1918" s="1056">
        <v>2813</v>
      </c>
      <c r="K1918" s="995">
        <f t="shared" si="29"/>
        <v>8</v>
      </c>
    </row>
    <row r="1919" spans="1:11">
      <c r="A1919" s="1054">
        <v>52051501</v>
      </c>
      <c r="B1919" s="1055" t="s">
        <v>893</v>
      </c>
      <c r="C1919" s="1055" t="s">
        <v>544</v>
      </c>
      <c r="D1919" s="1055" t="s">
        <v>1298</v>
      </c>
      <c r="E1919" s="1055" t="s">
        <v>987</v>
      </c>
      <c r="F1919" s="1056">
        <v>543</v>
      </c>
      <c r="G1919" s="1056">
        <v>688</v>
      </c>
      <c r="H1919" s="1056">
        <v>0</v>
      </c>
      <c r="I1919" s="1056">
        <v>1231</v>
      </c>
      <c r="K1919" s="995">
        <f t="shared" si="29"/>
        <v>8</v>
      </c>
    </row>
    <row r="1920" spans="1:11">
      <c r="A1920" s="1054">
        <v>52051501</v>
      </c>
      <c r="B1920" s="1055" t="s">
        <v>893</v>
      </c>
      <c r="C1920" s="1055" t="s">
        <v>544</v>
      </c>
      <c r="D1920" s="1055" t="s">
        <v>1397</v>
      </c>
      <c r="E1920" s="1055" t="s">
        <v>1398</v>
      </c>
      <c r="F1920" s="1056">
        <v>247</v>
      </c>
      <c r="G1920" s="1056">
        <v>0</v>
      </c>
      <c r="H1920" s="1056">
        <v>0</v>
      </c>
      <c r="I1920" s="1056">
        <v>247</v>
      </c>
      <c r="K1920" s="995">
        <f t="shared" si="29"/>
        <v>8</v>
      </c>
    </row>
    <row r="1921" spans="1:11">
      <c r="A1921" s="1054">
        <v>52051501</v>
      </c>
      <c r="B1921" s="1055" t="s">
        <v>893</v>
      </c>
      <c r="C1921" s="1055" t="s">
        <v>544</v>
      </c>
      <c r="D1921" s="1055" t="s">
        <v>1362</v>
      </c>
      <c r="E1921" s="1055" t="s">
        <v>1363</v>
      </c>
      <c r="F1921" s="1056">
        <v>1086</v>
      </c>
      <c r="G1921" s="1056">
        <v>19</v>
      </c>
      <c r="H1921" s="1056">
        <v>0</v>
      </c>
      <c r="I1921" s="1056">
        <v>1104</v>
      </c>
      <c r="K1921" s="995">
        <f t="shared" si="29"/>
        <v>8</v>
      </c>
    </row>
    <row r="1922" spans="1:11">
      <c r="A1922" s="1054">
        <v>52051501</v>
      </c>
      <c r="B1922" s="1055" t="s">
        <v>893</v>
      </c>
      <c r="C1922" s="1055" t="s">
        <v>544</v>
      </c>
      <c r="D1922" s="1055" t="s">
        <v>1364</v>
      </c>
      <c r="E1922" s="1055" t="s">
        <v>1365</v>
      </c>
      <c r="F1922" s="1056">
        <v>2459</v>
      </c>
      <c r="G1922" s="1056">
        <v>340</v>
      </c>
      <c r="H1922" s="1056">
        <v>0</v>
      </c>
      <c r="I1922" s="1056">
        <v>2799</v>
      </c>
      <c r="K1922" s="995">
        <f t="shared" si="29"/>
        <v>8</v>
      </c>
    </row>
    <row r="1923" spans="1:11">
      <c r="A1923" s="1054">
        <v>52051501</v>
      </c>
      <c r="B1923" s="1055" t="s">
        <v>893</v>
      </c>
      <c r="C1923" s="1055" t="s">
        <v>544</v>
      </c>
      <c r="D1923" s="1055" t="s">
        <v>1270</v>
      </c>
      <c r="E1923" s="1055" t="s">
        <v>988</v>
      </c>
      <c r="F1923" s="1056">
        <v>28</v>
      </c>
      <c r="G1923" s="1056">
        <v>0</v>
      </c>
      <c r="H1923" s="1056">
        <v>0</v>
      </c>
      <c r="I1923" s="1056">
        <v>28</v>
      </c>
      <c r="K1923" s="995">
        <f t="shared" si="29"/>
        <v>8</v>
      </c>
    </row>
    <row r="1924" spans="1:11">
      <c r="A1924" s="1054">
        <v>52051501</v>
      </c>
      <c r="B1924" s="1055" t="s">
        <v>893</v>
      </c>
      <c r="C1924" s="1055" t="s">
        <v>544</v>
      </c>
      <c r="D1924" s="1055" t="s">
        <v>1271</v>
      </c>
      <c r="E1924" s="1055" t="s">
        <v>782</v>
      </c>
      <c r="F1924" s="1056">
        <v>43</v>
      </c>
      <c r="G1924" s="1056">
        <v>47</v>
      </c>
      <c r="H1924" s="1056">
        <v>0</v>
      </c>
      <c r="I1924" s="1056">
        <v>90</v>
      </c>
      <c r="K1924" s="995">
        <f t="shared" si="29"/>
        <v>8</v>
      </c>
    </row>
    <row r="1925" spans="1:11">
      <c r="A1925" s="1054">
        <v>52051501</v>
      </c>
      <c r="B1925" s="1055" t="s">
        <v>893</v>
      </c>
      <c r="C1925" s="1055" t="s">
        <v>544</v>
      </c>
      <c r="D1925" s="1055" t="s">
        <v>1366</v>
      </c>
      <c r="E1925" s="1055" t="s">
        <v>1367</v>
      </c>
      <c r="F1925" s="1056">
        <v>1261</v>
      </c>
      <c r="G1925" s="1056">
        <v>324</v>
      </c>
      <c r="H1925" s="1056">
        <v>0</v>
      </c>
      <c r="I1925" s="1056">
        <v>1585</v>
      </c>
      <c r="K1925" s="995">
        <f t="shared" ref="K1925:K1988" si="30">+LEN(A1925)</f>
        <v>8</v>
      </c>
    </row>
    <row r="1926" spans="1:11">
      <c r="A1926" s="1054">
        <v>52051501</v>
      </c>
      <c r="B1926" s="1055" t="s">
        <v>893</v>
      </c>
      <c r="C1926" s="1055" t="s">
        <v>544</v>
      </c>
      <c r="D1926" s="1055" t="s">
        <v>1302</v>
      </c>
      <c r="E1926" s="1055" t="s">
        <v>986</v>
      </c>
      <c r="F1926" s="1056">
        <v>898</v>
      </c>
      <c r="G1926" s="1056">
        <v>82</v>
      </c>
      <c r="H1926" s="1056">
        <v>0</v>
      </c>
      <c r="I1926" s="1056">
        <v>980</v>
      </c>
      <c r="K1926" s="995">
        <f t="shared" si="30"/>
        <v>8</v>
      </c>
    </row>
    <row r="1927" spans="1:11">
      <c r="A1927" s="1054">
        <v>52051501</v>
      </c>
      <c r="B1927" s="1055" t="s">
        <v>893</v>
      </c>
      <c r="C1927" s="1055" t="s">
        <v>544</v>
      </c>
      <c r="D1927" s="1055" t="s">
        <v>1042</v>
      </c>
      <c r="E1927" s="1055" t="s">
        <v>1732</v>
      </c>
      <c r="F1927" s="1056">
        <v>2258</v>
      </c>
      <c r="G1927" s="1056">
        <v>0</v>
      </c>
      <c r="H1927" s="1056">
        <v>0</v>
      </c>
      <c r="I1927" s="1056">
        <v>2258</v>
      </c>
      <c r="K1927" s="995">
        <f t="shared" si="30"/>
        <v>8</v>
      </c>
    </row>
    <row r="1928" spans="1:11">
      <c r="A1928" s="1054">
        <v>52051501</v>
      </c>
      <c r="B1928" s="1055" t="s">
        <v>893</v>
      </c>
      <c r="C1928" s="1055" t="s">
        <v>544</v>
      </c>
      <c r="D1928" s="1055" t="s">
        <v>1611</v>
      </c>
      <c r="E1928" s="1055" t="s">
        <v>1612</v>
      </c>
      <c r="F1928" s="1056">
        <v>23</v>
      </c>
      <c r="G1928" s="1056">
        <v>0</v>
      </c>
      <c r="H1928" s="1056">
        <v>0</v>
      </c>
      <c r="I1928" s="1056">
        <v>23</v>
      </c>
      <c r="K1928" s="995">
        <f t="shared" si="30"/>
        <v>8</v>
      </c>
    </row>
    <row r="1929" spans="1:11">
      <c r="A1929" s="1054">
        <v>52051501</v>
      </c>
      <c r="B1929" s="1055" t="s">
        <v>893</v>
      </c>
      <c r="C1929" s="1055" t="s">
        <v>544</v>
      </c>
      <c r="D1929" s="1055" t="s">
        <v>1368</v>
      </c>
      <c r="E1929" s="1055" t="s">
        <v>1369</v>
      </c>
      <c r="F1929" s="1056">
        <v>321</v>
      </c>
      <c r="G1929" s="1056">
        <v>142</v>
      </c>
      <c r="H1929" s="1056">
        <v>0</v>
      </c>
      <c r="I1929" s="1056">
        <v>463</v>
      </c>
      <c r="K1929" s="995">
        <f t="shared" si="30"/>
        <v>8</v>
      </c>
    </row>
    <row r="1930" spans="1:11">
      <c r="A1930" s="1054">
        <v>52051501</v>
      </c>
      <c r="B1930" s="1055" t="s">
        <v>893</v>
      </c>
      <c r="C1930" s="1055" t="s">
        <v>544</v>
      </c>
      <c r="D1930" s="1055" t="s">
        <v>1320</v>
      </c>
      <c r="E1930" s="1055" t="s">
        <v>1321</v>
      </c>
      <c r="F1930" s="1056">
        <v>1135</v>
      </c>
      <c r="G1930" s="1056">
        <v>386</v>
      </c>
      <c r="H1930" s="1056">
        <v>0</v>
      </c>
      <c r="I1930" s="1056">
        <v>1521</v>
      </c>
      <c r="K1930" s="995">
        <f t="shared" si="30"/>
        <v>8</v>
      </c>
    </row>
    <row r="1931" spans="1:11">
      <c r="A1931" s="1054">
        <v>52051501</v>
      </c>
      <c r="B1931" s="1055" t="s">
        <v>893</v>
      </c>
      <c r="C1931" s="1055" t="s">
        <v>544</v>
      </c>
      <c r="D1931" s="1055" t="s">
        <v>1274</v>
      </c>
      <c r="E1931" s="1055" t="s">
        <v>989</v>
      </c>
      <c r="F1931" s="1056">
        <v>1194</v>
      </c>
      <c r="G1931" s="1056">
        <v>292</v>
      </c>
      <c r="H1931" s="1056">
        <v>0</v>
      </c>
      <c r="I1931" s="1056">
        <v>1485</v>
      </c>
      <c r="K1931" s="995">
        <f t="shared" si="30"/>
        <v>8</v>
      </c>
    </row>
    <row r="1932" spans="1:11">
      <c r="A1932" s="1054">
        <v>52051501</v>
      </c>
      <c r="B1932" s="1055" t="s">
        <v>893</v>
      </c>
      <c r="C1932" s="1055" t="s">
        <v>544</v>
      </c>
      <c r="D1932" s="1055" t="s">
        <v>1247</v>
      </c>
      <c r="E1932" s="1055" t="s">
        <v>1248</v>
      </c>
      <c r="F1932" s="1056">
        <v>2140</v>
      </c>
      <c r="G1932" s="1056">
        <v>739</v>
      </c>
      <c r="H1932" s="1056">
        <v>0</v>
      </c>
      <c r="I1932" s="1056">
        <v>2879</v>
      </c>
      <c r="K1932" s="995">
        <f t="shared" si="30"/>
        <v>8</v>
      </c>
    </row>
    <row r="1933" spans="1:11">
      <c r="A1933" s="1054">
        <v>52051501</v>
      </c>
      <c r="B1933" s="1055" t="s">
        <v>893</v>
      </c>
      <c r="C1933" s="1055" t="s">
        <v>544</v>
      </c>
      <c r="D1933" s="1055" t="s">
        <v>1387</v>
      </c>
      <c r="E1933" s="1055" t="s">
        <v>1388</v>
      </c>
      <c r="F1933" s="1056">
        <v>267</v>
      </c>
      <c r="G1933" s="1056">
        <v>0</v>
      </c>
      <c r="H1933" s="1056">
        <v>0</v>
      </c>
      <c r="I1933" s="1056">
        <v>267</v>
      </c>
      <c r="K1933" s="995">
        <f t="shared" si="30"/>
        <v>8</v>
      </c>
    </row>
    <row r="1934" spans="1:11">
      <c r="A1934" s="1054">
        <v>52051501</v>
      </c>
      <c r="B1934" s="1055" t="s">
        <v>893</v>
      </c>
      <c r="C1934" s="1055" t="s">
        <v>544</v>
      </c>
      <c r="D1934" s="1055" t="s">
        <v>1370</v>
      </c>
      <c r="E1934" s="1055" t="s">
        <v>1371</v>
      </c>
      <c r="F1934" s="1056">
        <v>322</v>
      </c>
      <c r="G1934" s="1056">
        <v>270</v>
      </c>
      <c r="H1934" s="1056">
        <v>0</v>
      </c>
      <c r="I1934" s="1056">
        <v>592</v>
      </c>
      <c r="K1934" s="995">
        <f t="shared" si="30"/>
        <v>8</v>
      </c>
    </row>
    <row r="1935" spans="1:11">
      <c r="A1935" s="1054">
        <v>52051501</v>
      </c>
      <c r="B1935" s="1055" t="s">
        <v>893</v>
      </c>
      <c r="C1935" s="1055" t="s">
        <v>544</v>
      </c>
      <c r="D1935" s="1055" t="s">
        <v>1870</v>
      </c>
      <c r="E1935" s="1055" t="s">
        <v>1871</v>
      </c>
      <c r="F1935" s="1056">
        <v>259</v>
      </c>
      <c r="G1935" s="1056">
        <v>359</v>
      </c>
      <c r="H1935" s="1056">
        <v>0</v>
      </c>
      <c r="I1935" s="1056">
        <v>618</v>
      </c>
      <c r="K1935" s="995">
        <f t="shared" si="30"/>
        <v>8</v>
      </c>
    </row>
    <row r="1936" spans="1:11">
      <c r="A1936" s="1054">
        <v>52051501</v>
      </c>
      <c r="B1936" s="1055" t="s">
        <v>893</v>
      </c>
      <c r="C1936" s="1055" t="s">
        <v>544</v>
      </c>
      <c r="D1936" s="1055" t="s">
        <v>1372</v>
      </c>
      <c r="E1936" s="1055" t="s">
        <v>1373</v>
      </c>
      <c r="F1936" s="1056">
        <v>1409</v>
      </c>
      <c r="G1936" s="1056">
        <v>278</v>
      </c>
      <c r="H1936" s="1056">
        <v>0</v>
      </c>
      <c r="I1936" s="1056">
        <v>1687</v>
      </c>
      <c r="K1936" s="995">
        <f t="shared" si="30"/>
        <v>8</v>
      </c>
    </row>
    <row r="1937" spans="1:11">
      <c r="A1937" s="1054">
        <v>52051501</v>
      </c>
      <c r="B1937" s="1055" t="s">
        <v>893</v>
      </c>
      <c r="C1937" s="1055" t="s">
        <v>544</v>
      </c>
      <c r="D1937" s="1055" t="s">
        <v>1785</v>
      </c>
      <c r="E1937" s="1055" t="s">
        <v>1786</v>
      </c>
      <c r="F1937" s="1056">
        <v>316</v>
      </c>
      <c r="G1937" s="1056">
        <v>190</v>
      </c>
      <c r="H1937" s="1056">
        <v>0</v>
      </c>
      <c r="I1937" s="1056">
        <v>507</v>
      </c>
      <c r="K1937" s="995">
        <f t="shared" si="30"/>
        <v>8</v>
      </c>
    </row>
    <row r="1938" spans="1:11">
      <c r="A1938" s="1054">
        <v>52051501</v>
      </c>
      <c r="B1938" s="1055" t="s">
        <v>893</v>
      </c>
      <c r="C1938" s="1055" t="s">
        <v>544</v>
      </c>
      <c r="D1938" s="1055" t="s">
        <v>1374</v>
      </c>
      <c r="E1938" s="1055" t="s">
        <v>1375</v>
      </c>
      <c r="F1938" s="1056">
        <v>83</v>
      </c>
      <c r="G1938" s="1056">
        <v>125</v>
      </c>
      <c r="H1938" s="1056">
        <v>0</v>
      </c>
      <c r="I1938" s="1056">
        <v>208</v>
      </c>
      <c r="K1938" s="995">
        <f t="shared" si="30"/>
        <v>8</v>
      </c>
    </row>
    <row r="1939" spans="1:11">
      <c r="A1939" s="1054">
        <v>52051501</v>
      </c>
      <c r="B1939" s="1055" t="s">
        <v>893</v>
      </c>
      <c r="C1939" s="1055" t="s">
        <v>544</v>
      </c>
      <c r="D1939" s="1055" t="s">
        <v>1389</v>
      </c>
      <c r="E1939" s="1055" t="s">
        <v>1390</v>
      </c>
      <c r="F1939" s="1056">
        <v>599</v>
      </c>
      <c r="G1939" s="1056">
        <v>0</v>
      </c>
      <c r="H1939" s="1056">
        <v>0</v>
      </c>
      <c r="I1939" s="1056">
        <v>599</v>
      </c>
      <c r="K1939" s="995">
        <f t="shared" si="30"/>
        <v>8</v>
      </c>
    </row>
    <row r="1940" spans="1:11">
      <c r="A1940" s="1054">
        <v>52051501</v>
      </c>
      <c r="B1940" s="1055" t="s">
        <v>893</v>
      </c>
      <c r="C1940" s="1055" t="s">
        <v>544</v>
      </c>
      <c r="D1940" s="1055" t="s">
        <v>1249</v>
      </c>
      <c r="E1940" s="1055" t="s">
        <v>583</v>
      </c>
      <c r="F1940" s="1056">
        <v>5966</v>
      </c>
      <c r="G1940" s="1056">
        <v>1169</v>
      </c>
      <c r="H1940" s="1056">
        <v>0</v>
      </c>
      <c r="I1940" s="1056">
        <v>7135</v>
      </c>
      <c r="K1940" s="995">
        <f t="shared" si="30"/>
        <v>8</v>
      </c>
    </row>
    <row r="1941" spans="1:11">
      <c r="A1941" s="1054">
        <v>52051501</v>
      </c>
      <c r="B1941" s="1055" t="s">
        <v>893</v>
      </c>
      <c r="C1941" s="1055" t="s">
        <v>544</v>
      </c>
      <c r="D1941" s="1055" t="s">
        <v>1376</v>
      </c>
      <c r="E1941" s="1055" t="s">
        <v>1377</v>
      </c>
      <c r="F1941" s="1056">
        <v>1584</v>
      </c>
      <c r="G1941" s="1056">
        <v>495</v>
      </c>
      <c r="H1941" s="1056">
        <v>0</v>
      </c>
      <c r="I1941" s="1056">
        <v>2080</v>
      </c>
      <c r="K1941" s="995">
        <f t="shared" si="30"/>
        <v>8</v>
      </c>
    </row>
    <row r="1942" spans="1:11">
      <c r="A1942" s="1054">
        <v>52051501</v>
      </c>
      <c r="B1942" s="1055" t="s">
        <v>893</v>
      </c>
      <c r="C1942" s="1055" t="s">
        <v>544</v>
      </c>
      <c r="D1942" s="1055" t="s">
        <v>1613</v>
      </c>
      <c r="E1942" s="1055" t="s">
        <v>1614</v>
      </c>
      <c r="F1942" s="1056">
        <v>204</v>
      </c>
      <c r="G1942" s="1056">
        <v>51</v>
      </c>
      <c r="H1942" s="1056">
        <v>0</v>
      </c>
      <c r="I1942" s="1056">
        <v>255</v>
      </c>
      <c r="K1942" s="995">
        <f t="shared" si="30"/>
        <v>8</v>
      </c>
    </row>
    <row r="1943" spans="1:11">
      <c r="A1943" s="1054">
        <v>52051501</v>
      </c>
      <c r="B1943" s="1055" t="s">
        <v>893</v>
      </c>
      <c r="C1943" s="1055" t="s">
        <v>544</v>
      </c>
      <c r="D1943" s="1055" t="s">
        <v>1305</v>
      </c>
      <c r="E1943" s="1055" t="s">
        <v>990</v>
      </c>
      <c r="F1943" s="1056">
        <v>1854</v>
      </c>
      <c r="G1943" s="1056">
        <v>209</v>
      </c>
      <c r="H1943" s="1056">
        <v>0</v>
      </c>
      <c r="I1943" s="1056">
        <v>2062</v>
      </c>
      <c r="K1943" s="995">
        <f t="shared" si="30"/>
        <v>8</v>
      </c>
    </row>
    <row r="1944" spans="1:11">
      <c r="A1944" s="1054">
        <v>52051501</v>
      </c>
      <c r="B1944" s="1055" t="s">
        <v>893</v>
      </c>
      <c r="C1944" s="1055" t="s">
        <v>544</v>
      </c>
      <c r="D1944" s="1055" t="s">
        <v>1306</v>
      </c>
      <c r="E1944" s="1055" t="s">
        <v>997</v>
      </c>
      <c r="F1944" s="1056">
        <v>2037</v>
      </c>
      <c r="G1944" s="1056">
        <v>663</v>
      </c>
      <c r="H1944" s="1056">
        <v>0</v>
      </c>
      <c r="I1944" s="1056">
        <v>2700</v>
      </c>
      <c r="K1944" s="995">
        <f t="shared" si="30"/>
        <v>8</v>
      </c>
    </row>
    <row r="1945" spans="1:11">
      <c r="A1945" s="1054">
        <v>52051501</v>
      </c>
      <c r="B1945" s="1055" t="s">
        <v>893</v>
      </c>
      <c r="C1945" s="1055" t="s">
        <v>544</v>
      </c>
      <c r="D1945" s="1055" t="s">
        <v>1322</v>
      </c>
      <c r="E1945" s="1055" t="s">
        <v>1323</v>
      </c>
      <c r="F1945" s="1056">
        <v>437</v>
      </c>
      <c r="G1945" s="1056">
        <v>0</v>
      </c>
      <c r="H1945" s="1056">
        <v>0</v>
      </c>
      <c r="I1945" s="1056">
        <v>437</v>
      </c>
      <c r="K1945" s="995">
        <f t="shared" si="30"/>
        <v>8</v>
      </c>
    </row>
    <row r="1946" spans="1:11">
      <c r="A1946" s="1054">
        <v>52051501</v>
      </c>
      <c r="B1946" s="1055" t="s">
        <v>893</v>
      </c>
      <c r="C1946" s="1055" t="s">
        <v>544</v>
      </c>
      <c r="D1946" s="1055" t="s">
        <v>1250</v>
      </c>
      <c r="E1946" s="1055" t="s">
        <v>1251</v>
      </c>
      <c r="F1946" s="1056">
        <v>2201</v>
      </c>
      <c r="G1946" s="1056">
        <v>337</v>
      </c>
      <c r="H1946" s="1056">
        <v>0</v>
      </c>
      <c r="I1946" s="1056">
        <v>2538</v>
      </c>
      <c r="K1946" s="995">
        <f t="shared" si="30"/>
        <v>8</v>
      </c>
    </row>
    <row r="1947" spans="1:11">
      <c r="A1947" s="1054">
        <v>52051501</v>
      </c>
      <c r="B1947" s="1055" t="s">
        <v>893</v>
      </c>
      <c r="C1947" s="1055" t="s">
        <v>544</v>
      </c>
      <c r="D1947" s="1055" t="s">
        <v>1787</v>
      </c>
      <c r="E1947" s="1055" t="s">
        <v>1788</v>
      </c>
      <c r="F1947" s="1056">
        <v>442</v>
      </c>
      <c r="G1947" s="1056">
        <v>549</v>
      </c>
      <c r="H1947" s="1056">
        <v>0</v>
      </c>
      <c r="I1947" s="1056">
        <v>991</v>
      </c>
      <c r="K1947" s="995">
        <f t="shared" si="30"/>
        <v>8</v>
      </c>
    </row>
    <row r="1948" spans="1:11">
      <c r="A1948" s="1054">
        <v>52051501</v>
      </c>
      <c r="B1948" s="1055" t="s">
        <v>893</v>
      </c>
      <c r="C1948" s="1055" t="s">
        <v>544</v>
      </c>
      <c r="D1948" s="1055" t="s">
        <v>1378</v>
      </c>
      <c r="E1948" s="1055" t="s">
        <v>1379</v>
      </c>
      <c r="F1948" s="1056">
        <v>1571</v>
      </c>
      <c r="G1948" s="1056">
        <v>0</v>
      </c>
      <c r="H1948" s="1056">
        <v>0</v>
      </c>
      <c r="I1948" s="1056">
        <v>1571</v>
      </c>
      <c r="K1948" s="995">
        <f t="shared" si="30"/>
        <v>8</v>
      </c>
    </row>
    <row r="1949" spans="1:11">
      <c r="A1949" s="1054">
        <v>52051501</v>
      </c>
      <c r="B1949" s="1055" t="s">
        <v>893</v>
      </c>
      <c r="C1949" s="1055" t="s">
        <v>544</v>
      </c>
      <c r="D1949" s="1055" t="s">
        <v>1393</v>
      </c>
      <c r="E1949" s="1055" t="s">
        <v>1394</v>
      </c>
      <c r="F1949" s="1056">
        <v>70</v>
      </c>
      <c r="G1949" s="1056">
        <v>0</v>
      </c>
      <c r="H1949" s="1056">
        <v>0</v>
      </c>
      <c r="I1949" s="1056">
        <v>70</v>
      </c>
      <c r="K1949" s="995">
        <f t="shared" si="30"/>
        <v>8</v>
      </c>
    </row>
    <row r="1950" spans="1:11">
      <c r="A1950" s="1054">
        <v>52051501</v>
      </c>
      <c r="B1950" s="1055" t="s">
        <v>893</v>
      </c>
      <c r="C1950" s="1055" t="s">
        <v>544</v>
      </c>
      <c r="D1950" s="1055" t="s">
        <v>1303</v>
      </c>
      <c r="E1950" s="1055" t="s">
        <v>806</v>
      </c>
      <c r="F1950" s="1056">
        <v>1059</v>
      </c>
      <c r="G1950" s="1056">
        <v>94</v>
      </c>
      <c r="H1950" s="1056">
        <v>0</v>
      </c>
      <c r="I1950" s="1056">
        <v>1153</v>
      </c>
      <c r="K1950" s="995">
        <f t="shared" si="30"/>
        <v>8</v>
      </c>
    </row>
    <row r="1951" spans="1:11">
      <c r="A1951" s="1054">
        <v>52051501</v>
      </c>
      <c r="B1951" s="1055" t="s">
        <v>893</v>
      </c>
      <c r="C1951" s="1055" t="s">
        <v>544</v>
      </c>
      <c r="D1951" s="1055" t="s">
        <v>1605</v>
      </c>
      <c r="E1951" s="1055" t="s">
        <v>1606</v>
      </c>
      <c r="F1951" s="1056">
        <v>1545</v>
      </c>
      <c r="G1951" s="1056">
        <v>778</v>
      </c>
      <c r="H1951" s="1056">
        <v>0</v>
      </c>
      <c r="I1951" s="1056">
        <v>2323</v>
      </c>
      <c r="K1951" s="995">
        <f t="shared" si="30"/>
        <v>8</v>
      </c>
    </row>
    <row r="1952" spans="1:11">
      <c r="A1952" s="1054">
        <v>52051501</v>
      </c>
      <c r="B1952" s="1055" t="s">
        <v>893</v>
      </c>
      <c r="C1952" s="1055" t="s">
        <v>544</v>
      </c>
      <c r="D1952" s="1055" t="s">
        <v>1789</v>
      </c>
      <c r="E1952" s="1055" t="s">
        <v>1790</v>
      </c>
      <c r="F1952" s="1056">
        <v>474</v>
      </c>
      <c r="G1952" s="1056">
        <v>229</v>
      </c>
      <c r="H1952" s="1056">
        <v>0</v>
      </c>
      <c r="I1952" s="1056">
        <v>703</v>
      </c>
      <c r="K1952" s="995">
        <f t="shared" si="30"/>
        <v>8</v>
      </c>
    </row>
    <row r="1953" spans="1:11">
      <c r="A1953" s="1054">
        <v>52051501</v>
      </c>
      <c r="B1953" s="1055" t="s">
        <v>893</v>
      </c>
      <c r="C1953" s="1055" t="s">
        <v>544</v>
      </c>
      <c r="D1953" s="1055" t="s">
        <v>1254</v>
      </c>
      <c r="E1953" s="1055" t="s">
        <v>744</v>
      </c>
      <c r="F1953" s="1056">
        <v>1658</v>
      </c>
      <c r="G1953" s="1056">
        <v>489</v>
      </c>
      <c r="H1953" s="1056">
        <v>0</v>
      </c>
      <c r="I1953" s="1056">
        <v>2147</v>
      </c>
      <c r="K1953" s="995">
        <f t="shared" si="30"/>
        <v>8</v>
      </c>
    </row>
    <row r="1954" spans="1:11">
      <c r="A1954" s="1054">
        <v>52051501</v>
      </c>
      <c r="B1954" s="1055" t="s">
        <v>893</v>
      </c>
      <c r="C1954" s="1055" t="s">
        <v>544</v>
      </c>
      <c r="D1954" s="1055" t="s">
        <v>1275</v>
      </c>
      <c r="E1954" s="1055" t="s">
        <v>991</v>
      </c>
      <c r="F1954" s="1056">
        <v>1273</v>
      </c>
      <c r="G1954" s="1056">
        <v>386</v>
      </c>
      <c r="H1954" s="1056">
        <v>0</v>
      </c>
      <c r="I1954" s="1056">
        <v>1659</v>
      </c>
      <c r="K1954" s="995">
        <f t="shared" si="30"/>
        <v>8</v>
      </c>
    </row>
    <row r="1955" spans="1:11">
      <c r="A1955" s="1054">
        <v>52051501</v>
      </c>
      <c r="B1955" s="1055" t="s">
        <v>893</v>
      </c>
      <c r="C1955" s="1055" t="s">
        <v>544</v>
      </c>
      <c r="D1955" s="1055" t="s">
        <v>1044</v>
      </c>
      <c r="E1955" s="1055" t="s">
        <v>1045</v>
      </c>
      <c r="F1955" s="1056">
        <v>0</v>
      </c>
      <c r="G1955" s="1056">
        <v>240</v>
      </c>
      <c r="H1955" s="1056">
        <v>0</v>
      </c>
      <c r="I1955" s="1056">
        <v>240</v>
      </c>
      <c r="K1955" s="995">
        <f t="shared" si="30"/>
        <v>8</v>
      </c>
    </row>
    <row r="1956" spans="1:11">
      <c r="A1956" s="1054">
        <v>52051501</v>
      </c>
      <c r="B1956" s="1055" t="s">
        <v>893</v>
      </c>
      <c r="C1956" s="1055" t="s">
        <v>544</v>
      </c>
      <c r="D1956" s="1055" t="s">
        <v>1395</v>
      </c>
      <c r="E1956" s="1055" t="s">
        <v>1396</v>
      </c>
      <c r="F1956" s="1056">
        <v>511</v>
      </c>
      <c r="G1956" s="1056">
        <v>0</v>
      </c>
      <c r="H1956" s="1056">
        <v>0</v>
      </c>
      <c r="I1956" s="1056">
        <v>511</v>
      </c>
      <c r="K1956" s="995">
        <f t="shared" si="30"/>
        <v>8</v>
      </c>
    </row>
    <row r="1957" spans="1:11">
      <c r="A1957" s="1054">
        <v>52051501</v>
      </c>
      <c r="B1957" s="1055" t="s">
        <v>893</v>
      </c>
      <c r="C1957" s="1055" t="s">
        <v>544</v>
      </c>
      <c r="D1957" s="1055" t="s">
        <v>1382</v>
      </c>
      <c r="E1957" s="1055" t="s">
        <v>1763</v>
      </c>
      <c r="F1957" s="1056">
        <v>113</v>
      </c>
      <c r="G1957" s="1056">
        <v>0</v>
      </c>
      <c r="H1957" s="1056">
        <v>0</v>
      </c>
      <c r="I1957" s="1056">
        <v>113</v>
      </c>
      <c r="K1957" s="995">
        <f t="shared" si="30"/>
        <v>8</v>
      </c>
    </row>
    <row r="1958" spans="1:11">
      <c r="A1958" s="1054">
        <v>52051501</v>
      </c>
      <c r="B1958" s="1055" t="s">
        <v>893</v>
      </c>
      <c r="C1958" s="1055" t="s">
        <v>544</v>
      </c>
      <c r="D1958" s="1055" t="s">
        <v>1383</v>
      </c>
      <c r="E1958" s="1055" t="s">
        <v>1384</v>
      </c>
      <c r="F1958" s="1056">
        <v>957</v>
      </c>
      <c r="G1958" s="1056">
        <v>178</v>
      </c>
      <c r="H1958" s="1056">
        <v>0</v>
      </c>
      <c r="I1958" s="1056">
        <v>1135</v>
      </c>
      <c r="K1958" s="995">
        <f t="shared" si="30"/>
        <v>8</v>
      </c>
    </row>
    <row r="1959" spans="1:11">
      <c r="A1959" s="1054">
        <v>520524</v>
      </c>
      <c r="B1959" s="1055" t="s">
        <v>893</v>
      </c>
      <c r="C1959" s="1055" t="s">
        <v>372</v>
      </c>
      <c r="D1959" s="1055" t="s">
        <v>893</v>
      </c>
      <c r="E1959" s="1055" t="s">
        <v>893</v>
      </c>
      <c r="F1959" s="1056">
        <v>2621</v>
      </c>
      <c r="G1959" s="1056">
        <v>348</v>
      </c>
      <c r="H1959" s="1056">
        <v>0</v>
      </c>
      <c r="I1959" s="1056">
        <v>2969</v>
      </c>
      <c r="K1959" s="995">
        <f t="shared" si="30"/>
        <v>6</v>
      </c>
    </row>
    <row r="1960" spans="1:11">
      <c r="A1960" s="1054">
        <v>52052401</v>
      </c>
      <c r="B1960" s="1055" t="s">
        <v>893</v>
      </c>
      <c r="C1960" s="1055" t="s">
        <v>372</v>
      </c>
      <c r="D1960" s="1055" t="s">
        <v>893</v>
      </c>
      <c r="E1960" s="1055" t="s">
        <v>893</v>
      </c>
      <c r="F1960" s="1056">
        <v>2621</v>
      </c>
      <c r="G1960" s="1056">
        <v>348</v>
      </c>
      <c r="H1960" s="1056">
        <v>0</v>
      </c>
      <c r="I1960" s="1056">
        <v>2969</v>
      </c>
      <c r="K1960" s="995">
        <f t="shared" si="30"/>
        <v>8</v>
      </c>
    </row>
    <row r="1961" spans="1:11">
      <c r="A1961" s="1054">
        <v>52052401</v>
      </c>
      <c r="B1961" s="1055" t="s">
        <v>893</v>
      </c>
      <c r="C1961" s="1055" t="s">
        <v>372</v>
      </c>
      <c r="D1961" s="1055" t="s">
        <v>1366</v>
      </c>
      <c r="E1961" s="1055" t="s">
        <v>1367</v>
      </c>
      <c r="F1961" s="1056">
        <v>285</v>
      </c>
      <c r="G1961" s="1056">
        <v>95</v>
      </c>
      <c r="H1961" s="1056">
        <v>0</v>
      </c>
      <c r="I1961" s="1056">
        <v>380</v>
      </c>
      <c r="K1961" s="995">
        <f t="shared" si="30"/>
        <v>8</v>
      </c>
    </row>
    <row r="1962" spans="1:11">
      <c r="A1962" s="1054">
        <v>52052401</v>
      </c>
      <c r="B1962" s="1055" t="s">
        <v>893</v>
      </c>
      <c r="C1962" s="1055" t="s">
        <v>372</v>
      </c>
      <c r="D1962" s="1055" t="s">
        <v>1042</v>
      </c>
      <c r="E1962" s="1055" t="s">
        <v>1732</v>
      </c>
      <c r="F1962" s="1056">
        <v>285</v>
      </c>
      <c r="G1962" s="1056">
        <v>0</v>
      </c>
      <c r="H1962" s="1056">
        <v>0</v>
      </c>
      <c r="I1962" s="1056">
        <v>285</v>
      </c>
      <c r="K1962" s="995">
        <f t="shared" si="30"/>
        <v>8</v>
      </c>
    </row>
    <row r="1963" spans="1:11">
      <c r="A1963" s="1054">
        <v>52052401</v>
      </c>
      <c r="B1963" s="1055" t="s">
        <v>893</v>
      </c>
      <c r="C1963" s="1055" t="s">
        <v>372</v>
      </c>
      <c r="D1963" s="1055" t="s">
        <v>1320</v>
      </c>
      <c r="E1963" s="1055" t="s">
        <v>1321</v>
      </c>
      <c r="F1963" s="1056">
        <v>807</v>
      </c>
      <c r="G1963" s="1056">
        <v>0</v>
      </c>
      <c r="H1963" s="1056">
        <v>0</v>
      </c>
      <c r="I1963" s="1056">
        <v>807</v>
      </c>
      <c r="K1963" s="995">
        <f t="shared" si="30"/>
        <v>8</v>
      </c>
    </row>
    <row r="1964" spans="1:11">
      <c r="A1964" s="1054">
        <v>52052401</v>
      </c>
      <c r="B1964" s="1055" t="s">
        <v>893</v>
      </c>
      <c r="C1964" s="1055" t="s">
        <v>372</v>
      </c>
      <c r="D1964" s="1055" t="s">
        <v>1785</v>
      </c>
      <c r="E1964" s="1055" t="s">
        <v>1786</v>
      </c>
      <c r="F1964" s="1056">
        <v>0</v>
      </c>
      <c r="G1964" s="1056">
        <v>63</v>
      </c>
      <c r="H1964" s="1056">
        <v>0</v>
      </c>
      <c r="I1964" s="1056">
        <v>63</v>
      </c>
      <c r="K1964" s="995">
        <f t="shared" si="30"/>
        <v>8</v>
      </c>
    </row>
    <row r="1965" spans="1:11">
      <c r="A1965" s="1054">
        <v>52052401</v>
      </c>
      <c r="B1965" s="1055" t="s">
        <v>893</v>
      </c>
      <c r="C1965" s="1055" t="s">
        <v>372</v>
      </c>
      <c r="D1965" s="1055" t="s">
        <v>1305</v>
      </c>
      <c r="E1965" s="1055" t="s">
        <v>990</v>
      </c>
      <c r="F1965" s="1056">
        <v>285</v>
      </c>
      <c r="G1965" s="1056">
        <v>95</v>
      </c>
      <c r="H1965" s="1056">
        <v>0</v>
      </c>
      <c r="I1965" s="1056">
        <v>380</v>
      </c>
      <c r="K1965" s="995">
        <f t="shared" si="30"/>
        <v>8</v>
      </c>
    </row>
    <row r="1966" spans="1:11">
      <c r="A1966" s="1054">
        <v>52052401</v>
      </c>
      <c r="B1966" s="1055" t="s">
        <v>893</v>
      </c>
      <c r="C1966" s="1055" t="s">
        <v>372</v>
      </c>
      <c r="D1966" s="1055" t="s">
        <v>1322</v>
      </c>
      <c r="E1966" s="1055" t="s">
        <v>1323</v>
      </c>
      <c r="F1966" s="1056">
        <v>237</v>
      </c>
      <c r="G1966" s="1056">
        <v>0</v>
      </c>
      <c r="H1966" s="1056">
        <v>0</v>
      </c>
      <c r="I1966" s="1056">
        <v>237</v>
      </c>
      <c r="K1966" s="995">
        <f t="shared" si="30"/>
        <v>8</v>
      </c>
    </row>
    <row r="1967" spans="1:11">
      <c r="A1967" s="1054">
        <v>52052401</v>
      </c>
      <c r="B1967" s="1055" t="s">
        <v>893</v>
      </c>
      <c r="C1967" s="1055" t="s">
        <v>372</v>
      </c>
      <c r="D1967" s="1055" t="s">
        <v>1787</v>
      </c>
      <c r="E1967" s="1055" t="s">
        <v>1788</v>
      </c>
      <c r="F1967" s="1056">
        <v>95</v>
      </c>
      <c r="G1967" s="1056">
        <v>0</v>
      </c>
      <c r="H1967" s="1056">
        <v>0</v>
      </c>
      <c r="I1967" s="1056">
        <v>95</v>
      </c>
      <c r="K1967" s="995">
        <f t="shared" si="30"/>
        <v>8</v>
      </c>
    </row>
    <row r="1968" spans="1:11">
      <c r="A1968" s="1054">
        <v>52052401</v>
      </c>
      <c r="B1968" s="1055" t="s">
        <v>893</v>
      </c>
      <c r="C1968" s="1055" t="s">
        <v>372</v>
      </c>
      <c r="D1968" s="1055" t="s">
        <v>1605</v>
      </c>
      <c r="E1968" s="1055" t="s">
        <v>1606</v>
      </c>
      <c r="F1968" s="1056">
        <v>95</v>
      </c>
      <c r="G1968" s="1056">
        <v>0</v>
      </c>
      <c r="H1968" s="1056">
        <v>0</v>
      </c>
      <c r="I1968" s="1056">
        <v>95</v>
      </c>
      <c r="K1968" s="995">
        <f t="shared" si="30"/>
        <v>8</v>
      </c>
    </row>
    <row r="1969" spans="1:11">
      <c r="A1969" s="1054">
        <v>52052401</v>
      </c>
      <c r="B1969" s="1055" t="s">
        <v>893</v>
      </c>
      <c r="C1969" s="1055" t="s">
        <v>372</v>
      </c>
      <c r="D1969" s="1055" t="s">
        <v>1789</v>
      </c>
      <c r="E1969" s="1055" t="s">
        <v>1790</v>
      </c>
      <c r="F1969" s="1056">
        <v>0</v>
      </c>
      <c r="G1969" s="1056">
        <v>95</v>
      </c>
      <c r="H1969" s="1056">
        <v>0</v>
      </c>
      <c r="I1969" s="1056">
        <v>95</v>
      </c>
      <c r="K1969" s="995">
        <f t="shared" si="30"/>
        <v>8</v>
      </c>
    </row>
    <row r="1970" spans="1:11">
      <c r="A1970" s="1054">
        <v>52052401</v>
      </c>
      <c r="B1970" s="1055" t="s">
        <v>893</v>
      </c>
      <c r="C1970" s="1055" t="s">
        <v>372</v>
      </c>
      <c r="D1970" s="1055" t="s">
        <v>1254</v>
      </c>
      <c r="E1970" s="1055" t="s">
        <v>744</v>
      </c>
      <c r="F1970" s="1056">
        <v>95</v>
      </c>
      <c r="G1970" s="1056">
        <v>0</v>
      </c>
      <c r="H1970" s="1056">
        <v>0</v>
      </c>
      <c r="I1970" s="1056">
        <v>95</v>
      </c>
      <c r="K1970" s="995">
        <f t="shared" si="30"/>
        <v>8</v>
      </c>
    </row>
    <row r="1971" spans="1:11">
      <c r="A1971" s="1054">
        <v>52052401</v>
      </c>
      <c r="B1971" s="1055" t="s">
        <v>893</v>
      </c>
      <c r="C1971" s="1055" t="s">
        <v>372</v>
      </c>
      <c r="D1971" s="1055" t="s">
        <v>1044</v>
      </c>
      <c r="E1971" s="1055" t="s">
        <v>1045</v>
      </c>
      <c r="F1971" s="1056">
        <v>343</v>
      </c>
      <c r="G1971" s="1056">
        <v>0</v>
      </c>
      <c r="H1971" s="1056">
        <v>0</v>
      </c>
      <c r="I1971" s="1056">
        <v>343</v>
      </c>
      <c r="K1971" s="995">
        <f t="shared" si="30"/>
        <v>8</v>
      </c>
    </row>
    <row r="1972" spans="1:11">
      <c r="A1972" s="1054">
        <v>52052401</v>
      </c>
      <c r="B1972" s="1055" t="s">
        <v>893</v>
      </c>
      <c r="C1972" s="1055" t="s">
        <v>372</v>
      </c>
      <c r="D1972" s="1055" t="s">
        <v>1395</v>
      </c>
      <c r="E1972" s="1055" t="s">
        <v>1396</v>
      </c>
      <c r="F1972" s="1056">
        <v>95</v>
      </c>
      <c r="G1972" s="1056">
        <v>0</v>
      </c>
      <c r="H1972" s="1056">
        <v>0</v>
      </c>
      <c r="I1972" s="1056">
        <v>95</v>
      </c>
      <c r="K1972" s="995">
        <f t="shared" si="30"/>
        <v>8</v>
      </c>
    </row>
    <row r="1973" spans="1:11">
      <c r="A1973" s="1054">
        <v>520527</v>
      </c>
      <c r="B1973" s="1055" t="s">
        <v>893</v>
      </c>
      <c r="C1973" s="1055" t="s">
        <v>382</v>
      </c>
      <c r="D1973" s="1055" t="s">
        <v>893</v>
      </c>
      <c r="E1973" s="1055" t="s">
        <v>893</v>
      </c>
      <c r="F1973" s="1056">
        <v>27093</v>
      </c>
      <c r="G1973" s="1056">
        <v>5980</v>
      </c>
      <c r="H1973" s="1056">
        <v>0</v>
      </c>
      <c r="I1973" s="1056">
        <v>33073</v>
      </c>
      <c r="K1973" s="995">
        <f t="shared" si="30"/>
        <v>6</v>
      </c>
    </row>
    <row r="1974" spans="1:11">
      <c r="A1974" s="1054">
        <v>52052701</v>
      </c>
      <c r="B1974" s="1055" t="s">
        <v>893</v>
      </c>
      <c r="C1974" s="1055" t="s">
        <v>382</v>
      </c>
      <c r="D1974" s="1055" t="s">
        <v>893</v>
      </c>
      <c r="E1974" s="1055" t="s">
        <v>893</v>
      </c>
      <c r="F1974" s="1056">
        <v>27093</v>
      </c>
      <c r="G1974" s="1056">
        <v>5980</v>
      </c>
      <c r="H1974" s="1056">
        <v>0</v>
      </c>
      <c r="I1974" s="1056">
        <v>33073</v>
      </c>
      <c r="K1974" s="995">
        <f t="shared" si="30"/>
        <v>8</v>
      </c>
    </row>
    <row r="1975" spans="1:11">
      <c r="A1975" s="1054">
        <v>52052701</v>
      </c>
      <c r="B1975" s="1055" t="s">
        <v>893</v>
      </c>
      <c r="C1975" s="1055" t="s">
        <v>382</v>
      </c>
      <c r="D1975" s="1055" t="s">
        <v>1360</v>
      </c>
      <c r="E1975" s="1055" t="s">
        <v>1361</v>
      </c>
      <c r="F1975" s="1056">
        <v>1000</v>
      </c>
      <c r="G1975" s="1056">
        <v>200</v>
      </c>
      <c r="H1975" s="1056">
        <v>0</v>
      </c>
      <c r="I1975" s="1056">
        <v>1200</v>
      </c>
      <c r="K1975" s="995">
        <f t="shared" si="30"/>
        <v>8</v>
      </c>
    </row>
    <row r="1976" spans="1:11">
      <c r="A1976" s="1054">
        <v>52052701</v>
      </c>
      <c r="B1976" s="1055" t="s">
        <v>893</v>
      </c>
      <c r="C1976" s="1055" t="s">
        <v>382</v>
      </c>
      <c r="D1976" s="1055" t="s">
        <v>1298</v>
      </c>
      <c r="E1976" s="1055" t="s">
        <v>987</v>
      </c>
      <c r="F1976" s="1056">
        <v>200</v>
      </c>
      <c r="G1976" s="1056">
        <v>200</v>
      </c>
      <c r="H1976" s="1056">
        <v>0</v>
      </c>
      <c r="I1976" s="1056">
        <v>400</v>
      </c>
      <c r="K1976" s="995">
        <f t="shared" si="30"/>
        <v>8</v>
      </c>
    </row>
    <row r="1977" spans="1:11">
      <c r="A1977" s="1054">
        <v>52052701</v>
      </c>
      <c r="B1977" s="1055" t="s">
        <v>893</v>
      </c>
      <c r="C1977" s="1055" t="s">
        <v>382</v>
      </c>
      <c r="D1977" s="1055" t="s">
        <v>1397</v>
      </c>
      <c r="E1977" s="1055" t="s">
        <v>1398</v>
      </c>
      <c r="F1977" s="1056">
        <v>107</v>
      </c>
      <c r="G1977" s="1056">
        <v>0</v>
      </c>
      <c r="H1977" s="1056">
        <v>0</v>
      </c>
      <c r="I1977" s="1056">
        <v>107</v>
      </c>
      <c r="K1977" s="995">
        <f t="shared" si="30"/>
        <v>8</v>
      </c>
    </row>
    <row r="1978" spans="1:11">
      <c r="A1978" s="1054">
        <v>52052701</v>
      </c>
      <c r="B1978" s="1055" t="s">
        <v>893</v>
      </c>
      <c r="C1978" s="1055" t="s">
        <v>382</v>
      </c>
      <c r="D1978" s="1055" t="s">
        <v>1362</v>
      </c>
      <c r="E1978" s="1055" t="s">
        <v>1363</v>
      </c>
      <c r="F1978" s="1056">
        <v>993</v>
      </c>
      <c r="G1978" s="1056">
        <v>200</v>
      </c>
      <c r="H1978" s="1056">
        <v>0</v>
      </c>
      <c r="I1978" s="1056">
        <v>1193</v>
      </c>
      <c r="K1978" s="995">
        <f t="shared" si="30"/>
        <v>8</v>
      </c>
    </row>
    <row r="1979" spans="1:11">
      <c r="A1979" s="1054">
        <v>52052701</v>
      </c>
      <c r="B1979" s="1055" t="s">
        <v>893</v>
      </c>
      <c r="C1979" s="1055" t="s">
        <v>382</v>
      </c>
      <c r="D1979" s="1055" t="s">
        <v>1364</v>
      </c>
      <c r="E1979" s="1055" t="s">
        <v>1365</v>
      </c>
      <c r="F1979" s="1056">
        <v>993</v>
      </c>
      <c r="G1979" s="1056">
        <v>187</v>
      </c>
      <c r="H1979" s="1056">
        <v>0</v>
      </c>
      <c r="I1979" s="1056">
        <v>1180</v>
      </c>
      <c r="K1979" s="995">
        <f t="shared" si="30"/>
        <v>8</v>
      </c>
    </row>
    <row r="1980" spans="1:11">
      <c r="A1980" s="1054">
        <v>52052701</v>
      </c>
      <c r="B1980" s="1055" t="s">
        <v>893</v>
      </c>
      <c r="C1980" s="1055" t="s">
        <v>382</v>
      </c>
      <c r="D1980" s="1055" t="s">
        <v>1270</v>
      </c>
      <c r="E1980" s="1055" t="s">
        <v>988</v>
      </c>
      <c r="F1980" s="1056">
        <v>873</v>
      </c>
      <c r="G1980" s="1056">
        <v>200</v>
      </c>
      <c r="H1980" s="1056">
        <v>0</v>
      </c>
      <c r="I1980" s="1056">
        <v>1073</v>
      </c>
      <c r="K1980" s="995">
        <f t="shared" si="30"/>
        <v>8</v>
      </c>
    </row>
    <row r="1981" spans="1:11">
      <c r="A1981" s="1054">
        <v>52052701</v>
      </c>
      <c r="B1981" s="1055" t="s">
        <v>893</v>
      </c>
      <c r="C1981" s="1055" t="s">
        <v>382</v>
      </c>
      <c r="D1981" s="1055" t="s">
        <v>1271</v>
      </c>
      <c r="E1981" s="1055" t="s">
        <v>782</v>
      </c>
      <c r="F1981" s="1056">
        <v>867</v>
      </c>
      <c r="G1981" s="1056">
        <v>200</v>
      </c>
      <c r="H1981" s="1056">
        <v>0</v>
      </c>
      <c r="I1981" s="1056">
        <v>1067</v>
      </c>
      <c r="K1981" s="995">
        <f t="shared" si="30"/>
        <v>8</v>
      </c>
    </row>
    <row r="1982" spans="1:11">
      <c r="A1982" s="1054">
        <v>52052701</v>
      </c>
      <c r="B1982" s="1055" t="s">
        <v>893</v>
      </c>
      <c r="C1982" s="1055" t="s">
        <v>382</v>
      </c>
      <c r="D1982" s="1055" t="s">
        <v>1366</v>
      </c>
      <c r="E1982" s="1055" t="s">
        <v>1367</v>
      </c>
      <c r="F1982" s="1056">
        <v>960</v>
      </c>
      <c r="G1982" s="1056">
        <v>187</v>
      </c>
      <c r="H1982" s="1056">
        <v>0</v>
      </c>
      <c r="I1982" s="1056">
        <v>1147</v>
      </c>
      <c r="K1982" s="995">
        <f t="shared" si="30"/>
        <v>8</v>
      </c>
    </row>
    <row r="1983" spans="1:11">
      <c r="A1983" s="1054">
        <v>52052701</v>
      </c>
      <c r="B1983" s="1055" t="s">
        <v>893</v>
      </c>
      <c r="C1983" s="1055" t="s">
        <v>382</v>
      </c>
      <c r="D1983" s="1055" t="s">
        <v>1302</v>
      </c>
      <c r="E1983" s="1055" t="s">
        <v>986</v>
      </c>
      <c r="F1983" s="1056">
        <v>1000</v>
      </c>
      <c r="G1983" s="1056">
        <v>200</v>
      </c>
      <c r="H1983" s="1056">
        <v>0</v>
      </c>
      <c r="I1983" s="1056">
        <v>1200</v>
      </c>
      <c r="K1983" s="995">
        <f t="shared" si="30"/>
        <v>8</v>
      </c>
    </row>
    <row r="1984" spans="1:11">
      <c r="A1984" s="1054">
        <v>52052701</v>
      </c>
      <c r="B1984" s="1055" t="s">
        <v>893</v>
      </c>
      <c r="C1984" s="1055" t="s">
        <v>382</v>
      </c>
      <c r="D1984" s="1055" t="s">
        <v>1042</v>
      </c>
      <c r="E1984" s="1055" t="s">
        <v>1732</v>
      </c>
      <c r="F1984" s="1056">
        <v>727</v>
      </c>
      <c r="G1984" s="1056">
        <v>0</v>
      </c>
      <c r="H1984" s="1056">
        <v>0</v>
      </c>
      <c r="I1984" s="1056">
        <v>727</v>
      </c>
      <c r="K1984" s="995">
        <f t="shared" si="30"/>
        <v>8</v>
      </c>
    </row>
    <row r="1985" spans="1:11">
      <c r="A1985" s="1054">
        <v>52052701</v>
      </c>
      <c r="B1985" s="1055" t="s">
        <v>893</v>
      </c>
      <c r="C1985" s="1055" t="s">
        <v>382</v>
      </c>
      <c r="D1985" s="1055" t="s">
        <v>1611</v>
      </c>
      <c r="E1985" s="1055" t="s">
        <v>1612</v>
      </c>
      <c r="F1985" s="1056">
        <v>207</v>
      </c>
      <c r="G1985" s="1056">
        <v>0</v>
      </c>
      <c r="H1985" s="1056">
        <v>0</v>
      </c>
      <c r="I1985" s="1056">
        <v>207</v>
      </c>
      <c r="K1985" s="995">
        <f t="shared" si="30"/>
        <v>8</v>
      </c>
    </row>
    <row r="1986" spans="1:11">
      <c r="A1986" s="1054">
        <v>52052701</v>
      </c>
      <c r="B1986" s="1055" t="s">
        <v>893</v>
      </c>
      <c r="C1986" s="1055" t="s">
        <v>382</v>
      </c>
      <c r="D1986" s="1055" t="s">
        <v>1368</v>
      </c>
      <c r="E1986" s="1055" t="s">
        <v>1369</v>
      </c>
      <c r="F1986" s="1056">
        <v>267</v>
      </c>
      <c r="G1986" s="1056">
        <v>200</v>
      </c>
      <c r="H1986" s="1056">
        <v>0</v>
      </c>
      <c r="I1986" s="1056">
        <v>467</v>
      </c>
      <c r="K1986" s="995">
        <f t="shared" si="30"/>
        <v>8</v>
      </c>
    </row>
    <row r="1987" spans="1:11">
      <c r="A1987" s="1054">
        <v>52052701</v>
      </c>
      <c r="B1987" s="1055" t="s">
        <v>893</v>
      </c>
      <c r="C1987" s="1055" t="s">
        <v>382</v>
      </c>
      <c r="D1987" s="1055" t="s">
        <v>1246</v>
      </c>
      <c r="E1987" s="1055" t="s">
        <v>743</v>
      </c>
      <c r="F1987" s="1056">
        <v>107</v>
      </c>
      <c r="G1987" s="1056">
        <v>0</v>
      </c>
      <c r="H1987" s="1056">
        <v>0</v>
      </c>
      <c r="I1987" s="1056">
        <v>107</v>
      </c>
      <c r="K1987" s="995">
        <f t="shared" si="30"/>
        <v>8</v>
      </c>
    </row>
    <row r="1988" spans="1:11">
      <c r="A1988" s="1054">
        <v>52052701</v>
      </c>
      <c r="B1988" s="1055" t="s">
        <v>893</v>
      </c>
      <c r="C1988" s="1055" t="s">
        <v>382</v>
      </c>
      <c r="D1988" s="1055" t="s">
        <v>1320</v>
      </c>
      <c r="E1988" s="1055" t="s">
        <v>1321</v>
      </c>
      <c r="F1988" s="1056">
        <v>773</v>
      </c>
      <c r="G1988" s="1056">
        <v>200</v>
      </c>
      <c r="H1988" s="1056">
        <v>0</v>
      </c>
      <c r="I1988" s="1056">
        <v>973</v>
      </c>
      <c r="K1988" s="995">
        <f t="shared" si="30"/>
        <v>8</v>
      </c>
    </row>
    <row r="1989" spans="1:11">
      <c r="A1989" s="1054">
        <v>52052701</v>
      </c>
      <c r="B1989" s="1055" t="s">
        <v>893</v>
      </c>
      <c r="C1989" s="1055" t="s">
        <v>382</v>
      </c>
      <c r="D1989" s="1055" t="s">
        <v>1274</v>
      </c>
      <c r="E1989" s="1055" t="s">
        <v>989</v>
      </c>
      <c r="F1989" s="1056">
        <v>893</v>
      </c>
      <c r="G1989" s="1056">
        <v>200</v>
      </c>
      <c r="H1989" s="1056">
        <v>0</v>
      </c>
      <c r="I1989" s="1056">
        <v>1093</v>
      </c>
      <c r="K1989" s="995">
        <f t="shared" ref="K1989:K2052" si="31">+LEN(A1989)</f>
        <v>8</v>
      </c>
    </row>
    <row r="1990" spans="1:11">
      <c r="A1990" s="1054">
        <v>52052701</v>
      </c>
      <c r="B1990" s="1055" t="s">
        <v>893</v>
      </c>
      <c r="C1990" s="1055" t="s">
        <v>382</v>
      </c>
      <c r="D1990" s="1055" t="s">
        <v>1247</v>
      </c>
      <c r="E1990" s="1055" t="s">
        <v>1248</v>
      </c>
      <c r="F1990" s="1056">
        <v>867</v>
      </c>
      <c r="G1990" s="1056">
        <v>200</v>
      </c>
      <c r="H1990" s="1056">
        <v>0</v>
      </c>
      <c r="I1990" s="1056">
        <v>1067</v>
      </c>
      <c r="K1990" s="995">
        <f t="shared" si="31"/>
        <v>8</v>
      </c>
    </row>
    <row r="1991" spans="1:11">
      <c r="A1991" s="1054">
        <v>52052701</v>
      </c>
      <c r="B1991" s="1055" t="s">
        <v>893</v>
      </c>
      <c r="C1991" s="1055" t="s">
        <v>382</v>
      </c>
      <c r="D1991" s="1055" t="s">
        <v>1387</v>
      </c>
      <c r="E1991" s="1055" t="s">
        <v>1388</v>
      </c>
      <c r="F1991" s="1056">
        <v>27</v>
      </c>
      <c r="G1991" s="1056">
        <v>0</v>
      </c>
      <c r="H1991" s="1056">
        <v>0</v>
      </c>
      <c r="I1991" s="1056">
        <v>27</v>
      </c>
      <c r="K1991" s="995">
        <f t="shared" si="31"/>
        <v>8</v>
      </c>
    </row>
    <row r="1992" spans="1:11">
      <c r="A1992" s="1054">
        <v>52052701</v>
      </c>
      <c r="B1992" s="1055" t="s">
        <v>893</v>
      </c>
      <c r="C1992" s="1055" t="s">
        <v>382</v>
      </c>
      <c r="D1992" s="1055" t="s">
        <v>1370</v>
      </c>
      <c r="E1992" s="1055" t="s">
        <v>1371</v>
      </c>
      <c r="F1992" s="1056">
        <v>200</v>
      </c>
      <c r="G1992" s="1056">
        <v>200</v>
      </c>
      <c r="H1992" s="1056">
        <v>0</v>
      </c>
      <c r="I1992" s="1056">
        <v>400</v>
      </c>
      <c r="K1992" s="995">
        <f t="shared" si="31"/>
        <v>8</v>
      </c>
    </row>
    <row r="1993" spans="1:11">
      <c r="A1993" s="1054">
        <v>52052701</v>
      </c>
      <c r="B1993" s="1055" t="s">
        <v>893</v>
      </c>
      <c r="C1993" s="1055" t="s">
        <v>382</v>
      </c>
      <c r="D1993" s="1055" t="s">
        <v>1870</v>
      </c>
      <c r="E1993" s="1055" t="s">
        <v>1871</v>
      </c>
      <c r="F1993" s="1056">
        <v>200</v>
      </c>
      <c r="G1993" s="1056">
        <v>113</v>
      </c>
      <c r="H1993" s="1056">
        <v>0</v>
      </c>
      <c r="I1993" s="1056">
        <v>313</v>
      </c>
      <c r="K1993" s="995">
        <f t="shared" si="31"/>
        <v>8</v>
      </c>
    </row>
    <row r="1994" spans="1:11">
      <c r="A1994" s="1054">
        <v>52052701</v>
      </c>
      <c r="B1994" s="1055" t="s">
        <v>893</v>
      </c>
      <c r="C1994" s="1055" t="s">
        <v>382</v>
      </c>
      <c r="D1994" s="1055" t="s">
        <v>1372</v>
      </c>
      <c r="E1994" s="1055" t="s">
        <v>1373</v>
      </c>
      <c r="F1994" s="1056">
        <v>873</v>
      </c>
      <c r="G1994" s="1056">
        <v>200</v>
      </c>
      <c r="H1994" s="1056">
        <v>0</v>
      </c>
      <c r="I1994" s="1056">
        <v>1073</v>
      </c>
      <c r="K1994" s="995">
        <f t="shared" si="31"/>
        <v>8</v>
      </c>
    </row>
    <row r="1995" spans="1:11">
      <c r="A1995" s="1054">
        <v>52052701</v>
      </c>
      <c r="B1995" s="1055" t="s">
        <v>893</v>
      </c>
      <c r="C1995" s="1055" t="s">
        <v>382</v>
      </c>
      <c r="D1995" s="1055" t="s">
        <v>1785</v>
      </c>
      <c r="E1995" s="1055" t="s">
        <v>1786</v>
      </c>
      <c r="F1995" s="1056">
        <v>400</v>
      </c>
      <c r="G1995" s="1056">
        <v>187</v>
      </c>
      <c r="H1995" s="1056">
        <v>0</v>
      </c>
      <c r="I1995" s="1056">
        <v>587</v>
      </c>
      <c r="K1995" s="995">
        <f t="shared" si="31"/>
        <v>8</v>
      </c>
    </row>
    <row r="1996" spans="1:11">
      <c r="A1996" s="1054">
        <v>52052701</v>
      </c>
      <c r="B1996" s="1055" t="s">
        <v>893</v>
      </c>
      <c r="C1996" s="1055" t="s">
        <v>382</v>
      </c>
      <c r="D1996" s="1055" t="s">
        <v>1374</v>
      </c>
      <c r="E1996" s="1055" t="s">
        <v>1375</v>
      </c>
      <c r="F1996" s="1056">
        <v>267</v>
      </c>
      <c r="G1996" s="1056">
        <v>200</v>
      </c>
      <c r="H1996" s="1056">
        <v>0</v>
      </c>
      <c r="I1996" s="1056">
        <v>467</v>
      </c>
      <c r="K1996" s="995">
        <f t="shared" si="31"/>
        <v>8</v>
      </c>
    </row>
    <row r="1997" spans="1:11">
      <c r="A1997" s="1054">
        <v>52052701</v>
      </c>
      <c r="B1997" s="1055" t="s">
        <v>893</v>
      </c>
      <c r="C1997" s="1055" t="s">
        <v>382</v>
      </c>
      <c r="D1997" s="1055" t="s">
        <v>1389</v>
      </c>
      <c r="E1997" s="1055" t="s">
        <v>1390</v>
      </c>
      <c r="F1997" s="1056">
        <v>147</v>
      </c>
      <c r="G1997" s="1056">
        <v>0</v>
      </c>
      <c r="H1997" s="1056">
        <v>0</v>
      </c>
      <c r="I1997" s="1056">
        <v>147</v>
      </c>
      <c r="K1997" s="995">
        <f t="shared" si="31"/>
        <v>8</v>
      </c>
    </row>
    <row r="1998" spans="1:11">
      <c r="A1998" s="1054">
        <v>52052701</v>
      </c>
      <c r="B1998" s="1055" t="s">
        <v>893</v>
      </c>
      <c r="C1998" s="1055" t="s">
        <v>382</v>
      </c>
      <c r="D1998" s="1055" t="s">
        <v>1249</v>
      </c>
      <c r="E1998" s="1055" t="s">
        <v>583</v>
      </c>
      <c r="F1998" s="1056">
        <v>1000</v>
      </c>
      <c r="G1998" s="1056">
        <v>200</v>
      </c>
      <c r="H1998" s="1056">
        <v>0</v>
      </c>
      <c r="I1998" s="1056">
        <v>1200</v>
      </c>
      <c r="K1998" s="995">
        <f t="shared" si="31"/>
        <v>8</v>
      </c>
    </row>
    <row r="1999" spans="1:11">
      <c r="A1999" s="1054">
        <v>52052701</v>
      </c>
      <c r="B1999" s="1055" t="s">
        <v>893</v>
      </c>
      <c r="C1999" s="1055" t="s">
        <v>382</v>
      </c>
      <c r="D1999" s="1055" t="s">
        <v>1376</v>
      </c>
      <c r="E1999" s="1055" t="s">
        <v>1377</v>
      </c>
      <c r="F1999" s="1056">
        <v>800</v>
      </c>
      <c r="G1999" s="1056">
        <v>200</v>
      </c>
      <c r="H1999" s="1056">
        <v>0</v>
      </c>
      <c r="I1999" s="1056">
        <v>1000</v>
      </c>
      <c r="K1999" s="995">
        <f t="shared" si="31"/>
        <v>8</v>
      </c>
    </row>
    <row r="2000" spans="1:11">
      <c r="A2000" s="1054">
        <v>52052701</v>
      </c>
      <c r="B2000" s="1055" t="s">
        <v>893</v>
      </c>
      <c r="C2000" s="1055" t="s">
        <v>382</v>
      </c>
      <c r="D2000" s="1055" t="s">
        <v>1613</v>
      </c>
      <c r="E2000" s="1055" t="s">
        <v>1614</v>
      </c>
      <c r="F2000" s="1056">
        <v>593</v>
      </c>
      <c r="G2000" s="1056">
        <v>47</v>
      </c>
      <c r="H2000" s="1056">
        <v>0</v>
      </c>
      <c r="I2000" s="1056">
        <v>640</v>
      </c>
      <c r="K2000" s="995">
        <f t="shared" si="31"/>
        <v>8</v>
      </c>
    </row>
    <row r="2001" spans="1:11">
      <c r="A2001" s="1054">
        <v>52052701</v>
      </c>
      <c r="B2001" s="1055" t="s">
        <v>893</v>
      </c>
      <c r="C2001" s="1055" t="s">
        <v>382</v>
      </c>
      <c r="D2001" s="1055" t="s">
        <v>1305</v>
      </c>
      <c r="E2001" s="1055" t="s">
        <v>990</v>
      </c>
      <c r="F2001" s="1056">
        <v>960</v>
      </c>
      <c r="G2001" s="1056">
        <v>127</v>
      </c>
      <c r="H2001" s="1056">
        <v>0</v>
      </c>
      <c r="I2001" s="1056">
        <v>1087</v>
      </c>
      <c r="K2001" s="995">
        <f t="shared" si="31"/>
        <v>8</v>
      </c>
    </row>
    <row r="2002" spans="1:11">
      <c r="A2002" s="1054">
        <v>52052701</v>
      </c>
      <c r="B2002" s="1055" t="s">
        <v>893</v>
      </c>
      <c r="C2002" s="1055" t="s">
        <v>382</v>
      </c>
      <c r="D2002" s="1055" t="s">
        <v>1306</v>
      </c>
      <c r="E2002" s="1055" t="s">
        <v>997</v>
      </c>
      <c r="F2002" s="1056">
        <v>1000</v>
      </c>
      <c r="G2002" s="1056">
        <v>200</v>
      </c>
      <c r="H2002" s="1056">
        <v>0</v>
      </c>
      <c r="I2002" s="1056">
        <v>1200</v>
      </c>
      <c r="K2002" s="995">
        <f t="shared" si="31"/>
        <v>8</v>
      </c>
    </row>
    <row r="2003" spans="1:11">
      <c r="A2003" s="1054">
        <v>52052701</v>
      </c>
      <c r="B2003" s="1055" t="s">
        <v>893</v>
      </c>
      <c r="C2003" s="1055" t="s">
        <v>382</v>
      </c>
      <c r="D2003" s="1055" t="s">
        <v>1322</v>
      </c>
      <c r="E2003" s="1055" t="s">
        <v>1323</v>
      </c>
      <c r="F2003" s="1056">
        <v>733</v>
      </c>
      <c r="G2003" s="1056">
        <v>0</v>
      </c>
      <c r="H2003" s="1056">
        <v>0</v>
      </c>
      <c r="I2003" s="1056">
        <v>733</v>
      </c>
      <c r="K2003" s="995">
        <f t="shared" si="31"/>
        <v>8</v>
      </c>
    </row>
    <row r="2004" spans="1:11">
      <c r="A2004" s="1054">
        <v>52052701</v>
      </c>
      <c r="B2004" s="1055" t="s">
        <v>893</v>
      </c>
      <c r="C2004" s="1055" t="s">
        <v>382</v>
      </c>
      <c r="D2004" s="1055" t="s">
        <v>1391</v>
      </c>
      <c r="E2004" s="1055" t="s">
        <v>1392</v>
      </c>
      <c r="F2004" s="1056">
        <v>100</v>
      </c>
      <c r="G2004" s="1056">
        <v>0</v>
      </c>
      <c r="H2004" s="1056">
        <v>0</v>
      </c>
      <c r="I2004" s="1056">
        <v>100</v>
      </c>
      <c r="K2004" s="995">
        <f t="shared" si="31"/>
        <v>8</v>
      </c>
    </row>
    <row r="2005" spans="1:11">
      <c r="A2005" s="1054">
        <v>52052701</v>
      </c>
      <c r="B2005" s="1055" t="s">
        <v>893</v>
      </c>
      <c r="C2005" s="1055" t="s">
        <v>382</v>
      </c>
      <c r="D2005" s="1055" t="s">
        <v>1250</v>
      </c>
      <c r="E2005" s="1055" t="s">
        <v>1251</v>
      </c>
      <c r="F2005" s="1056">
        <v>833</v>
      </c>
      <c r="G2005" s="1056">
        <v>200</v>
      </c>
      <c r="H2005" s="1056">
        <v>0</v>
      </c>
      <c r="I2005" s="1056">
        <v>1033</v>
      </c>
      <c r="K2005" s="995">
        <f t="shared" si="31"/>
        <v>8</v>
      </c>
    </row>
    <row r="2006" spans="1:11">
      <c r="A2006" s="1054">
        <v>52052701</v>
      </c>
      <c r="B2006" s="1055" t="s">
        <v>893</v>
      </c>
      <c r="C2006" s="1055" t="s">
        <v>382</v>
      </c>
      <c r="D2006" s="1055" t="s">
        <v>1787</v>
      </c>
      <c r="E2006" s="1055" t="s">
        <v>1788</v>
      </c>
      <c r="F2006" s="1056">
        <v>253</v>
      </c>
      <c r="G2006" s="1056">
        <v>200</v>
      </c>
      <c r="H2006" s="1056">
        <v>0</v>
      </c>
      <c r="I2006" s="1056">
        <v>453</v>
      </c>
      <c r="K2006" s="995">
        <f t="shared" si="31"/>
        <v>8</v>
      </c>
    </row>
    <row r="2007" spans="1:11">
      <c r="A2007" s="1054">
        <v>52052701</v>
      </c>
      <c r="B2007" s="1055" t="s">
        <v>893</v>
      </c>
      <c r="C2007" s="1055" t="s">
        <v>382</v>
      </c>
      <c r="D2007" s="1055" t="s">
        <v>1378</v>
      </c>
      <c r="E2007" s="1055" t="s">
        <v>1379</v>
      </c>
      <c r="F2007" s="1056">
        <v>1000</v>
      </c>
      <c r="G2007" s="1056">
        <v>0</v>
      </c>
      <c r="H2007" s="1056">
        <v>0</v>
      </c>
      <c r="I2007" s="1056">
        <v>1000</v>
      </c>
      <c r="K2007" s="995">
        <f t="shared" si="31"/>
        <v>8</v>
      </c>
    </row>
    <row r="2008" spans="1:11">
      <c r="A2008" s="1054">
        <v>52052701</v>
      </c>
      <c r="B2008" s="1055" t="s">
        <v>893</v>
      </c>
      <c r="C2008" s="1055" t="s">
        <v>382</v>
      </c>
      <c r="D2008" s="1055" t="s">
        <v>1303</v>
      </c>
      <c r="E2008" s="1055" t="s">
        <v>806</v>
      </c>
      <c r="F2008" s="1056">
        <v>1000</v>
      </c>
      <c r="G2008" s="1056">
        <v>200</v>
      </c>
      <c r="H2008" s="1056">
        <v>0</v>
      </c>
      <c r="I2008" s="1056">
        <v>1200</v>
      </c>
      <c r="K2008" s="995">
        <f t="shared" si="31"/>
        <v>8</v>
      </c>
    </row>
    <row r="2009" spans="1:11">
      <c r="A2009" s="1054">
        <v>52052701</v>
      </c>
      <c r="B2009" s="1055" t="s">
        <v>893</v>
      </c>
      <c r="C2009" s="1055" t="s">
        <v>382</v>
      </c>
      <c r="D2009" s="1055" t="s">
        <v>1605</v>
      </c>
      <c r="E2009" s="1055" t="s">
        <v>1606</v>
      </c>
      <c r="F2009" s="1056">
        <v>453</v>
      </c>
      <c r="G2009" s="1056">
        <v>200</v>
      </c>
      <c r="H2009" s="1056">
        <v>0</v>
      </c>
      <c r="I2009" s="1056">
        <v>653</v>
      </c>
      <c r="K2009" s="995">
        <f t="shared" si="31"/>
        <v>8</v>
      </c>
    </row>
    <row r="2010" spans="1:11">
      <c r="A2010" s="1054">
        <v>52052701</v>
      </c>
      <c r="B2010" s="1055" t="s">
        <v>893</v>
      </c>
      <c r="C2010" s="1055" t="s">
        <v>382</v>
      </c>
      <c r="D2010" s="1055" t="s">
        <v>1789</v>
      </c>
      <c r="E2010" s="1055" t="s">
        <v>1790</v>
      </c>
      <c r="F2010" s="1056">
        <v>340</v>
      </c>
      <c r="G2010" s="1056">
        <v>187</v>
      </c>
      <c r="H2010" s="1056">
        <v>0</v>
      </c>
      <c r="I2010" s="1056">
        <v>527</v>
      </c>
      <c r="K2010" s="995">
        <f t="shared" si="31"/>
        <v>8</v>
      </c>
    </row>
    <row r="2011" spans="1:11">
      <c r="A2011" s="1054">
        <v>52052701</v>
      </c>
      <c r="B2011" s="1055" t="s">
        <v>893</v>
      </c>
      <c r="C2011" s="1055" t="s">
        <v>382</v>
      </c>
      <c r="D2011" s="1055" t="s">
        <v>1254</v>
      </c>
      <c r="E2011" s="1055" t="s">
        <v>744</v>
      </c>
      <c r="F2011" s="1056">
        <v>867</v>
      </c>
      <c r="G2011" s="1056">
        <v>200</v>
      </c>
      <c r="H2011" s="1056">
        <v>0</v>
      </c>
      <c r="I2011" s="1056">
        <v>1067</v>
      </c>
      <c r="K2011" s="995">
        <f t="shared" si="31"/>
        <v>8</v>
      </c>
    </row>
    <row r="2012" spans="1:11">
      <c r="A2012" s="1054">
        <v>52052701</v>
      </c>
      <c r="B2012" s="1055" t="s">
        <v>893</v>
      </c>
      <c r="C2012" s="1055" t="s">
        <v>382</v>
      </c>
      <c r="D2012" s="1055" t="s">
        <v>1275</v>
      </c>
      <c r="E2012" s="1055" t="s">
        <v>991</v>
      </c>
      <c r="F2012" s="1056">
        <v>940</v>
      </c>
      <c r="G2012" s="1056">
        <v>200</v>
      </c>
      <c r="H2012" s="1056">
        <v>0</v>
      </c>
      <c r="I2012" s="1056">
        <v>1140</v>
      </c>
      <c r="K2012" s="995">
        <f t="shared" si="31"/>
        <v>8</v>
      </c>
    </row>
    <row r="2013" spans="1:11">
      <c r="A2013" s="1054">
        <v>52052701</v>
      </c>
      <c r="B2013" s="1055" t="s">
        <v>893</v>
      </c>
      <c r="C2013" s="1055" t="s">
        <v>382</v>
      </c>
      <c r="D2013" s="1055" t="s">
        <v>1380</v>
      </c>
      <c r="E2013" s="1055" t="s">
        <v>1381</v>
      </c>
      <c r="F2013" s="1056">
        <v>0</v>
      </c>
      <c r="G2013" s="1056">
        <v>147</v>
      </c>
      <c r="H2013" s="1056">
        <v>0</v>
      </c>
      <c r="I2013" s="1056">
        <v>147</v>
      </c>
      <c r="K2013" s="995">
        <f t="shared" si="31"/>
        <v>8</v>
      </c>
    </row>
    <row r="2014" spans="1:11">
      <c r="A2014" s="1054">
        <v>52052701</v>
      </c>
      <c r="B2014" s="1055" t="s">
        <v>893</v>
      </c>
      <c r="C2014" s="1055" t="s">
        <v>382</v>
      </c>
      <c r="D2014" s="1055" t="s">
        <v>1044</v>
      </c>
      <c r="E2014" s="1055" t="s">
        <v>1045</v>
      </c>
      <c r="F2014" s="1056">
        <v>967</v>
      </c>
      <c r="G2014" s="1056">
        <v>13</v>
      </c>
      <c r="H2014" s="1056">
        <v>0</v>
      </c>
      <c r="I2014" s="1056">
        <v>980</v>
      </c>
      <c r="K2014" s="995">
        <f t="shared" si="31"/>
        <v>8</v>
      </c>
    </row>
    <row r="2015" spans="1:11">
      <c r="A2015" s="1054">
        <v>52052701</v>
      </c>
      <c r="B2015" s="1055" t="s">
        <v>893</v>
      </c>
      <c r="C2015" s="1055" t="s">
        <v>382</v>
      </c>
      <c r="D2015" s="1055" t="s">
        <v>1395</v>
      </c>
      <c r="E2015" s="1055" t="s">
        <v>1396</v>
      </c>
      <c r="F2015" s="1056">
        <v>547</v>
      </c>
      <c r="G2015" s="1056">
        <v>0</v>
      </c>
      <c r="H2015" s="1056">
        <v>0</v>
      </c>
      <c r="I2015" s="1056">
        <v>547</v>
      </c>
      <c r="K2015" s="995">
        <f t="shared" si="31"/>
        <v>8</v>
      </c>
    </row>
    <row r="2016" spans="1:11">
      <c r="A2016" s="1054">
        <v>52052701</v>
      </c>
      <c r="B2016" s="1055" t="s">
        <v>893</v>
      </c>
      <c r="C2016" s="1055" t="s">
        <v>382</v>
      </c>
      <c r="D2016" s="1055" t="s">
        <v>1382</v>
      </c>
      <c r="E2016" s="1055" t="s">
        <v>1763</v>
      </c>
      <c r="F2016" s="1056">
        <v>873</v>
      </c>
      <c r="G2016" s="1056">
        <v>200</v>
      </c>
      <c r="H2016" s="1056">
        <v>0</v>
      </c>
      <c r="I2016" s="1056">
        <v>1073</v>
      </c>
      <c r="K2016" s="995">
        <f t="shared" si="31"/>
        <v>8</v>
      </c>
    </row>
    <row r="2017" spans="1:11">
      <c r="A2017" s="1054">
        <v>52052701</v>
      </c>
      <c r="B2017" s="1055" t="s">
        <v>893</v>
      </c>
      <c r="C2017" s="1055" t="s">
        <v>382</v>
      </c>
      <c r="D2017" s="1055" t="s">
        <v>1383</v>
      </c>
      <c r="E2017" s="1055" t="s">
        <v>1384</v>
      </c>
      <c r="F2017" s="1056">
        <v>887</v>
      </c>
      <c r="G2017" s="1056">
        <v>187</v>
      </c>
      <c r="H2017" s="1056">
        <v>0</v>
      </c>
      <c r="I2017" s="1056">
        <v>1073</v>
      </c>
      <c r="K2017" s="995">
        <f t="shared" si="31"/>
        <v>8</v>
      </c>
    </row>
    <row r="2018" spans="1:11">
      <c r="A2018" s="1054">
        <v>520530</v>
      </c>
      <c r="B2018" s="1055" t="s">
        <v>893</v>
      </c>
      <c r="C2018" s="1055" t="s">
        <v>352</v>
      </c>
      <c r="D2018" s="1055" t="s">
        <v>893</v>
      </c>
      <c r="E2018" s="1055" t="s">
        <v>893</v>
      </c>
      <c r="F2018" s="1056">
        <v>26444</v>
      </c>
      <c r="G2018" s="1056">
        <v>6351</v>
      </c>
      <c r="H2018" s="1056">
        <v>0</v>
      </c>
      <c r="I2018" s="1056">
        <v>32795</v>
      </c>
      <c r="K2018" s="995">
        <f t="shared" si="31"/>
        <v>6</v>
      </c>
    </row>
    <row r="2019" spans="1:11">
      <c r="A2019" s="1054">
        <v>52053001</v>
      </c>
      <c r="B2019" s="1055" t="s">
        <v>893</v>
      </c>
      <c r="C2019" s="1055" t="s">
        <v>352</v>
      </c>
      <c r="D2019" s="1055" t="s">
        <v>893</v>
      </c>
      <c r="E2019" s="1055" t="s">
        <v>893</v>
      </c>
      <c r="F2019" s="1056">
        <v>26444</v>
      </c>
      <c r="G2019" s="1056">
        <v>6351</v>
      </c>
      <c r="H2019" s="1056">
        <v>0</v>
      </c>
      <c r="I2019" s="1056">
        <v>32795</v>
      </c>
      <c r="K2019" s="995">
        <f t="shared" si="31"/>
        <v>8</v>
      </c>
    </row>
    <row r="2020" spans="1:11">
      <c r="A2020" s="1054">
        <v>52053001</v>
      </c>
      <c r="B2020" s="1055" t="s">
        <v>893</v>
      </c>
      <c r="C2020" s="1055" t="s">
        <v>352</v>
      </c>
      <c r="D2020" s="1055" t="s">
        <v>1360</v>
      </c>
      <c r="E2020" s="1055" t="s">
        <v>1361</v>
      </c>
      <c r="F2020" s="1056">
        <v>867</v>
      </c>
      <c r="G2020" s="1056">
        <v>179</v>
      </c>
      <c r="H2020" s="1056">
        <v>0</v>
      </c>
      <c r="I2020" s="1056">
        <v>1046</v>
      </c>
      <c r="K2020" s="995">
        <f t="shared" si="31"/>
        <v>8</v>
      </c>
    </row>
    <row r="2021" spans="1:11">
      <c r="A2021" s="1054">
        <v>52053001</v>
      </c>
      <c r="B2021" s="1055" t="s">
        <v>893</v>
      </c>
      <c r="C2021" s="1055" t="s">
        <v>352</v>
      </c>
      <c r="D2021" s="1055" t="s">
        <v>1298</v>
      </c>
      <c r="E2021" s="1055" t="s">
        <v>987</v>
      </c>
      <c r="F2021" s="1056">
        <v>203</v>
      </c>
      <c r="G2021" s="1056">
        <v>215</v>
      </c>
      <c r="H2021" s="1056">
        <v>0</v>
      </c>
      <c r="I2021" s="1056">
        <v>419</v>
      </c>
      <c r="K2021" s="995">
        <f t="shared" si="31"/>
        <v>8</v>
      </c>
    </row>
    <row r="2022" spans="1:11">
      <c r="A2022" s="1054">
        <v>52053001</v>
      </c>
      <c r="B2022" s="1055" t="s">
        <v>893</v>
      </c>
      <c r="C2022" s="1055" t="s">
        <v>352</v>
      </c>
      <c r="D2022" s="1055" t="s">
        <v>1397</v>
      </c>
      <c r="E2022" s="1055" t="s">
        <v>1398</v>
      </c>
      <c r="F2022" s="1056">
        <v>93</v>
      </c>
      <c r="G2022" s="1056">
        <v>0</v>
      </c>
      <c r="H2022" s="1056">
        <v>0</v>
      </c>
      <c r="I2022" s="1056">
        <v>93</v>
      </c>
      <c r="K2022" s="995">
        <f t="shared" si="31"/>
        <v>8</v>
      </c>
    </row>
    <row r="2023" spans="1:11">
      <c r="A2023" s="1054">
        <v>52053001</v>
      </c>
      <c r="B2023" s="1055" t="s">
        <v>893</v>
      </c>
      <c r="C2023" s="1055" t="s">
        <v>352</v>
      </c>
      <c r="D2023" s="1055" t="s">
        <v>1362</v>
      </c>
      <c r="E2023" s="1055" t="s">
        <v>1363</v>
      </c>
      <c r="F2023" s="1056">
        <v>766</v>
      </c>
      <c r="G2023" s="1056">
        <v>137</v>
      </c>
      <c r="H2023" s="1056">
        <v>0</v>
      </c>
      <c r="I2023" s="1056">
        <v>903</v>
      </c>
      <c r="K2023" s="995">
        <f t="shared" si="31"/>
        <v>8</v>
      </c>
    </row>
    <row r="2024" spans="1:11">
      <c r="A2024" s="1054">
        <v>52053001</v>
      </c>
      <c r="B2024" s="1055" t="s">
        <v>893</v>
      </c>
      <c r="C2024" s="1055" t="s">
        <v>352</v>
      </c>
      <c r="D2024" s="1055" t="s">
        <v>1364</v>
      </c>
      <c r="E2024" s="1055" t="s">
        <v>1365</v>
      </c>
      <c r="F2024" s="1056">
        <v>881</v>
      </c>
      <c r="G2024" s="1056">
        <v>166</v>
      </c>
      <c r="H2024" s="1056">
        <v>0</v>
      </c>
      <c r="I2024" s="1056">
        <v>1047</v>
      </c>
      <c r="K2024" s="995">
        <f t="shared" si="31"/>
        <v>8</v>
      </c>
    </row>
    <row r="2025" spans="1:11">
      <c r="A2025" s="1054">
        <v>52053001</v>
      </c>
      <c r="B2025" s="1055" t="s">
        <v>893</v>
      </c>
      <c r="C2025" s="1055" t="s">
        <v>352</v>
      </c>
      <c r="D2025" s="1055" t="s">
        <v>1601</v>
      </c>
      <c r="E2025" s="1055" t="s">
        <v>1602</v>
      </c>
      <c r="F2025" s="1056">
        <v>1233</v>
      </c>
      <c r="G2025" s="1056">
        <v>812</v>
      </c>
      <c r="H2025" s="1056">
        <v>0</v>
      </c>
      <c r="I2025" s="1056">
        <v>2046</v>
      </c>
      <c r="K2025" s="995">
        <f t="shared" si="31"/>
        <v>8</v>
      </c>
    </row>
    <row r="2026" spans="1:11">
      <c r="A2026" s="1054">
        <v>52053001</v>
      </c>
      <c r="B2026" s="1055" t="s">
        <v>893</v>
      </c>
      <c r="C2026" s="1055" t="s">
        <v>352</v>
      </c>
      <c r="D2026" s="1055" t="s">
        <v>1270</v>
      </c>
      <c r="E2026" s="1055" t="s">
        <v>988</v>
      </c>
      <c r="F2026" s="1056">
        <v>995</v>
      </c>
      <c r="G2026" s="1056">
        <v>199</v>
      </c>
      <c r="H2026" s="1056">
        <v>0</v>
      </c>
      <c r="I2026" s="1056">
        <v>1194</v>
      </c>
      <c r="K2026" s="995">
        <f t="shared" si="31"/>
        <v>8</v>
      </c>
    </row>
    <row r="2027" spans="1:11">
      <c r="A2027" s="1054">
        <v>52053001</v>
      </c>
      <c r="B2027" s="1055" t="s">
        <v>893</v>
      </c>
      <c r="C2027" s="1055" t="s">
        <v>352</v>
      </c>
      <c r="D2027" s="1055" t="s">
        <v>1271</v>
      </c>
      <c r="E2027" s="1055" t="s">
        <v>782</v>
      </c>
      <c r="F2027" s="1056">
        <v>990</v>
      </c>
      <c r="G2027" s="1056">
        <v>198</v>
      </c>
      <c r="H2027" s="1056">
        <v>0</v>
      </c>
      <c r="I2027" s="1056">
        <v>1188</v>
      </c>
      <c r="K2027" s="995">
        <f t="shared" si="31"/>
        <v>8</v>
      </c>
    </row>
    <row r="2028" spans="1:11">
      <c r="A2028" s="1054">
        <v>52053001</v>
      </c>
      <c r="B2028" s="1055" t="s">
        <v>893</v>
      </c>
      <c r="C2028" s="1055" t="s">
        <v>352</v>
      </c>
      <c r="D2028" s="1055" t="s">
        <v>1366</v>
      </c>
      <c r="E2028" s="1055" t="s">
        <v>1367</v>
      </c>
      <c r="F2028" s="1056">
        <v>778</v>
      </c>
      <c r="G2028" s="1056">
        <v>161</v>
      </c>
      <c r="H2028" s="1056">
        <v>0</v>
      </c>
      <c r="I2028" s="1056">
        <v>939</v>
      </c>
      <c r="K2028" s="995">
        <f t="shared" si="31"/>
        <v>8</v>
      </c>
    </row>
    <row r="2029" spans="1:11">
      <c r="A2029" s="1054">
        <v>52053001</v>
      </c>
      <c r="B2029" s="1055" t="s">
        <v>893</v>
      </c>
      <c r="C2029" s="1055" t="s">
        <v>352</v>
      </c>
      <c r="D2029" s="1055" t="s">
        <v>1302</v>
      </c>
      <c r="E2029" s="1055" t="s">
        <v>986</v>
      </c>
      <c r="F2029" s="1056">
        <v>751</v>
      </c>
      <c r="G2029" s="1056">
        <v>142</v>
      </c>
      <c r="H2029" s="1056">
        <v>0</v>
      </c>
      <c r="I2029" s="1056">
        <v>893</v>
      </c>
      <c r="K2029" s="995">
        <f t="shared" si="31"/>
        <v>8</v>
      </c>
    </row>
    <row r="2030" spans="1:11">
      <c r="A2030" s="1054">
        <v>52053001</v>
      </c>
      <c r="B2030" s="1055" t="s">
        <v>893</v>
      </c>
      <c r="C2030" s="1055" t="s">
        <v>352</v>
      </c>
      <c r="D2030" s="1055" t="s">
        <v>1042</v>
      </c>
      <c r="E2030" s="1055" t="s">
        <v>1732</v>
      </c>
      <c r="F2030" s="1056">
        <v>790</v>
      </c>
      <c r="G2030" s="1056">
        <v>0</v>
      </c>
      <c r="H2030" s="1056">
        <v>0</v>
      </c>
      <c r="I2030" s="1056">
        <v>790</v>
      </c>
      <c r="K2030" s="995">
        <f t="shared" si="31"/>
        <v>8</v>
      </c>
    </row>
    <row r="2031" spans="1:11">
      <c r="A2031" s="1054">
        <v>52053001</v>
      </c>
      <c r="B2031" s="1055" t="s">
        <v>893</v>
      </c>
      <c r="C2031" s="1055" t="s">
        <v>352</v>
      </c>
      <c r="D2031" s="1055" t="s">
        <v>1611</v>
      </c>
      <c r="E2031" s="1055" t="s">
        <v>1612</v>
      </c>
      <c r="F2031" s="1056">
        <v>142</v>
      </c>
      <c r="G2031" s="1056">
        <v>0</v>
      </c>
      <c r="H2031" s="1056">
        <v>0</v>
      </c>
      <c r="I2031" s="1056">
        <v>142</v>
      </c>
      <c r="K2031" s="995">
        <f t="shared" si="31"/>
        <v>8</v>
      </c>
    </row>
    <row r="2032" spans="1:11">
      <c r="A2032" s="1054">
        <v>52053001</v>
      </c>
      <c r="B2032" s="1055" t="s">
        <v>893</v>
      </c>
      <c r="C2032" s="1055" t="s">
        <v>352</v>
      </c>
      <c r="D2032" s="1055" t="s">
        <v>1368</v>
      </c>
      <c r="E2032" s="1055" t="s">
        <v>1369</v>
      </c>
      <c r="F2032" s="1056">
        <v>207</v>
      </c>
      <c r="G2032" s="1056">
        <v>147</v>
      </c>
      <c r="H2032" s="1056">
        <v>0</v>
      </c>
      <c r="I2032" s="1056">
        <v>354</v>
      </c>
      <c r="K2032" s="995">
        <f t="shared" si="31"/>
        <v>8</v>
      </c>
    </row>
    <row r="2033" spans="1:11">
      <c r="A2033" s="1054">
        <v>52053001</v>
      </c>
      <c r="B2033" s="1055" t="s">
        <v>893</v>
      </c>
      <c r="C2033" s="1055" t="s">
        <v>352</v>
      </c>
      <c r="D2033" s="1055" t="s">
        <v>1246</v>
      </c>
      <c r="E2033" s="1055" t="s">
        <v>743</v>
      </c>
      <c r="F2033" s="1056">
        <v>135</v>
      </c>
      <c r="G2033" s="1056">
        <v>0</v>
      </c>
      <c r="H2033" s="1056">
        <v>0</v>
      </c>
      <c r="I2033" s="1056">
        <v>135</v>
      </c>
      <c r="K2033" s="995">
        <f t="shared" si="31"/>
        <v>8</v>
      </c>
    </row>
    <row r="2034" spans="1:11">
      <c r="A2034" s="1054">
        <v>52053001</v>
      </c>
      <c r="B2034" s="1055" t="s">
        <v>893</v>
      </c>
      <c r="C2034" s="1055" t="s">
        <v>352</v>
      </c>
      <c r="D2034" s="1055" t="s">
        <v>1320</v>
      </c>
      <c r="E2034" s="1055" t="s">
        <v>1321</v>
      </c>
      <c r="F2034" s="1056">
        <v>756</v>
      </c>
      <c r="G2034" s="1056">
        <v>167</v>
      </c>
      <c r="H2034" s="1056">
        <v>0</v>
      </c>
      <c r="I2034" s="1056">
        <v>924</v>
      </c>
      <c r="K2034" s="995">
        <f t="shared" si="31"/>
        <v>8</v>
      </c>
    </row>
    <row r="2035" spans="1:11">
      <c r="A2035" s="1054">
        <v>52053001</v>
      </c>
      <c r="B2035" s="1055" t="s">
        <v>893</v>
      </c>
      <c r="C2035" s="1055" t="s">
        <v>352</v>
      </c>
      <c r="D2035" s="1055" t="s">
        <v>1274</v>
      </c>
      <c r="E2035" s="1055" t="s">
        <v>989</v>
      </c>
      <c r="F2035" s="1056">
        <v>1092</v>
      </c>
      <c r="G2035" s="1056">
        <v>223</v>
      </c>
      <c r="H2035" s="1056">
        <v>0</v>
      </c>
      <c r="I2035" s="1056">
        <v>1315</v>
      </c>
      <c r="K2035" s="995">
        <f t="shared" si="31"/>
        <v>8</v>
      </c>
    </row>
    <row r="2036" spans="1:11">
      <c r="A2036" s="1054">
        <v>52053001</v>
      </c>
      <c r="B2036" s="1055" t="s">
        <v>893</v>
      </c>
      <c r="C2036" s="1055" t="s">
        <v>352</v>
      </c>
      <c r="D2036" s="1055" t="s">
        <v>1247</v>
      </c>
      <c r="E2036" s="1055" t="s">
        <v>1248</v>
      </c>
      <c r="F2036" s="1056">
        <v>844</v>
      </c>
      <c r="G2036" s="1056">
        <v>197</v>
      </c>
      <c r="H2036" s="1056">
        <v>0</v>
      </c>
      <c r="I2036" s="1056">
        <v>1041</v>
      </c>
      <c r="K2036" s="995">
        <f t="shared" si="31"/>
        <v>8</v>
      </c>
    </row>
    <row r="2037" spans="1:11">
      <c r="A2037" s="1054">
        <v>52053001</v>
      </c>
      <c r="B2037" s="1055" t="s">
        <v>893</v>
      </c>
      <c r="C2037" s="1055" t="s">
        <v>352</v>
      </c>
      <c r="D2037" s="1055" t="s">
        <v>1387</v>
      </c>
      <c r="E2037" s="1055" t="s">
        <v>1388</v>
      </c>
      <c r="F2037" s="1056">
        <v>40</v>
      </c>
      <c r="G2037" s="1056">
        <v>0</v>
      </c>
      <c r="H2037" s="1056">
        <v>0</v>
      </c>
      <c r="I2037" s="1056">
        <v>40</v>
      </c>
      <c r="K2037" s="995">
        <f t="shared" si="31"/>
        <v>8</v>
      </c>
    </row>
    <row r="2038" spans="1:11">
      <c r="A2038" s="1054">
        <v>52053001</v>
      </c>
      <c r="B2038" s="1055" t="s">
        <v>893</v>
      </c>
      <c r="C2038" s="1055" t="s">
        <v>352</v>
      </c>
      <c r="D2038" s="1055" t="s">
        <v>1370</v>
      </c>
      <c r="E2038" s="1055" t="s">
        <v>1371</v>
      </c>
      <c r="F2038" s="1056">
        <v>162</v>
      </c>
      <c r="G2038" s="1056">
        <v>158</v>
      </c>
      <c r="H2038" s="1056">
        <v>0</v>
      </c>
      <c r="I2038" s="1056">
        <v>320</v>
      </c>
      <c r="K2038" s="995">
        <f t="shared" si="31"/>
        <v>8</v>
      </c>
    </row>
    <row r="2039" spans="1:11">
      <c r="A2039" s="1054">
        <v>52053001</v>
      </c>
      <c r="B2039" s="1055" t="s">
        <v>893</v>
      </c>
      <c r="C2039" s="1055" t="s">
        <v>352</v>
      </c>
      <c r="D2039" s="1055" t="s">
        <v>1870</v>
      </c>
      <c r="E2039" s="1055" t="s">
        <v>1871</v>
      </c>
      <c r="F2039" s="1056">
        <v>167</v>
      </c>
      <c r="G2039" s="1056">
        <v>113</v>
      </c>
      <c r="H2039" s="1056">
        <v>0</v>
      </c>
      <c r="I2039" s="1056">
        <v>280</v>
      </c>
      <c r="K2039" s="995">
        <f t="shared" si="31"/>
        <v>8</v>
      </c>
    </row>
    <row r="2040" spans="1:11">
      <c r="A2040" s="1054">
        <v>52053001</v>
      </c>
      <c r="B2040" s="1055" t="s">
        <v>893</v>
      </c>
      <c r="C2040" s="1055" t="s">
        <v>352</v>
      </c>
      <c r="D2040" s="1055" t="s">
        <v>1372</v>
      </c>
      <c r="E2040" s="1055" t="s">
        <v>1373</v>
      </c>
      <c r="F2040" s="1056">
        <v>787</v>
      </c>
      <c r="G2040" s="1056">
        <v>158</v>
      </c>
      <c r="H2040" s="1056">
        <v>0</v>
      </c>
      <c r="I2040" s="1056">
        <v>946</v>
      </c>
      <c r="K2040" s="995">
        <f t="shared" si="31"/>
        <v>8</v>
      </c>
    </row>
    <row r="2041" spans="1:11">
      <c r="A2041" s="1054">
        <v>52053001</v>
      </c>
      <c r="B2041" s="1055" t="s">
        <v>893</v>
      </c>
      <c r="C2041" s="1055" t="s">
        <v>352</v>
      </c>
      <c r="D2041" s="1055" t="s">
        <v>1785</v>
      </c>
      <c r="E2041" s="1055" t="s">
        <v>1786</v>
      </c>
      <c r="F2041" s="1056">
        <v>297</v>
      </c>
      <c r="G2041" s="1056">
        <v>147</v>
      </c>
      <c r="H2041" s="1056">
        <v>0</v>
      </c>
      <c r="I2041" s="1056">
        <v>444</v>
      </c>
      <c r="K2041" s="995">
        <f t="shared" si="31"/>
        <v>8</v>
      </c>
    </row>
    <row r="2042" spans="1:11">
      <c r="A2042" s="1054">
        <v>52053001</v>
      </c>
      <c r="B2042" s="1055" t="s">
        <v>893</v>
      </c>
      <c r="C2042" s="1055" t="s">
        <v>352</v>
      </c>
      <c r="D2042" s="1055" t="s">
        <v>1374</v>
      </c>
      <c r="E2042" s="1055" t="s">
        <v>1375</v>
      </c>
      <c r="F2042" s="1056">
        <v>187</v>
      </c>
      <c r="G2042" s="1056">
        <v>146</v>
      </c>
      <c r="H2042" s="1056">
        <v>0</v>
      </c>
      <c r="I2042" s="1056">
        <v>333</v>
      </c>
      <c r="K2042" s="995">
        <f t="shared" si="31"/>
        <v>8</v>
      </c>
    </row>
    <row r="2043" spans="1:11">
      <c r="A2043" s="1054">
        <v>52053001</v>
      </c>
      <c r="B2043" s="1055" t="s">
        <v>893</v>
      </c>
      <c r="C2043" s="1055" t="s">
        <v>352</v>
      </c>
      <c r="D2043" s="1055" t="s">
        <v>1389</v>
      </c>
      <c r="E2043" s="1055" t="s">
        <v>1390</v>
      </c>
      <c r="F2043" s="1056">
        <v>149</v>
      </c>
      <c r="G2043" s="1056">
        <v>0</v>
      </c>
      <c r="H2043" s="1056">
        <v>0</v>
      </c>
      <c r="I2043" s="1056">
        <v>149</v>
      </c>
      <c r="K2043" s="995">
        <f t="shared" si="31"/>
        <v>8</v>
      </c>
    </row>
    <row r="2044" spans="1:11">
      <c r="A2044" s="1054">
        <v>52053001</v>
      </c>
      <c r="B2044" s="1055" t="s">
        <v>893</v>
      </c>
      <c r="C2044" s="1055" t="s">
        <v>352</v>
      </c>
      <c r="D2044" s="1055" t="s">
        <v>1249</v>
      </c>
      <c r="E2044" s="1055" t="s">
        <v>583</v>
      </c>
      <c r="F2044" s="1056">
        <v>1288</v>
      </c>
      <c r="G2044" s="1056">
        <v>255</v>
      </c>
      <c r="H2044" s="1056">
        <v>0</v>
      </c>
      <c r="I2044" s="1056">
        <v>1543</v>
      </c>
      <c r="K2044" s="995">
        <f t="shared" si="31"/>
        <v>8</v>
      </c>
    </row>
    <row r="2045" spans="1:11">
      <c r="A2045" s="1054">
        <v>52053001</v>
      </c>
      <c r="B2045" s="1055" t="s">
        <v>893</v>
      </c>
      <c r="C2045" s="1055" t="s">
        <v>352</v>
      </c>
      <c r="D2045" s="1055" t="s">
        <v>1376</v>
      </c>
      <c r="E2045" s="1055" t="s">
        <v>1377</v>
      </c>
      <c r="F2045" s="1056">
        <v>673</v>
      </c>
      <c r="G2045" s="1056">
        <v>177</v>
      </c>
      <c r="H2045" s="1056">
        <v>0</v>
      </c>
      <c r="I2045" s="1056">
        <v>850</v>
      </c>
      <c r="K2045" s="995">
        <f t="shared" si="31"/>
        <v>8</v>
      </c>
    </row>
    <row r="2046" spans="1:11">
      <c r="A2046" s="1054">
        <v>52053001</v>
      </c>
      <c r="B2046" s="1055" t="s">
        <v>893</v>
      </c>
      <c r="C2046" s="1055" t="s">
        <v>352</v>
      </c>
      <c r="D2046" s="1055" t="s">
        <v>1613</v>
      </c>
      <c r="E2046" s="1055" t="s">
        <v>1614</v>
      </c>
      <c r="F2046" s="1056">
        <v>415</v>
      </c>
      <c r="G2046" s="1056">
        <v>36</v>
      </c>
      <c r="H2046" s="1056">
        <v>0</v>
      </c>
      <c r="I2046" s="1056">
        <v>450</v>
      </c>
      <c r="K2046" s="995">
        <f t="shared" si="31"/>
        <v>8</v>
      </c>
    </row>
    <row r="2047" spans="1:11">
      <c r="A2047" s="1054">
        <v>52053001</v>
      </c>
      <c r="B2047" s="1055" t="s">
        <v>893</v>
      </c>
      <c r="C2047" s="1055" t="s">
        <v>352</v>
      </c>
      <c r="D2047" s="1055" t="s">
        <v>1305</v>
      </c>
      <c r="E2047" s="1055" t="s">
        <v>990</v>
      </c>
      <c r="F2047" s="1056">
        <v>937</v>
      </c>
      <c r="G2047" s="1056">
        <v>181</v>
      </c>
      <c r="H2047" s="1056">
        <v>0</v>
      </c>
      <c r="I2047" s="1056">
        <v>1118</v>
      </c>
      <c r="K2047" s="995">
        <f t="shared" si="31"/>
        <v>8</v>
      </c>
    </row>
    <row r="2048" spans="1:11">
      <c r="A2048" s="1054">
        <v>52053001</v>
      </c>
      <c r="B2048" s="1055" t="s">
        <v>893</v>
      </c>
      <c r="C2048" s="1055" t="s">
        <v>352</v>
      </c>
      <c r="D2048" s="1055" t="s">
        <v>1306</v>
      </c>
      <c r="E2048" s="1055" t="s">
        <v>997</v>
      </c>
      <c r="F2048" s="1056">
        <v>846</v>
      </c>
      <c r="G2048" s="1056">
        <v>191</v>
      </c>
      <c r="H2048" s="1056">
        <v>0</v>
      </c>
      <c r="I2048" s="1056">
        <v>1037</v>
      </c>
      <c r="K2048" s="995">
        <f t="shared" si="31"/>
        <v>8</v>
      </c>
    </row>
    <row r="2049" spans="1:11">
      <c r="A2049" s="1054">
        <v>52053001</v>
      </c>
      <c r="B2049" s="1055" t="s">
        <v>893</v>
      </c>
      <c r="C2049" s="1055" t="s">
        <v>352</v>
      </c>
      <c r="D2049" s="1055" t="s">
        <v>1322</v>
      </c>
      <c r="E2049" s="1055" t="s">
        <v>1323</v>
      </c>
      <c r="F2049" s="1056">
        <v>556</v>
      </c>
      <c r="G2049" s="1056">
        <v>0</v>
      </c>
      <c r="H2049" s="1056">
        <v>0</v>
      </c>
      <c r="I2049" s="1056">
        <v>556</v>
      </c>
      <c r="K2049" s="995">
        <f t="shared" si="31"/>
        <v>8</v>
      </c>
    </row>
    <row r="2050" spans="1:11">
      <c r="A2050" s="1054">
        <v>52053001</v>
      </c>
      <c r="B2050" s="1055" t="s">
        <v>893</v>
      </c>
      <c r="C2050" s="1055" t="s">
        <v>352</v>
      </c>
      <c r="D2050" s="1055" t="s">
        <v>1391</v>
      </c>
      <c r="E2050" s="1055" t="s">
        <v>1392</v>
      </c>
      <c r="F2050" s="1056">
        <v>68</v>
      </c>
      <c r="G2050" s="1056">
        <v>0</v>
      </c>
      <c r="H2050" s="1056">
        <v>0</v>
      </c>
      <c r="I2050" s="1056">
        <v>68</v>
      </c>
      <c r="K2050" s="995">
        <f t="shared" si="31"/>
        <v>8</v>
      </c>
    </row>
    <row r="2051" spans="1:11">
      <c r="A2051" s="1054">
        <v>52053001</v>
      </c>
      <c r="B2051" s="1055" t="s">
        <v>893</v>
      </c>
      <c r="C2051" s="1055" t="s">
        <v>352</v>
      </c>
      <c r="D2051" s="1055" t="s">
        <v>1250</v>
      </c>
      <c r="E2051" s="1055" t="s">
        <v>1251</v>
      </c>
      <c r="F2051" s="1056">
        <v>846</v>
      </c>
      <c r="G2051" s="1056">
        <v>163</v>
      </c>
      <c r="H2051" s="1056">
        <v>0</v>
      </c>
      <c r="I2051" s="1056">
        <v>1009</v>
      </c>
      <c r="K2051" s="995">
        <f t="shared" si="31"/>
        <v>8</v>
      </c>
    </row>
    <row r="2052" spans="1:11">
      <c r="A2052" s="1054">
        <v>52053001</v>
      </c>
      <c r="B2052" s="1055" t="s">
        <v>893</v>
      </c>
      <c r="C2052" s="1055" t="s">
        <v>352</v>
      </c>
      <c r="D2052" s="1055" t="s">
        <v>1787</v>
      </c>
      <c r="E2052" s="1055" t="s">
        <v>1788</v>
      </c>
      <c r="F2052" s="1056">
        <v>216</v>
      </c>
      <c r="G2052" s="1056">
        <v>181</v>
      </c>
      <c r="H2052" s="1056">
        <v>0</v>
      </c>
      <c r="I2052" s="1056">
        <v>397</v>
      </c>
      <c r="K2052" s="995">
        <f t="shared" si="31"/>
        <v>8</v>
      </c>
    </row>
    <row r="2053" spans="1:11">
      <c r="A2053" s="1054">
        <v>52053001</v>
      </c>
      <c r="B2053" s="1055" t="s">
        <v>893</v>
      </c>
      <c r="C2053" s="1055" t="s">
        <v>352</v>
      </c>
      <c r="D2053" s="1055" t="s">
        <v>1378</v>
      </c>
      <c r="E2053" s="1055" t="s">
        <v>1379</v>
      </c>
      <c r="F2053" s="1056">
        <v>807</v>
      </c>
      <c r="G2053" s="1056">
        <v>0</v>
      </c>
      <c r="H2053" s="1056">
        <v>0</v>
      </c>
      <c r="I2053" s="1056">
        <v>807</v>
      </c>
      <c r="K2053" s="995">
        <f t="shared" ref="K2053:K2116" si="32">+LEN(A2053)</f>
        <v>8</v>
      </c>
    </row>
    <row r="2054" spans="1:11">
      <c r="A2054" s="1054">
        <v>52053001</v>
      </c>
      <c r="B2054" s="1055" t="s">
        <v>893</v>
      </c>
      <c r="C2054" s="1055" t="s">
        <v>352</v>
      </c>
      <c r="D2054" s="1055" t="s">
        <v>1303</v>
      </c>
      <c r="E2054" s="1055" t="s">
        <v>806</v>
      </c>
      <c r="F2054" s="1056">
        <v>765</v>
      </c>
      <c r="G2054" s="1056">
        <v>143</v>
      </c>
      <c r="H2054" s="1056">
        <v>0</v>
      </c>
      <c r="I2054" s="1056">
        <v>908</v>
      </c>
      <c r="K2054" s="995">
        <f t="shared" si="32"/>
        <v>8</v>
      </c>
    </row>
    <row r="2055" spans="1:11">
      <c r="A2055" s="1054">
        <v>52053001</v>
      </c>
      <c r="B2055" s="1055" t="s">
        <v>893</v>
      </c>
      <c r="C2055" s="1055" t="s">
        <v>352</v>
      </c>
      <c r="D2055" s="1055" t="s">
        <v>1605</v>
      </c>
      <c r="E2055" s="1055" t="s">
        <v>1606</v>
      </c>
      <c r="F2055" s="1056">
        <v>589</v>
      </c>
      <c r="G2055" s="1056">
        <v>223</v>
      </c>
      <c r="H2055" s="1056">
        <v>0</v>
      </c>
      <c r="I2055" s="1056">
        <v>812</v>
      </c>
      <c r="K2055" s="995">
        <f t="shared" si="32"/>
        <v>8</v>
      </c>
    </row>
    <row r="2056" spans="1:11">
      <c r="A2056" s="1054">
        <v>52053001</v>
      </c>
      <c r="B2056" s="1055" t="s">
        <v>893</v>
      </c>
      <c r="C2056" s="1055" t="s">
        <v>352</v>
      </c>
      <c r="D2056" s="1055" t="s">
        <v>1789</v>
      </c>
      <c r="E2056" s="1055" t="s">
        <v>1790</v>
      </c>
      <c r="F2056" s="1056">
        <v>310</v>
      </c>
      <c r="G2056" s="1056">
        <v>153</v>
      </c>
      <c r="H2056" s="1056">
        <v>0</v>
      </c>
      <c r="I2056" s="1056">
        <v>464</v>
      </c>
      <c r="K2056" s="995">
        <f t="shared" si="32"/>
        <v>8</v>
      </c>
    </row>
    <row r="2057" spans="1:11">
      <c r="A2057" s="1054">
        <v>52053001</v>
      </c>
      <c r="B2057" s="1055" t="s">
        <v>893</v>
      </c>
      <c r="C2057" s="1055" t="s">
        <v>352</v>
      </c>
      <c r="D2057" s="1055" t="s">
        <v>1254</v>
      </c>
      <c r="E2057" s="1055" t="s">
        <v>744</v>
      </c>
      <c r="F2057" s="1056">
        <v>916</v>
      </c>
      <c r="G2057" s="1056">
        <v>199</v>
      </c>
      <c r="H2057" s="1056">
        <v>0</v>
      </c>
      <c r="I2057" s="1056">
        <v>1115</v>
      </c>
      <c r="K2057" s="995">
        <f t="shared" si="32"/>
        <v>8</v>
      </c>
    </row>
    <row r="2058" spans="1:11">
      <c r="A2058" s="1054">
        <v>52053001</v>
      </c>
      <c r="B2058" s="1055" t="s">
        <v>893</v>
      </c>
      <c r="C2058" s="1055" t="s">
        <v>352</v>
      </c>
      <c r="D2058" s="1055" t="s">
        <v>1275</v>
      </c>
      <c r="E2058" s="1055" t="s">
        <v>991</v>
      </c>
      <c r="F2058" s="1056">
        <v>790</v>
      </c>
      <c r="G2058" s="1056">
        <v>320</v>
      </c>
      <c r="H2058" s="1056">
        <v>0</v>
      </c>
      <c r="I2058" s="1056">
        <v>1111</v>
      </c>
      <c r="K2058" s="995">
        <f t="shared" si="32"/>
        <v>8</v>
      </c>
    </row>
    <row r="2059" spans="1:11">
      <c r="A2059" s="1054">
        <v>52053001</v>
      </c>
      <c r="B2059" s="1055" t="s">
        <v>893</v>
      </c>
      <c r="C2059" s="1055" t="s">
        <v>352</v>
      </c>
      <c r="D2059" s="1055" t="s">
        <v>1380</v>
      </c>
      <c r="E2059" s="1055" t="s">
        <v>1381</v>
      </c>
      <c r="F2059" s="1056">
        <v>0</v>
      </c>
      <c r="G2059" s="1056">
        <v>99</v>
      </c>
      <c r="H2059" s="1056">
        <v>0</v>
      </c>
      <c r="I2059" s="1056">
        <v>99</v>
      </c>
      <c r="K2059" s="995">
        <f t="shared" si="32"/>
        <v>8</v>
      </c>
    </row>
    <row r="2060" spans="1:11">
      <c r="A2060" s="1054">
        <v>52053001</v>
      </c>
      <c r="B2060" s="1055" t="s">
        <v>893</v>
      </c>
      <c r="C2060" s="1055" t="s">
        <v>352</v>
      </c>
      <c r="D2060" s="1055" t="s">
        <v>1044</v>
      </c>
      <c r="E2060" s="1055" t="s">
        <v>1045</v>
      </c>
      <c r="F2060" s="1056">
        <v>941</v>
      </c>
      <c r="G2060" s="1056">
        <v>13</v>
      </c>
      <c r="H2060" s="1056">
        <v>0</v>
      </c>
      <c r="I2060" s="1056">
        <v>954</v>
      </c>
      <c r="K2060" s="995">
        <f t="shared" si="32"/>
        <v>8</v>
      </c>
    </row>
    <row r="2061" spans="1:11">
      <c r="A2061" s="1054">
        <v>52053001</v>
      </c>
      <c r="B2061" s="1055" t="s">
        <v>893</v>
      </c>
      <c r="C2061" s="1055" t="s">
        <v>352</v>
      </c>
      <c r="D2061" s="1055" t="s">
        <v>1395</v>
      </c>
      <c r="E2061" s="1055" t="s">
        <v>1396</v>
      </c>
      <c r="F2061" s="1056">
        <v>420</v>
      </c>
      <c r="G2061" s="1056">
        <v>0</v>
      </c>
      <c r="H2061" s="1056">
        <v>0</v>
      </c>
      <c r="I2061" s="1056">
        <v>420</v>
      </c>
      <c r="K2061" s="995">
        <f t="shared" si="32"/>
        <v>8</v>
      </c>
    </row>
    <row r="2062" spans="1:11">
      <c r="A2062" s="1054">
        <v>52053001</v>
      </c>
      <c r="B2062" s="1055" t="s">
        <v>893</v>
      </c>
      <c r="C2062" s="1055" t="s">
        <v>352</v>
      </c>
      <c r="D2062" s="1055" t="s">
        <v>1382</v>
      </c>
      <c r="E2062" s="1055" t="s">
        <v>1763</v>
      </c>
      <c r="F2062" s="1056">
        <v>995</v>
      </c>
      <c r="G2062" s="1056">
        <v>199</v>
      </c>
      <c r="H2062" s="1056">
        <v>0</v>
      </c>
      <c r="I2062" s="1056">
        <v>1194</v>
      </c>
      <c r="K2062" s="995">
        <f t="shared" si="32"/>
        <v>8</v>
      </c>
    </row>
    <row r="2063" spans="1:11">
      <c r="A2063" s="1054">
        <v>52053001</v>
      </c>
      <c r="B2063" s="1055" t="s">
        <v>893</v>
      </c>
      <c r="C2063" s="1055" t="s">
        <v>352</v>
      </c>
      <c r="D2063" s="1055" t="s">
        <v>1383</v>
      </c>
      <c r="E2063" s="1055" t="s">
        <v>1384</v>
      </c>
      <c r="F2063" s="1056">
        <v>751</v>
      </c>
      <c r="G2063" s="1056">
        <v>151</v>
      </c>
      <c r="H2063" s="1056">
        <v>0</v>
      </c>
      <c r="I2063" s="1056">
        <v>902</v>
      </c>
      <c r="K2063" s="995">
        <f t="shared" si="32"/>
        <v>8</v>
      </c>
    </row>
    <row r="2064" spans="1:11">
      <c r="A2064" s="1054">
        <v>520533</v>
      </c>
      <c r="B2064" s="1055" t="s">
        <v>893</v>
      </c>
      <c r="C2064" s="1055" t="s">
        <v>349</v>
      </c>
      <c r="D2064" s="1055" t="s">
        <v>893</v>
      </c>
      <c r="E2064" s="1055" t="s">
        <v>893</v>
      </c>
      <c r="F2064" s="1056">
        <v>1293</v>
      </c>
      <c r="G2064" s="1056">
        <v>599</v>
      </c>
      <c r="H2064" s="1056">
        <v>0</v>
      </c>
      <c r="I2064" s="1056">
        <v>1893</v>
      </c>
      <c r="K2064" s="995">
        <f t="shared" si="32"/>
        <v>6</v>
      </c>
    </row>
    <row r="2065" spans="1:11">
      <c r="A2065" s="1054">
        <v>52053301</v>
      </c>
      <c r="B2065" s="1055" t="s">
        <v>893</v>
      </c>
      <c r="C2065" s="1055" t="s">
        <v>349</v>
      </c>
      <c r="D2065" s="1055" t="s">
        <v>893</v>
      </c>
      <c r="E2065" s="1055" t="s">
        <v>893</v>
      </c>
      <c r="F2065" s="1056">
        <v>1293</v>
      </c>
      <c r="G2065" s="1056">
        <v>599</v>
      </c>
      <c r="H2065" s="1056">
        <v>0</v>
      </c>
      <c r="I2065" s="1056">
        <v>1893</v>
      </c>
      <c r="K2065" s="995">
        <f t="shared" si="32"/>
        <v>8</v>
      </c>
    </row>
    <row r="2066" spans="1:11">
      <c r="A2066" s="1054">
        <v>52053301</v>
      </c>
      <c r="B2066" s="1055" t="s">
        <v>893</v>
      </c>
      <c r="C2066" s="1055" t="s">
        <v>349</v>
      </c>
      <c r="D2066" s="1055" t="s">
        <v>1360</v>
      </c>
      <c r="E2066" s="1055" t="s">
        <v>1361</v>
      </c>
      <c r="F2066" s="1056">
        <v>43</v>
      </c>
      <c r="G2066" s="1056">
        <v>19</v>
      </c>
      <c r="H2066" s="1056">
        <v>0</v>
      </c>
      <c r="I2066" s="1056">
        <v>63</v>
      </c>
      <c r="K2066" s="995">
        <f t="shared" si="32"/>
        <v>8</v>
      </c>
    </row>
    <row r="2067" spans="1:11">
      <c r="A2067" s="1054">
        <v>52053301</v>
      </c>
      <c r="B2067" s="1055" t="s">
        <v>893</v>
      </c>
      <c r="C2067" s="1055" t="s">
        <v>349</v>
      </c>
      <c r="D2067" s="1055" t="s">
        <v>1298</v>
      </c>
      <c r="E2067" s="1055" t="s">
        <v>987</v>
      </c>
      <c r="F2067" s="1056">
        <v>17</v>
      </c>
      <c r="G2067" s="1056">
        <v>22</v>
      </c>
      <c r="H2067" s="1056">
        <v>0</v>
      </c>
      <c r="I2067" s="1056">
        <v>39</v>
      </c>
      <c r="K2067" s="995">
        <f t="shared" si="32"/>
        <v>8</v>
      </c>
    </row>
    <row r="2068" spans="1:11">
      <c r="A2068" s="1054">
        <v>52053301</v>
      </c>
      <c r="B2068" s="1055" t="s">
        <v>893</v>
      </c>
      <c r="C2068" s="1055" t="s">
        <v>349</v>
      </c>
      <c r="D2068" s="1055" t="s">
        <v>1397</v>
      </c>
      <c r="E2068" s="1055" t="s">
        <v>1398</v>
      </c>
      <c r="F2068" s="1056">
        <v>0</v>
      </c>
      <c r="G2068" s="1056">
        <v>0</v>
      </c>
      <c r="H2068" s="1056">
        <v>0</v>
      </c>
      <c r="I2068" s="1056">
        <v>0</v>
      </c>
      <c r="K2068" s="995">
        <f t="shared" si="32"/>
        <v>8</v>
      </c>
    </row>
    <row r="2069" spans="1:11">
      <c r="A2069" s="1054">
        <v>52053301</v>
      </c>
      <c r="B2069" s="1055" t="s">
        <v>893</v>
      </c>
      <c r="C2069" s="1055" t="s">
        <v>349</v>
      </c>
      <c r="D2069" s="1055" t="s">
        <v>1362</v>
      </c>
      <c r="E2069" s="1055" t="s">
        <v>1363</v>
      </c>
      <c r="F2069" s="1056">
        <v>38</v>
      </c>
      <c r="G2069" s="1056">
        <v>16</v>
      </c>
      <c r="H2069" s="1056">
        <v>0</v>
      </c>
      <c r="I2069" s="1056">
        <v>54</v>
      </c>
      <c r="K2069" s="995">
        <f t="shared" si="32"/>
        <v>8</v>
      </c>
    </row>
    <row r="2070" spans="1:11">
      <c r="A2070" s="1054">
        <v>52053301</v>
      </c>
      <c r="B2070" s="1055" t="s">
        <v>893</v>
      </c>
      <c r="C2070" s="1055" t="s">
        <v>349</v>
      </c>
      <c r="D2070" s="1055" t="s">
        <v>1364</v>
      </c>
      <c r="E2070" s="1055" t="s">
        <v>1365</v>
      </c>
      <c r="F2070" s="1056">
        <v>44</v>
      </c>
      <c r="G2070" s="1056">
        <v>19</v>
      </c>
      <c r="H2070" s="1056">
        <v>0</v>
      </c>
      <c r="I2070" s="1056">
        <v>63</v>
      </c>
      <c r="K2070" s="995">
        <f t="shared" si="32"/>
        <v>8</v>
      </c>
    </row>
    <row r="2071" spans="1:11">
      <c r="A2071" s="1054">
        <v>52053301</v>
      </c>
      <c r="B2071" s="1055" t="s">
        <v>893</v>
      </c>
      <c r="C2071" s="1055" t="s">
        <v>349</v>
      </c>
      <c r="D2071" s="1055" t="s">
        <v>1601</v>
      </c>
      <c r="E2071" s="1055" t="s">
        <v>1602</v>
      </c>
      <c r="F2071" s="1056">
        <v>46</v>
      </c>
      <c r="G2071" s="1056">
        <v>51</v>
      </c>
      <c r="H2071" s="1056">
        <v>0</v>
      </c>
      <c r="I2071" s="1056">
        <v>96</v>
      </c>
      <c r="K2071" s="995">
        <f t="shared" si="32"/>
        <v>8</v>
      </c>
    </row>
    <row r="2072" spans="1:11">
      <c r="A2072" s="1054">
        <v>52053301</v>
      </c>
      <c r="B2072" s="1055" t="s">
        <v>893</v>
      </c>
      <c r="C2072" s="1055" t="s">
        <v>349</v>
      </c>
      <c r="D2072" s="1055" t="s">
        <v>1270</v>
      </c>
      <c r="E2072" s="1055" t="s">
        <v>988</v>
      </c>
      <c r="F2072" s="1056">
        <v>50</v>
      </c>
      <c r="G2072" s="1056">
        <v>22</v>
      </c>
      <c r="H2072" s="1056">
        <v>0</v>
      </c>
      <c r="I2072" s="1056">
        <v>72</v>
      </c>
      <c r="K2072" s="995">
        <f t="shared" si="32"/>
        <v>8</v>
      </c>
    </row>
    <row r="2073" spans="1:11">
      <c r="A2073" s="1054">
        <v>52053301</v>
      </c>
      <c r="B2073" s="1055" t="s">
        <v>893</v>
      </c>
      <c r="C2073" s="1055" t="s">
        <v>349</v>
      </c>
      <c r="D2073" s="1055" t="s">
        <v>1271</v>
      </c>
      <c r="E2073" s="1055" t="s">
        <v>782</v>
      </c>
      <c r="F2073" s="1056">
        <v>49</v>
      </c>
      <c r="G2073" s="1056">
        <v>22</v>
      </c>
      <c r="H2073" s="1056">
        <v>0</v>
      </c>
      <c r="I2073" s="1056">
        <v>71</v>
      </c>
      <c r="K2073" s="995">
        <f t="shared" si="32"/>
        <v>8</v>
      </c>
    </row>
    <row r="2074" spans="1:11">
      <c r="A2074" s="1054">
        <v>52053301</v>
      </c>
      <c r="B2074" s="1055" t="s">
        <v>893</v>
      </c>
      <c r="C2074" s="1055" t="s">
        <v>349</v>
      </c>
      <c r="D2074" s="1055" t="s">
        <v>1366</v>
      </c>
      <c r="E2074" s="1055" t="s">
        <v>1367</v>
      </c>
      <c r="F2074" s="1056">
        <v>39</v>
      </c>
      <c r="G2074" s="1056">
        <v>17</v>
      </c>
      <c r="H2074" s="1056">
        <v>0</v>
      </c>
      <c r="I2074" s="1056">
        <v>56</v>
      </c>
      <c r="K2074" s="995">
        <f t="shared" si="32"/>
        <v>8</v>
      </c>
    </row>
    <row r="2075" spans="1:11">
      <c r="A2075" s="1054">
        <v>52053301</v>
      </c>
      <c r="B2075" s="1055" t="s">
        <v>893</v>
      </c>
      <c r="C2075" s="1055" t="s">
        <v>349</v>
      </c>
      <c r="D2075" s="1055" t="s">
        <v>1302</v>
      </c>
      <c r="E2075" s="1055" t="s">
        <v>986</v>
      </c>
      <c r="F2075" s="1056">
        <v>38</v>
      </c>
      <c r="G2075" s="1056">
        <v>16</v>
      </c>
      <c r="H2075" s="1056">
        <v>0</v>
      </c>
      <c r="I2075" s="1056">
        <v>54</v>
      </c>
      <c r="K2075" s="995">
        <f t="shared" si="32"/>
        <v>8</v>
      </c>
    </row>
    <row r="2076" spans="1:11">
      <c r="A2076" s="1054">
        <v>52053301</v>
      </c>
      <c r="B2076" s="1055" t="s">
        <v>893</v>
      </c>
      <c r="C2076" s="1055" t="s">
        <v>349</v>
      </c>
      <c r="D2076" s="1055" t="s">
        <v>1042</v>
      </c>
      <c r="E2076" s="1055" t="s">
        <v>1732</v>
      </c>
      <c r="F2076" s="1056">
        <v>36</v>
      </c>
      <c r="G2076" s="1056">
        <v>0</v>
      </c>
      <c r="H2076" s="1056">
        <v>0</v>
      </c>
      <c r="I2076" s="1056">
        <v>36</v>
      </c>
      <c r="K2076" s="995">
        <f t="shared" si="32"/>
        <v>8</v>
      </c>
    </row>
    <row r="2077" spans="1:11">
      <c r="A2077" s="1054">
        <v>52053301</v>
      </c>
      <c r="B2077" s="1055" t="s">
        <v>893</v>
      </c>
      <c r="C2077" s="1055" t="s">
        <v>349</v>
      </c>
      <c r="D2077" s="1055" t="s">
        <v>1611</v>
      </c>
      <c r="E2077" s="1055" t="s">
        <v>1612</v>
      </c>
      <c r="F2077" s="1056">
        <v>1</v>
      </c>
      <c r="G2077" s="1056">
        <v>0</v>
      </c>
      <c r="H2077" s="1056">
        <v>0</v>
      </c>
      <c r="I2077" s="1056">
        <v>1</v>
      </c>
      <c r="K2077" s="995">
        <f t="shared" si="32"/>
        <v>8</v>
      </c>
    </row>
    <row r="2078" spans="1:11">
      <c r="A2078" s="1054">
        <v>52053301</v>
      </c>
      <c r="B2078" s="1055" t="s">
        <v>893</v>
      </c>
      <c r="C2078" s="1055" t="s">
        <v>349</v>
      </c>
      <c r="D2078" s="1055" t="s">
        <v>1368</v>
      </c>
      <c r="E2078" s="1055" t="s">
        <v>1369</v>
      </c>
      <c r="F2078" s="1056">
        <v>3</v>
      </c>
      <c r="G2078" s="1056">
        <v>6</v>
      </c>
      <c r="H2078" s="1056">
        <v>0</v>
      </c>
      <c r="I2078" s="1056">
        <v>8</v>
      </c>
      <c r="K2078" s="995">
        <f t="shared" si="32"/>
        <v>8</v>
      </c>
    </row>
    <row r="2079" spans="1:11">
      <c r="A2079" s="1054">
        <v>52053301</v>
      </c>
      <c r="B2079" s="1055" t="s">
        <v>893</v>
      </c>
      <c r="C2079" s="1055" t="s">
        <v>349</v>
      </c>
      <c r="D2079" s="1055" t="s">
        <v>1246</v>
      </c>
      <c r="E2079" s="1055" t="s">
        <v>743</v>
      </c>
      <c r="F2079" s="1056">
        <v>1</v>
      </c>
      <c r="G2079" s="1056">
        <v>0</v>
      </c>
      <c r="H2079" s="1056">
        <v>0</v>
      </c>
      <c r="I2079" s="1056">
        <v>1</v>
      </c>
      <c r="K2079" s="995">
        <f t="shared" si="32"/>
        <v>8</v>
      </c>
    </row>
    <row r="2080" spans="1:11">
      <c r="A2080" s="1054">
        <v>52053301</v>
      </c>
      <c r="B2080" s="1055" t="s">
        <v>893</v>
      </c>
      <c r="C2080" s="1055" t="s">
        <v>349</v>
      </c>
      <c r="D2080" s="1055" t="s">
        <v>1320</v>
      </c>
      <c r="E2080" s="1055" t="s">
        <v>1321</v>
      </c>
      <c r="F2080" s="1056">
        <v>38</v>
      </c>
      <c r="G2080" s="1056">
        <v>18</v>
      </c>
      <c r="H2080" s="1056">
        <v>0</v>
      </c>
      <c r="I2080" s="1056">
        <v>55</v>
      </c>
      <c r="K2080" s="995">
        <f t="shared" si="32"/>
        <v>8</v>
      </c>
    </row>
    <row r="2081" spans="1:11">
      <c r="A2081" s="1054">
        <v>52053301</v>
      </c>
      <c r="B2081" s="1055" t="s">
        <v>893</v>
      </c>
      <c r="C2081" s="1055" t="s">
        <v>349</v>
      </c>
      <c r="D2081" s="1055" t="s">
        <v>1274</v>
      </c>
      <c r="E2081" s="1055" t="s">
        <v>989</v>
      </c>
      <c r="F2081" s="1056">
        <v>55</v>
      </c>
      <c r="G2081" s="1056">
        <v>24</v>
      </c>
      <c r="H2081" s="1056">
        <v>0</v>
      </c>
      <c r="I2081" s="1056">
        <v>79</v>
      </c>
      <c r="K2081" s="995">
        <f t="shared" si="32"/>
        <v>8</v>
      </c>
    </row>
    <row r="2082" spans="1:11">
      <c r="A2082" s="1054">
        <v>52053301</v>
      </c>
      <c r="B2082" s="1055" t="s">
        <v>893</v>
      </c>
      <c r="C2082" s="1055" t="s">
        <v>349</v>
      </c>
      <c r="D2082" s="1055" t="s">
        <v>1247</v>
      </c>
      <c r="E2082" s="1055" t="s">
        <v>1248</v>
      </c>
      <c r="F2082" s="1056">
        <v>42</v>
      </c>
      <c r="G2082" s="1056">
        <v>20</v>
      </c>
      <c r="H2082" s="1056">
        <v>0</v>
      </c>
      <c r="I2082" s="1056">
        <v>62</v>
      </c>
      <c r="K2082" s="995">
        <f t="shared" si="32"/>
        <v>8</v>
      </c>
    </row>
    <row r="2083" spans="1:11">
      <c r="A2083" s="1054">
        <v>52053301</v>
      </c>
      <c r="B2083" s="1055" t="s">
        <v>893</v>
      </c>
      <c r="C2083" s="1055" t="s">
        <v>349</v>
      </c>
      <c r="D2083" s="1055" t="s">
        <v>1387</v>
      </c>
      <c r="E2083" s="1055" t="s">
        <v>1388</v>
      </c>
      <c r="F2083" s="1056">
        <v>0</v>
      </c>
      <c r="G2083" s="1056">
        <v>0</v>
      </c>
      <c r="H2083" s="1056">
        <v>0</v>
      </c>
      <c r="I2083" s="1056">
        <v>0</v>
      </c>
      <c r="K2083" s="995">
        <f t="shared" si="32"/>
        <v>8</v>
      </c>
    </row>
    <row r="2084" spans="1:11">
      <c r="A2084" s="1054">
        <v>52053301</v>
      </c>
      <c r="B2084" s="1055" t="s">
        <v>893</v>
      </c>
      <c r="C2084" s="1055" t="s">
        <v>349</v>
      </c>
      <c r="D2084" s="1055" t="s">
        <v>1370</v>
      </c>
      <c r="E2084" s="1055" t="s">
        <v>1371</v>
      </c>
      <c r="F2084" s="1056">
        <v>15</v>
      </c>
      <c r="G2084" s="1056">
        <v>18</v>
      </c>
      <c r="H2084" s="1056">
        <v>0</v>
      </c>
      <c r="I2084" s="1056">
        <v>32</v>
      </c>
      <c r="K2084" s="995">
        <f t="shared" si="32"/>
        <v>8</v>
      </c>
    </row>
    <row r="2085" spans="1:11">
      <c r="A2085" s="1054">
        <v>52053301</v>
      </c>
      <c r="B2085" s="1055" t="s">
        <v>893</v>
      </c>
      <c r="C2085" s="1055" t="s">
        <v>349</v>
      </c>
      <c r="D2085" s="1055" t="s">
        <v>1870</v>
      </c>
      <c r="E2085" s="1055" t="s">
        <v>1871</v>
      </c>
      <c r="F2085" s="1056">
        <v>15</v>
      </c>
      <c r="G2085" s="1056">
        <v>11</v>
      </c>
      <c r="H2085" s="1056">
        <v>0</v>
      </c>
      <c r="I2085" s="1056">
        <v>26</v>
      </c>
      <c r="K2085" s="995">
        <f t="shared" si="32"/>
        <v>8</v>
      </c>
    </row>
    <row r="2086" spans="1:11">
      <c r="A2086" s="1054">
        <v>52053301</v>
      </c>
      <c r="B2086" s="1055" t="s">
        <v>893</v>
      </c>
      <c r="C2086" s="1055" t="s">
        <v>349</v>
      </c>
      <c r="D2086" s="1055" t="s">
        <v>1372</v>
      </c>
      <c r="E2086" s="1055" t="s">
        <v>1373</v>
      </c>
      <c r="F2086" s="1056">
        <v>39</v>
      </c>
      <c r="G2086" s="1056">
        <v>17</v>
      </c>
      <c r="H2086" s="1056">
        <v>0</v>
      </c>
      <c r="I2086" s="1056">
        <v>57</v>
      </c>
      <c r="K2086" s="995">
        <f t="shared" si="32"/>
        <v>8</v>
      </c>
    </row>
    <row r="2087" spans="1:11">
      <c r="A2087" s="1054">
        <v>52053301</v>
      </c>
      <c r="B2087" s="1055" t="s">
        <v>893</v>
      </c>
      <c r="C2087" s="1055" t="s">
        <v>349</v>
      </c>
      <c r="D2087" s="1055" t="s">
        <v>1785</v>
      </c>
      <c r="E2087" s="1055" t="s">
        <v>1786</v>
      </c>
      <c r="F2087" s="1056">
        <v>24</v>
      </c>
      <c r="G2087" s="1056">
        <v>16</v>
      </c>
      <c r="H2087" s="1056">
        <v>0</v>
      </c>
      <c r="I2087" s="1056">
        <v>40</v>
      </c>
      <c r="K2087" s="995">
        <f t="shared" si="32"/>
        <v>8</v>
      </c>
    </row>
    <row r="2088" spans="1:11">
      <c r="A2088" s="1054">
        <v>52053301</v>
      </c>
      <c r="B2088" s="1055" t="s">
        <v>893</v>
      </c>
      <c r="C2088" s="1055" t="s">
        <v>349</v>
      </c>
      <c r="D2088" s="1055" t="s">
        <v>1374</v>
      </c>
      <c r="E2088" s="1055" t="s">
        <v>1375</v>
      </c>
      <c r="F2088" s="1056">
        <v>2</v>
      </c>
      <c r="G2088" s="1056">
        <v>5</v>
      </c>
      <c r="H2088" s="1056">
        <v>0</v>
      </c>
      <c r="I2088" s="1056">
        <v>8</v>
      </c>
      <c r="K2088" s="995">
        <f t="shared" si="32"/>
        <v>8</v>
      </c>
    </row>
    <row r="2089" spans="1:11">
      <c r="A2089" s="1054">
        <v>52053301</v>
      </c>
      <c r="B2089" s="1055" t="s">
        <v>893</v>
      </c>
      <c r="C2089" s="1055" t="s">
        <v>349</v>
      </c>
      <c r="D2089" s="1055" t="s">
        <v>1389</v>
      </c>
      <c r="E2089" s="1055" t="s">
        <v>1390</v>
      </c>
      <c r="F2089" s="1056">
        <v>1</v>
      </c>
      <c r="G2089" s="1056">
        <v>0</v>
      </c>
      <c r="H2089" s="1056">
        <v>0</v>
      </c>
      <c r="I2089" s="1056">
        <v>1</v>
      </c>
      <c r="K2089" s="995">
        <f t="shared" si="32"/>
        <v>8</v>
      </c>
    </row>
    <row r="2090" spans="1:11">
      <c r="A2090" s="1054">
        <v>52053301</v>
      </c>
      <c r="B2090" s="1055" t="s">
        <v>893</v>
      </c>
      <c r="C2090" s="1055" t="s">
        <v>349</v>
      </c>
      <c r="D2090" s="1055" t="s">
        <v>1249</v>
      </c>
      <c r="E2090" s="1055" t="s">
        <v>583</v>
      </c>
      <c r="F2090" s="1056">
        <v>64</v>
      </c>
      <c r="G2090" s="1056">
        <v>28</v>
      </c>
      <c r="H2090" s="1056">
        <v>0</v>
      </c>
      <c r="I2090" s="1056">
        <v>93</v>
      </c>
      <c r="K2090" s="995">
        <f t="shared" si="32"/>
        <v>8</v>
      </c>
    </row>
    <row r="2091" spans="1:11">
      <c r="A2091" s="1054">
        <v>52053301</v>
      </c>
      <c r="B2091" s="1055" t="s">
        <v>893</v>
      </c>
      <c r="C2091" s="1055" t="s">
        <v>349</v>
      </c>
      <c r="D2091" s="1055" t="s">
        <v>1376</v>
      </c>
      <c r="E2091" s="1055" t="s">
        <v>1377</v>
      </c>
      <c r="F2091" s="1056">
        <v>40</v>
      </c>
      <c r="G2091" s="1056">
        <v>19</v>
      </c>
      <c r="H2091" s="1056">
        <v>0</v>
      </c>
      <c r="I2091" s="1056">
        <v>59</v>
      </c>
      <c r="K2091" s="995">
        <f t="shared" si="32"/>
        <v>8</v>
      </c>
    </row>
    <row r="2092" spans="1:11">
      <c r="A2092" s="1054">
        <v>52053301</v>
      </c>
      <c r="B2092" s="1055" t="s">
        <v>893</v>
      </c>
      <c r="C2092" s="1055" t="s">
        <v>349</v>
      </c>
      <c r="D2092" s="1055" t="s">
        <v>1613</v>
      </c>
      <c r="E2092" s="1055" t="s">
        <v>1614</v>
      </c>
      <c r="F2092" s="1056">
        <v>21</v>
      </c>
      <c r="G2092" s="1056">
        <v>4</v>
      </c>
      <c r="H2092" s="1056">
        <v>0</v>
      </c>
      <c r="I2092" s="1056">
        <v>24</v>
      </c>
      <c r="K2092" s="995">
        <f t="shared" si="32"/>
        <v>8</v>
      </c>
    </row>
    <row r="2093" spans="1:11">
      <c r="A2093" s="1054">
        <v>52053301</v>
      </c>
      <c r="B2093" s="1055" t="s">
        <v>893</v>
      </c>
      <c r="C2093" s="1055" t="s">
        <v>349</v>
      </c>
      <c r="D2093" s="1055" t="s">
        <v>1305</v>
      </c>
      <c r="E2093" s="1055" t="s">
        <v>990</v>
      </c>
      <c r="F2093" s="1056">
        <v>47</v>
      </c>
      <c r="G2093" s="1056">
        <v>20</v>
      </c>
      <c r="H2093" s="1056">
        <v>0</v>
      </c>
      <c r="I2093" s="1056">
        <v>67</v>
      </c>
      <c r="K2093" s="995">
        <f t="shared" si="32"/>
        <v>8</v>
      </c>
    </row>
    <row r="2094" spans="1:11">
      <c r="A2094" s="1054">
        <v>52053301</v>
      </c>
      <c r="B2094" s="1055" t="s">
        <v>893</v>
      </c>
      <c r="C2094" s="1055" t="s">
        <v>349</v>
      </c>
      <c r="D2094" s="1055" t="s">
        <v>1306</v>
      </c>
      <c r="E2094" s="1055" t="s">
        <v>997</v>
      </c>
      <c r="F2094" s="1056">
        <v>42</v>
      </c>
      <c r="G2094" s="1056">
        <v>20</v>
      </c>
      <c r="H2094" s="1056">
        <v>0</v>
      </c>
      <c r="I2094" s="1056">
        <v>62</v>
      </c>
      <c r="K2094" s="995">
        <f t="shared" si="32"/>
        <v>8</v>
      </c>
    </row>
    <row r="2095" spans="1:11">
      <c r="A2095" s="1054">
        <v>52053301</v>
      </c>
      <c r="B2095" s="1055" t="s">
        <v>893</v>
      </c>
      <c r="C2095" s="1055" t="s">
        <v>349</v>
      </c>
      <c r="D2095" s="1055" t="s">
        <v>1322</v>
      </c>
      <c r="E2095" s="1055" t="s">
        <v>1323</v>
      </c>
      <c r="F2095" s="1056">
        <v>22</v>
      </c>
      <c r="G2095" s="1056">
        <v>0</v>
      </c>
      <c r="H2095" s="1056">
        <v>0</v>
      </c>
      <c r="I2095" s="1056">
        <v>22</v>
      </c>
      <c r="K2095" s="995">
        <f t="shared" si="32"/>
        <v>8</v>
      </c>
    </row>
    <row r="2096" spans="1:11">
      <c r="A2096" s="1054">
        <v>52053301</v>
      </c>
      <c r="B2096" s="1055" t="s">
        <v>893</v>
      </c>
      <c r="C2096" s="1055" t="s">
        <v>349</v>
      </c>
      <c r="D2096" s="1055" t="s">
        <v>1391</v>
      </c>
      <c r="E2096" s="1055" t="s">
        <v>1392</v>
      </c>
      <c r="F2096" s="1056">
        <v>0</v>
      </c>
      <c r="G2096" s="1056">
        <v>0</v>
      </c>
      <c r="H2096" s="1056">
        <v>0</v>
      </c>
      <c r="I2096" s="1056">
        <v>0</v>
      </c>
      <c r="K2096" s="995">
        <f t="shared" si="32"/>
        <v>8</v>
      </c>
    </row>
    <row r="2097" spans="1:11">
      <c r="A2097" s="1054">
        <v>52053301</v>
      </c>
      <c r="B2097" s="1055" t="s">
        <v>893</v>
      </c>
      <c r="C2097" s="1055" t="s">
        <v>349</v>
      </c>
      <c r="D2097" s="1055" t="s">
        <v>1250</v>
      </c>
      <c r="E2097" s="1055" t="s">
        <v>1251</v>
      </c>
      <c r="F2097" s="1056">
        <v>42</v>
      </c>
      <c r="G2097" s="1056">
        <v>18</v>
      </c>
      <c r="H2097" s="1056">
        <v>0</v>
      </c>
      <c r="I2097" s="1056">
        <v>61</v>
      </c>
      <c r="K2097" s="995">
        <f t="shared" si="32"/>
        <v>8</v>
      </c>
    </row>
    <row r="2098" spans="1:11">
      <c r="A2098" s="1054">
        <v>52053301</v>
      </c>
      <c r="B2098" s="1055" t="s">
        <v>893</v>
      </c>
      <c r="C2098" s="1055" t="s">
        <v>349</v>
      </c>
      <c r="D2098" s="1055" t="s">
        <v>1787</v>
      </c>
      <c r="E2098" s="1055" t="s">
        <v>1788</v>
      </c>
      <c r="F2098" s="1056">
        <v>3</v>
      </c>
      <c r="G2098" s="1056">
        <v>6</v>
      </c>
      <c r="H2098" s="1056">
        <v>0</v>
      </c>
      <c r="I2098" s="1056">
        <v>9</v>
      </c>
      <c r="K2098" s="995">
        <f t="shared" si="32"/>
        <v>8</v>
      </c>
    </row>
    <row r="2099" spans="1:11">
      <c r="A2099" s="1054">
        <v>52053301</v>
      </c>
      <c r="B2099" s="1055" t="s">
        <v>893</v>
      </c>
      <c r="C2099" s="1055" t="s">
        <v>349</v>
      </c>
      <c r="D2099" s="1055" t="s">
        <v>1378</v>
      </c>
      <c r="E2099" s="1055" t="s">
        <v>1379</v>
      </c>
      <c r="F2099" s="1056">
        <v>40</v>
      </c>
      <c r="G2099" s="1056">
        <v>0</v>
      </c>
      <c r="H2099" s="1056">
        <v>0</v>
      </c>
      <c r="I2099" s="1056">
        <v>40</v>
      </c>
      <c r="K2099" s="995">
        <f t="shared" si="32"/>
        <v>8</v>
      </c>
    </row>
    <row r="2100" spans="1:11">
      <c r="A2100" s="1054">
        <v>52053301</v>
      </c>
      <c r="B2100" s="1055" t="s">
        <v>893</v>
      </c>
      <c r="C2100" s="1055" t="s">
        <v>349</v>
      </c>
      <c r="D2100" s="1055" t="s">
        <v>1303</v>
      </c>
      <c r="E2100" s="1055" t="s">
        <v>806</v>
      </c>
      <c r="F2100" s="1056">
        <v>38</v>
      </c>
      <c r="G2100" s="1056">
        <v>16</v>
      </c>
      <c r="H2100" s="1056">
        <v>0</v>
      </c>
      <c r="I2100" s="1056">
        <v>54</v>
      </c>
      <c r="K2100" s="995">
        <f t="shared" si="32"/>
        <v>8</v>
      </c>
    </row>
    <row r="2101" spans="1:11">
      <c r="A2101" s="1054">
        <v>52053301</v>
      </c>
      <c r="B2101" s="1055" t="s">
        <v>893</v>
      </c>
      <c r="C2101" s="1055" t="s">
        <v>349</v>
      </c>
      <c r="D2101" s="1055" t="s">
        <v>1605</v>
      </c>
      <c r="E2101" s="1055" t="s">
        <v>1606</v>
      </c>
      <c r="F2101" s="1056">
        <v>41</v>
      </c>
      <c r="G2101" s="1056">
        <v>23</v>
      </c>
      <c r="H2101" s="1056">
        <v>0</v>
      </c>
      <c r="I2101" s="1056">
        <v>64</v>
      </c>
      <c r="K2101" s="995">
        <f t="shared" si="32"/>
        <v>8</v>
      </c>
    </row>
    <row r="2102" spans="1:11">
      <c r="A2102" s="1054">
        <v>52053301</v>
      </c>
      <c r="B2102" s="1055" t="s">
        <v>893</v>
      </c>
      <c r="C2102" s="1055" t="s">
        <v>349</v>
      </c>
      <c r="D2102" s="1055" t="s">
        <v>1789</v>
      </c>
      <c r="E2102" s="1055" t="s">
        <v>1790</v>
      </c>
      <c r="F2102" s="1056">
        <v>25</v>
      </c>
      <c r="G2102" s="1056">
        <v>17</v>
      </c>
      <c r="H2102" s="1056">
        <v>0</v>
      </c>
      <c r="I2102" s="1056">
        <v>42</v>
      </c>
      <c r="K2102" s="995">
        <f t="shared" si="32"/>
        <v>8</v>
      </c>
    </row>
    <row r="2103" spans="1:11">
      <c r="A2103" s="1054">
        <v>52053301</v>
      </c>
      <c r="B2103" s="1055" t="s">
        <v>893</v>
      </c>
      <c r="C2103" s="1055" t="s">
        <v>349</v>
      </c>
      <c r="D2103" s="1055" t="s">
        <v>1254</v>
      </c>
      <c r="E2103" s="1055" t="s">
        <v>744</v>
      </c>
      <c r="F2103" s="1056">
        <v>46</v>
      </c>
      <c r="G2103" s="1056">
        <v>21</v>
      </c>
      <c r="H2103" s="1056">
        <v>0</v>
      </c>
      <c r="I2103" s="1056">
        <v>67</v>
      </c>
      <c r="K2103" s="995">
        <f t="shared" si="32"/>
        <v>8</v>
      </c>
    </row>
    <row r="2104" spans="1:11">
      <c r="A2104" s="1054">
        <v>52053301</v>
      </c>
      <c r="B2104" s="1055" t="s">
        <v>893</v>
      </c>
      <c r="C2104" s="1055" t="s">
        <v>349</v>
      </c>
      <c r="D2104" s="1055" t="s">
        <v>1275</v>
      </c>
      <c r="E2104" s="1055" t="s">
        <v>991</v>
      </c>
      <c r="F2104" s="1056">
        <v>40</v>
      </c>
      <c r="G2104" s="1056">
        <v>27</v>
      </c>
      <c r="H2104" s="1056">
        <v>0</v>
      </c>
      <c r="I2104" s="1056">
        <v>67</v>
      </c>
      <c r="K2104" s="995">
        <f t="shared" si="32"/>
        <v>8</v>
      </c>
    </row>
    <row r="2105" spans="1:11">
      <c r="A2105" s="1054">
        <v>52053301</v>
      </c>
      <c r="B2105" s="1055" t="s">
        <v>893</v>
      </c>
      <c r="C2105" s="1055" t="s">
        <v>349</v>
      </c>
      <c r="D2105" s="1055" t="s">
        <v>1380</v>
      </c>
      <c r="E2105" s="1055" t="s">
        <v>1381</v>
      </c>
      <c r="F2105" s="1056">
        <v>0</v>
      </c>
      <c r="G2105" s="1056">
        <v>1</v>
      </c>
      <c r="H2105" s="1056">
        <v>0</v>
      </c>
      <c r="I2105" s="1056">
        <v>1</v>
      </c>
      <c r="K2105" s="995">
        <f t="shared" si="32"/>
        <v>8</v>
      </c>
    </row>
    <row r="2106" spans="1:11">
      <c r="A2106" s="1054">
        <v>52053301</v>
      </c>
      <c r="B2106" s="1055" t="s">
        <v>893</v>
      </c>
      <c r="C2106" s="1055" t="s">
        <v>349</v>
      </c>
      <c r="D2106" s="1055" t="s">
        <v>1044</v>
      </c>
      <c r="E2106" s="1055" t="s">
        <v>1045</v>
      </c>
      <c r="F2106" s="1056">
        <v>47</v>
      </c>
      <c r="G2106" s="1056">
        <v>1</v>
      </c>
      <c r="H2106" s="1056">
        <v>0</v>
      </c>
      <c r="I2106" s="1056">
        <v>48</v>
      </c>
      <c r="K2106" s="995">
        <f t="shared" si="32"/>
        <v>8</v>
      </c>
    </row>
    <row r="2107" spans="1:11">
      <c r="A2107" s="1054">
        <v>52053301</v>
      </c>
      <c r="B2107" s="1055" t="s">
        <v>893</v>
      </c>
      <c r="C2107" s="1055" t="s">
        <v>349</v>
      </c>
      <c r="D2107" s="1055" t="s">
        <v>1395</v>
      </c>
      <c r="E2107" s="1055" t="s">
        <v>1396</v>
      </c>
      <c r="F2107" s="1056">
        <v>12</v>
      </c>
      <c r="G2107" s="1056">
        <v>0</v>
      </c>
      <c r="H2107" s="1056">
        <v>0</v>
      </c>
      <c r="I2107" s="1056">
        <v>12</v>
      </c>
      <c r="K2107" s="995">
        <f t="shared" si="32"/>
        <v>8</v>
      </c>
    </row>
    <row r="2108" spans="1:11">
      <c r="A2108" s="1054">
        <v>52053301</v>
      </c>
      <c r="B2108" s="1055" t="s">
        <v>893</v>
      </c>
      <c r="C2108" s="1055" t="s">
        <v>349</v>
      </c>
      <c r="D2108" s="1055" t="s">
        <v>1382</v>
      </c>
      <c r="E2108" s="1055" t="s">
        <v>1763</v>
      </c>
      <c r="F2108" s="1056">
        <v>50</v>
      </c>
      <c r="G2108" s="1056">
        <v>22</v>
      </c>
      <c r="H2108" s="1056">
        <v>0</v>
      </c>
      <c r="I2108" s="1056">
        <v>72</v>
      </c>
      <c r="K2108" s="995">
        <f t="shared" si="32"/>
        <v>8</v>
      </c>
    </row>
    <row r="2109" spans="1:11">
      <c r="A2109" s="1054">
        <v>52053301</v>
      </c>
      <c r="B2109" s="1055" t="s">
        <v>893</v>
      </c>
      <c r="C2109" s="1055" t="s">
        <v>349</v>
      </c>
      <c r="D2109" s="1055" t="s">
        <v>1383</v>
      </c>
      <c r="E2109" s="1055" t="s">
        <v>1384</v>
      </c>
      <c r="F2109" s="1056">
        <v>38</v>
      </c>
      <c r="G2109" s="1056">
        <v>17</v>
      </c>
      <c r="H2109" s="1056">
        <v>0</v>
      </c>
      <c r="I2109" s="1056">
        <v>54</v>
      </c>
      <c r="K2109" s="995">
        <f t="shared" si="32"/>
        <v>8</v>
      </c>
    </row>
    <row r="2110" spans="1:11">
      <c r="A2110" s="1054">
        <v>520536</v>
      </c>
      <c r="B2110" s="1055" t="s">
        <v>893</v>
      </c>
      <c r="C2110" s="1055" t="s">
        <v>350</v>
      </c>
      <c r="D2110" s="1055" t="s">
        <v>893</v>
      </c>
      <c r="E2110" s="1055" t="s">
        <v>893</v>
      </c>
      <c r="F2110" s="1056">
        <v>26462</v>
      </c>
      <c r="G2110" s="1056">
        <v>5639</v>
      </c>
      <c r="H2110" s="1056">
        <v>0</v>
      </c>
      <c r="I2110" s="1056">
        <v>32101</v>
      </c>
      <c r="K2110" s="995">
        <f t="shared" si="32"/>
        <v>6</v>
      </c>
    </row>
    <row r="2111" spans="1:11">
      <c r="A2111" s="1054">
        <v>52053601</v>
      </c>
      <c r="B2111" s="1055" t="s">
        <v>893</v>
      </c>
      <c r="C2111" s="1055" t="s">
        <v>350</v>
      </c>
      <c r="D2111" s="1055" t="s">
        <v>893</v>
      </c>
      <c r="E2111" s="1055" t="s">
        <v>893</v>
      </c>
      <c r="F2111" s="1056">
        <v>26462</v>
      </c>
      <c r="G2111" s="1056">
        <v>5639</v>
      </c>
      <c r="H2111" s="1056">
        <v>0</v>
      </c>
      <c r="I2111" s="1056">
        <v>32101</v>
      </c>
      <c r="K2111" s="995">
        <f t="shared" si="32"/>
        <v>8</v>
      </c>
    </row>
    <row r="2112" spans="1:11">
      <c r="A2112" s="1054">
        <v>52053601</v>
      </c>
      <c r="B2112" s="1055" t="s">
        <v>893</v>
      </c>
      <c r="C2112" s="1055" t="s">
        <v>350</v>
      </c>
      <c r="D2112" s="1055" t="s">
        <v>1360</v>
      </c>
      <c r="E2112" s="1055" t="s">
        <v>1361</v>
      </c>
      <c r="F2112" s="1056">
        <v>867</v>
      </c>
      <c r="G2112" s="1056">
        <v>130</v>
      </c>
      <c r="H2112" s="1056">
        <v>0</v>
      </c>
      <c r="I2112" s="1056">
        <v>997</v>
      </c>
      <c r="K2112" s="995">
        <f t="shared" si="32"/>
        <v>8</v>
      </c>
    </row>
    <row r="2113" spans="1:11">
      <c r="A2113" s="1054">
        <v>52053601</v>
      </c>
      <c r="B2113" s="1055" t="s">
        <v>893</v>
      </c>
      <c r="C2113" s="1055" t="s">
        <v>350</v>
      </c>
      <c r="D2113" s="1055" t="s">
        <v>1298</v>
      </c>
      <c r="E2113" s="1055" t="s">
        <v>987</v>
      </c>
      <c r="F2113" s="1056">
        <v>203</v>
      </c>
      <c r="G2113" s="1056">
        <v>183</v>
      </c>
      <c r="H2113" s="1056">
        <v>0</v>
      </c>
      <c r="I2113" s="1056">
        <v>387</v>
      </c>
      <c r="K2113" s="995">
        <f t="shared" si="32"/>
        <v>8</v>
      </c>
    </row>
    <row r="2114" spans="1:11">
      <c r="A2114" s="1054">
        <v>52053601</v>
      </c>
      <c r="B2114" s="1055" t="s">
        <v>893</v>
      </c>
      <c r="C2114" s="1055" t="s">
        <v>350</v>
      </c>
      <c r="D2114" s="1055" t="s">
        <v>1397</v>
      </c>
      <c r="E2114" s="1055" t="s">
        <v>1398</v>
      </c>
      <c r="F2114" s="1056">
        <v>81</v>
      </c>
      <c r="G2114" s="1056">
        <v>0</v>
      </c>
      <c r="H2114" s="1056">
        <v>0</v>
      </c>
      <c r="I2114" s="1056">
        <v>81</v>
      </c>
      <c r="K2114" s="995">
        <f t="shared" si="32"/>
        <v>8</v>
      </c>
    </row>
    <row r="2115" spans="1:11">
      <c r="A2115" s="1054">
        <v>52053601</v>
      </c>
      <c r="B2115" s="1055" t="s">
        <v>893</v>
      </c>
      <c r="C2115" s="1055" t="s">
        <v>350</v>
      </c>
      <c r="D2115" s="1055" t="s">
        <v>1362</v>
      </c>
      <c r="E2115" s="1055" t="s">
        <v>1363</v>
      </c>
      <c r="F2115" s="1056">
        <v>766</v>
      </c>
      <c r="G2115" s="1056">
        <v>149</v>
      </c>
      <c r="H2115" s="1056">
        <v>0</v>
      </c>
      <c r="I2115" s="1056">
        <v>916</v>
      </c>
      <c r="K2115" s="995">
        <f t="shared" si="32"/>
        <v>8</v>
      </c>
    </row>
    <row r="2116" spans="1:11">
      <c r="A2116" s="1054">
        <v>52053601</v>
      </c>
      <c r="B2116" s="1055" t="s">
        <v>893</v>
      </c>
      <c r="C2116" s="1055" t="s">
        <v>350</v>
      </c>
      <c r="D2116" s="1055" t="s">
        <v>1364</v>
      </c>
      <c r="E2116" s="1055" t="s">
        <v>1365</v>
      </c>
      <c r="F2116" s="1056">
        <v>881</v>
      </c>
      <c r="G2116" s="1056">
        <v>136</v>
      </c>
      <c r="H2116" s="1056">
        <v>0</v>
      </c>
      <c r="I2116" s="1056">
        <v>1017</v>
      </c>
      <c r="K2116" s="995">
        <f t="shared" si="32"/>
        <v>8</v>
      </c>
    </row>
    <row r="2117" spans="1:11">
      <c r="A2117" s="1054">
        <v>52053601</v>
      </c>
      <c r="B2117" s="1055" t="s">
        <v>893</v>
      </c>
      <c r="C2117" s="1055" t="s">
        <v>350</v>
      </c>
      <c r="D2117" s="1055" t="s">
        <v>1601</v>
      </c>
      <c r="E2117" s="1055" t="s">
        <v>1602</v>
      </c>
      <c r="F2117" s="1056">
        <v>1233</v>
      </c>
      <c r="G2117" s="1056">
        <v>810</v>
      </c>
      <c r="H2117" s="1056">
        <v>0</v>
      </c>
      <c r="I2117" s="1056">
        <v>2043</v>
      </c>
      <c r="K2117" s="995">
        <f t="shared" ref="K2117:K2180" si="33">+LEN(A2117)</f>
        <v>8</v>
      </c>
    </row>
    <row r="2118" spans="1:11">
      <c r="A2118" s="1054">
        <v>52053601</v>
      </c>
      <c r="B2118" s="1055" t="s">
        <v>893</v>
      </c>
      <c r="C2118" s="1055" t="s">
        <v>350</v>
      </c>
      <c r="D2118" s="1055" t="s">
        <v>1270</v>
      </c>
      <c r="E2118" s="1055" t="s">
        <v>988</v>
      </c>
      <c r="F2118" s="1056">
        <v>995</v>
      </c>
      <c r="G2118" s="1056">
        <v>199</v>
      </c>
      <c r="H2118" s="1056">
        <v>0</v>
      </c>
      <c r="I2118" s="1056">
        <v>1194</v>
      </c>
      <c r="K2118" s="995">
        <f t="shared" si="33"/>
        <v>8</v>
      </c>
    </row>
    <row r="2119" spans="1:11">
      <c r="A2119" s="1054">
        <v>52053601</v>
      </c>
      <c r="B2119" s="1055" t="s">
        <v>893</v>
      </c>
      <c r="C2119" s="1055" t="s">
        <v>350</v>
      </c>
      <c r="D2119" s="1055" t="s">
        <v>1271</v>
      </c>
      <c r="E2119" s="1055" t="s">
        <v>782</v>
      </c>
      <c r="F2119" s="1056">
        <v>990</v>
      </c>
      <c r="G2119" s="1056">
        <v>198</v>
      </c>
      <c r="H2119" s="1056">
        <v>0</v>
      </c>
      <c r="I2119" s="1056">
        <v>1188</v>
      </c>
      <c r="K2119" s="995">
        <f t="shared" si="33"/>
        <v>8</v>
      </c>
    </row>
    <row r="2120" spans="1:11">
      <c r="A2120" s="1054">
        <v>52053601</v>
      </c>
      <c r="B2120" s="1055" t="s">
        <v>893</v>
      </c>
      <c r="C2120" s="1055" t="s">
        <v>350</v>
      </c>
      <c r="D2120" s="1055" t="s">
        <v>1366</v>
      </c>
      <c r="E2120" s="1055" t="s">
        <v>1367</v>
      </c>
      <c r="F2120" s="1056">
        <v>778</v>
      </c>
      <c r="G2120" s="1056">
        <v>136</v>
      </c>
      <c r="H2120" s="1056">
        <v>0</v>
      </c>
      <c r="I2120" s="1056">
        <v>914</v>
      </c>
      <c r="K2120" s="995">
        <f t="shared" si="33"/>
        <v>8</v>
      </c>
    </row>
    <row r="2121" spans="1:11">
      <c r="A2121" s="1054">
        <v>52053601</v>
      </c>
      <c r="B2121" s="1055" t="s">
        <v>893</v>
      </c>
      <c r="C2121" s="1055" t="s">
        <v>350</v>
      </c>
      <c r="D2121" s="1055" t="s">
        <v>1302</v>
      </c>
      <c r="E2121" s="1055" t="s">
        <v>986</v>
      </c>
      <c r="F2121" s="1056">
        <v>751</v>
      </c>
      <c r="G2121" s="1056">
        <v>150</v>
      </c>
      <c r="H2121" s="1056">
        <v>0</v>
      </c>
      <c r="I2121" s="1056">
        <v>902</v>
      </c>
      <c r="K2121" s="995">
        <f t="shared" si="33"/>
        <v>8</v>
      </c>
    </row>
    <row r="2122" spans="1:11">
      <c r="A2122" s="1054">
        <v>52053601</v>
      </c>
      <c r="B2122" s="1055" t="s">
        <v>893</v>
      </c>
      <c r="C2122" s="1055" t="s">
        <v>350</v>
      </c>
      <c r="D2122" s="1055" t="s">
        <v>1042</v>
      </c>
      <c r="E2122" s="1055" t="s">
        <v>1732</v>
      </c>
      <c r="F2122" s="1056">
        <v>766</v>
      </c>
      <c r="G2122" s="1056">
        <v>0</v>
      </c>
      <c r="H2122" s="1056">
        <v>0</v>
      </c>
      <c r="I2122" s="1056">
        <v>766</v>
      </c>
      <c r="K2122" s="995">
        <f t="shared" si="33"/>
        <v>8</v>
      </c>
    </row>
    <row r="2123" spans="1:11">
      <c r="A2123" s="1054">
        <v>52053601</v>
      </c>
      <c r="B2123" s="1055" t="s">
        <v>893</v>
      </c>
      <c r="C2123" s="1055" t="s">
        <v>350</v>
      </c>
      <c r="D2123" s="1055" t="s">
        <v>1611</v>
      </c>
      <c r="E2123" s="1055" t="s">
        <v>1612</v>
      </c>
      <c r="F2123" s="1056">
        <v>149</v>
      </c>
      <c r="G2123" s="1056">
        <v>0</v>
      </c>
      <c r="H2123" s="1056">
        <v>0</v>
      </c>
      <c r="I2123" s="1056">
        <v>149</v>
      </c>
      <c r="K2123" s="995">
        <f t="shared" si="33"/>
        <v>8</v>
      </c>
    </row>
    <row r="2124" spans="1:11">
      <c r="A2124" s="1054">
        <v>52053601</v>
      </c>
      <c r="B2124" s="1055" t="s">
        <v>893</v>
      </c>
      <c r="C2124" s="1055" t="s">
        <v>350</v>
      </c>
      <c r="D2124" s="1055" t="s">
        <v>1368</v>
      </c>
      <c r="E2124" s="1055" t="s">
        <v>1369</v>
      </c>
      <c r="F2124" s="1056">
        <v>207</v>
      </c>
      <c r="G2124" s="1056">
        <v>155</v>
      </c>
      <c r="H2124" s="1056">
        <v>0</v>
      </c>
      <c r="I2124" s="1056">
        <v>363</v>
      </c>
      <c r="K2124" s="995">
        <f t="shared" si="33"/>
        <v>8</v>
      </c>
    </row>
    <row r="2125" spans="1:11">
      <c r="A2125" s="1054">
        <v>52053601</v>
      </c>
      <c r="B2125" s="1055" t="s">
        <v>893</v>
      </c>
      <c r="C2125" s="1055" t="s">
        <v>350</v>
      </c>
      <c r="D2125" s="1055" t="s">
        <v>1246</v>
      </c>
      <c r="E2125" s="1055" t="s">
        <v>743</v>
      </c>
      <c r="F2125" s="1056">
        <v>135</v>
      </c>
      <c r="G2125" s="1056">
        <v>0</v>
      </c>
      <c r="H2125" s="1056">
        <v>0</v>
      </c>
      <c r="I2125" s="1056">
        <v>135</v>
      </c>
      <c r="K2125" s="995">
        <f t="shared" si="33"/>
        <v>8</v>
      </c>
    </row>
    <row r="2126" spans="1:11">
      <c r="A2126" s="1054">
        <v>52053601</v>
      </c>
      <c r="B2126" s="1055" t="s">
        <v>893</v>
      </c>
      <c r="C2126" s="1055" t="s">
        <v>350</v>
      </c>
      <c r="D2126" s="1055" t="s">
        <v>1320</v>
      </c>
      <c r="E2126" s="1055" t="s">
        <v>1321</v>
      </c>
      <c r="F2126" s="1056">
        <v>756</v>
      </c>
      <c r="G2126" s="1056">
        <v>144</v>
      </c>
      <c r="H2126" s="1056">
        <v>0</v>
      </c>
      <c r="I2126" s="1056">
        <v>900</v>
      </c>
      <c r="K2126" s="995">
        <f t="shared" si="33"/>
        <v>8</v>
      </c>
    </row>
    <row r="2127" spans="1:11">
      <c r="A2127" s="1054">
        <v>52053601</v>
      </c>
      <c r="B2127" s="1055" t="s">
        <v>893</v>
      </c>
      <c r="C2127" s="1055" t="s">
        <v>350</v>
      </c>
      <c r="D2127" s="1055" t="s">
        <v>1274</v>
      </c>
      <c r="E2127" s="1055" t="s">
        <v>989</v>
      </c>
      <c r="F2127" s="1056">
        <v>1092</v>
      </c>
      <c r="G2127" s="1056">
        <v>194</v>
      </c>
      <c r="H2127" s="1056">
        <v>0</v>
      </c>
      <c r="I2127" s="1056">
        <v>1285</v>
      </c>
      <c r="K2127" s="995">
        <f t="shared" si="33"/>
        <v>8</v>
      </c>
    </row>
    <row r="2128" spans="1:11">
      <c r="A2128" s="1054">
        <v>52053601</v>
      </c>
      <c r="B2128" s="1055" t="s">
        <v>893</v>
      </c>
      <c r="C2128" s="1055" t="s">
        <v>350</v>
      </c>
      <c r="D2128" s="1055" t="s">
        <v>1247</v>
      </c>
      <c r="E2128" s="1055" t="s">
        <v>1248</v>
      </c>
      <c r="F2128" s="1056">
        <v>844</v>
      </c>
      <c r="G2128" s="1056">
        <v>161</v>
      </c>
      <c r="H2128" s="1056">
        <v>0</v>
      </c>
      <c r="I2128" s="1056">
        <v>1005</v>
      </c>
      <c r="K2128" s="995">
        <f t="shared" si="33"/>
        <v>8</v>
      </c>
    </row>
    <row r="2129" spans="1:11">
      <c r="A2129" s="1054">
        <v>52053601</v>
      </c>
      <c r="B2129" s="1055" t="s">
        <v>893</v>
      </c>
      <c r="C2129" s="1055" t="s">
        <v>350</v>
      </c>
      <c r="D2129" s="1055" t="s">
        <v>1387</v>
      </c>
      <c r="E2129" s="1055" t="s">
        <v>1388</v>
      </c>
      <c r="F2129" s="1056">
        <v>21</v>
      </c>
      <c r="G2129" s="1056">
        <v>0</v>
      </c>
      <c r="H2129" s="1056">
        <v>0</v>
      </c>
      <c r="I2129" s="1056">
        <v>21</v>
      </c>
      <c r="K2129" s="995">
        <f t="shared" si="33"/>
        <v>8</v>
      </c>
    </row>
    <row r="2130" spans="1:11">
      <c r="A2130" s="1054">
        <v>52053601</v>
      </c>
      <c r="B2130" s="1055" t="s">
        <v>893</v>
      </c>
      <c r="C2130" s="1055" t="s">
        <v>350</v>
      </c>
      <c r="D2130" s="1055" t="s">
        <v>1370</v>
      </c>
      <c r="E2130" s="1055" t="s">
        <v>1371</v>
      </c>
      <c r="F2130" s="1056">
        <v>162</v>
      </c>
      <c r="G2130" s="1056">
        <v>151</v>
      </c>
      <c r="H2130" s="1056">
        <v>0</v>
      </c>
      <c r="I2130" s="1056">
        <v>314</v>
      </c>
      <c r="K2130" s="995">
        <f t="shared" si="33"/>
        <v>8</v>
      </c>
    </row>
    <row r="2131" spans="1:11">
      <c r="A2131" s="1054">
        <v>52053601</v>
      </c>
      <c r="B2131" s="1055" t="s">
        <v>893</v>
      </c>
      <c r="C2131" s="1055" t="s">
        <v>350</v>
      </c>
      <c r="D2131" s="1055" t="s">
        <v>1870</v>
      </c>
      <c r="E2131" s="1055" t="s">
        <v>1871</v>
      </c>
      <c r="F2131" s="1056">
        <v>167</v>
      </c>
      <c r="G2131" s="1056">
        <v>112</v>
      </c>
      <c r="H2131" s="1056">
        <v>0</v>
      </c>
      <c r="I2131" s="1056">
        <v>280</v>
      </c>
      <c r="K2131" s="995">
        <f t="shared" si="33"/>
        <v>8</v>
      </c>
    </row>
    <row r="2132" spans="1:11">
      <c r="A2132" s="1054">
        <v>52053601</v>
      </c>
      <c r="B2132" s="1055" t="s">
        <v>893</v>
      </c>
      <c r="C2132" s="1055" t="s">
        <v>350</v>
      </c>
      <c r="D2132" s="1055" t="s">
        <v>1372</v>
      </c>
      <c r="E2132" s="1055" t="s">
        <v>1373</v>
      </c>
      <c r="F2132" s="1056">
        <v>787</v>
      </c>
      <c r="G2132" s="1056">
        <v>135</v>
      </c>
      <c r="H2132" s="1056">
        <v>0</v>
      </c>
      <c r="I2132" s="1056">
        <v>922</v>
      </c>
      <c r="K2132" s="995">
        <f t="shared" si="33"/>
        <v>8</v>
      </c>
    </row>
    <row r="2133" spans="1:11">
      <c r="A2133" s="1054">
        <v>52053601</v>
      </c>
      <c r="B2133" s="1055" t="s">
        <v>893</v>
      </c>
      <c r="C2133" s="1055" t="s">
        <v>350</v>
      </c>
      <c r="D2133" s="1055" t="s">
        <v>1785</v>
      </c>
      <c r="E2133" s="1055" t="s">
        <v>1786</v>
      </c>
      <c r="F2133" s="1056">
        <v>379</v>
      </c>
      <c r="G2133" s="1056">
        <v>57</v>
      </c>
      <c r="H2133" s="1056">
        <v>0</v>
      </c>
      <c r="I2133" s="1056">
        <v>436</v>
      </c>
      <c r="K2133" s="995">
        <f t="shared" si="33"/>
        <v>8</v>
      </c>
    </row>
    <row r="2134" spans="1:11">
      <c r="A2134" s="1054">
        <v>52053601</v>
      </c>
      <c r="B2134" s="1055" t="s">
        <v>893</v>
      </c>
      <c r="C2134" s="1055" t="s">
        <v>350</v>
      </c>
      <c r="D2134" s="1055" t="s">
        <v>1374</v>
      </c>
      <c r="E2134" s="1055" t="s">
        <v>1375</v>
      </c>
      <c r="F2134" s="1056">
        <v>187</v>
      </c>
      <c r="G2134" s="1056">
        <v>140</v>
      </c>
      <c r="H2134" s="1056">
        <v>0</v>
      </c>
      <c r="I2134" s="1056">
        <v>328</v>
      </c>
      <c r="K2134" s="995">
        <f t="shared" si="33"/>
        <v>8</v>
      </c>
    </row>
    <row r="2135" spans="1:11">
      <c r="A2135" s="1054">
        <v>52053601</v>
      </c>
      <c r="B2135" s="1055" t="s">
        <v>893</v>
      </c>
      <c r="C2135" s="1055" t="s">
        <v>350</v>
      </c>
      <c r="D2135" s="1055" t="s">
        <v>1389</v>
      </c>
      <c r="E2135" s="1055" t="s">
        <v>1390</v>
      </c>
      <c r="F2135" s="1056">
        <v>123</v>
      </c>
      <c r="G2135" s="1056">
        <v>0</v>
      </c>
      <c r="H2135" s="1056">
        <v>0</v>
      </c>
      <c r="I2135" s="1056">
        <v>123</v>
      </c>
      <c r="K2135" s="995">
        <f t="shared" si="33"/>
        <v>8</v>
      </c>
    </row>
    <row r="2136" spans="1:11">
      <c r="A2136" s="1054">
        <v>52053601</v>
      </c>
      <c r="B2136" s="1055" t="s">
        <v>893</v>
      </c>
      <c r="C2136" s="1055" t="s">
        <v>350</v>
      </c>
      <c r="D2136" s="1055" t="s">
        <v>1249</v>
      </c>
      <c r="E2136" s="1055" t="s">
        <v>583</v>
      </c>
      <c r="F2136" s="1056">
        <v>1288</v>
      </c>
      <c r="G2136" s="1056">
        <v>217</v>
      </c>
      <c r="H2136" s="1056">
        <v>0</v>
      </c>
      <c r="I2136" s="1056">
        <v>1504</v>
      </c>
      <c r="K2136" s="995">
        <f t="shared" si="33"/>
        <v>8</v>
      </c>
    </row>
    <row r="2137" spans="1:11">
      <c r="A2137" s="1054">
        <v>52053601</v>
      </c>
      <c r="B2137" s="1055" t="s">
        <v>893</v>
      </c>
      <c r="C2137" s="1055" t="s">
        <v>350</v>
      </c>
      <c r="D2137" s="1055" t="s">
        <v>1376</v>
      </c>
      <c r="E2137" s="1055" t="s">
        <v>1377</v>
      </c>
      <c r="F2137" s="1056">
        <v>673</v>
      </c>
      <c r="G2137" s="1056">
        <v>139</v>
      </c>
      <c r="H2137" s="1056">
        <v>0</v>
      </c>
      <c r="I2137" s="1056">
        <v>813</v>
      </c>
      <c r="K2137" s="995">
        <f t="shared" si="33"/>
        <v>8</v>
      </c>
    </row>
    <row r="2138" spans="1:11">
      <c r="A2138" s="1054">
        <v>52053601</v>
      </c>
      <c r="B2138" s="1055" t="s">
        <v>893</v>
      </c>
      <c r="C2138" s="1055" t="s">
        <v>350</v>
      </c>
      <c r="D2138" s="1055" t="s">
        <v>1613</v>
      </c>
      <c r="E2138" s="1055" t="s">
        <v>1614</v>
      </c>
      <c r="F2138" s="1056">
        <v>415</v>
      </c>
      <c r="G2138" s="1056">
        <v>14</v>
      </c>
      <c r="H2138" s="1056">
        <v>0</v>
      </c>
      <c r="I2138" s="1056">
        <v>429</v>
      </c>
      <c r="K2138" s="995">
        <f t="shared" si="33"/>
        <v>8</v>
      </c>
    </row>
    <row r="2139" spans="1:11">
      <c r="A2139" s="1054">
        <v>52053601</v>
      </c>
      <c r="B2139" s="1055" t="s">
        <v>893</v>
      </c>
      <c r="C2139" s="1055" t="s">
        <v>350</v>
      </c>
      <c r="D2139" s="1055" t="s">
        <v>1305</v>
      </c>
      <c r="E2139" s="1055" t="s">
        <v>990</v>
      </c>
      <c r="F2139" s="1056">
        <v>937</v>
      </c>
      <c r="G2139" s="1056">
        <v>168</v>
      </c>
      <c r="H2139" s="1056">
        <v>0</v>
      </c>
      <c r="I2139" s="1056">
        <v>1105</v>
      </c>
      <c r="K2139" s="995">
        <f t="shared" si="33"/>
        <v>8</v>
      </c>
    </row>
    <row r="2140" spans="1:11">
      <c r="A2140" s="1054">
        <v>52053601</v>
      </c>
      <c r="B2140" s="1055" t="s">
        <v>893</v>
      </c>
      <c r="C2140" s="1055" t="s">
        <v>350</v>
      </c>
      <c r="D2140" s="1055" t="s">
        <v>1306</v>
      </c>
      <c r="E2140" s="1055" t="s">
        <v>997</v>
      </c>
      <c r="F2140" s="1056">
        <v>846</v>
      </c>
      <c r="G2140" s="1056">
        <v>129</v>
      </c>
      <c r="H2140" s="1056">
        <v>0</v>
      </c>
      <c r="I2140" s="1056">
        <v>975</v>
      </c>
      <c r="K2140" s="995">
        <f t="shared" si="33"/>
        <v>8</v>
      </c>
    </row>
    <row r="2141" spans="1:11">
      <c r="A2141" s="1054">
        <v>52053601</v>
      </c>
      <c r="B2141" s="1055" t="s">
        <v>893</v>
      </c>
      <c r="C2141" s="1055" t="s">
        <v>350</v>
      </c>
      <c r="D2141" s="1055" t="s">
        <v>1322</v>
      </c>
      <c r="E2141" s="1055" t="s">
        <v>1323</v>
      </c>
      <c r="F2141" s="1056">
        <v>547</v>
      </c>
      <c r="G2141" s="1056">
        <v>0</v>
      </c>
      <c r="H2141" s="1056">
        <v>0</v>
      </c>
      <c r="I2141" s="1056">
        <v>547</v>
      </c>
      <c r="K2141" s="995">
        <f t="shared" si="33"/>
        <v>8</v>
      </c>
    </row>
    <row r="2142" spans="1:11">
      <c r="A2142" s="1054">
        <v>52053601</v>
      </c>
      <c r="B2142" s="1055" t="s">
        <v>893</v>
      </c>
      <c r="C2142" s="1055" t="s">
        <v>350</v>
      </c>
      <c r="D2142" s="1055" t="s">
        <v>1391</v>
      </c>
      <c r="E2142" s="1055" t="s">
        <v>1392</v>
      </c>
      <c r="F2142" s="1056">
        <v>68</v>
      </c>
      <c r="G2142" s="1056">
        <v>0</v>
      </c>
      <c r="H2142" s="1056">
        <v>0</v>
      </c>
      <c r="I2142" s="1056">
        <v>68</v>
      </c>
      <c r="K2142" s="995">
        <f t="shared" si="33"/>
        <v>8</v>
      </c>
    </row>
    <row r="2143" spans="1:11">
      <c r="A2143" s="1054">
        <v>52053601</v>
      </c>
      <c r="B2143" s="1055" t="s">
        <v>893</v>
      </c>
      <c r="C2143" s="1055" t="s">
        <v>350</v>
      </c>
      <c r="D2143" s="1055" t="s">
        <v>1250</v>
      </c>
      <c r="E2143" s="1055" t="s">
        <v>1251</v>
      </c>
      <c r="F2143" s="1056">
        <v>846</v>
      </c>
      <c r="G2143" s="1056">
        <v>140</v>
      </c>
      <c r="H2143" s="1056">
        <v>0</v>
      </c>
      <c r="I2143" s="1056">
        <v>986</v>
      </c>
      <c r="K2143" s="995">
        <f t="shared" si="33"/>
        <v>8</v>
      </c>
    </row>
    <row r="2144" spans="1:11">
      <c r="A2144" s="1054">
        <v>52053601</v>
      </c>
      <c r="B2144" s="1055" t="s">
        <v>893</v>
      </c>
      <c r="C2144" s="1055" t="s">
        <v>350</v>
      </c>
      <c r="D2144" s="1055" t="s">
        <v>1787</v>
      </c>
      <c r="E2144" s="1055" t="s">
        <v>1788</v>
      </c>
      <c r="F2144" s="1056">
        <v>216</v>
      </c>
      <c r="G2144" s="1056">
        <v>162</v>
      </c>
      <c r="H2144" s="1056">
        <v>0</v>
      </c>
      <c r="I2144" s="1056">
        <v>378</v>
      </c>
      <c r="K2144" s="995">
        <f t="shared" si="33"/>
        <v>8</v>
      </c>
    </row>
    <row r="2145" spans="1:11">
      <c r="A2145" s="1054">
        <v>52053601</v>
      </c>
      <c r="B2145" s="1055" t="s">
        <v>893</v>
      </c>
      <c r="C2145" s="1055" t="s">
        <v>350</v>
      </c>
      <c r="D2145" s="1055" t="s">
        <v>1378</v>
      </c>
      <c r="E2145" s="1055" t="s">
        <v>1379</v>
      </c>
      <c r="F2145" s="1056">
        <v>807</v>
      </c>
      <c r="G2145" s="1056">
        <v>0</v>
      </c>
      <c r="H2145" s="1056">
        <v>0</v>
      </c>
      <c r="I2145" s="1056">
        <v>807</v>
      </c>
      <c r="K2145" s="995">
        <f t="shared" si="33"/>
        <v>8</v>
      </c>
    </row>
    <row r="2146" spans="1:11">
      <c r="A2146" s="1054">
        <v>52053601</v>
      </c>
      <c r="B2146" s="1055" t="s">
        <v>893</v>
      </c>
      <c r="C2146" s="1055" t="s">
        <v>350</v>
      </c>
      <c r="D2146" s="1055" t="s">
        <v>1393</v>
      </c>
      <c r="E2146" s="1055" t="s">
        <v>1394</v>
      </c>
      <c r="F2146" s="1056">
        <v>18</v>
      </c>
      <c r="G2146" s="1056">
        <v>0</v>
      </c>
      <c r="H2146" s="1056">
        <v>0</v>
      </c>
      <c r="I2146" s="1056">
        <v>18</v>
      </c>
      <c r="K2146" s="995">
        <f t="shared" si="33"/>
        <v>8</v>
      </c>
    </row>
    <row r="2147" spans="1:11">
      <c r="A2147" s="1054">
        <v>52053601</v>
      </c>
      <c r="B2147" s="1055" t="s">
        <v>893</v>
      </c>
      <c r="C2147" s="1055" t="s">
        <v>350</v>
      </c>
      <c r="D2147" s="1055" t="s">
        <v>1303</v>
      </c>
      <c r="E2147" s="1055" t="s">
        <v>806</v>
      </c>
      <c r="F2147" s="1056">
        <v>765</v>
      </c>
      <c r="G2147" s="1056">
        <v>125</v>
      </c>
      <c r="H2147" s="1056">
        <v>0</v>
      </c>
      <c r="I2147" s="1056">
        <v>890</v>
      </c>
      <c r="K2147" s="995">
        <f t="shared" si="33"/>
        <v>8</v>
      </c>
    </row>
    <row r="2148" spans="1:11">
      <c r="A2148" s="1054">
        <v>52053601</v>
      </c>
      <c r="B2148" s="1055" t="s">
        <v>893</v>
      </c>
      <c r="C2148" s="1055" t="s">
        <v>350</v>
      </c>
      <c r="D2148" s="1055" t="s">
        <v>1605</v>
      </c>
      <c r="E2148" s="1055" t="s">
        <v>1606</v>
      </c>
      <c r="F2148" s="1056">
        <v>589</v>
      </c>
      <c r="G2148" s="1056">
        <v>155</v>
      </c>
      <c r="H2148" s="1056">
        <v>0</v>
      </c>
      <c r="I2148" s="1056">
        <v>745</v>
      </c>
      <c r="K2148" s="995">
        <f t="shared" si="33"/>
        <v>8</v>
      </c>
    </row>
    <row r="2149" spans="1:11">
      <c r="A2149" s="1054">
        <v>52053601</v>
      </c>
      <c r="B2149" s="1055" t="s">
        <v>893</v>
      </c>
      <c r="C2149" s="1055" t="s">
        <v>350</v>
      </c>
      <c r="D2149" s="1055" t="s">
        <v>1789</v>
      </c>
      <c r="E2149" s="1055" t="s">
        <v>1790</v>
      </c>
      <c r="F2149" s="1056">
        <v>310</v>
      </c>
      <c r="G2149" s="1056">
        <v>135</v>
      </c>
      <c r="H2149" s="1056">
        <v>0</v>
      </c>
      <c r="I2149" s="1056">
        <v>445</v>
      </c>
      <c r="K2149" s="995">
        <f t="shared" si="33"/>
        <v>8</v>
      </c>
    </row>
    <row r="2150" spans="1:11">
      <c r="A2150" s="1054">
        <v>52053601</v>
      </c>
      <c r="B2150" s="1055" t="s">
        <v>893</v>
      </c>
      <c r="C2150" s="1055" t="s">
        <v>350</v>
      </c>
      <c r="D2150" s="1055" t="s">
        <v>1254</v>
      </c>
      <c r="E2150" s="1055" t="s">
        <v>744</v>
      </c>
      <c r="F2150" s="1056">
        <v>916</v>
      </c>
      <c r="G2150" s="1056">
        <v>189</v>
      </c>
      <c r="H2150" s="1056">
        <v>0</v>
      </c>
      <c r="I2150" s="1056">
        <v>1105</v>
      </c>
      <c r="K2150" s="995">
        <f t="shared" si="33"/>
        <v>8</v>
      </c>
    </row>
    <row r="2151" spans="1:11">
      <c r="A2151" s="1054">
        <v>52053601</v>
      </c>
      <c r="B2151" s="1055" t="s">
        <v>893</v>
      </c>
      <c r="C2151" s="1055" t="s">
        <v>350</v>
      </c>
      <c r="D2151" s="1055" t="s">
        <v>1275</v>
      </c>
      <c r="E2151" s="1055" t="s">
        <v>991</v>
      </c>
      <c r="F2151" s="1056">
        <v>790</v>
      </c>
      <c r="G2151" s="1056">
        <v>286</v>
      </c>
      <c r="H2151" s="1056">
        <v>0</v>
      </c>
      <c r="I2151" s="1056">
        <v>1076</v>
      </c>
      <c r="K2151" s="995">
        <f t="shared" si="33"/>
        <v>8</v>
      </c>
    </row>
    <row r="2152" spans="1:11">
      <c r="A2152" s="1054">
        <v>52053601</v>
      </c>
      <c r="B2152" s="1055" t="s">
        <v>893</v>
      </c>
      <c r="C2152" s="1055" t="s">
        <v>350</v>
      </c>
      <c r="D2152" s="1055" t="s">
        <v>1380</v>
      </c>
      <c r="E2152" s="1055" t="s">
        <v>1381</v>
      </c>
      <c r="F2152" s="1056">
        <v>0</v>
      </c>
      <c r="G2152" s="1056">
        <v>99</v>
      </c>
      <c r="H2152" s="1056">
        <v>0</v>
      </c>
      <c r="I2152" s="1056">
        <v>99</v>
      </c>
      <c r="K2152" s="995">
        <f t="shared" si="33"/>
        <v>8</v>
      </c>
    </row>
    <row r="2153" spans="1:11">
      <c r="A2153" s="1054">
        <v>52053601</v>
      </c>
      <c r="B2153" s="1055" t="s">
        <v>893</v>
      </c>
      <c r="C2153" s="1055" t="s">
        <v>350</v>
      </c>
      <c r="D2153" s="1055" t="s">
        <v>1044</v>
      </c>
      <c r="E2153" s="1055" t="s">
        <v>1045</v>
      </c>
      <c r="F2153" s="1056">
        <v>941</v>
      </c>
      <c r="G2153" s="1056">
        <v>13</v>
      </c>
      <c r="H2153" s="1056">
        <v>0</v>
      </c>
      <c r="I2153" s="1056">
        <v>954</v>
      </c>
      <c r="K2153" s="995">
        <f t="shared" si="33"/>
        <v>8</v>
      </c>
    </row>
    <row r="2154" spans="1:11">
      <c r="A2154" s="1054">
        <v>52053601</v>
      </c>
      <c r="B2154" s="1055" t="s">
        <v>893</v>
      </c>
      <c r="C2154" s="1055" t="s">
        <v>350</v>
      </c>
      <c r="D2154" s="1055" t="s">
        <v>1395</v>
      </c>
      <c r="E2154" s="1055" t="s">
        <v>1396</v>
      </c>
      <c r="F2154" s="1056">
        <v>422</v>
      </c>
      <c r="G2154" s="1056">
        <v>0</v>
      </c>
      <c r="H2154" s="1056">
        <v>0</v>
      </c>
      <c r="I2154" s="1056">
        <v>422</v>
      </c>
      <c r="K2154" s="995">
        <f t="shared" si="33"/>
        <v>8</v>
      </c>
    </row>
    <row r="2155" spans="1:11">
      <c r="A2155" s="1054">
        <v>52053601</v>
      </c>
      <c r="B2155" s="1055" t="s">
        <v>893</v>
      </c>
      <c r="C2155" s="1055" t="s">
        <v>350</v>
      </c>
      <c r="D2155" s="1055" t="s">
        <v>1382</v>
      </c>
      <c r="E2155" s="1055" t="s">
        <v>1763</v>
      </c>
      <c r="F2155" s="1056">
        <v>995</v>
      </c>
      <c r="G2155" s="1056">
        <v>199</v>
      </c>
      <c r="H2155" s="1056">
        <v>0</v>
      </c>
      <c r="I2155" s="1056">
        <v>1194</v>
      </c>
      <c r="K2155" s="995">
        <f t="shared" si="33"/>
        <v>8</v>
      </c>
    </row>
    <row r="2156" spans="1:11">
      <c r="A2156" s="1054">
        <v>52053601</v>
      </c>
      <c r="B2156" s="1055" t="s">
        <v>893</v>
      </c>
      <c r="C2156" s="1055" t="s">
        <v>350</v>
      </c>
      <c r="D2156" s="1055" t="s">
        <v>1383</v>
      </c>
      <c r="E2156" s="1055" t="s">
        <v>1384</v>
      </c>
      <c r="F2156" s="1056">
        <v>751</v>
      </c>
      <c r="G2156" s="1056">
        <v>127</v>
      </c>
      <c r="H2156" s="1056">
        <v>0</v>
      </c>
      <c r="I2156" s="1056">
        <v>878</v>
      </c>
      <c r="K2156" s="995">
        <f t="shared" si="33"/>
        <v>8</v>
      </c>
    </row>
    <row r="2157" spans="1:11">
      <c r="A2157" s="1054">
        <v>520539</v>
      </c>
      <c r="B2157" s="1055" t="s">
        <v>893</v>
      </c>
      <c r="C2157" s="1055" t="s">
        <v>355</v>
      </c>
      <c r="D2157" s="1055" t="s">
        <v>893</v>
      </c>
      <c r="E2157" s="1055" t="s">
        <v>893</v>
      </c>
      <c r="F2157" s="1056">
        <v>15067</v>
      </c>
      <c r="G2157" s="1056">
        <v>3887</v>
      </c>
      <c r="H2157" s="1056">
        <v>3</v>
      </c>
      <c r="I2157" s="1056">
        <v>18951</v>
      </c>
      <c r="K2157" s="995">
        <f t="shared" si="33"/>
        <v>6</v>
      </c>
    </row>
    <row r="2158" spans="1:11">
      <c r="A2158" s="1054">
        <v>52053901</v>
      </c>
      <c r="B2158" s="1055" t="s">
        <v>893</v>
      </c>
      <c r="C2158" s="1055" t="s">
        <v>355</v>
      </c>
      <c r="D2158" s="1055" t="s">
        <v>893</v>
      </c>
      <c r="E2158" s="1055" t="s">
        <v>893</v>
      </c>
      <c r="F2158" s="1056">
        <v>15067</v>
      </c>
      <c r="G2158" s="1056">
        <v>3887</v>
      </c>
      <c r="H2158" s="1056">
        <v>3</v>
      </c>
      <c r="I2158" s="1056">
        <v>18951</v>
      </c>
      <c r="K2158" s="995">
        <f t="shared" si="33"/>
        <v>8</v>
      </c>
    </row>
    <row r="2159" spans="1:11">
      <c r="A2159" s="1054">
        <v>52053901</v>
      </c>
      <c r="B2159" s="1055" t="s">
        <v>893</v>
      </c>
      <c r="C2159" s="1055" t="s">
        <v>355</v>
      </c>
      <c r="D2159" s="1055" t="s">
        <v>1385</v>
      </c>
      <c r="E2159" s="1055" t="s">
        <v>1386</v>
      </c>
      <c r="F2159" s="1056">
        <v>3</v>
      </c>
      <c r="G2159" s="1056">
        <v>0</v>
      </c>
      <c r="H2159" s="1056">
        <v>0</v>
      </c>
      <c r="I2159" s="1056">
        <v>3</v>
      </c>
      <c r="K2159" s="995">
        <f t="shared" si="33"/>
        <v>8</v>
      </c>
    </row>
    <row r="2160" spans="1:11">
      <c r="A2160" s="1054">
        <v>52053901</v>
      </c>
      <c r="B2160" s="1055" t="s">
        <v>893</v>
      </c>
      <c r="C2160" s="1055" t="s">
        <v>355</v>
      </c>
      <c r="D2160" s="1055" t="s">
        <v>1360</v>
      </c>
      <c r="E2160" s="1055" t="s">
        <v>1361</v>
      </c>
      <c r="F2160" s="1056">
        <v>394</v>
      </c>
      <c r="G2160" s="1056">
        <v>81</v>
      </c>
      <c r="H2160" s="1056">
        <v>0</v>
      </c>
      <c r="I2160" s="1056">
        <v>475</v>
      </c>
      <c r="K2160" s="995">
        <f t="shared" si="33"/>
        <v>8</v>
      </c>
    </row>
    <row r="2161" spans="1:11">
      <c r="A2161" s="1054">
        <v>52053901</v>
      </c>
      <c r="B2161" s="1055" t="s">
        <v>893</v>
      </c>
      <c r="C2161" s="1055" t="s">
        <v>355</v>
      </c>
      <c r="D2161" s="1055" t="s">
        <v>1298</v>
      </c>
      <c r="E2161" s="1055" t="s">
        <v>987</v>
      </c>
      <c r="F2161" s="1056">
        <v>92</v>
      </c>
      <c r="G2161" s="1056">
        <v>109</v>
      </c>
      <c r="H2161" s="1056">
        <v>0</v>
      </c>
      <c r="I2161" s="1056">
        <v>201</v>
      </c>
      <c r="K2161" s="995">
        <f t="shared" si="33"/>
        <v>8</v>
      </c>
    </row>
    <row r="2162" spans="1:11">
      <c r="A2162" s="1054">
        <v>52053901</v>
      </c>
      <c r="B2162" s="1055" t="s">
        <v>893</v>
      </c>
      <c r="C2162" s="1055" t="s">
        <v>355</v>
      </c>
      <c r="D2162" s="1055" t="s">
        <v>1397</v>
      </c>
      <c r="E2162" s="1055" t="s">
        <v>1398</v>
      </c>
      <c r="F2162" s="1056">
        <v>571</v>
      </c>
      <c r="G2162" s="1056">
        <v>0</v>
      </c>
      <c r="H2162" s="1056">
        <v>0</v>
      </c>
      <c r="I2162" s="1056">
        <v>571</v>
      </c>
      <c r="K2162" s="995">
        <f t="shared" si="33"/>
        <v>8</v>
      </c>
    </row>
    <row r="2163" spans="1:11">
      <c r="A2163" s="1054">
        <v>52053901</v>
      </c>
      <c r="B2163" s="1055" t="s">
        <v>893</v>
      </c>
      <c r="C2163" s="1055" t="s">
        <v>355</v>
      </c>
      <c r="D2163" s="1055" t="s">
        <v>1362</v>
      </c>
      <c r="E2163" s="1055" t="s">
        <v>1363</v>
      </c>
      <c r="F2163" s="1056">
        <v>344</v>
      </c>
      <c r="G2163" s="1056">
        <v>60</v>
      </c>
      <c r="H2163" s="1056">
        <v>0</v>
      </c>
      <c r="I2163" s="1056">
        <v>404</v>
      </c>
      <c r="K2163" s="995">
        <f t="shared" si="33"/>
        <v>8</v>
      </c>
    </row>
    <row r="2164" spans="1:11">
      <c r="A2164" s="1054">
        <v>52053901</v>
      </c>
      <c r="B2164" s="1055" t="s">
        <v>893</v>
      </c>
      <c r="C2164" s="1055" t="s">
        <v>355</v>
      </c>
      <c r="D2164" s="1055" t="s">
        <v>1364</v>
      </c>
      <c r="E2164" s="1055" t="s">
        <v>1365</v>
      </c>
      <c r="F2164" s="1056">
        <v>401</v>
      </c>
      <c r="G2164" s="1056">
        <v>75</v>
      </c>
      <c r="H2164" s="1056">
        <v>0</v>
      </c>
      <c r="I2164" s="1056">
        <v>476</v>
      </c>
      <c r="K2164" s="995">
        <f t="shared" si="33"/>
        <v>8</v>
      </c>
    </row>
    <row r="2165" spans="1:11">
      <c r="A2165" s="1054">
        <v>52053901</v>
      </c>
      <c r="B2165" s="1055" t="s">
        <v>893</v>
      </c>
      <c r="C2165" s="1055" t="s">
        <v>355</v>
      </c>
      <c r="D2165" s="1055" t="s">
        <v>1601</v>
      </c>
      <c r="E2165" s="1055" t="s">
        <v>1602</v>
      </c>
      <c r="F2165" s="1056">
        <v>617</v>
      </c>
      <c r="G2165" s="1056">
        <v>406</v>
      </c>
      <c r="H2165" s="1056">
        <v>0</v>
      </c>
      <c r="I2165" s="1056">
        <v>1023</v>
      </c>
      <c r="K2165" s="995">
        <f t="shared" si="33"/>
        <v>8</v>
      </c>
    </row>
    <row r="2166" spans="1:11">
      <c r="A2166" s="1054">
        <v>52053901</v>
      </c>
      <c r="B2166" s="1055" t="s">
        <v>893</v>
      </c>
      <c r="C2166" s="1055" t="s">
        <v>355</v>
      </c>
      <c r="D2166" s="1055" t="s">
        <v>1270</v>
      </c>
      <c r="E2166" s="1055" t="s">
        <v>988</v>
      </c>
      <c r="F2166" s="1056">
        <v>1074</v>
      </c>
      <c r="G2166" s="1056">
        <v>91</v>
      </c>
      <c r="H2166" s="1056">
        <v>0</v>
      </c>
      <c r="I2166" s="1056">
        <v>1165</v>
      </c>
      <c r="K2166" s="995">
        <f t="shared" si="33"/>
        <v>8</v>
      </c>
    </row>
    <row r="2167" spans="1:11">
      <c r="A2167" s="1054">
        <v>52053901</v>
      </c>
      <c r="B2167" s="1055" t="s">
        <v>893</v>
      </c>
      <c r="C2167" s="1055" t="s">
        <v>355</v>
      </c>
      <c r="D2167" s="1055" t="s">
        <v>1271</v>
      </c>
      <c r="E2167" s="1055" t="s">
        <v>782</v>
      </c>
      <c r="F2167" s="1056">
        <v>1150</v>
      </c>
      <c r="G2167" s="1056">
        <v>91</v>
      </c>
      <c r="H2167" s="1056">
        <v>0</v>
      </c>
      <c r="I2167" s="1056">
        <v>1240</v>
      </c>
      <c r="K2167" s="995">
        <f t="shared" si="33"/>
        <v>8</v>
      </c>
    </row>
    <row r="2168" spans="1:11">
      <c r="A2168" s="1054">
        <v>52053901</v>
      </c>
      <c r="B2168" s="1055" t="s">
        <v>893</v>
      </c>
      <c r="C2168" s="1055" t="s">
        <v>355</v>
      </c>
      <c r="D2168" s="1055" t="s">
        <v>1366</v>
      </c>
      <c r="E2168" s="1055" t="s">
        <v>1367</v>
      </c>
      <c r="F2168" s="1056">
        <v>351</v>
      </c>
      <c r="G2168" s="1056">
        <v>73</v>
      </c>
      <c r="H2168" s="1056">
        <v>0</v>
      </c>
      <c r="I2168" s="1056">
        <v>424</v>
      </c>
      <c r="K2168" s="995">
        <f t="shared" si="33"/>
        <v>8</v>
      </c>
    </row>
    <row r="2169" spans="1:11">
      <c r="A2169" s="1054">
        <v>52053901</v>
      </c>
      <c r="B2169" s="1055" t="s">
        <v>893</v>
      </c>
      <c r="C2169" s="1055" t="s">
        <v>355</v>
      </c>
      <c r="D2169" s="1055" t="s">
        <v>1302</v>
      </c>
      <c r="E2169" s="1055" t="s">
        <v>986</v>
      </c>
      <c r="F2169" s="1056">
        <v>334</v>
      </c>
      <c r="G2169" s="1056">
        <v>63</v>
      </c>
      <c r="H2169" s="1056">
        <v>0</v>
      </c>
      <c r="I2169" s="1056">
        <v>397</v>
      </c>
      <c r="K2169" s="995">
        <f t="shared" si="33"/>
        <v>8</v>
      </c>
    </row>
    <row r="2170" spans="1:11">
      <c r="A2170" s="1054">
        <v>52053901</v>
      </c>
      <c r="B2170" s="1055" t="s">
        <v>893</v>
      </c>
      <c r="C2170" s="1055" t="s">
        <v>355</v>
      </c>
      <c r="D2170" s="1055" t="s">
        <v>1042</v>
      </c>
      <c r="E2170" s="1055" t="s">
        <v>1732</v>
      </c>
      <c r="F2170" s="1056">
        <v>560</v>
      </c>
      <c r="G2170" s="1056">
        <v>0</v>
      </c>
      <c r="H2170" s="1056">
        <v>0</v>
      </c>
      <c r="I2170" s="1056">
        <v>560</v>
      </c>
      <c r="K2170" s="995">
        <f t="shared" si="33"/>
        <v>8</v>
      </c>
    </row>
    <row r="2171" spans="1:11">
      <c r="A2171" s="1054">
        <v>52053901</v>
      </c>
      <c r="B2171" s="1055" t="s">
        <v>893</v>
      </c>
      <c r="C2171" s="1055" t="s">
        <v>355</v>
      </c>
      <c r="D2171" s="1055" t="s">
        <v>1611</v>
      </c>
      <c r="E2171" s="1055" t="s">
        <v>1612</v>
      </c>
      <c r="F2171" s="1056">
        <v>62</v>
      </c>
      <c r="G2171" s="1056">
        <v>0</v>
      </c>
      <c r="H2171" s="1056">
        <v>0</v>
      </c>
      <c r="I2171" s="1056">
        <v>62</v>
      </c>
      <c r="K2171" s="995">
        <f t="shared" si="33"/>
        <v>8</v>
      </c>
    </row>
    <row r="2172" spans="1:11">
      <c r="A2172" s="1054">
        <v>52053901</v>
      </c>
      <c r="B2172" s="1055" t="s">
        <v>893</v>
      </c>
      <c r="C2172" s="1055" t="s">
        <v>355</v>
      </c>
      <c r="D2172" s="1055" t="s">
        <v>1368</v>
      </c>
      <c r="E2172" s="1055" t="s">
        <v>1369</v>
      </c>
      <c r="F2172" s="1056">
        <v>92</v>
      </c>
      <c r="G2172" s="1056">
        <v>65</v>
      </c>
      <c r="H2172" s="1056">
        <v>0</v>
      </c>
      <c r="I2172" s="1056">
        <v>158</v>
      </c>
      <c r="K2172" s="995">
        <f t="shared" si="33"/>
        <v>8</v>
      </c>
    </row>
    <row r="2173" spans="1:11">
      <c r="A2173" s="1054">
        <v>52053901</v>
      </c>
      <c r="B2173" s="1055" t="s">
        <v>893</v>
      </c>
      <c r="C2173" s="1055" t="s">
        <v>355</v>
      </c>
      <c r="D2173" s="1055" t="s">
        <v>1246</v>
      </c>
      <c r="E2173" s="1055" t="s">
        <v>743</v>
      </c>
      <c r="F2173" s="1056">
        <v>344</v>
      </c>
      <c r="G2173" s="1056">
        <v>0</v>
      </c>
      <c r="H2173" s="1056">
        <v>0</v>
      </c>
      <c r="I2173" s="1056">
        <v>344</v>
      </c>
      <c r="K2173" s="995">
        <f t="shared" si="33"/>
        <v>8</v>
      </c>
    </row>
    <row r="2174" spans="1:11">
      <c r="A2174" s="1054">
        <v>52053901</v>
      </c>
      <c r="B2174" s="1055" t="s">
        <v>893</v>
      </c>
      <c r="C2174" s="1055" t="s">
        <v>355</v>
      </c>
      <c r="D2174" s="1055" t="s">
        <v>1927</v>
      </c>
      <c r="E2174" s="1055" t="s">
        <v>1928</v>
      </c>
      <c r="F2174" s="1056">
        <v>0</v>
      </c>
      <c r="G2174" s="1056">
        <v>763</v>
      </c>
      <c r="H2174" s="1056">
        <v>0</v>
      </c>
      <c r="I2174" s="1056">
        <v>763</v>
      </c>
      <c r="K2174" s="995">
        <f t="shared" si="33"/>
        <v>8</v>
      </c>
    </row>
    <row r="2175" spans="1:11">
      <c r="A2175" s="1054">
        <v>52053901</v>
      </c>
      <c r="B2175" s="1055" t="s">
        <v>893</v>
      </c>
      <c r="C2175" s="1055" t="s">
        <v>355</v>
      </c>
      <c r="D2175" s="1055" t="s">
        <v>1320</v>
      </c>
      <c r="E2175" s="1055" t="s">
        <v>1321</v>
      </c>
      <c r="F2175" s="1056">
        <v>392</v>
      </c>
      <c r="G2175" s="1056">
        <v>80</v>
      </c>
      <c r="H2175" s="1056">
        <v>0</v>
      </c>
      <c r="I2175" s="1056">
        <v>472</v>
      </c>
      <c r="K2175" s="995">
        <f t="shared" si="33"/>
        <v>8</v>
      </c>
    </row>
    <row r="2176" spans="1:11">
      <c r="A2176" s="1054">
        <v>52053901</v>
      </c>
      <c r="B2176" s="1055" t="s">
        <v>893</v>
      </c>
      <c r="C2176" s="1055" t="s">
        <v>355</v>
      </c>
      <c r="D2176" s="1055" t="s">
        <v>1274</v>
      </c>
      <c r="E2176" s="1055" t="s">
        <v>989</v>
      </c>
      <c r="F2176" s="1056">
        <v>699</v>
      </c>
      <c r="G2176" s="1056">
        <v>111</v>
      </c>
      <c r="H2176" s="1056">
        <v>0</v>
      </c>
      <c r="I2176" s="1056">
        <v>809</v>
      </c>
      <c r="K2176" s="995">
        <f t="shared" si="33"/>
        <v>8</v>
      </c>
    </row>
    <row r="2177" spans="1:11">
      <c r="A2177" s="1054">
        <v>52053901</v>
      </c>
      <c r="B2177" s="1055" t="s">
        <v>893</v>
      </c>
      <c r="C2177" s="1055" t="s">
        <v>355</v>
      </c>
      <c r="D2177" s="1055" t="s">
        <v>1247</v>
      </c>
      <c r="E2177" s="1055" t="s">
        <v>1248</v>
      </c>
      <c r="F2177" s="1056">
        <v>327</v>
      </c>
      <c r="G2177" s="1056">
        <v>82</v>
      </c>
      <c r="H2177" s="1056">
        <v>0</v>
      </c>
      <c r="I2177" s="1056">
        <v>409</v>
      </c>
      <c r="K2177" s="995">
        <f t="shared" si="33"/>
        <v>8</v>
      </c>
    </row>
    <row r="2178" spans="1:11">
      <c r="A2178" s="1054">
        <v>52053901</v>
      </c>
      <c r="B2178" s="1055" t="s">
        <v>893</v>
      </c>
      <c r="C2178" s="1055" t="s">
        <v>355</v>
      </c>
      <c r="D2178" s="1055" t="s">
        <v>1387</v>
      </c>
      <c r="E2178" s="1055" t="s">
        <v>1388</v>
      </c>
      <c r="F2178" s="1056">
        <v>21</v>
      </c>
      <c r="G2178" s="1056">
        <v>0</v>
      </c>
      <c r="H2178" s="1056">
        <v>0</v>
      </c>
      <c r="I2178" s="1056">
        <v>21</v>
      </c>
      <c r="K2178" s="995">
        <f t="shared" si="33"/>
        <v>8</v>
      </c>
    </row>
    <row r="2179" spans="1:11">
      <c r="A2179" s="1054">
        <v>52053901</v>
      </c>
      <c r="B2179" s="1055" t="s">
        <v>893</v>
      </c>
      <c r="C2179" s="1055" t="s">
        <v>355</v>
      </c>
      <c r="D2179" s="1055" t="s">
        <v>1370</v>
      </c>
      <c r="E2179" s="1055" t="s">
        <v>1371</v>
      </c>
      <c r="F2179" s="1056">
        <v>76</v>
      </c>
      <c r="G2179" s="1056">
        <v>76</v>
      </c>
      <c r="H2179" s="1056">
        <v>0</v>
      </c>
      <c r="I2179" s="1056">
        <v>152</v>
      </c>
      <c r="K2179" s="995">
        <f t="shared" si="33"/>
        <v>8</v>
      </c>
    </row>
    <row r="2180" spans="1:11">
      <c r="A2180" s="1054">
        <v>52053901</v>
      </c>
      <c r="B2180" s="1055" t="s">
        <v>893</v>
      </c>
      <c r="C2180" s="1055" t="s">
        <v>355</v>
      </c>
      <c r="D2180" s="1055" t="s">
        <v>1870</v>
      </c>
      <c r="E2180" s="1055" t="s">
        <v>1871</v>
      </c>
      <c r="F2180" s="1056">
        <v>80</v>
      </c>
      <c r="G2180" s="1056">
        <v>44</v>
      </c>
      <c r="H2180" s="1056">
        <v>0</v>
      </c>
      <c r="I2180" s="1056">
        <v>123</v>
      </c>
      <c r="K2180" s="995">
        <f t="shared" si="33"/>
        <v>8</v>
      </c>
    </row>
    <row r="2181" spans="1:11">
      <c r="A2181" s="1054">
        <v>52053901</v>
      </c>
      <c r="B2181" s="1055" t="s">
        <v>893</v>
      </c>
      <c r="C2181" s="1055" t="s">
        <v>355</v>
      </c>
      <c r="D2181" s="1055" t="s">
        <v>1372</v>
      </c>
      <c r="E2181" s="1055" t="s">
        <v>1373</v>
      </c>
      <c r="F2181" s="1056">
        <v>485</v>
      </c>
      <c r="G2181" s="1056">
        <v>71</v>
      </c>
      <c r="H2181" s="1056">
        <v>0</v>
      </c>
      <c r="I2181" s="1056">
        <v>556</v>
      </c>
      <c r="K2181" s="995">
        <f t="shared" ref="K2181:K2244" si="34">+LEN(A2181)</f>
        <v>8</v>
      </c>
    </row>
    <row r="2182" spans="1:11">
      <c r="A2182" s="1054">
        <v>52053901</v>
      </c>
      <c r="B2182" s="1055" t="s">
        <v>893</v>
      </c>
      <c r="C2182" s="1055" t="s">
        <v>355</v>
      </c>
      <c r="D2182" s="1055" t="s">
        <v>1785</v>
      </c>
      <c r="E2182" s="1055" t="s">
        <v>1786</v>
      </c>
      <c r="F2182" s="1056">
        <v>93</v>
      </c>
      <c r="G2182" s="1056">
        <v>65</v>
      </c>
      <c r="H2182" s="1056">
        <v>0</v>
      </c>
      <c r="I2182" s="1056">
        <v>158</v>
      </c>
      <c r="K2182" s="995">
        <f t="shared" si="34"/>
        <v>8</v>
      </c>
    </row>
    <row r="2183" spans="1:11">
      <c r="A2183" s="1054">
        <v>52053901</v>
      </c>
      <c r="B2183" s="1055" t="s">
        <v>893</v>
      </c>
      <c r="C2183" s="1055" t="s">
        <v>355</v>
      </c>
      <c r="D2183" s="1055" t="s">
        <v>1374</v>
      </c>
      <c r="E2183" s="1055" t="s">
        <v>1375</v>
      </c>
      <c r="F2183" s="1056">
        <v>83</v>
      </c>
      <c r="G2183" s="1056">
        <v>65</v>
      </c>
      <c r="H2183" s="1056">
        <v>0</v>
      </c>
      <c r="I2183" s="1056">
        <v>147</v>
      </c>
      <c r="K2183" s="995">
        <f t="shared" si="34"/>
        <v>8</v>
      </c>
    </row>
    <row r="2184" spans="1:11">
      <c r="A2184" s="1054">
        <v>52053901</v>
      </c>
      <c r="B2184" s="1055" t="s">
        <v>893</v>
      </c>
      <c r="C2184" s="1055" t="s">
        <v>355</v>
      </c>
      <c r="D2184" s="1055" t="s">
        <v>1389</v>
      </c>
      <c r="E2184" s="1055" t="s">
        <v>1390</v>
      </c>
      <c r="F2184" s="1056">
        <v>68</v>
      </c>
      <c r="G2184" s="1056">
        <v>0</v>
      </c>
      <c r="H2184" s="1056">
        <v>0</v>
      </c>
      <c r="I2184" s="1056">
        <v>68</v>
      </c>
      <c r="K2184" s="995">
        <f t="shared" si="34"/>
        <v>8</v>
      </c>
    </row>
    <row r="2185" spans="1:11">
      <c r="A2185" s="1054">
        <v>52053901</v>
      </c>
      <c r="B2185" s="1055" t="s">
        <v>893</v>
      </c>
      <c r="C2185" s="1055" t="s">
        <v>355</v>
      </c>
      <c r="D2185" s="1055" t="s">
        <v>1249</v>
      </c>
      <c r="E2185" s="1055" t="s">
        <v>583</v>
      </c>
      <c r="F2185" s="1056">
        <v>161</v>
      </c>
      <c r="G2185" s="1056">
        <v>134</v>
      </c>
      <c r="H2185" s="1056">
        <v>0</v>
      </c>
      <c r="I2185" s="1056">
        <v>295</v>
      </c>
      <c r="K2185" s="995">
        <f t="shared" si="34"/>
        <v>8</v>
      </c>
    </row>
    <row r="2186" spans="1:11">
      <c r="A2186" s="1054">
        <v>52053901</v>
      </c>
      <c r="B2186" s="1055" t="s">
        <v>893</v>
      </c>
      <c r="C2186" s="1055" t="s">
        <v>355</v>
      </c>
      <c r="D2186" s="1055" t="s">
        <v>1376</v>
      </c>
      <c r="E2186" s="1055" t="s">
        <v>1377</v>
      </c>
      <c r="F2186" s="1056">
        <v>303</v>
      </c>
      <c r="G2186" s="1056">
        <v>80</v>
      </c>
      <c r="H2186" s="1056">
        <v>0</v>
      </c>
      <c r="I2186" s="1056">
        <v>383</v>
      </c>
      <c r="K2186" s="995">
        <f t="shared" si="34"/>
        <v>8</v>
      </c>
    </row>
    <row r="2187" spans="1:11">
      <c r="A2187" s="1054">
        <v>52053901</v>
      </c>
      <c r="B2187" s="1055" t="s">
        <v>893</v>
      </c>
      <c r="C2187" s="1055" t="s">
        <v>355</v>
      </c>
      <c r="D2187" s="1055" t="s">
        <v>1613</v>
      </c>
      <c r="E2187" s="1055" t="s">
        <v>1614</v>
      </c>
      <c r="F2187" s="1056">
        <v>178</v>
      </c>
      <c r="G2187" s="1056">
        <v>0</v>
      </c>
      <c r="H2187" s="1056">
        <v>3</v>
      </c>
      <c r="I2187" s="1056">
        <v>175</v>
      </c>
      <c r="K2187" s="995">
        <f t="shared" si="34"/>
        <v>8</v>
      </c>
    </row>
    <row r="2188" spans="1:11">
      <c r="A2188" s="1054">
        <v>52053901</v>
      </c>
      <c r="B2188" s="1055" t="s">
        <v>893</v>
      </c>
      <c r="C2188" s="1055" t="s">
        <v>355</v>
      </c>
      <c r="D2188" s="1055" t="s">
        <v>1305</v>
      </c>
      <c r="E2188" s="1055" t="s">
        <v>990</v>
      </c>
      <c r="F2188" s="1056">
        <v>465</v>
      </c>
      <c r="G2188" s="1056">
        <v>93</v>
      </c>
      <c r="H2188" s="1056">
        <v>0</v>
      </c>
      <c r="I2188" s="1056">
        <v>558</v>
      </c>
      <c r="K2188" s="995">
        <f t="shared" si="34"/>
        <v>8</v>
      </c>
    </row>
    <row r="2189" spans="1:11">
      <c r="A2189" s="1054">
        <v>52053901</v>
      </c>
      <c r="B2189" s="1055" t="s">
        <v>893</v>
      </c>
      <c r="C2189" s="1055" t="s">
        <v>355</v>
      </c>
      <c r="D2189" s="1055" t="s">
        <v>1306</v>
      </c>
      <c r="E2189" s="1055" t="s">
        <v>997</v>
      </c>
      <c r="F2189" s="1056">
        <v>384</v>
      </c>
      <c r="G2189" s="1056">
        <v>87</v>
      </c>
      <c r="H2189" s="1056">
        <v>0</v>
      </c>
      <c r="I2189" s="1056">
        <v>471</v>
      </c>
      <c r="K2189" s="995">
        <f t="shared" si="34"/>
        <v>8</v>
      </c>
    </row>
    <row r="2190" spans="1:11">
      <c r="A2190" s="1054">
        <v>52053901</v>
      </c>
      <c r="B2190" s="1055" t="s">
        <v>893</v>
      </c>
      <c r="C2190" s="1055" t="s">
        <v>355</v>
      </c>
      <c r="D2190" s="1055" t="s">
        <v>1322</v>
      </c>
      <c r="E2190" s="1055" t="s">
        <v>1323</v>
      </c>
      <c r="F2190" s="1056">
        <v>249</v>
      </c>
      <c r="G2190" s="1056">
        <v>0</v>
      </c>
      <c r="H2190" s="1056">
        <v>0</v>
      </c>
      <c r="I2190" s="1056">
        <v>249</v>
      </c>
      <c r="K2190" s="995">
        <f t="shared" si="34"/>
        <v>8</v>
      </c>
    </row>
    <row r="2191" spans="1:11">
      <c r="A2191" s="1054">
        <v>52053901</v>
      </c>
      <c r="B2191" s="1055" t="s">
        <v>893</v>
      </c>
      <c r="C2191" s="1055" t="s">
        <v>355</v>
      </c>
      <c r="D2191" s="1055" t="s">
        <v>1391</v>
      </c>
      <c r="E2191" s="1055" t="s">
        <v>1392</v>
      </c>
      <c r="F2191" s="1056">
        <v>45</v>
      </c>
      <c r="G2191" s="1056">
        <v>0</v>
      </c>
      <c r="H2191" s="1056">
        <v>0</v>
      </c>
      <c r="I2191" s="1056">
        <v>45</v>
      </c>
      <c r="K2191" s="995">
        <f t="shared" si="34"/>
        <v>8</v>
      </c>
    </row>
    <row r="2192" spans="1:11">
      <c r="A2192" s="1054">
        <v>52053901</v>
      </c>
      <c r="B2192" s="1055" t="s">
        <v>893</v>
      </c>
      <c r="C2192" s="1055" t="s">
        <v>355</v>
      </c>
      <c r="D2192" s="1055" t="s">
        <v>1250</v>
      </c>
      <c r="E2192" s="1055" t="s">
        <v>1251</v>
      </c>
      <c r="F2192" s="1056">
        <v>365</v>
      </c>
      <c r="G2192" s="1056">
        <v>75</v>
      </c>
      <c r="H2192" s="1056">
        <v>0</v>
      </c>
      <c r="I2192" s="1056">
        <v>440</v>
      </c>
      <c r="K2192" s="995">
        <f t="shared" si="34"/>
        <v>8</v>
      </c>
    </row>
    <row r="2193" spans="1:11">
      <c r="A2193" s="1054">
        <v>52053901</v>
      </c>
      <c r="B2193" s="1055" t="s">
        <v>893</v>
      </c>
      <c r="C2193" s="1055" t="s">
        <v>355</v>
      </c>
      <c r="D2193" s="1055" t="s">
        <v>1787</v>
      </c>
      <c r="E2193" s="1055" t="s">
        <v>1788</v>
      </c>
      <c r="F2193" s="1056">
        <v>98</v>
      </c>
      <c r="G2193" s="1056">
        <v>82</v>
      </c>
      <c r="H2193" s="1056">
        <v>0</v>
      </c>
      <c r="I2193" s="1056">
        <v>180</v>
      </c>
      <c r="K2193" s="995">
        <f t="shared" si="34"/>
        <v>8</v>
      </c>
    </row>
    <row r="2194" spans="1:11">
      <c r="A2194" s="1054">
        <v>52053901</v>
      </c>
      <c r="B2194" s="1055" t="s">
        <v>893</v>
      </c>
      <c r="C2194" s="1055" t="s">
        <v>355</v>
      </c>
      <c r="D2194" s="1055" t="s">
        <v>1378</v>
      </c>
      <c r="E2194" s="1055" t="s">
        <v>1379</v>
      </c>
      <c r="F2194" s="1056">
        <v>364</v>
      </c>
      <c r="G2194" s="1056">
        <v>0</v>
      </c>
      <c r="H2194" s="1056">
        <v>0</v>
      </c>
      <c r="I2194" s="1056">
        <v>364</v>
      </c>
      <c r="K2194" s="995">
        <f t="shared" si="34"/>
        <v>8</v>
      </c>
    </row>
    <row r="2195" spans="1:11">
      <c r="A2195" s="1054">
        <v>52053901</v>
      </c>
      <c r="B2195" s="1055" t="s">
        <v>893</v>
      </c>
      <c r="C2195" s="1055" t="s">
        <v>355</v>
      </c>
      <c r="D2195" s="1055" t="s">
        <v>1393</v>
      </c>
      <c r="E2195" s="1055" t="s">
        <v>1394</v>
      </c>
      <c r="F2195" s="1056">
        <v>5</v>
      </c>
      <c r="G2195" s="1056">
        <v>0</v>
      </c>
      <c r="H2195" s="1056">
        <v>0</v>
      </c>
      <c r="I2195" s="1056">
        <v>5</v>
      </c>
      <c r="K2195" s="995">
        <f t="shared" si="34"/>
        <v>8</v>
      </c>
    </row>
    <row r="2196" spans="1:11">
      <c r="A2196" s="1054">
        <v>52053901</v>
      </c>
      <c r="B2196" s="1055" t="s">
        <v>893</v>
      </c>
      <c r="C2196" s="1055" t="s">
        <v>355</v>
      </c>
      <c r="D2196" s="1055" t="s">
        <v>1303</v>
      </c>
      <c r="E2196" s="1055" t="s">
        <v>806</v>
      </c>
      <c r="F2196" s="1056">
        <v>368</v>
      </c>
      <c r="G2196" s="1056">
        <v>68</v>
      </c>
      <c r="H2196" s="1056">
        <v>0</v>
      </c>
      <c r="I2196" s="1056">
        <v>436</v>
      </c>
      <c r="K2196" s="995">
        <f t="shared" si="34"/>
        <v>8</v>
      </c>
    </row>
    <row r="2197" spans="1:11">
      <c r="A2197" s="1054">
        <v>52053901</v>
      </c>
      <c r="B2197" s="1055" t="s">
        <v>893</v>
      </c>
      <c r="C2197" s="1055" t="s">
        <v>355</v>
      </c>
      <c r="D2197" s="1055" t="s">
        <v>1605</v>
      </c>
      <c r="E2197" s="1055" t="s">
        <v>1606</v>
      </c>
      <c r="F2197" s="1056">
        <v>488</v>
      </c>
      <c r="G2197" s="1056">
        <v>101</v>
      </c>
      <c r="H2197" s="1056">
        <v>0</v>
      </c>
      <c r="I2197" s="1056">
        <v>588</v>
      </c>
      <c r="K2197" s="995">
        <f t="shared" si="34"/>
        <v>8</v>
      </c>
    </row>
    <row r="2198" spans="1:11">
      <c r="A2198" s="1054">
        <v>52053901</v>
      </c>
      <c r="B2198" s="1055" t="s">
        <v>893</v>
      </c>
      <c r="C2198" s="1055" t="s">
        <v>355</v>
      </c>
      <c r="D2198" s="1055" t="s">
        <v>1789</v>
      </c>
      <c r="E2198" s="1055" t="s">
        <v>1790</v>
      </c>
      <c r="F2198" s="1056">
        <v>136</v>
      </c>
      <c r="G2198" s="1056">
        <v>68</v>
      </c>
      <c r="H2198" s="1056">
        <v>0</v>
      </c>
      <c r="I2198" s="1056">
        <v>204</v>
      </c>
      <c r="K2198" s="995">
        <f t="shared" si="34"/>
        <v>8</v>
      </c>
    </row>
    <row r="2199" spans="1:11">
      <c r="A2199" s="1054">
        <v>52053901</v>
      </c>
      <c r="B2199" s="1055" t="s">
        <v>893</v>
      </c>
      <c r="C2199" s="1055" t="s">
        <v>355</v>
      </c>
      <c r="D2199" s="1055" t="s">
        <v>1254</v>
      </c>
      <c r="E2199" s="1055" t="s">
        <v>744</v>
      </c>
      <c r="F2199" s="1056">
        <v>547</v>
      </c>
      <c r="G2199" s="1056">
        <v>88</v>
      </c>
      <c r="H2199" s="1056">
        <v>0</v>
      </c>
      <c r="I2199" s="1056">
        <v>636</v>
      </c>
      <c r="K2199" s="995">
        <f t="shared" si="34"/>
        <v>8</v>
      </c>
    </row>
    <row r="2200" spans="1:11">
      <c r="A2200" s="1054">
        <v>52053901</v>
      </c>
      <c r="B2200" s="1055" t="s">
        <v>893</v>
      </c>
      <c r="C2200" s="1055" t="s">
        <v>355</v>
      </c>
      <c r="D2200" s="1055" t="s">
        <v>1275</v>
      </c>
      <c r="E2200" s="1055" t="s">
        <v>991</v>
      </c>
      <c r="F2200" s="1056">
        <v>155</v>
      </c>
      <c r="G2200" s="1056">
        <v>346</v>
      </c>
      <c r="H2200" s="1056">
        <v>0</v>
      </c>
      <c r="I2200" s="1056">
        <v>501</v>
      </c>
      <c r="K2200" s="995">
        <f t="shared" si="34"/>
        <v>8</v>
      </c>
    </row>
    <row r="2201" spans="1:11">
      <c r="A2201" s="1054">
        <v>52053901</v>
      </c>
      <c r="B2201" s="1055" t="s">
        <v>893</v>
      </c>
      <c r="C2201" s="1055" t="s">
        <v>355</v>
      </c>
      <c r="D2201" s="1055" t="s">
        <v>1380</v>
      </c>
      <c r="E2201" s="1055" t="s">
        <v>1381</v>
      </c>
      <c r="F2201" s="1056">
        <v>0</v>
      </c>
      <c r="G2201" s="1056">
        <v>43</v>
      </c>
      <c r="H2201" s="1056">
        <v>0</v>
      </c>
      <c r="I2201" s="1056">
        <v>43</v>
      </c>
      <c r="K2201" s="995">
        <f t="shared" si="34"/>
        <v>8</v>
      </c>
    </row>
    <row r="2202" spans="1:11">
      <c r="A2202" s="1054">
        <v>52053901</v>
      </c>
      <c r="B2202" s="1055" t="s">
        <v>893</v>
      </c>
      <c r="C2202" s="1055" t="s">
        <v>355</v>
      </c>
      <c r="D2202" s="1055" t="s">
        <v>1044</v>
      </c>
      <c r="E2202" s="1055" t="s">
        <v>1045</v>
      </c>
      <c r="F2202" s="1056">
        <v>496</v>
      </c>
      <c r="G2202" s="1056">
        <v>5</v>
      </c>
      <c r="H2202" s="1056">
        <v>0</v>
      </c>
      <c r="I2202" s="1056">
        <v>501</v>
      </c>
      <c r="K2202" s="995">
        <f t="shared" si="34"/>
        <v>8</v>
      </c>
    </row>
    <row r="2203" spans="1:11">
      <c r="A2203" s="1054">
        <v>52053901</v>
      </c>
      <c r="B2203" s="1055" t="s">
        <v>893</v>
      </c>
      <c r="C2203" s="1055" t="s">
        <v>355</v>
      </c>
      <c r="D2203" s="1055" t="s">
        <v>1395</v>
      </c>
      <c r="E2203" s="1055" t="s">
        <v>1396</v>
      </c>
      <c r="F2203" s="1056">
        <v>189</v>
      </c>
      <c r="G2203" s="1056">
        <v>0</v>
      </c>
      <c r="H2203" s="1056">
        <v>0</v>
      </c>
      <c r="I2203" s="1056">
        <v>189</v>
      </c>
      <c r="K2203" s="995">
        <f t="shared" si="34"/>
        <v>8</v>
      </c>
    </row>
    <row r="2204" spans="1:11">
      <c r="A2204" s="1054">
        <v>52053901</v>
      </c>
      <c r="B2204" s="1055" t="s">
        <v>893</v>
      </c>
      <c r="C2204" s="1055" t="s">
        <v>355</v>
      </c>
      <c r="D2204" s="1055" t="s">
        <v>1382</v>
      </c>
      <c r="E2204" s="1055" t="s">
        <v>1763</v>
      </c>
      <c r="F2204" s="1056">
        <v>939</v>
      </c>
      <c r="G2204" s="1056">
        <v>91</v>
      </c>
      <c r="H2204" s="1056">
        <v>0</v>
      </c>
      <c r="I2204" s="1056">
        <v>1030</v>
      </c>
      <c r="K2204" s="995">
        <f t="shared" si="34"/>
        <v>8</v>
      </c>
    </row>
    <row r="2205" spans="1:11">
      <c r="A2205" s="1054">
        <v>52053901</v>
      </c>
      <c r="B2205" s="1055" t="s">
        <v>893</v>
      </c>
      <c r="C2205" s="1055" t="s">
        <v>355</v>
      </c>
      <c r="D2205" s="1055" t="s">
        <v>1383</v>
      </c>
      <c r="E2205" s="1055" t="s">
        <v>1384</v>
      </c>
      <c r="F2205" s="1056">
        <v>420</v>
      </c>
      <c r="G2205" s="1056">
        <v>55</v>
      </c>
      <c r="H2205" s="1056">
        <v>0</v>
      </c>
      <c r="I2205" s="1056">
        <v>475</v>
      </c>
      <c r="K2205" s="995">
        <f t="shared" si="34"/>
        <v>8</v>
      </c>
    </row>
    <row r="2206" spans="1:11">
      <c r="A2206" s="1054">
        <v>520545</v>
      </c>
      <c r="B2206" s="1055" t="s">
        <v>893</v>
      </c>
      <c r="C2206" s="1055" t="s">
        <v>769</v>
      </c>
      <c r="D2206" s="1055" t="s">
        <v>893</v>
      </c>
      <c r="E2206" s="1055" t="s">
        <v>893</v>
      </c>
      <c r="F2206" s="1056">
        <v>2717</v>
      </c>
      <c r="G2206" s="1056">
        <v>400</v>
      </c>
      <c r="H2206" s="1056">
        <v>0</v>
      </c>
      <c r="I2206" s="1056">
        <v>3117</v>
      </c>
      <c r="K2206" s="995">
        <f t="shared" si="34"/>
        <v>6</v>
      </c>
    </row>
    <row r="2207" spans="1:11">
      <c r="A2207" s="1054">
        <v>52054502</v>
      </c>
      <c r="B2207" s="1055" t="s">
        <v>1489</v>
      </c>
      <c r="C2207" s="1055" t="s">
        <v>770</v>
      </c>
      <c r="D2207" s="1055" t="s">
        <v>893</v>
      </c>
      <c r="E2207" s="1055" t="s">
        <v>893</v>
      </c>
      <c r="F2207" s="1056">
        <v>2717</v>
      </c>
      <c r="G2207" s="1056">
        <v>400</v>
      </c>
      <c r="H2207" s="1056">
        <v>0</v>
      </c>
      <c r="I2207" s="1056">
        <v>3117</v>
      </c>
      <c r="K2207" s="995">
        <f t="shared" si="34"/>
        <v>8</v>
      </c>
    </row>
    <row r="2208" spans="1:11">
      <c r="A2208" s="1054">
        <v>52054502</v>
      </c>
      <c r="B2208" s="1055" t="s">
        <v>1489</v>
      </c>
      <c r="C2208" s="1055" t="s">
        <v>770</v>
      </c>
      <c r="D2208" s="1055" t="s">
        <v>1601</v>
      </c>
      <c r="E2208" s="1055" t="s">
        <v>1602</v>
      </c>
      <c r="F2208" s="1056">
        <v>1360</v>
      </c>
      <c r="G2208" s="1056">
        <v>400</v>
      </c>
      <c r="H2208" s="1056">
        <v>0</v>
      </c>
      <c r="I2208" s="1056">
        <v>1760</v>
      </c>
      <c r="K2208" s="995">
        <f t="shared" si="34"/>
        <v>8</v>
      </c>
    </row>
    <row r="2209" spans="1:11">
      <c r="A2209" s="1054">
        <v>52054502</v>
      </c>
      <c r="B2209" s="1055" t="s">
        <v>1489</v>
      </c>
      <c r="C2209" s="1055" t="s">
        <v>770</v>
      </c>
      <c r="D2209" s="1055" t="s">
        <v>1044</v>
      </c>
      <c r="E2209" s="1055" t="s">
        <v>1045</v>
      </c>
      <c r="F2209" s="1056">
        <v>1357</v>
      </c>
      <c r="G2209" s="1056">
        <v>0</v>
      </c>
      <c r="H2209" s="1056">
        <v>0</v>
      </c>
      <c r="I2209" s="1056">
        <v>1357</v>
      </c>
      <c r="K2209" s="995">
        <f t="shared" si="34"/>
        <v>8</v>
      </c>
    </row>
    <row r="2210" spans="1:11">
      <c r="A2210" s="1054">
        <v>520548</v>
      </c>
      <c r="B2210" s="1055" t="s">
        <v>893</v>
      </c>
      <c r="C2210" s="1055" t="s">
        <v>383</v>
      </c>
      <c r="D2210" s="1055" t="s">
        <v>893</v>
      </c>
      <c r="E2210" s="1055" t="s">
        <v>893</v>
      </c>
      <c r="F2210" s="1056">
        <v>14531</v>
      </c>
      <c r="G2210" s="1056">
        <v>3076</v>
      </c>
      <c r="H2210" s="1056">
        <v>0</v>
      </c>
      <c r="I2210" s="1056">
        <v>17607</v>
      </c>
      <c r="K2210" s="995">
        <f t="shared" si="34"/>
        <v>6</v>
      </c>
    </row>
    <row r="2211" spans="1:11">
      <c r="A2211" s="1054">
        <v>52054801</v>
      </c>
      <c r="B2211" s="1055" t="s">
        <v>893</v>
      </c>
      <c r="C2211" s="1055" t="s">
        <v>383</v>
      </c>
      <c r="D2211" s="1055" t="s">
        <v>893</v>
      </c>
      <c r="E2211" s="1055" t="s">
        <v>893</v>
      </c>
      <c r="F2211" s="1056">
        <v>4500</v>
      </c>
      <c r="G2211" s="1056">
        <v>1250</v>
      </c>
      <c r="H2211" s="1056">
        <v>0</v>
      </c>
      <c r="I2211" s="1056">
        <v>5750</v>
      </c>
      <c r="K2211" s="995">
        <f t="shared" si="34"/>
        <v>8</v>
      </c>
    </row>
    <row r="2212" spans="1:11">
      <c r="A2212" s="1054">
        <v>52054801</v>
      </c>
      <c r="B2212" s="1055" t="s">
        <v>893</v>
      </c>
      <c r="C2212" s="1055" t="s">
        <v>383</v>
      </c>
      <c r="D2212" s="1055" t="s">
        <v>1601</v>
      </c>
      <c r="E2212" s="1055" t="s">
        <v>1602</v>
      </c>
      <c r="F2212" s="1056">
        <v>4500</v>
      </c>
      <c r="G2212" s="1056">
        <v>1250</v>
      </c>
      <c r="H2212" s="1056">
        <v>0</v>
      </c>
      <c r="I2212" s="1056">
        <v>5750</v>
      </c>
      <c r="K2212" s="995">
        <f t="shared" si="34"/>
        <v>8</v>
      </c>
    </row>
    <row r="2213" spans="1:11">
      <c r="A2213" s="1054">
        <v>52054802</v>
      </c>
      <c r="B2213" s="1055" t="s">
        <v>893</v>
      </c>
      <c r="C2213" s="1055" t="s">
        <v>595</v>
      </c>
      <c r="D2213" s="1055" t="s">
        <v>893</v>
      </c>
      <c r="E2213" s="1055" t="s">
        <v>893</v>
      </c>
      <c r="F2213" s="1056">
        <v>10031</v>
      </c>
      <c r="G2213" s="1056">
        <v>1826</v>
      </c>
      <c r="H2213" s="1056">
        <v>0</v>
      </c>
      <c r="I2213" s="1056">
        <v>11857</v>
      </c>
      <c r="K2213" s="995">
        <f t="shared" si="34"/>
        <v>8</v>
      </c>
    </row>
    <row r="2214" spans="1:11">
      <c r="A2214" s="1054">
        <v>52054802</v>
      </c>
      <c r="B2214" s="1055" t="s">
        <v>893</v>
      </c>
      <c r="C2214" s="1055" t="s">
        <v>595</v>
      </c>
      <c r="D2214" s="1055" t="s">
        <v>1385</v>
      </c>
      <c r="E2214" s="1055" t="s">
        <v>1386</v>
      </c>
      <c r="F2214" s="1056">
        <v>60</v>
      </c>
      <c r="G2214" s="1056">
        <v>0</v>
      </c>
      <c r="H2214" s="1056">
        <v>0</v>
      </c>
      <c r="I2214" s="1056">
        <v>60</v>
      </c>
      <c r="K2214" s="995">
        <f t="shared" si="34"/>
        <v>8</v>
      </c>
    </row>
    <row r="2215" spans="1:11">
      <c r="A2215" s="1054">
        <v>52054802</v>
      </c>
      <c r="B2215" s="1055" t="s">
        <v>893</v>
      </c>
      <c r="C2215" s="1055" t="s">
        <v>595</v>
      </c>
      <c r="D2215" s="1055" t="s">
        <v>1360</v>
      </c>
      <c r="E2215" s="1055" t="s">
        <v>1361</v>
      </c>
      <c r="F2215" s="1056">
        <v>120</v>
      </c>
      <c r="G2215" s="1056">
        <v>120</v>
      </c>
      <c r="H2215" s="1056">
        <v>0</v>
      </c>
      <c r="I2215" s="1056">
        <v>240</v>
      </c>
      <c r="K2215" s="995">
        <f t="shared" si="34"/>
        <v>8</v>
      </c>
    </row>
    <row r="2216" spans="1:11">
      <c r="A2216" s="1054">
        <v>52054802</v>
      </c>
      <c r="B2216" s="1055" t="s">
        <v>893</v>
      </c>
      <c r="C2216" s="1055" t="s">
        <v>595</v>
      </c>
      <c r="D2216" s="1055" t="s">
        <v>1362</v>
      </c>
      <c r="E2216" s="1055" t="s">
        <v>1363</v>
      </c>
      <c r="F2216" s="1056">
        <v>120</v>
      </c>
      <c r="G2216" s="1056">
        <v>0</v>
      </c>
      <c r="H2216" s="1056">
        <v>0</v>
      </c>
      <c r="I2216" s="1056">
        <v>120</v>
      </c>
      <c r="K2216" s="995">
        <f t="shared" si="34"/>
        <v>8</v>
      </c>
    </row>
    <row r="2217" spans="1:11">
      <c r="A2217" s="1054">
        <v>52054802</v>
      </c>
      <c r="B2217" s="1055" t="s">
        <v>893</v>
      </c>
      <c r="C2217" s="1055" t="s">
        <v>595</v>
      </c>
      <c r="D2217" s="1055" t="s">
        <v>1364</v>
      </c>
      <c r="E2217" s="1055" t="s">
        <v>1365</v>
      </c>
      <c r="F2217" s="1056">
        <v>120</v>
      </c>
      <c r="G2217" s="1056">
        <v>60</v>
      </c>
      <c r="H2217" s="1056">
        <v>0</v>
      </c>
      <c r="I2217" s="1056">
        <v>180</v>
      </c>
      <c r="K2217" s="995">
        <f t="shared" si="34"/>
        <v>8</v>
      </c>
    </row>
    <row r="2218" spans="1:11">
      <c r="A2218" s="1054">
        <v>52054802</v>
      </c>
      <c r="B2218" s="1055" t="s">
        <v>893</v>
      </c>
      <c r="C2218" s="1055" t="s">
        <v>595</v>
      </c>
      <c r="D2218" s="1055" t="s">
        <v>1270</v>
      </c>
      <c r="E2218" s="1055" t="s">
        <v>988</v>
      </c>
      <c r="F2218" s="1056">
        <v>1024</v>
      </c>
      <c r="G2218" s="1056">
        <v>75</v>
      </c>
      <c r="H2218" s="1056">
        <v>0</v>
      </c>
      <c r="I2218" s="1056">
        <v>1099</v>
      </c>
      <c r="K2218" s="995">
        <f t="shared" si="34"/>
        <v>8</v>
      </c>
    </row>
    <row r="2219" spans="1:11">
      <c r="A2219" s="1054">
        <v>52054802</v>
      </c>
      <c r="B2219" s="1055" t="s">
        <v>893</v>
      </c>
      <c r="C2219" s="1055" t="s">
        <v>595</v>
      </c>
      <c r="D2219" s="1055" t="s">
        <v>1271</v>
      </c>
      <c r="E2219" s="1055" t="s">
        <v>782</v>
      </c>
      <c r="F2219" s="1056">
        <v>0</v>
      </c>
      <c r="G2219" s="1056">
        <v>10</v>
      </c>
      <c r="H2219" s="1056">
        <v>0</v>
      </c>
      <c r="I2219" s="1056">
        <v>10</v>
      </c>
      <c r="K2219" s="995">
        <f t="shared" si="34"/>
        <v>8</v>
      </c>
    </row>
    <row r="2220" spans="1:11">
      <c r="A2220" s="1054">
        <v>52054802</v>
      </c>
      <c r="B2220" s="1055" t="s">
        <v>893</v>
      </c>
      <c r="C2220" s="1055" t="s">
        <v>595</v>
      </c>
      <c r="D2220" s="1055" t="s">
        <v>1366</v>
      </c>
      <c r="E2220" s="1055" t="s">
        <v>1367</v>
      </c>
      <c r="F2220" s="1056">
        <v>240</v>
      </c>
      <c r="G2220" s="1056">
        <v>72</v>
      </c>
      <c r="H2220" s="1056">
        <v>0</v>
      </c>
      <c r="I2220" s="1056">
        <v>312</v>
      </c>
      <c r="K2220" s="995">
        <f t="shared" si="34"/>
        <v>8</v>
      </c>
    </row>
    <row r="2221" spans="1:11">
      <c r="A2221" s="1054">
        <v>52054802</v>
      </c>
      <c r="B2221" s="1055" t="s">
        <v>893</v>
      </c>
      <c r="C2221" s="1055" t="s">
        <v>595</v>
      </c>
      <c r="D2221" s="1055" t="s">
        <v>1302</v>
      </c>
      <c r="E2221" s="1055" t="s">
        <v>986</v>
      </c>
      <c r="F2221" s="1056">
        <v>600</v>
      </c>
      <c r="G2221" s="1056">
        <v>0</v>
      </c>
      <c r="H2221" s="1056">
        <v>0</v>
      </c>
      <c r="I2221" s="1056">
        <v>600</v>
      </c>
      <c r="K2221" s="995">
        <f t="shared" si="34"/>
        <v>8</v>
      </c>
    </row>
    <row r="2222" spans="1:11">
      <c r="A2222" s="1054">
        <v>52054802</v>
      </c>
      <c r="B2222" s="1055" t="s">
        <v>893</v>
      </c>
      <c r="C2222" s="1055" t="s">
        <v>595</v>
      </c>
      <c r="D2222" s="1055" t="s">
        <v>1042</v>
      </c>
      <c r="E2222" s="1055" t="s">
        <v>1732</v>
      </c>
      <c r="F2222" s="1056">
        <v>240</v>
      </c>
      <c r="G2222" s="1056">
        <v>0</v>
      </c>
      <c r="H2222" s="1056">
        <v>0</v>
      </c>
      <c r="I2222" s="1056">
        <v>240</v>
      </c>
      <c r="K2222" s="995">
        <f t="shared" si="34"/>
        <v>8</v>
      </c>
    </row>
    <row r="2223" spans="1:11">
      <c r="A2223" s="1054">
        <v>52054802</v>
      </c>
      <c r="B2223" s="1055" t="s">
        <v>893</v>
      </c>
      <c r="C2223" s="1055" t="s">
        <v>595</v>
      </c>
      <c r="D2223" s="1055" t="s">
        <v>1368</v>
      </c>
      <c r="E2223" s="1055" t="s">
        <v>1369</v>
      </c>
      <c r="F2223" s="1056">
        <v>0</v>
      </c>
      <c r="G2223" s="1056">
        <v>60</v>
      </c>
      <c r="H2223" s="1056">
        <v>0</v>
      </c>
      <c r="I2223" s="1056">
        <v>60</v>
      </c>
      <c r="K2223" s="995">
        <f t="shared" si="34"/>
        <v>8</v>
      </c>
    </row>
    <row r="2224" spans="1:11">
      <c r="A2224" s="1054">
        <v>52054802</v>
      </c>
      <c r="B2224" s="1055" t="s">
        <v>893</v>
      </c>
      <c r="C2224" s="1055" t="s">
        <v>595</v>
      </c>
      <c r="D2224" s="1055" t="s">
        <v>1304</v>
      </c>
      <c r="E2224" s="1055" t="s">
        <v>1819</v>
      </c>
      <c r="F2224" s="1056">
        <v>177</v>
      </c>
      <c r="G2224" s="1056">
        <v>0</v>
      </c>
      <c r="H2224" s="1056">
        <v>0</v>
      </c>
      <c r="I2224" s="1056">
        <v>177</v>
      </c>
      <c r="K2224" s="995">
        <f t="shared" si="34"/>
        <v>8</v>
      </c>
    </row>
    <row r="2225" spans="1:11">
      <c r="A2225" s="1054">
        <v>52054802</v>
      </c>
      <c r="B2225" s="1055" t="s">
        <v>893</v>
      </c>
      <c r="C2225" s="1055" t="s">
        <v>595</v>
      </c>
      <c r="D2225" s="1055" t="s">
        <v>1320</v>
      </c>
      <c r="E2225" s="1055" t="s">
        <v>1321</v>
      </c>
      <c r="F2225" s="1056">
        <v>360</v>
      </c>
      <c r="G2225" s="1056">
        <v>96</v>
      </c>
      <c r="H2225" s="1056">
        <v>0</v>
      </c>
      <c r="I2225" s="1056">
        <v>456</v>
      </c>
      <c r="K2225" s="995">
        <f t="shared" si="34"/>
        <v>8</v>
      </c>
    </row>
    <row r="2226" spans="1:11">
      <c r="A2226" s="1054">
        <v>52054802</v>
      </c>
      <c r="B2226" s="1055" t="s">
        <v>893</v>
      </c>
      <c r="C2226" s="1055" t="s">
        <v>595</v>
      </c>
      <c r="D2226" s="1055" t="s">
        <v>1274</v>
      </c>
      <c r="E2226" s="1055" t="s">
        <v>989</v>
      </c>
      <c r="F2226" s="1056">
        <v>150</v>
      </c>
      <c r="G2226" s="1056">
        <v>0</v>
      </c>
      <c r="H2226" s="1056">
        <v>0</v>
      </c>
      <c r="I2226" s="1056">
        <v>150</v>
      </c>
      <c r="K2226" s="995">
        <f t="shared" si="34"/>
        <v>8</v>
      </c>
    </row>
    <row r="2227" spans="1:11">
      <c r="A2227" s="1054">
        <v>52054802</v>
      </c>
      <c r="B2227" s="1055" t="s">
        <v>893</v>
      </c>
      <c r="C2227" s="1055" t="s">
        <v>595</v>
      </c>
      <c r="D2227" s="1055" t="s">
        <v>1247</v>
      </c>
      <c r="E2227" s="1055" t="s">
        <v>1248</v>
      </c>
      <c r="F2227" s="1056">
        <v>240</v>
      </c>
      <c r="G2227" s="1056">
        <v>60</v>
      </c>
      <c r="H2227" s="1056">
        <v>0</v>
      </c>
      <c r="I2227" s="1056">
        <v>300</v>
      </c>
      <c r="K2227" s="995">
        <f t="shared" si="34"/>
        <v>8</v>
      </c>
    </row>
    <row r="2228" spans="1:11">
      <c r="A2228" s="1054">
        <v>52054802</v>
      </c>
      <c r="B2228" s="1055" t="s">
        <v>893</v>
      </c>
      <c r="C2228" s="1055" t="s">
        <v>595</v>
      </c>
      <c r="D2228" s="1055" t="s">
        <v>1387</v>
      </c>
      <c r="E2228" s="1055" t="s">
        <v>1388</v>
      </c>
      <c r="F2228" s="1056">
        <v>120</v>
      </c>
      <c r="G2228" s="1056">
        <v>0</v>
      </c>
      <c r="H2228" s="1056">
        <v>0</v>
      </c>
      <c r="I2228" s="1056">
        <v>120</v>
      </c>
      <c r="K2228" s="995">
        <f t="shared" si="34"/>
        <v>8</v>
      </c>
    </row>
    <row r="2229" spans="1:11">
      <c r="A2229" s="1054">
        <v>52054802</v>
      </c>
      <c r="B2229" s="1055" t="s">
        <v>893</v>
      </c>
      <c r="C2229" s="1055" t="s">
        <v>595</v>
      </c>
      <c r="D2229" s="1055" t="s">
        <v>1370</v>
      </c>
      <c r="E2229" s="1055" t="s">
        <v>1371</v>
      </c>
      <c r="F2229" s="1056">
        <v>96</v>
      </c>
      <c r="G2229" s="1056">
        <v>0</v>
      </c>
      <c r="H2229" s="1056">
        <v>0</v>
      </c>
      <c r="I2229" s="1056">
        <v>96</v>
      </c>
      <c r="K2229" s="995">
        <f t="shared" si="34"/>
        <v>8</v>
      </c>
    </row>
    <row r="2230" spans="1:11">
      <c r="A2230" s="1054">
        <v>52054802</v>
      </c>
      <c r="B2230" s="1055" t="s">
        <v>893</v>
      </c>
      <c r="C2230" s="1055" t="s">
        <v>595</v>
      </c>
      <c r="D2230" s="1055" t="s">
        <v>1870</v>
      </c>
      <c r="E2230" s="1055" t="s">
        <v>1871</v>
      </c>
      <c r="F2230" s="1056">
        <v>220</v>
      </c>
      <c r="G2230" s="1056">
        <v>0</v>
      </c>
      <c r="H2230" s="1056">
        <v>0</v>
      </c>
      <c r="I2230" s="1056">
        <v>220</v>
      </c>
      <c r="K2230" s="995">
        <f t="shared" si="34"/>
        <v>8</v>
      </c>
    </row>
    <row r="2231" spans="1:11">
      <c r="A2231" s="1054">
        <v>52054802</v>
      </c>
      <c r="B2231" s="1055" t="s">
        <v>893</v>
      </c>
      <c r="C2231" s="1055" t="s">
        <v>595</v>
      </c>
      <c r="D2231" s="1055" t="s">
        <v>1372</v>
      </c>
      <c r="E2231" s="1055" t="s">
        <v>1373</v>
      </c>
      <c r="F2231" s="1056">
        <v>180</v>
      </c>
      <c r="G2231" s="1056">
        <v>36</v>
      </c>
      <c r="H2231" s="1056">
        <v>0</v>
      </c>
      <c r="I2231" s="1056">
        <v>216</v>
      </c>
      <c r="K2231" s="995">
        <f t="shared" si="34"/>
        <v>8</v>
      </c>
    </row>
    <row r="2232" spans="1:11">
      <c r="A2232" s="1054">
        <v>52054802</v>
      </c>
      <c r="B2232" s="1055" t="s">
        <v>893</v>
      </c>
      <c r="C2232" s="1055" t="s">
        <v>595</v>
      </c>
      <c r="D2232" s="1055" t="s">
        <v>1785</v>
      </c>
      <c r="E2232" s="1055" t="s">
        <v>1786</v>
      </c>
      <c r="F2232" s="1056">
        <v>196</v>
      </c>
      <c r="G2232" s="1056">
        <v>0</v>
      </c>
      <c r="H2232" s="1056">
        <v>0</v>
      </c>
      <c r="I2232" s="1056">
        <v>196</v>
      </c>
      <c r="K2232" s="995">
        <f t="shared" si="34"/>
        <v>8</v>
      </c>
    </row>
    <row r="2233" spans="1:11">
      <c r="A2233" s="1054">
        <v>52054802</v>
      </c>
      <c r="B2233" s="1055" t="s">
        <v>893</v>
      </c>
      <c r="C2233" s="1055" t="s">
        <v>595</v>
      </c>
      <c r="D2233" s="1055" t="s">
        <v>1389</v>
      </c>
      <c r="E2233" s="1055" t="s">
        <v>1390</v>
      </c>
      <c r="F2233" s="1056">
        <v>120</v>
      </c>
      <c r="G2233" s="1056">
        <v>0</v>
      </c>
      <c r="H2233" s="1056">
        <v>0</v>
      </c>
      <c r="I2233" s="1056">
        <v>120</v>
      </c>
      <c r="K2233" s="995">
        <f t="shared" si="34"/>
        <v>8</v>
      </c>
    </row>
    <row r="2234" spans="1:11">
      <c r="A2234" s="1054">
        <v>52054802</v>
      </c>
      <c r="B2234" s="1055" t="s">
        <v>893</v>
      </c>
      <c r="C2234" s="1055" t="s">
        <v>595</v>
      </c>
      <c r="D2234" s="1055" t="s">
        <v>1249</v>
      </c>
      <c r="E2234" s="1055" t="s">
        <v>583</v>
      </c>
      <c r="F2234" s="1056">
        <v>450</v>
      </c>
      <c r="G2234" s="1056">
        <v>300</v>
      </c>
      <c r="H2234" s="1056">
        <v>0</v>
      </c>
      <c r="I2234" s="1056">
        <v>750</v>
      </c>
      <c r="K2234" s="995">
        <f t="shared" si="34"/>
        <v>8</v>
      </c>
    </row>
    <row r="2235" spans="1:11">
      <c r="A2235" s="1054">
        <v>52054802</v>
      </c>
      <c r="B2235" s="1055" t="s">
        <v>893</v>
      </c>
      <c r="C2235" s="1055" t="s">
        <v>595</v>
      </c>
      <c r="D2235" s="1055" t="s">
        <v>1376</v>
      </c>
      <c r="E2235" s="1055" t="s">
        <v>1377</v>
      </c>
      <c r="F2235" s="1056">
        <v>80</v>
      </c>
      <c r="G2235" s="1056">
        <v>120</v>
      </c>
      <c r="H2235" s="1056">
        <v>0</v>
      </c>
      <c r="I2235" s="1056">
        <v>200</v>
      </c>
      <c r="K2235" s="995">
        <f t="shared" si="34"/>
        <v>8</v>
      </c>
    </row>
    <row r="2236" spans="1:11">
      <c r="A2236" s="1054">
        <v>52054802</v>
      </c>
      <c r="B2236" s="1055" t="s">
        <v>893</v>
      </c>
      <c r="C2236" s="1055" t="s">
        <v>595</v>
      </c>
      <c r="D2236" s="1055" t="s">
        <v>1305</v>
      </c>
      <c r="E2236" s="1055" t="s">
        <v>990</v>
      </c>
      <c r="F2236" s="1056">
        <v>450</v>
      </c>
      <c r="G2236" s="1056">
        <v>0</v>
      </c>
      <c r="H2236" s="1056">
        <v>0</v>
      </c>
      <c r="I2236" s="1056">
        <v>450</v>
      </c>
      <c r="K2236" s="995">
        <f t="shared" si="34"/>
        <v>8</v>
      </c>
    </row>
    <row r="2237" spans="1:11">
      <c r="A2237" s="1054">
        <v>52054802</v>
      </c>
      <c r="B2237" s="1055" t="s">
        <v>893</v>
      </c>
      <c r="C2237" s="1055" t="s">
        <v>595</v>
      </c>
      <c r="D2237" s="1055" t="s">
        <v>1306</v>
      </c>
      <c r="E2237" s="1055" t="s">
        <v>997</v>
      </c>
      <c r="F2237" s="1056">
        <v>120</v>
      </c>
      <c r="G2237" s="1056">
        <v>120</v>
      </c>
      <c r="H2237" s="1056">
        <v>0</v>
      </c>
      <c r="I2237" s="1056">
        <v>240</v>
      </c>
      <c r="K2237" s="995">
        <f t="shared" si="34"/>
        <v>8</v>
      </c>
    </row>
    <row r="2238" spans="1:11">
      <c r="A2238" s="1054">
        <v>52054802</v>
      </c>
      <c r="B2238" s="1055" t="s">
        <v>893</v>
      </c>
      <c r="C2238" s="1055" t="s">
        <v>595</v>
      </c>
      <c r="D2238" s="1055" t="s">
        <v>1322</v>
      </c>
      <c r="E2238" s="1055" t="s">
        <v>1323</v>
      </c>
      <c r="F2238" s="1056">
        <v>657</v>
      </c>
      <c r="G2238" s="1056">
        <v>0</v>
      </c>
      <c r="H2238" s="1056">
        <v>0</v>
      </c>
      <c r="I2238" s="1056">
        <v>657</v>
      </c>
      <c r="K2238" s="995">
        <f t="shared" si="34"/>
        <v>8</v>
      </c>
    </row>
    <row r="2239" spans="1:11">
      <c r="A2239" s="1054">
        <v>52054802</v>
      </c>
      <c r="B2239" s="1055" t="s">
        <v>893</v>
      </c>
      <c r="C2239" s="1055" t="s">
        <v>595</v>
      </c>
      <c r="D2239" s="1055" t="s">
        <v>1391</v>
      </c>
      <c r="E2239" s="1055" t="s">
        <v>1392</v>
      </c>
      <c r="F2239" s="1056">
        <v>120</v>
      </c>
      <c r="G2239" s="1056">
        <v>0</v>
      </c>
      <c r="H2239" s="1056">
        <v>0</v>
      </c>
      <c r="I2239" s="1056">
        <v>120</v>
      </c>
      <c r="K2239" s="995">
        <f t="shared" si="34"/>
        <v>8</v>
      </c>
    </row>
    <row r="2240" spans="1:11">
      <c r="A2240" s="1054">
        <v>52054802</v>
      </c>
      <c r="B2240" s="1055" t="s">
        <v>893</v>
      </c>
      <c r="C2240" s="1055" t="s">
        <v>595</v>
      </c>
      <c r="D2240" s="1055" t="s">
        <v>1250</v>
      </c>
      <c r="E2240" s="1055" t="s">
        <v>1251</v>
      </c>
      <c r="F2240" s="1056">
        <v>240</v>
      </c>
      <c r="G2240" s="1056">
        <v>120</v>
      </c>
      <c r="H2240" s="1056">
        <v>0</v>
      </c>
      <c r="I2240" s="1056">
        <v>360</v>
      </c>
      <c r="K2240" s="995">
        <f t="shared" si="34"/>
        <v>8</v>
      </c>
    </row>
    <row r="2241" spans="1:11">
      <c r="A2241" s="1054">
        <v>52054802</v>
      </c>
      <c r="B2241" s="1055" t="s">
        <v>893</v>
      </c>
      <c r="C2241" s="1055" t="s">
        <v>595</v>
      </c>
      <c r="D2241" s="1055" t="s">
        <v>1787</v>
      </c>
      <c r="E2241" s="1055" t="s">
        <v>1788</v>
      </c>
      <c r="F2241" s="1056">
        <v>0</v>
      </c>
      <c r="G2241" s="1056">
        <v>120</v>
      </c>
      <c r="H2241" s="1056">
        <v>0</v>
      </c>
      <c r="I2241" s="1056">
        <v>120</v>
      </c>
      <c r="K2241" s="995">
        <f t="shared" si="34"/>
        <v>8</v>
      </c>
    </row>
    <row r="2242" spans="1:11">
      <c r="A2242" s="1054">
        <v>52054802</v>
      </c>
      <c r="B2242" s="1055" t="s">
        <v>893</v>
      </c>
      <c r="C2242" s="1055" t="s">
        <v>595</v>
      </c>
      <c r="D2242" s="1055" t="s">
        <v>1378</v>
      </c>
      <c r="E2242" s="1055" t="s">
        <v>1379</v>
      </c>
      <c r="F2242" s="1056">
        <v>360</v>
      </c>
      <c r="G2242" s="1056">
        <v>0</v>
      </c>
      <c r="H2242" s="1056">
        <v>0</v>
      </c>
      <c r="I2242" s="1056">
        <v>360</v>
      </c>
      <c r="K2242" s="995">
        <f t="shared" si="34"/>
        <v>8</v>
      </c>
    </row>
    <row r="2243" spans="1:11">
      <c r="A2243" s="1054">
        <v>52054802</v>
      </c>
      <c r="B2243" s="1055" t="s">
        <v>893</v>
      </c>
      <c r="C2243" s="1055" t="s">
        <v>595</v>
      </c>
      <c r="D2243" s="1055" t="s">
        <v>1393</v>
      </c>
      <c r="E2243" s="1055" t="s">
        <v>1394</v>
      </c>
      <c r="F2243" s="1056">
        <v>297</v>
      </c>
      <c r="G2243" s="1056">
        <v>0</v>
      </c>
      <c r="H2243" s="1056">
        <v>0</v>
      </c>
      <c r="I2243" s="1056">
        <v>297</v>
      </c>
      <c r="K2243" s="995">
        <f t="shared" si="34"/>
        <v>8</v>
      </c>
    </row>
    <row r="2244" spans="1:11">
      <c r="A2244" s="1054">
        <v>52054802</v>
      </c>
      <c r="B2244" s="1055" t="s">
        <v>893</v>
      </c>
      <c r="C2244" s="1055" t="s">
        <v>595</v>
      </c>
      <c r="D2244" s="1055" t="s">
        <v>1303</v>
      </c>
      <c r="E2244" s="1055" t="s">
        <v>806</v>
      </c>
      <c r="F2244" s="1056">
        <v>600</v>
      </c>
      <c r="G2244" s="1056">
        <v>0</v>
      </c>
      <c r="H2244" s="1056">
        <v>0</v>
      </c>
      <c r="I2244" s="1056">
        <v>600</v>
      </c>
      <c r="K2244" s="995">
        <f t="shared" si="34"/>
        <v>8</v>
      </c>
    </row>
    <row r="2245" spans="1:11">
      <c r="A2245" s="1054">
        <v>52054802</v>
      </c>
      <c r="B2245" s="1055" t="s">
        <v>893</v>
      </c>
      <c r="C2245" s="1055" t="s">
        <v>595</v>
      </c>
      <c r="D2245" s="1055" t="s">
        <v>1605</v>
      </c>
      <c r="E2245" s="1055" t="s">
        <v>1606</v>
      </c>
      <c r="F2245" s="1056">
        <v>0</v>
      </c>
      <c r="G2245" s="1056">
        <v>150</v>
      </c>
      <c r="H2245" s="1056">
        <v>0</v>
      </c>
      <c r="I2245" s="1056">
        <v>150</v>
      </c>
      <c r="K2245" s="995">
        <f t="shared" ref="K2245:K2308" si="35">+LEN(A2245)</f>
        <v>8</v>
      </c>
    </row>
    <row r="2246" spans="1:11">
      <c r="A2246" s="1054">
        <v>52054802</v>
      </c>
      <c r="B2246" s="1055" t="s">
        <v>893</v>
      </c>
      <c r="C2246" s="1055" t="s">
        <v>595</v>
      </c>
      <c r="D2246" s="1055" t="s">
        <v>1789</v>
      </c>
      <c r="E2246" s="1055" t="s">
        <v>1790</v>
      </c>
      <c r="F2246" s="1056">
        <v>120</v>
      </c>
      <c r="G2246" s="1056">
        <v>96</v>
      </c>
      <c r="H2246" s="1056">
        <v>0</v>
      </c>
      <c r="I2246" s="1056">
        <v>216</v>
      </c>
      <c r="K2246" s="995">
        <f t="shared" si="35"/>
        <v>8</v>
      </c>
    </row>
    <row r="2247" spans="1:11">
      <c r="A2247" s="1054">
        <v>52054802</v>
      </c>
      <c r="B2247" s="1055" t="s">
        <v>893</v>
      </c>
      <c r="C2247" s="1055" t="s">
        <v>595</v>
      </c>
      <c r="D2247" s="1055" t="s">
        <v>1254</v>
      </c>
      <c r="E2247" s="1055" t="s">
        <v>744</v>
      </c>
      <c r="F2247" s="1056">
        <v>300</v>
      </c>
      <c r="G2247" s="1056">
        <v>90</v>
      </c>
      <c r="H2247" s="1056">
        <v>0</v>
      </c>
      <c r="I2247" s="1056">
        <v>390</v>
      </c>
      <c r="K2247" s="995">
        <f t="shared" si="35"/>
        <v>8</v>
      </c>
    </row>
    <row r="2248" spans="1:11">
      <c r="A2248" s="1054">
        <v>52054802</v>
      </c>
      <c r="B2248" s="1055" t="s">
        <v>893</v>
      </c>
      <c r="C2248" s="1055" t="s">
        <v>595</v>
      </c>
      <c r="D2248" s="1055" t="s">
        <v>1275</v>
      </c>
      <c r="E2248" s="1055" t="s">
        <v>991</v>
      </c>
      <c r="F2248" s="1056">
        <v>750</v>
      </c>
      <c r="G2248" s="1056">
        <v>0</v>
      </c>
      <c r="H2248" s="1056">
        <v>0</v>
      </c>
      <c r="I2248" s="1056">
        <v>750</v>
      </c>
      <c r="K2248" s="995">
        <f t="shared" si="35"/>
        <v>8</v>
      </c>
    </row>
    <row r="2249" spans="1:11">
      <c r="A2249" s="1054">
        <v>52054802</v>
      </c>
      <c r="B2249" s="1055" t="s">
        <v>893</v>
      </c>
      <c r="C2249" s="1055" t="s">
        <v>595</v>
      </c>
      <c r="D2249" s="1055" t="s">
        <v>1395</v>
      </c>
      <c r="E2249" s="1055" t="s">
        <v>1396</v>
      </c>
      <c r="F2249" s="1056">
        <v>385</v>
      </c>
      <c r="G2249" s="1056">
        <v>0</v>
      </c>
      <c r="H2249" s="1056">
        <v>0</v>
      </c>
      <c r="I2249" s="1056">
        <v>385</v>
      </c>
      <c r="K2249" s="995">
        <f t="shared" si="35"/>
        <v>8</v>
      </c>
    </row>
    <row r="2250" spans="1:11">
      <c r="A2250" s="1054">
        <v>52054802</v>
      </c>
      <c r="B2250" s="1055" t="s">
        <v>893</v>
      </c>
      <c r="C2250" s="1055" t="s">
        <v>595</v>
      </c>
      <c r="D2250" s="1055" t="s">
        <v>1382</v>
      </c>
      <c r="E2250" s="1055" t="s">
        <v>1763</v>
      </c>
      <c r="F2250" s="1056">
        <v>600</v>
      </c>
      <c r="G2250" s="1056">
        <v>120</v>
      </c>
      <c r="H2250" s="1056">
        <v>0</v>
      </c>
      <c r="I2250" s="1056">
        <v>720</v>
      </c>
      <c r="K2250" s="995">
        <f t="shared" si="35"/>
        <v>8</v>
      </c>
    </row>
    <row r="2251" spans="1:11">
      <c r="A2251" s="1054">
        <v>52054802</v>
      </c>
      <c r="B2251" s="1055" t="s">
        <v>893</v>
      </c>
      <c r="C2251" s="1055" t="s">
        <v>595</v>
      </c>
      <c r="D2251" s="1055" t="s">
        <v>1383</v>
      </c>
      <c r="E2251" s="1055" t="s">
        <v>1384</v>
      </c>
      <c r="F2251" s="1056">
        <v>120</v>
      </c>
      <c r="G2251" s="1056">
        <v>0</v>
      </c>
      <c r="H2251" s="1056">
        <v>0</v>
      </c>
      <c r="I2251" s="1056">
        <v>120</v>
      </c>
      <c r="K2251" s="995">
        <f t="shared" si="35"/>
        <v>8</v>
      </c>
    </row>
    <row r="2252" spans="1:11">
      <c r="A2252" s="1054">
        <v>520551</v>
      </c>
      <c r="B2252" s="1055" t="s">
        <v>893</v>
      </c>
      <c r="C2252" s="1055" t="s">
        <v>482</v>
      </c>
      <c r="D2252" s="1055" t="s">
        <v>893</v>
      </c>
      <c r="E2252" s="1055" t="s">
        <v>893</v>
      </c>
      <c r="F2252" s="1056">
        <v>10100</v>
      </c>
      <c r="G2252" s="1056">
        <v>0</v>
      </c>
      <c r="H2252" s="1056">
        <v>0</v>
      </c>
      <c r="I2252" s="1056">
        <v>10100</v>
      </c>
      <c r="K2252" s="995">
        <f t="shared" si="35"/>
        <v>6</v>
      </c>
    </row>
    <row r="2253" spans="1:11">
      <c r="A2253" s="1054">
        <v>52055101</v>
      </c>
      <c r="B2253" s="1055" t="s">
        <v>893</v>
      </c>
      <c r="C2253" s="1055" t="s">
        <v>482</v>
      </c>
      <c r="D2253" s="1055" t="s">
        <v>893</v>
      </c>
      <c r="E2253" s="1055" t="s">
        <v>893</v>
      </c>
      <c r="F2253" s="1056">
        <v>10100</v>
      </c>
      <c r="G2253" s="1056">
        <v>0</v>
      </c>
      <c r="H2253" s="1056">
        <v>0</v>
      </c>
      <c r="I2253" s="1056">
        <v>10100</v>
      </c>
      <c r="K2253" s="995">
        <f t="shared" si="35"/>
        <v>8</v>
      </c>
    </row>
    <row r="2254" spans="1:11">
      <c r="A2254" s="1054">
        <v>52055101</v>
      </c>
      <c r="B2254" s="1055" t="s">
        <v>893</v>
      </c>
      <c r="C2254" s="1055" t="s">
        <v>482</v>
      </c>
      <c r="D2254" s="1055" t="s">
        <v>1197</v>
      </c>
      <c r="E2254" s="1055" t="s">
        <v>481</v>
      </c>
      <c r="F2254" s="1056">
        <v>9834</v>
      </c>
      <c r="G2254" s="1056">
        <v>0</v>
      </c>
      <c r="H2254" s="1056">
        <v>0</v>
      </c>
      <c r="I2254" s="1056">
        <v>9834</v>
      </c>
      <c r="K2254" s="995">
        <f t="shared" si="35"/>
        <v>8</v>
      </c>
    </row>
    <row r="2255" spans="1:11">
      <c r="A2255" s="1054">
        <v>52055101</v>
      </c>
      <c r="B2255" s="1055" t="s">
        <v>893</v>
      </c>
      <c r="C2255" s="1055" t="s">
        <v>482</v>
      </c>
      <c r="D2255" s="1055" t="s">
        <v>1226</v>
      </c>
      <c r="E2255" s="1055" t="s">
        <v>1227</v>
      </c>
      <c r="F2255" s="1056">
        <v>216</v>
      </c>
      <c r="G2255" s="1056">
        <v>0</v>
      </c>
      <c r="H2255" s="1056">
        <v>0</v>
      </c>
      <c r="I2255" s="1056">
        <v>216</v>
      </c>
      <c r="K2255" s="995">
        <f t="shared" si="35"/>
        <v>8</v>
      </c>
    </row>
    <row r="2256" spans="1:11">
      <c r="A2256" s="1054">
        <v>52055101</v>
      </c>
      <c r="B2256" s="1055" t="s">
        <v>893</v>
      </c>
      <c r="C2256" s="1055" t="s">
        <v>482</v>
      </c>
      <c r="D2256" s="1055" t="s">
        <v>1354</v>
      </c>
      <c r="E2256" s="1055" t="s">
        <v>1355</v>
      </c>
      <c r="F2256" s="1056">
        <v>15</v>
      </c>
      <c r="G2256" s="1056">
        <v>0</v>
      </c>
      <c r="H2256" s="1056">
        <v>0</v>
      </c>
      <c r="I2256" s="1056">
        <v>15</v>
      </c>
      <c r="K2256" s="995">
        <f t="shared" si="35"/>
        <v>8</v>
      </c>
    </row>
    <row r="2257" spans="1:11">
      <c r="A2257" s="1054">
        <v>52055101</v>
      </c>
      <c r="B2257" s="1055" t="s">
        <v>893</v>
      </c>
      <c r="C2257" s="1055" t="s">
        <v>482</v>
      </c>
      <c r="D2257" s="1055" t="s">
        <v>1782</v>
      </c>
      <c r="E2257" s="1055" t="s">
        <v>1783</v>
      </c>
      <c r="F2257" s="1056">
        <v>35</v>
      </c>
      <c r="G2257" s="1056">
        <v>0</v>
      </c>
      <c r="H2257" s="1056">
        <v>0</v>
      </c>
      <c r="I2257" s="1056">
        <v>35</v>
      </c>
      <c r="K2257" s="995">
        <f t="shared" si="35"/>
        <v>8</v>
      </c>
    </row>
    <row r="2258" spans="1:11">
      <c r="A2258" s="1054">
        <v>520563</v>
      </c>
      <c r="B2258" s="1055" t="s">
        <v>893</v>
      </c>
      <c r="C2258" s="1055" t="s">
        <v>581</v>
      </c>
      <c r="D2258" s="1055" t="s">
        <v>893</v>
      </c>
      <c r="E2258" s="1055" t="s">
        <v>893</v>
      </c>
      <c r="F2258" s="1056">
        <v>55</v>
      </c>
      <c r="G2258" s="1056">
        <v>0</v>
      </c>
      <c r="H2258" s="1056">
        <v>0</v>
      </c>
      <c r="I2258" s="1056">
        <v>55</v>
      </c>
      <c r="K2258" s="995">
        <f t="shared" si="35"/>
        <v>6</v>
      </c>
    </row>
    <row r="2259" spans="1:11">
      <c r="A2259" s="1054">
        <v>52056301</v>
      </c>
      <c r="B2259" s="1055" t="s">
        <v>893</v>
      </c>
      <c r="C2259" s="1055" t="s">
        <v>581</v>
      </c>
      <c r="D2259" s="1055" t="s">
        <v>893</v>
      </c>
      <c r="E2259" s="1055" t="s">
        <v>893</v>
      </c>
      <c r="F2259" s="1056">
        <v>55</v>
      </c>
      <c r="G2259" s="1056">
        <v>0</v>
      </c>
      <c r="H2259" s="1056">
        <v>0</v>
      </c>
      <c r="I2259" s="1056">
        <v>55</v>
      </c>
      <c r="K2259" s="995">
        <f t="shared" si="35"/>
        <v>8</v>
      </c>
    </row>
    <row r="2260" spans="1:11">
      <c r="A2260" s="1054">
        <v>52056301</v>
      </c>
      <c r="B2260" s="1055" t="s">
        <v>893</v>
      </c>
      <c r="C2260" s="1055" t="s">
        <v>581</v>
      </c>
      <c r="D2260" s="1055" t="s">
        <v>1240</v>
      </c>
      <c r="E2260" s="1055" t="s">
        <v>1241</v>
      </c>
      <c r="F2260" s="1056">
        <v>55</v>
      </c>
      <c r="G2260" s="1056">
        <v>0</v>
      </c>
      <c r="H2260" s="1056">
        <v>0</v>
      </c>
      <c r="I2260" s="1056">
        <v>55</v>
      </c>
      <c r="K2260" s="995">
        <f t="shared" si="35"/>
        <v>8</v>
      </c>
    </row>
    <row r="2261" spans="1:11">
      <c r="A2261" s="1054">
        <v>520584</v>
      </c>
      <c r="B2261" s="1055" t="s">
        <v>893</v>
      </c>
      <c r="C2261" s="1055" t="s">
        <v>384</v>
      </c>
      <c r="D2261" s="1055" t="s">
        <v>893</v>
      </c>
      <c r="E2261" s="1055" t="s">
        <v>893</v>
      </c>
      <c r="F2261" s="1056">
        <v>2033</v>
      </c>
      <c r="G2261" s="1056">
        <v>338</v>
      </c>
      <c r="H2261" s="1056">
        <v>0</v>
      </c>
      <c r="I2261" s="1056">
        <v>2371</v>
      </c>
      <c r="K2261" s="995">
        <f t="shared" si="35"/>
        <v>6</v>
      </c>
    </row>
    <row r="2262" spans="1:11">
      <c r="A2262" s="1054">
        <v>52058401</v>
      </c>
      <c r="B2262" s="1055" t="s">
        <v>893</v>
      </c>
      <c r="C2262" s="1055" t="s">
        <v>384</v>
      </c>
      <c r="D2262" s="1055" t="s">
        <v>893</v>
      </c>
      <c r="E2262" s="1055" t="s">
        <v>893</v>
      </c>
      <c r="F2262" s="1056">
        <v>2033</v>
      </c>
      <c r="G2262" s="1056">
        <v>338</v>
      </c>
      <c r="H2262" s="1056">
        <v>0</v>
      </c>
      <c r="I2262" s="1056">
        <v>2371</v>
      </c>
      <c r="K2262" s="995">
        <f t="shared" si="35"/>
        <v>8</v>
      </c>
    </row>
    <row r="2263" spans="1:11">
      <c r="A2263" s="1054">
        <v>52058401</v>
      </c>
      <c r="B2263" s="1055" t="s">
        <v>893</v>
      </c>
      <c r="C2263" s="1055" t="s">
        <v>384</v>
      </c>
      <c r="D2263" s="1055" t="s">
        <v>1328</v>
      </c>
      <c r="E2263" s="1055" t="s">
        <v>1737</v>
      </c>
      <c r="F2263" s="1056">
        <v>7</v>
      </c>
      <c r="G2263" s="1056">
        <v>0</v>
      </c>
      <c r="H2263" s="1056">
        <v>0</v>
      </c>
      <c r="I2263" s="1056">
        <v>7</v>
      </c>
      <c r="K2263" s="995">
        <f t="shared" si="35"/>
        <v>8</v>
      </c>
    </row>
    <row r="2264" spans="1:11">
      <c r="A2264" s="1054">
        <v>52058401</v>
      </c>
      <c r="B2264" s="1055" t="s">
        <v>893</v>
      </c>
      <c r="C2264" s="1055" t="s">
        <v>384</v>
      </c>
      <c r="D2264" s="1055" t="s">
        <v>1868</v>
      </c>
      <c r="E2264" s="1055" t="s">
        <v>1869</v>
      </c>
      <c r="F2264" s="1056">
        <v>19</v>
      </c>
      <c r="G2264" s="1056">
        <v>0</v>
      </c>
      <c r="H2264" s="1056">
        <v>0</v>
      </c>
      <c r="I2264" s="1056">
        <v>19</v>
      </c>
      <c r="K2264" s="995">
        <f t="shared" si="35"/>
        <v>8</v>
      </c>
    </row>
    <row r="2265" spans="1:11">
      <c r="A2265" s="1054">
        <v>52058401</v>
      </c>
      <c r="B2265" s="1055" t="s">
        <v>893</v>
      </c>
      <c r="C2265" s="1055" t="s">
        <v>384</v>
      </c>
      <c r="D2265" s="1055" t="s">
        <v>1617</v>
      </c>
      <c r="E2265" s="1055" t="s">
        <v>1618</v>
      </c>
      <c r="F2265" s="1056">
        <v>8</v>
      </c>
      <c r="G2265" s="1056">
        <v>0</v>
      </c>
      <c r="H2265" s="1056">
        <v>0</v>
      </c>
      <c r="I2265" s="1056">
        <v>8</v>
      </c>
      <c r="K2265" s="995">
        <f t="shared" si="35"/>
        <v>8</v>
      </c>
    </row>
    <row r="2266" spans="1:11">
      <c r="A2266" s="1054">
        <v>52058401</v>
      </c>
      <c r="B2266" s="1055" t="s">
        <v>893</v>
      </c>
      <c r="C2266" s="1055" t="s">
        <v>384</v>
      </c>
      <c r="D2266" s="1055" t="s">
        <v>1343</v>
      </c>
      <c r="E2266" s="1055" t="s">
        <v>1344</v>
      </c>
      <c r="F2266" s="1056">
        <v>65</v>
      </c>
      <c r="G2266" s="1056">
        <v>0</v>
      </c>
      <c r="H2266" s="1056">
        <v>0</v>
      </c>
      <c r="I2266" s="1056">
        <v>65</v>
      </c>
      <c r="K2266" s="995">
        <f t="shared" si="35"/>
        <v>8</v>
      </c>
    </row>
    <row r="2267" spans="1:11">
      <c r="A2267" s="1054">
        <v>52058401</v>
      </c>
      <c r="B2267" s="1055" t="s">
        <v>893</v>
      </c>
      <c r="C2267" s="1055" t="s">
        <v>384</v>
      </c>
      <c r="D2267" s="1055" t="s">
        <v>1198</v>
      </c>
      <c r="E2267" s="1055" t="s">
        <v>337</v>
      </c>
      <c r="F2267" s="1056">
        <v>415</v>
      </c>
      <c r="G2267" s="1056">
        <v>92</v>
      </c>
      <c r="H2267" s="1056">
        <v>0</v>
      </c>
      <c r="I2267" s="1056">
        <v>507</v>
      </c>
      <c r="K2267" s="995">
        <f t="shared" si="35"/>
        <v>8</v>
      </c>
    </row>
    <row r="2268" spans="1:11">
      <c r="A2268" s="1054">
        <v>52058401</v>
      </c>
      <c r="B2268" s="1055" t="s">
        <v>893</v>
      </c>
      <c r="C2268" s="1055" t="s">
        <v>384</v>
      </c>
      <c r="D2268" s="1055" t="s">
        <v>1290</v>
      </c>
      <c r="E2268" s="1055" t="s">
        <v>1291</v>
      </c>
      <c r="F2268" s="1056">
        <v>59</v>
      </c>
      <c r="G2268" s="1056">
        <v>0</v>
      </c>
      <c r="H2268" s="1056">
        <v>0</v>
      </c>
      <c r="I2268" s="1056">
        <v>59</v>
      </c>
      <c r="K2268" s="995">
        <f t="shared" si="35"/>
        <v>8</v>
      </c>
    </row>
    <row r="2269" spans="1:11">
      <c r="A2269" s="1054">
        <v>52058401</v>
      </c>
      <c r="B2269" s="1055" t="s">
        <v>893</v>
      </c>
      <c r="C2269" s="1055" t="s">
        <v>384</v>
      </c>
      <c r="D2269" s="1055" t="s">
        <v>1206</v>
      </c>
      <c r="E2269" s="1055" t="s">
        <v>522</v>
      </c>
      <c r="F2269" s="1056">
        <v>1418</v>
      </c>
      <c r="G2269" s="1056">
        <v>246</v>
      </c>
      <c r="H2269" s="1056">
        <v>0</v>
      </c>
      <c r="I2269" s="1056">
        <v>1664</v>
      </c>
      <c r="K2269" s="995">
        <f t="shared" si="35"/>
        <v>8</v>
      </c>
    </row>
    <row r="2270" spans="1:11">
      <c r="A2270" s="1054">
        <v>52058401</v>
      </c>
      <c r="B2270" s="1055" t="s">
        <v>893</v>
      </c>
      <c r="C2270" s="1055" t="s">
        <v>384</v>
      </c>
      <c r="D2270" s="1055" t="s">
        <v>1711</v>
      </c>
      <c r="E2270" s="1055" t="s">
        <v>1712</v>
      </c>
      <c r="F2270" s="1056">
        <v>5</v>
      </c>
      <c r="G2270" s="1056">
        <v>0</v>
      </c>
      <c r="H2270" s="1056">
        <v>0</v>
      </c>
      <c r="I2270" s="1056">
        <v>5</v>
      </c>
      <c r="K2270" s="995">
        <f t="shared" si="35"/>
        <v>8</v>
      </c>
    </row>
    <row r="2271" spans="1:11">
      <c r="A2271" s="1054">
        <v>52058401</v>
      </c>
      <c r="B2271" s="1055" t="s">
        <v>893</v>
      </c>
      <c r="C2271" s="1055" t="s">
        <v>384</v>
      </c>
      <c r="D2271" s="1055" t="s">
        <v>1358</v>
      </c>
      <c r="E2271" s="1055" t="s">
        <v>1359</v>
      </c>
      <c r="F2271" s="1056">
        <v>37</v>
      </c>
      <c r="G2271" s="1056">
        <v>0</v>
      </c>
      <c r="H2271" s="1056">
        <v>0</v>
      </c>
      <c r="I2271" s="1056">
        <v>37</v>
      </c>
      <c r="K2271" s="995">
        <f t="shared" si="35"/>
        <v>8</v>
      </c>
    </row>
    <row r="2272" spans="1:11">
      <c r="A2272" s="1054">
        <v>520595</v>
      </c>
      <c r="B2272" s="1055" t="s">
        <v>893</v>
      </c>
      <c r="C2272" s="1055" t="s">
        <v>323</v>
      </c>
      <c r="D2272" s="1055" t="s">
        <v>893</v>
      </c>
      <c r="E2272" s="1055" t="s">
        <v>893</v>
      </c>
      <c r="F2272" s="1056">
        <v>454</v>
      </c>
      <c r="G2272" s="1056">
        <v>2019</v>
      </c>
      <c r="H2272" s="1056">
        <v>0</v>
      </c>
      <c r="I2272" s="1056">
        <v>2473</v>
      </c>
      <c r="K2272" s="995">
        <f t="shared" si="35"/>
        <v>6</v>
      </c>
    </row>
    <row r="2273" spans="1:11">
      <c r="A2273" s="1054">
        <v>52059501</v>
      </c>
      <c r="B2273" s="1055" t="s">
        <v>893</v>
      </c>
      <c r="C2273" s="1055" t="s">
        <v>771</v>
      </c>
      <c r="D2273" s="1055" t="s">
        <v>893</v>
      </c>
      <c r="E2273" s="1055" t="s">
        <v>893</v>
      </c>
      <c r="F2273" s="1056">
        <v>454</v>
      </c>
      <c r="G2273" s="1056">
        <v>97</v>
      </c>
      <c r="H2273" s="1056">
        <v>0</v>
      </c>
      <c r="I2273" s="1056">
        <v>551</v>
      </c>
      <c r="K2273" s="995">
        <f t="shared" si="35"/>
        <v>8</v>
      </c>
    </row>
    <row r="2274" spans="1:11">
      <c r="A2274" s="1054">
        <v>52059501</v>
      </c>
      <c r="B2274" s="1055" t="s">
        <v>893</v>
      </c>
      <c r="C2274" s="1055" t="s">
        <v>771</v>
      </c>
      <c r="D2274" s="1055" t="s">
        <v>1385</v>
      </c>
      <c r="E2274" s="1055" t="s">
        <v>1386</v>
      </c>
      <c r="F2274" s="1056">
        <v>3</v>
      </c>
      <c r="G2274" s="1056">
        <v>0</v>
      </c>
      <c r="H2274" s="1056">
        <v>0</v>
      </c>
      <c r="I2274" s="1056">
        <v>3</v>
      </c>
      <c r="K2274" s="995">
        <f t="shared" si="35"/>
        <v>8</v>
      </c>
    </row>
    <row r="2275" spans="1:11">
      <c r="A2275" s="1054">
        <v>52059501</v>
      </c>
      <c r="B2275" s="1055" t="s">
        <v>893</v>
      </c>
      <c r="C2275" s="1055" t="s">
        <v>771</v>
      </c>
      <c r="D2275" s="1055" t="s">
        <v>1298</v>
      </c>
      <c r="E2275" s="1055" t="s">
        <v>987</v>
      </c>
      <c r="F2275" s="1056">
        <v>6</v>
      </c>
      <c r="G2275" s="1056">
        <v>6</v>
      </c>
      <c r="H2275" s="1056">
        <v>0</v>
      </c>
      <c r="I2275" s="1056">
        <v>12</v>
      </c>
      <c r="K2275" s="995">
        <f t="shared" si="35"/>
        <v>8</v>
      </c>
    </row>
    <row r="2276" spans="1:11">
      <c r="A2276" s="1054">
        <v>52059501</v>
      </c>
      <c r="B2276" s="1055" t="s">
        <v>893</v>
      </c>
      <c r="C2276" s="1055" t="s">
        <v>771</v>
      </c>
      <c r="D2276" s="1055" t="s">
        <v>1397</v>
      </c>
      <c r="E2276" s="1055" t="s">
        <v>1398</v>
      </c>
      <c r="F2276" s="1056">
        <v>3</v>
      </c>
      <c r="G2276" s="1056">
        <v>0</v>
      </c>
      <c r="H2276" s="1056">
        <v>0</v>
      </c>
      <c r="I2276" s="1056">
        <v>3</v>
      </c>
      <c r="K2276" s="995">
        <f t="shared" si="35"/>
        <v>8</v>
      </c>
    </row>
    <row r="2277" spans="1:11">
      <c r="A2277" s="1054">
        <v>52059501</v>
      </c>
      <c r="B2277" s="1055" t="s">
        <v>893</v>
      </c>
      <c r="C2277" s="1055" t="s">
        <v>771</v>
      </c>
      <c r="D2277" s="1055" t="s">
        <v>1362</v>
      </c>
      <c r="E2277" s="1055" t="s">
        <v>1363</v>
      </c>
      <c r="F2277" s="1056">
        <v>13</v>
      </c>
      <c r="G2277" s="1056">
        <v>3</v>
      </c>
      <c r="H2277" s="1056">
        <v>0</v>
      </c>
      <c r="I2277" s="1056">
        <v>15</v>
      </c>
      <c r="K2277" s="995">
        <f t="shared" si="35"/>
        <v>8</v>
      </c>
    </row>
    <row r="2278" spans="1:11">
      <c r="A2278" s="1054">
        <v>52059501</v>
      </c>
      <c r="B2278" s="1055" t="s">
        <v>893</v>
      </c>
      <c r="C2278" s="1055" t="s">
        <v>771</v>
      </c>
      <c r="D2278" s="1055" t="s">
        <v>1270</v>
      </c>
      <c r="E2278" s="1055" t="s">
        <v>988</v>
      </c>
      <c r="F2278" s="1056">
        <v>30</v>
      </c>
      <c r="G2278" s="1056">
        <v>6</v>
      </c>
      <c r="H2278" s="1056">
        <v>0</v>
      </c>
      <c r="I2278" s="1056">
        <v>37</v>
      </c>
      <c r="K2278" s="995">
        <f t="shared" si="35"/>
        <v>8</v>
      </c>
    </row>
    <row r="2279" spans="1:11">
      <c r="A2279" s="1054">
        <v>52059501</v>
      </c>
      <c r="B2279" s="1055" t="s">
        <v>893</v>
      </c>
      <c r="C2279" s="1055" t="s">
        <v>771</v>
      </c>
      <c r="D2279" s="1055" t="s">
        <v>1271</v>
      </c>
      <c r="E2279" s="1055" t="s">
        <v>782</v>
      </c>
      <c r="F2279" s="1056">
        <v>30</v>
      </c>
      <c r="G2279" s="1056">
        <v>6</v>
      </c>
      <c r="H2279" s="1056">
        <v>0</v>
      </c>
      <c r="I2279" s="1056">
        <v>37</v>
      </c>
      <c r="K2279" s="995">
        <f t="shared" si="35"/>
        <v>8</v>
      </c>
    </row>
    <row r="2280" spans="1:11">
      <c r="A2280" s="1054">
        <v>52059501</v>
      </c>
      <c r="B2280" s="1055" t="s">
        <v>893</v>
      </c>
      <c r="C2280" s="1055" t="s">
        <v>771</v>
      </c>
      <c r="D2280" s="1055" t="s">
        <v>1366</v>
      </c>
      <c r="E2280" s="1055" t="s">
        <v>1367</v>
      </c>
      <c r="F2280" s="1056">
        <v>13</v>
      </c>
      <c r="G2280" s="1056">
        <v>3</v>
      </c>
      <c r="H2280" s="1056">
        <v>0</v>
      </c>
      <c r="I2280" s="1056">
        <v>15</v>
      </c>
      <c r="K2280" s="995">
        <f t="shared" si="35"/>
        <v>8</v>
      </c>
    </row>
    <row r="2281" spans="1:11">
      <c r="A2281" s="1054">
        <v>52059501</v>
      </c>
      <c r="B2281" s="1055" t="s">
        <v>893</v>
      </c>
      <c r="C2281" s="1055" t="s">
        <v>771</v>
      </c>
      <c r="D2281" s="1055" t="s">
        <v>1042</v>
      </c>
      <c r="E2281" s="1055" t="s">
        <v>1732</v>
      </c>
      <c r="F2281" s="1056">
        <v>13</v>
      </c>
      <c r="G2281" s="1056">
        <v>0</v>
      </c>
      <c r="H2281" s="1056">
        <v>0</v>
      </c>
      <c r="I2281" s="1056">
        <v>13</v>
      </c>
      <c r="K2281" s="995">
        <f t="shared" si="35"/>
        <v>8</v>
      </c>
    </row>
    <row r="2282" spans="1:11">
      <c r="A2282" s="1054">
        <v>52059501</v>
      </c>
      <c r="B2282" s="1055" t="s">
        <v>893</v>
      </c>
      <c r="C2282" s="1055" t="s">
        <v>771</v>
      </c>
      <c r="D2282" s="1055" t="s">
        <v>1246</v>
      </c>
      <c r="E2282" s="1055" t="s">
        <v>743</v>
      </c>
      <c r="F2282" s="1056">
        <v>3</v>
      </c>
      <c r="G2282" s="1056">
        <v>0</v>
      </c>
      <c r="H2282" s="1056">
        <v>0</v>
      </c>
      <c r="I2282" s="1056">
        <v>3</v>
      </c>
      <c r="K2282" s="995">
        <f t="shared" si="35"/>
        <v>8</v>
      </c>
    </row>
    <row r="2283" spans="1:11">
      <c r="A2283" s="1054">
        <v>52059501</v>
      </c>
      <c r="B2283" s="1055" t="s">
        <v>893</v>
      </c>
      <c r="C2283" s="1055" t="s">
        <v>771</v>
      </c>
      <c r="D2283" s="1055" t="s">
        <v>1320</v>
      </c>
      <c r="E2283" s="1055" t="s">
        <v>1321</v>
      </c>
      <c r="F2283" s="1056">
        <v>13</v>
      </c>
      <c r="G2283" s="1056">
        <v>3</v>
      </c>
      <c r="H2283" s="1056">
        <v>0</v>
      </c>
      <c r="I2283" s="1056">
        <v>15</v>
      </c>
      <c r="K2283" s="995">
        <f t="shared" si="35"/>
        <v>8</v>
      </c>
    </row>
    <row r="2284" spans="1:11">
      <c r="A2284" s="1054">
        <v>52059501</v>
      </c>
      <c r="B2284" s="1055" t="s">
        <v>893</v>
      </c>
      <c r="C2284" s="1055" t="s">
        <v>771</v>
      </c>
      <c r="D2284" s="1055" t="s">
        <v>1274</v>
      </c>
      <c r="E2284" s="1055" t="s">
        <v>989</v>
      </c>
      <c r="F2284" s="1056">
        <v>30</v>
      </c>
      <c r="G2284" s="1056">
        <v>6</v>
      </c>
      <c r="H2284" s="1056">
        <v>0</v>
      </c>
      <c r="I2284" s="1056">
        <v>37</v>
      </c>
      <c r="K2284" s="995">
        <f t="shared" si="35"/>
        <v>8</v>
      </c>
    </row>
    <row r="2285" spans="1:11">
      <c r="A2285" s="1054">
        <v>52059501</v>
      </c>
      <c r="B2285" s="1055" t="s">
        <v>893</v>
      </c>
      <c r="C2285" s="1055" t="s">
        <v>771</v>
      </c>
      <c r="D2285" s="1055" t="s">
        <v>1247</v>
      </c>
      <c r="E2285" s="1055" t="s">
        <v>1248</v>
      </c>
      <c r="F2285" s="1056">
        <v>13</v>
      </c>
      <c r="G2285" s="1056">
        <v>3</v>
      </c>
      <c r="H2285" s="1056">
        <v>0</v>
      </c>
      <c r="I2285" s="1056">
        <v>15</v>
      </c>
      <c r="K2285" s="995">
        <f t="shared" si="35"/>
        <v>8</v>
      </c>
    </row>
    <row r="2286" spans="1:11">
      <c r="A2286" s="1054">
        <v>52059501</v>
      </c>
      <c r="B2286" s="1055" t="s">
        <v>893</v>
      </c>
      <c r="C2286" s="1055" t="s">
        <v>771</v>
      </c>
      <c r="D2286" s="1055" t="s">
        <v>1387</v>
      </c>
      <c r="E2286" s="1055" t="s">
        <v>1388</v>
      </c>
      <c r="F2286" s="1056">
        <v>3</v>
      </c>
      <c r="G2286" s="1056">
        <v>0</v>
      </c>
      <c r="H2286" s="1056">
        <v>0</v>
      </c>
      <c r="I2286" s="1056">
        <v>3</v>
      </c>
      <c r="K2286" s="995">
        <f t="shared" si="35"/>
        <v>8</v>
      </c>
    </row>
    <row r="2287" spans="1:11">
      <c r="A2287" s="1054">
        <v>52059501</v>
      </c>
      <c r="B2287" s="1055" t="s">
        <v>893</v>
      </c>
      <c r="C2287" s="1055" t="s">
        <v>771</v>
      </c>
      <c r="D2287" s="1055" t="s">
        <v>1370</v>
      </c>
      <c r="E2287" s="1055" t="s">
        <v>1371</v>
      </c>
      <c r="F2287" s="1056">
        <v>3</v>
      </c>
      <c r="G2287" s="1056">
        <v>3</v>
      </c>
      <c r="H2287" s="1056">
        <v>0</v>
      </c>
      <c r="I2287" s="1056">
        <v>5</v>
      </c>
      <c r="K2287" s="995">
        <f t="shared" si="35"/>
        <v>8</v>
      </c>
    </row>
    <row r="2288" spans="1:11">
      <c r="A2288" s="1054">
        <v>52059501</v>
      </c>
      <c r="B2288" s="1055" t="s">
        <v>893</v>
      </c>
      <c r="C2288" s="1055" t="s">
        <v>771</v>
      </c>
      <c r="D2288" s="1055" t="s">
        <v>1870</v>
      </c>
      <c r="E2288" s="1055" t="s">
        <v>1871</v>
      </c>
      <c r="F2288" s="1056">
        <v>6</v>
      </c>
      <c r="G2288" s="1056">
        <v>6</v>
      </c>
      <c r="H2288" s="1056">
        <v>0</v>
      </c>
      <c r="I2288" s="1056">
        <v>12</v>
      </c>
      <c r="K2288" s="995">
        <f t="shared" si="35"/>
        <v>8</v>
      </c>
    </row>
    <row r="2289" spans="1:11">
      <c r="A2289" s="1054">
        <v>52059501</v>
      </c>
      <c r="B2289" s="1055" t="s">
        <v>893</v>
      </c>
      <c r="C2289" s="1055" t="s">
        <v>771</v>
      </c>
      <c r="D2289" s="1055" t="s">
        <v>1372</v>
      </c>
      <c r="E2289" s="1055" t="s">
        <v>1373</v>
      </c>
      <c r="F2289" s="1056">
        <v>13</v>
      </c>
      <c r="G2289" s="1056">
        <v>3</v>
      </c>
      <c r="H2289" s="1056">
        <v>0</v>
      </c>
      <c r="I2289" s="1056">
        <v>15</v>
      </c>
      <c r="K2289" s="995">
        <f t="shared" si="35"/>
        <v>8</v>
      </c>
    </row>
    <row r="2290" spans="1:11">
      <c r="A2290" s="1054">
        <v>52059501</v>
      </c>
      <c r="B2290" s="1055" t="s">
        <v>893</v>
      </c>
      <c r="C2290" s="1055" t="s">
        <v>771</v>
      </c>
      <c r="D2290" s="1055" t="s">
        <v>1785</v>
      </c>
      <c r="E2290" s="1055" t="s">
        <v>1786</v>
      </c>
      <c r="F2290" s="1056">
        <v>5</v>
      </c>
      <c r="G2290" s="1056">
        <v>3</v>
      </c>
      <c r="H2290" s="1056">
        <v>0</v>
      </c>
      <c r="I2290" s="1056">
        <v>8</v>
      </c>
      <c r="K2290" s="995">
        <f t="shared" si="35"/>
        <v>8</v>
      </c>
    </row>
    <row r="2291" spans="1:11">
      <c r="A2291" s="1054">
        <v>52059501</v>
      </c>
      <c r="B2291" s="1055" t="s">
        <v>893</v>
      </c>
      <c r="C2291" s="1055" t="s">
        <v>771</v>
      </c>
      <c r="D2291" s="1055" t="s">
        <v>1389</v>
      </c>
      <c r="E2291" s="1055" t="s">
        <v>1390</v>
      </c>
      <c r="F2291" s="1056">
        <v>3</v>
      </c>
      <c r="G2291" s="1056">
        <v>0</v>
      </c>
      <c r="H2291" s="1056">
        <v>0</v>
      </c>
      <c r="I2291" s="1056">
        <v>3</v>
      </c>
      <c r="K2291" s="995">
        <f t="shared" si="35"/>
        <v>8</v>
      </c>
    </row>
    <row r="2292" spans="1:11">
      <c r="A2292" s="1054">
        <v>52059501</v>
      </c>
      <c r="B2292" s="1055" t="s">
        <v>893</v>
      </c>
      <c r="C2292" s="1055" t="s">
        <v>771</v>
      </c>
      <c r="D2292" s="1055" t="s">
        <v>1376</v>
      </c>
      <c r="E2292" s="1055" t="s">
        <v>1377</v>
      </c>
      <c r="F2292" s="1056">
        <v>10</v>
      </c>
      <c r="G2292" s="1056">
        <v>3</v>
      </c>
      <c r="H2292" s="1056">
        <v>0</v>
      </c>
      <c r="I2292" s="1056">
        <v>13</v>
      </c>
      <c r="K2292" s="995">
        <f t="shared" si="35"/>
        <v>8</v>
      </c>
    </row>
    <row r="2293" spans="1:11">
      <c r="A2293" s="1054">
        <v>52059501</v>
      </c>
      <c r="B2293" s="1055" t="s">
        <v>893</v>
      </c>
      <c r="C2293" s="1055" t="s">
        <v>771</v>
      </c>
      <c r="D2293" s="1055" t="s">
        <v>1613</v>
      </c>
      <c r="E2293" s="1055" t="s">
        <v>1614</v>
      </c>
      <c r="F2293" s="1056">
        <v>8</v>
      </c>
      <c r="G2293" s="1056">
        <v>3</v>
      </c>
      <c r="H2293" s="1056">
        <v>0</v>
      </c>
      <c r="I2293" s="1056">
        <v>10</v>
      </c>
      <c r="K2293" s="995">
        <f t="shared" si="35"/>
        <v>8</v>
      </c>
    </row>
    <row r="2294" spans="1:11">
      <c r="A2294" s="1054">
        <v>52059501</v>
      </c>
      <c r="B2294" s="1055" t="s">
        <v>893</v>
      </c>
      <c r="C2294" s="1055" t="s">
        <v>771</v>
      </c>
      <c r="D2294" s="1055" t="s">
        <v>1305</v>
      </c>
      <c r="E2294" s="1055" t="s">
        <v>990</v>
      </c>
      <c r="F2294" s="1056">
        <v>13</v>
      </c>
      <c r="G2294" s="1056">
        <v>3</v>
      </c>
      <c r="H2294" s="1056">
        <v>0</v>
      </c>
      <c r="I2294" s="1056">
        <v>15</v>
      </c>
      <c r="K2294" s="995">
        <f t="shared" si="35"/>
        <v>8</v>
      </c>
    </row>
    <row r="2295" spans="1:11">
      <c r="A2295" s="1054">
        <v>52059501</v>
      </c>
      <c r="B2295" s="1055" t="s">
        <v>893</v>
      </c>
      <c r="C2295" s="1055" t="s">
        <v>771</v>
      </c>
      <c r="D2295" s="1055" t="s">
        <v>1306</v>
      </c>
      <c r="E2295" s="1055" t="s">
        <v>997</v>
      </c>
      <c r="F2295" s="1056">
        <v>13</v>
      </c>
      <c r="G2295" s="1056">
        <v>3</v>
      </c>
      <c r="H2295" s="1056">
        <v>0</v>
      </c>
      <c r="I2295" s="1056">
        <v>15</v>
      </c>
      <c r="K2295" s="995">
        <f t="shared" si="35"/>
        <v>8</v>
      </c>
    </row>
    <row r="2296" spans="1:11">
      <c r="A2296" s="1054">
        <v>52059501</v>
      </c>
      <c r="B2296" s="1055" t="s">
        <v>893</v>
      </c>
      <c r="C2296" s="1055" t="s">
        <v>771</v>
      </c>
      <c r="D2296" s="1055" t="s">
        <v>1322</v>
      </c>
      <c r="E2296" s="1055" t="s">
        <v>1323</v>
      </c>
      <c r="F2296" s="1056">
        <v>10</v>
      </c>
      <c r="G2296" s="1056">
        <v>0</v>
      </c>
      <c r="H2296" s="1056">
        <v>0</v>
      </c>
      <c r="I2296" s="1056">
        <v>10</v>
      </c>
      <c r="K2296" s="995">
        <f t="shared" si="35"/>
        <v>8</v>
      </c>
    </row>
    <row r="2297" spans="1:11">
      <c r="A2297" s="1054">
        <v>52059501</v>
      </c>
      <c r="B2297" s="1055" t="s">
        <v>893</v>
      </c>
      <c r="C2297" s="1055" t="s">
        <v>771</v>
      </c>
      <c r="D2297" s="1055" t="s">
        <v>1391</v>
      </c>
      <c r="E2297" s="1055" t="s">
        <v>1392</v>
      </c>
      <c r="F2297" s="1056">
        <v>3</v>
      </c>
      <c r="G2297" s="1056">
        <v>0</v>
      </c>
      <c r="H2297" s="1056">
        <v>0</v>
      </c>
      <c r="I2297" s="1056">
        <v>3</v>
      </c>
      <c r="K2297" s="995">
        <f t="shared" si="35"/>
        <v>8</v>
      </c>
    </row>
    <row r="2298" spans="1:11">
      <c r="A2298" s="1054">
        <v>52059501</v>
      </c>
      <c r="B2298" s="1055" t="s">
        <v>893</v>
      </c>
      <c r="C2298" s="1055" t="s">
        <v>771</v>
      </c>
      <c r="D2298" s="1055" t="s">
        <v>1378</v>
      </c>
      <c r="E2298" s="1055" t="s">
        <v>1379</v>
      </c>
      <c r="F2298" s="1056">
        <v>13</v>
      </c>
      <c r="G2298" s="1056">
        <v>0</v>
      </c>
      <c r="H2298" s="1056">
        <v>0</v>
      </c>
      <c r="I2298" s="1056">
        <v>13</v>
      </c>
      <c r="K2298" s="995">
        <f t="shared" si="35"/>
        <v>8</v>
      </c>
    </row>
    <row r="2299" spans="1:11">
      <c r="A2299" s="1054">
        <v>52059501</v>
      </c>
      <c r="B2299" s="1055" t="s">
        <v>893</v>
      </c>
      <c r="C2299" s="1055" t="s">
        <v>771</v>
      </c>
      <c r="D2299" s="1055" t="s">
        <v>1393</v>
      </c>
      <c r="E2299" s="1055" t="s">
        <v>1394</v>
      </c>
      <c r="F2299" s="1056">
        <v>3</v>
      </c>
      <c r="G2299" s="1056">
        <v>0</v>
      </c>
      <c r="H2299" s="1056">
        <v>0</v>
      </c>
      <c r="I2299" s="1056">
        <v>3</v>
      </c>
      <c r="K2299" s="995">
        <f t="shared" si="35"/>
        <v>8</v>
      </c>
    </row>
    <row r="2300" spans="1:11">
      <c r="A2300" s="1054">
        <v>52059501</v>
      </c>
      <c r="B2300" s="1055" t="s">
        <v>893</v>
      </c>
      <c r="C2300" s="1055" t="s">
        <v>771</v>
      </c>
      <c r="D2300" s="1055" t="s">
        <v>1303</v>
      </c>
      <c r="E2300" s="1055" t="s">
        <v>806</v>
      </c>
      <c r="F2300" s="1056">
        <v>13</v>
      </c>
      <c r="G2300" s="1056">
        <v>3</v>
      </c>
      <c r="H2300" s="1056">
        <v>0</v>
      </c>
      <c r="I2300" s="1056">
        <v>15</v>
      </c>
      <c r="K2300" s="995">
        <f t="shared" si="35"/>
        <v>8</v>
      </c>
    </row>
    <row r="2301" spans="1:11">
      <c r="A2301" s="1054">
        <v>52059501</v>
      </c>
      <c r="B2301" s="1055" t="s">
        <v>893</v>
      </c>
      <c r="C2301" s="1055" t="s">
        <v>771</v>
      </c>
      <c r="D2301" s="1055" t="s">
        <v>1605</v>
      </c>
      <c r="E2301" s="1055" t="s">
        <v>1606</v>
      </c>
      <c r="F2301" s="1056">
        <v>18</v>
      </c>
      <c r="G2301" s="1056">
        <v>6</v>
      </c>
      <c r="H2301" s="1056">
        <v>0</v>
      </c>
      <c r="I2301" s="1056">
        <v>24</v>
      </c>
      <c r="K2301" s="995">
        <f t="shared" si="35"/>
        <v>8</v>
      </c>
    </row>
    <row r="2302" spans="1:11">
      <c r="A2302" s="1054">
        <v>52059501</v>
      </c>
      <c r="B2302" s="1055" t="s">
        <v>893</v>
      </c>
      <c r="C2302" s="1055" t="s">
        <v>771</v>
      </c>
      <c r="D2302" s="1055" t="s">
        <v>1789</v>
      </c>
      <c r="E2302" s="1055" t="s">
        <v>1790</v>
      </c>
      <c r="F2302" s="1056">
        <v>5</v>
      </c>
      <c r="G2302" s="1056">
        <v>3</v>
      </c>
      <c r="H2302" s="1056">
        <v>0</v>
      </c>
      <c r="I2302" s="1056">
        <v>8</v>
      </c>
      <c r="K2302" s="995">
        <f t="shared" si="35"/>
        <v>8</v>
      </c>
    </row>
    <row r="2303" spans="1:11">
      <c r="A2303" s="1054">
        <v>52059501</v>
      </c>
      <c r="B2303" s="1055" t="s">
        <v>893</v>
      </c>
      <c r="C2303" s="1055" t="s">
        <v>771</v>
      </c>
      <c r="D2303" s="1055" t="s">
        <v>1254</v>
      </c>
      <c r="E2303" s="1055" t="s">
        <v>744</v>
      </c>
      <c r="F2303" s="1056">
        <v>30</v>
      </c>
      <c r="G2303" s="1056">
        <v>6</v>
      </c>
      <c r="H2303" s="1056">
        <v>0</v>
      </c>
      <c r="I2303" s="1056">
        <v>37</v>
      </c>
      <c r="K2303" s="995">
        <f t="shared" si="35"/>
        <v>8</v>
      </c>
    </row>
    <row r="2304" spans="1:11">
      <c r="A2304" s="1054">
        <v>52059501</v>
      </c>
      <c r="B2304" s="1055" t="s">
        <v>893</v>
      </c>
      <c r="C2304" s="1055" t="s">
        <v>771</v>
      </c>
      <c r="D2304" s="1055" t="s">
        <v>1275</v>
      </c>
      <c r="E2304" s="1055" t="s">
        <v>991</v>
      </c>
      <c r="F2304" s="1056">
        <v>30</v>
      </c>
      <c r="G2304" s="1056">
        <v>6</v>
      </c>
      <c r="H2304" s="1056">
        <v>0</v>
      </c>
      <c r="I2304" s="1056">
        <v>37</v>
      </c>
      <c r="K2304" s="995">
        <f t="shared" si="35"/>
        <v>8</v>
      </c>
    </row>
    <row r="2305" spans="1:11">
      <c r="A2305" s="1054">
        <v>52059501</v>
      </c>
      <c r="B2305" s="1055" t="s">
        <v>893</v>
      </c>
      <c r="C2305" s="1055" t="s">
        <v>771</v>
      </c>
      <c r="D2305" s="1055" t="s">
        <v>1044</v>
      </c>
      <c r="E2305" s="1055" t="s">
        <v>1045</v>
      </c>
      <c r="F2305" s="1056">
        <v>30</v>
      </c>
      <c r="G2305" s="1056">
        <v>6</v>
      </c>
      <c r="H2305" s="1056">
        <v>0</v>
      </c>
      <c r="I2305" s="1056">
        <v>37</v>
      </c>
      <c r="K2305" s="995">
        <f t="shared" si="35"/>
        <v>8</v>
      </c>
    </row>
    <row r="2306" spans="1:11">
      <c r="A2306" s="1054">
        <v>52059501</v>
      </c>
      <c r="B2306" s="1055" t="s">
        <v>893</v>
      </c>
      <c r="C2306" s="1055" t="s">
        <v>771</v>
      </c>
      <c r="D2306" s="1055" t="s">
        <v>1395</v>
      </c>
      <c r="E2306" s="1055" t="s">
        <v>1396</v>
      </c>
      <c r="F2306" s="1056">
        <v>10</v>
      </c>
      <c r="G2306" s="1056">
        <v>0</v>
      </c>
      <c r="H2306" s="1056">
        <v>0</v>
      </c>
      <c r="I2306" s="1056">
        <v>10</v>
      </c>
      <c r="K2306" s="995">
        <f t="shared" si="35"/>
        <v>8</v>
      </c>
    </row>
    <row r="2307" spans="1:11">
      <c r="A2307" s="1054">
        <v>52059501</v>
      </c>
      <c r="B2307" s="1055" t="s">
        <v>893</v>
      </c>
      <c r="C2307" s="1055" t="s">
        <v>771</v>
      </c>
      <c r="D2307" s="1055" t="s">
        <v>1382</v>
      </c>
      <c r="E2307" s="1055" t="s">
        <v>1763</v>
      </c>
      <c r="F2307" s="1056">
        <v>30</v>
      </c>
      <c r="G2307" s="1056">
        <v>6</v>
      </c>
      <c r="H2307" s="1056">
        <v>0</v>
      </c>
      <c r="I2307" s="1056">
        <v>37</v>
      </c>
      <c r="K2307" s="995">
        <f t="shared" si="35"/>
        <v>8</v>
      </c>
    </row>
    <row r="2308" spans="1:11">
      <c r="A2308" s="1054">
        <v>52059501</v>
      </c>
      <c r="B2308" s="1055" t="s">
        <v>893</v>
      </c>
      <c r="C2308" s="1055" t="s">
        <v>771</v>
      </c>
      <c r="D2308" s="1055" t="s">
        <v>1383</v>
      </c>
      <c r="E2308" s="1055" t="s">
        <v>1384</v>
      </c>
      <c r="F2308" s="1056">
        <v>13</v>
      </c>
      <c r="G2308" s="1056">
        <v>3</v>
      </c>
      <c r="H2308" s="1056">
        <v>0</v>
      </c>
      <c r="I2308" s="1056">
        <v>15</v>
      </c>
      <c r="K2308" s="995">
        <f t="shared" si="35"/>
        <v>8</v>
      </c>
    </row>
    <row r="2309" spans="1:11">
      <c r="A2309" s="1054">
        <v>52059506</v>
      </c>
      <c r="B2309" s="1055" t="s">
        <v>1489</v>
      </c>
      <c r="C2309" s="1055" t="s">
        <v>1008</v>
      </c>
      <c r="D2309" s="1055" t="s">
        <v>893</v>
      </c>
      <c r="E2309" s="1055" t="s">
        <v>893</v>
      </c>
      <c r="F2309" s="1056">
        <v>0</v>
      </c>
      <c r="G2309" s="1056">
        <v>1922</v>
      </c>
      <c r="H2309" s="1056">
        <v>0</v>
      </c>
      <c r="I2309" s="1056">
        <v>1922</v>
      </c>
      <c r="K2309" s="995">
        <f t="shared" ref="K2309:K2372" si="36">+LEN(A2309)</f>
        <v>8</v>
      </c>
    </row>
    <row r="2310" spans="1:11">
      <c r="A2310" s="1054">
        <v>52059506</v>
      </c>
      <c r="B2310" s="1055" t="s">
        <v>1489</v>
      </c>
      <c r="C2310" s="1055" t="s">
        <v>1008</v>
      </c>
      <c r="D2310" s="1055" t="s">
        <v>1403</v>
      </c>
      <c r="E2310" s="1055" t="s">
        <v>1404</v>
      </c>
      <c r="F2310" s="1056">
        <v>0</v>
      </c>
      <c r="G2310" s="1056">
        <v>1922</v>
      </c>
      <c r="H2310" s="1056">
        <v>0</v>
      </c>
      <c r="I2310" s="1056">
        <v>1922</v>
      </c>
      <c r="K2310" s="995">
        <f t="shared" si="36"/>
        <v>8</v>
      </c>
    </row>
    <row r="2311" spans="1:11">
      <c r="A2311" s="1054">
        <v>5210</v>
      </c>
      <c r="B2311" s="1055" t="s">
        <v>893</v>
      </c>
      <c r="C2311" s="1055" t="s">
        <v>117</v>
      </c>
      <c r="D2311" s="1055" t="s">
        <v>893</v>
      </c>
      <c r="E2311" s="1055" t="s">
        <v>893</v>
      </c>
      <c r="F2311" s="1056">
        <v>93006</v>
      </c>
      <c r="G2311" s="1056">
        <v>28025</v>
      </c>
      <c r="H2311" s="1056">
        <v>0</v>
      </c>
      <c r="I2311" s="1056">
        <v>121030</v>
      </c>
      <c r="K2311" s="995">
        <f t="shared" si="36"/>
        <v>4</v>
      </c>
    </row>
    <row r="2312" spans="1:11">
      <c r="A2312" s="1054">
        <v>521045</v>
      </c>
      <c r="B2312" s="1055" t="s">
        <v>893</v>
      </c>
      <c r="C2312" s="1055" t="s">
        <v>385</v>
      </c>
      <c r="D2312" s="1055" t="s">
        <v>893</v>
      </c>
      <c r="E2312" s="1055" t="s">
        <v>893</v>
      </c>
      <c r="F2312" s="1056">
        <v>84554</v>
      </c>
      <c r="G2312" s="1056">
        <v>25797</v>
      </c>
      <c r="H2312" s="1056">
        <v>0</v>
      </c>
      <c r="I2312" s="1056">
        <v>110351</v>
      </c>
      <c r="K2312" s="995">
        <f t="shared" si="36"/>
        <v>6</v>
      </c>
    </row>
    <row r="2313" spans="1:11">
      <c r="A2313" s="1054">
        <v>52104501</v>
      </c>
      <c r="B2313" s="1055" t="s">
        <v>893</v>
      </c>
      <c r="C2313" s="1055" t="s">
        <v>385</v>
      </c>
      <c r="D2313" s="1055" t="s">
        <v>893</v>
      </c>
      <c r="E2313" s="1055" t="s">
        <v>893</v>
      </c>
      <c r="F2313" s="1056">
        <v>81304</v>
      </c>
      <c r="G2313" s="1056">
        <v>25646</v>
      </c>
      <c r="H2313" s="1056">
        <v>0</v>
      </c>
      <c r="I2313" s="1056">
        <v>106949</v>
      </c>
      <c r="K2313" s="995">
        <f t="shared" si="36"/>
        <v>8</v>
      </c>
    </row>
    <row r="2314" spans="1:11">
      <c r="A2314" s="1054">
        <v>52104501</v>
      </c>
      <c r="B2314" s="1055" t="s">
        <v>893</v>
      </c>
      <c r="C2314" s="1055" t="s">
        <v>385</v>
      </c>
      <c r="D2314" s="1055" t="s">
        <v>1208</v>
      </c>
      <c r="E2314" s="1055" t="s">
        <v>428</v>
      </c>
      <c r="F2314" s="1056">
        <v>77553</v>
      </c>
      <c r="G2314" s="1056">
        <v>25646</v>
      </c>
      <c r="H2314" s="1056">
        <v>0</v>
      </c>
      <c r="I2314" s="1056">
        <v>103198</v>
      </c>
      <c r="K2314" s="995">
        <f t="shared" si="36"/>
        <v>8</v>
      </c>
    </row>
    <row r="2315" spans="1:11">
      <c r="A2315" s="1054">
        <v>52104501</v>
      </c>
      <c r="B2315" s="1055" t="s">
        <v>893</v>
      </c>
      <c r="C2315" s="1055" t="s">
        <v>385</v>
      </c>
      <c r="D2315" s="1055" t="s">
        <v>1704</v>
      </c>
      <c r="E2315" s="1055" t="s">
        <v>1705</v>
      </c>
      <c r="F2315" s="1056">
        <v>3751</v>
      </c>
      <c r="G2315" s="1056">
        <v>0</v>
      </c>
      <c r="H2315" s="1056">
        <v>0</v>
      </c>
      <c r="I2315" s="1056">
        <v>3751</v>
      </c>
      <c r="K2315" s="995">
        <f t="shared" si="36"/>
        <v>8</v>
      </c>
    </row>
    <row r="2316" spans="1:11">
      <c r="A2316" s="1054">
        <v>52104502</v>
      </c>
      <c r="B2316" s="1055" t="s">
        <v>893</v>
      </c>
      <c r="C2316" s="1055" t="s">
        <v>1718</v>
      </c>
      <c r="D2316" s="1055" t="s">
        <v>893</v>
      </c>
      <c r="E2316" s="1055" t="s">
        <v>893</v>
      </c>
      <c r="F2316" s="1056">
        <v>3250</v>
      </c>
      <c r="G2316" s="1056">
        <v>151</v>
      </c>
      <c r="H2316" s="1056">
        <v>0</v>
      </c>
      <c r="I2316" s="1056">
        <v>3401</v>
      </c>
      <c r="K2316" s="995">
        <f t="shared" si="36"/>
        <v>8</v>
      </c>
    </row>
    <row r="2317" spans="1:11">
      <c r="A2317" s="1054">
        <v>52104502</v>
      </c>
      <c r="B2317" s="1055" t="s">
        <v>893</v>
      </c>
      <c r="C2317" s="1055" t="s">
        <v>1718</v>
      </c>
      <c r="D2317" s="1055" t="s">
        <v>1825</v>
      </c>
      <c r="E2317" s="1055" t="s">
        <v>1826</v>
      </c>
      <c r="F2317" s="1056">
        <v>0</v>
      </c>
      <c r="G2317" s="1056">
        <v>151</v>
      </c>
      <c r="H2317" s="1056">
        <v>0</v>
      </c>
      <c r="I2317" s="1056">
        <v>151</v>
      </c>
      <c r="K2317" s="995">
        <f t="shared" si="36"/>
        <v>8</v>
      </c>
    </row>
    <row r="2318" spans="1:11">
      <c r="A2318" s="1054">
        <v>52104502</v>
      </c>
      <c r="B2318" s="1055" t="s">
        <v>893</v>
      </c>
      <c r="C2318" s="1055" t="s">
        <v>1718</v>
      </c>
      <c r="D2318" s="1055" t="s">
        <v>1702</v>
      </c>
      <c r="E2318" s="1055" t="s">
        <v>1703</v>
      </c>
      <c r="F2318" s="1056">
        <v>3250</v>
      </c>
      <c r="G2318" s="1056">
        <v>0</v>
      </c>
      <c r="H2318" s="1056">
        <v>0</v>
      </c>
      <c r="I2318" s="1056">
        <v>3250</v>
      </c>
      <c r="K2318" s="995">
        <f t="shared" si="36"/>
        <v>8</v>
      </c>
    </row>
    <row r="2319" spans="1:11">
      <c r="A2319" s="1054">
        <v>521095</v>
      </c>
      <c r="B2319" s="1055" t="s">
        <v>893</v>
      </c>
      <c r="C2319" s="1055" t="s">
        <v>323</v>
      </c>
      <c r="D2319" s="1055" t="s">
        <v>893</v>
      </c>
      <c r="E2319" s="1055" t="s">
        <v>893</v>
      </c>
      <c r="F2319" s="1056">
        <v>8452</v>
      </c>
      <c r="G2319" s="1056">
        <v>2227</v>
      </c>
      <c r="H2319" s="1056">
        <v>0</v>
      </c>
      <c r="I2319" s="1056">
        <v>10679</v>
      </c>
      <c r="K2319" s="995">
        <f t="shared" si="36"/>
        <v>6</v>
      </c>
    </row>
    <row r="2320" spans="1:11">
      <c r="A2320" s="1054">
        <v>52109501</v>
      </c>
      <c r="B2320" s="1055" t="s">
        <v>893</v>
      </c>
      <c r="C2320" s="1055" t="s">
        <v>323</v>
      </c>
      <c r="D2320" s="1055" t="s">
        <v>893</v>
      </c>
      <c r="E2320" s="1055" t="s">
        <v>893</v>
      </c>
      <c r="F2320" s="1056">
        <v>0</v>
      </c>
      <c r="G2320" s="1056">
        <v>165</v>
      </c>
      <c r="H2320" s="1056">
        <v>0</v>
      </c>
      <c r="I2320" s="1056">
        <v>165</v>
      </c>
      <c r="K2320" s="995">
        <f t="shared" si="36"/>
        <v>8</v>
      </c>
    </row>
    <row r="2321" spans="1:11">
      <c r="A2321" s="1054">
        <v>52109501</v>
      </c>
      <c r="B2321" s="1055" t="s">
        <v>893</v>
      </c>
      <c r="C2321" s="1055" t="s">
        <v>323</v>
      </c>
      <c r="D2321" s="1055" t="s">
        <v>1916</v>
      </c>
      <c r="E2321" s="1055" t="s">
        <v>1917</v>
      </c>
      <c r="F2321" s="1056">
        <v>0</v>
      </c>
      <c r="G2321" s="1056">
        <v>80</v>
      </c>
      <c r="H2321" s="1056">
        <v>0</v>
      </c>
      <c r="I2321" s="1056">
        <v>80</v>
      </c>
      <c r="K2321" s="995">
        <f t="shared" si="36"/>
        <v>8</v>
      </c>
    </row>
    <row r="2322" spans="1:11">
      <c r="A2322" s="1054">
        <v>52109501</v>
      </c>
      <c r="B2322" s="1055" t="s">
        <v>893</v>
      </c>
      <c r="C2322" s="1055" t="s">
        <v>323</v>
      </c>
      <c r="D2322" s="1055" t="s">
        <v>1922</v>
      </c>
      <c r="E2322" s="1055" t="s">
        <v>1923</v>
      </c>
      <c r="F2322" s="1056">
        <v>0</v>
      </c>
      <c r="G2322" s="1056">
        <v>85</v>
      </c>
      <c r="H2322" s="1056">
        <v>0</v>
      </c>
      <c r="I2322" s="1056">
        <v>85</v>
      </c>
      <c r="K2322" s="995">
        <f t="shared" si="36"/>
        <v>8</v>
      </c>
    </row>
    <row r="2323" spans="1:11">
      <c r="A2323" s="1054">
        <v>52109502</v>
      </c>
      <c r="B2323" s="1055" t="s">
        <v>893</v>
      </c>
      <c r="C2323" s="1055" t="s">
        <v>545</v>
      </c>
      <c r="D2323" s="1055" t="s">
        <v>893</v>
      </c>
      <c r="E2323" s="1055" t="s">
        <v>893</v>
      </c>
      <c r="F2323" s="1056">
        <v>8452</v>
      </c>
      <c r="G2323" s="1056">
        <v>2062</v>
      </c>
      <c r="H2323" s="1056">
        <v>0</v>
      </c>
      <c r="I2323" s="1056">
        <v>10514</v>
      </c>
      <c r="K2323" s="995">
        <f t="shared" si="36"/>
        <v>8</v>
      </c>
    </row>
    <row r="2324" spans="1:11">
      <c r="A2324" s="1054">
        <v>52109502</v>
      </c>
      <c r="B2324" s="1055" t="s">
        <v>893</v>
      </c>
      <c r="C2324" s="1055" t="s">
        <v>545</v>
      </c>
      <c r="D2324" s="1055" t="s">
        <v>1190</v>
      </c>
      <c r="E2324" s="1055" t="s">
        <v>577</v>
      </c>
      <c r="F2324" s="1056">
        <v>5390</v>
      </c>
      <c r="G2324" s="1056">
        <v>1430</v>
      </c>
      <c r="H2324" s="1056">
        <v>0</v>
      </c>
      <c r="I2324" s="1056">
        <v>6820</v>
      </c>
      <c r="K2324" s="995">
        <f t="shared" si="36"/>
        <v>8</v>
      </c>
    </row>
    <row r="2325" spans="1:11">
      <c r="A2325" s="1054">
        <v>52109502</v>
      </c>
      <c r="B2325" s="1055" t="s">
        <v>893</v>
      </c>
      <c r="C2325" s="1055" t="s">
        <v>545</v>
      </c>
      <c r="D2325" s="1055" t="s">
        <v>1212</v>
      </c>
      <c r="E2325" s="1055" t="s">
        <v>1030</v>
      </c>
      <c r="F2325" s="1056">
        <v>3062</v>
      </c>
      <c r="G2325" s="1056">
        <v>633</v>
      </c>
      <c r="H2325" s="1056">
        <v>0</v>
      </c>
      <c r="I2325" s="1056">
        <v>3695</v>
      </c>
      <c r="K2325" s="995">
        <f t="shared" si="36"/>
        <v>8</v>
      </c>
    </row>
    <row r="2326" spans="1:11">
      <c r="A2326" s="1054">
        <v>5215</v>
      </c>
      <c r="B2326" s="1055" t="s">
        <v>893</v>
      </c>
      <c r="C2326" s="1055" t="s">
        <v>136</v>
      </c>
      <c r="D2326" s="1055" t="s">
        <v>893</v>
      </c>
      <c r="E2326" s="1055" t="s">
        <v>893</v>
      </c>
      <c r="F2326" s="1056">
        <v>44037</v>
      </c>
      <c r="G2326" s="1056">
        <v>7525</v>
      </c>
      <c r="H2326" s="1056">
        <v>0</v>
      </c>
      <c r="I2326" s="1056">
        <v>51563</v>
      </c>
      <c r="K2326" s="995">
        <f t="shared" si="36"/>
        <v>4</v>
      </c>
    </row>
    <row r="2327" spans="1:11">
      <c r="A2327" s="1054">
        <v>521505</v>
      </c>
      <c r="B2327" s="1055" t="s">
        <v>893</v>
      </c>
      <c r="C2327" s="1055" t="s">
        <v>386</v>
      </c>
      <c r="D2327" s="1055" t="s">
        <v>893</v>
      </c>
      <c r="E2327" s="1055" t="s">
        <v>893</v>
      </c>
      <c r="F2327" s="1056">
        <v>31227</v>
      </c>
      <c r="G2327" s="1056">
        <v>7525</v>
      </c>
      <c r="H2327" s="1056">
        <v>0</v>
      </c>
      <c r="I2327" s="1056">
        <v>38752</v>
      </c>
      <c r="K2327" s="995">
        <f t="shared" si="36"/>
        <v>6</v>
      </c>
    </row>
    <row r="2328" spans="1:11">
      <c r="A2328" s="1054">
        <v>52150501</v>
      </c>
      <c r="B2328" s="1055" t="s">
        <v>893</v>
      </c>
      <c r="C2328" s="1055" t="s">
        <v>386</v>
      </c>
      <c r="D2328" s="1055" t="s">
        <v>893</v>
      </c>
      <c r="E2328" s="1055" t="s">
        <v>893</v>
      </c>
      <c r="F2328" s="1056">
        <v>12655</v>
      </c>
      <c r="G2328" s="1056">
        <v>2531</v>
      </c>
      <c r="H2328" s="1056">
        <v>0</v>
      </c>
      <c r="I2328" s="1056">
        <v>15186</v>
      </c>
      <c r="K2328" s="995">
        <f t="shared" si="36"/>
        <v>8</v>
      </c>
    </row>
    <row r="2329" spans="1:11">
      <c r="A2329" s="1054">
        <v>52150501</v>
      </c>
      <c r="B2329" s="1055" t="s">
        <v>893</v>
      </c>
      <c r="C2329" s="1055" t="s">
        <v>386</v>
      </c>
      <c r="D2329" s="1055" t="s">
        <v>1199</v>
      </c>
      <c r="E2329" s="1055" t="s">
        <v>1024</v>
      </c>
      <c r="F2329" s="1056">
        <v>12655</v>
      </c>
      <c r="G2329" s="1056">
        <v>2531</v>
      </c>
      <c r="H2329" s="1056">
        <v>0</v>
      </c>
      <c r="I2329" s="1056">
        <v>15186</v>
      </c>
      <c r="K2329" s="995">
        <f t="shared" si="36"/>
        <v>8</v>
      </c>
    </row>
    <row r="2330" spans="1:11">
      <c r="A2330" s="1054">
        <v>52150502</v>
      </c>
      <c r="B2330" s="1055" t="s">
        <v>1489</v>
      </c>
      <c r="C2330" s="1055" t="s">
        <v>887</v>
      </c>
      <c r="D2330" s="1055" t="s">
        <v>893</v>
      </c>
      <c r="E2330" s="1055" t="s">
        <v>893</v>
      </c>
      <c r="F2330" s="1056">
        <v>0</v>
      </c>
      <c r="G2330" s="1056">
        <v>1752</v>
      </c>
      <c r="H2330" s="1056">
        <v>0</v>
      </c>
      <c r="I2330" s="1056">
        <v>1752</v>
      </c>
      <c r="K2330" s="995">
        <f t="shared" si="36"/>
        <v>8</v>
      </c>
    </row>
    <row r="2331" spans="1:11">
      <c r="A2331" s="1054">
        <v>52150502</v>
      </c>
      <c r="B2331" s="1055" t="s">
        <v>1489</v>
      </c>
      <c r="C2331" s="1055" t="s">
        <v>887</v>
      </c>
      <c r="D2331" s="1055" t="s">
        <v>1314</v>
      </c>
      <c r="E2331" s="1055" t="s">
        <v>1737</v>
      </c>
      <c r="F2331" s="1056">
        <v>0</v>
      </c>
      <c r="G2331" s="1056">
        <v>1752</v>
      </c>
      <c r="H2331" s="1056">
        <v>0</v>
      </c>
      <c r="I2331" s="1056">
        <v>1752</v>
      </c>
      <c r="K2331" s="995">
        <f t="shared" si="36"/>
        <v>8</v>
      </c>
    </row>
    <row r="2332" spans="1:11">
      <c r="A2332" s="1054">
        <v>52150503</v>
      </c>
      <c r="B2332" s="1055" t="s">
        <v>1489</v>
      </c>
      <c r="C2332" s="1055" t="s">
        <v>824</v>
      </c>
      <c r="D2332" s="1055" t="s">
        <v>893</v>
      </c>
      <c r="E2332" s="1055" t="s">
        <v>893</v>
      </c>
      <c r="F2332" s="1056">
        <v>16418</v>
      </c>
      <c r="G2332" s="1056">
        <v>3242</v>
      </c>
      <c r="H2332" s="1056">
        <v>0</v>
      </c>
      <c r="I2332" s="1056">
        <v>19660</v>
      </c>
      <c r="K2332" s="995">
        <f t="shared" si="36"/>
        <v>8</v>
      </c>
    </row>
    <row r="2333" spans="1:11">
      <c r="A2333" s="1054">
        <v>52150503</v>
      </c>
      <c r="B2333" s="1055" t="s">
        <v>1489</v>
      </c>
      <c r="C2333" s="1055" t="s">
        <v>824</v>
      </c>
      <c r="D2333" s="1055" t="s">
        <v>1401</v>
      </c>
      <c r="E2333" s="1055" t="s">
        <v>1402</v>
      </c>
      <c r="F2333" s="1056">
        <v>14933</v>
      </c>
      <c r="G2333" s="1056">
        <v>3242</v>
      </c>
      <c r="H2333" s="1056">
        <v>0</v>
      </c>
      <c r="I2333" s="1056">
        <v>18175</v>
      </c>
      <c r="K2333" s="995">
        <f t="shared" si="36"/>
        <v>8</v>
      </c>
    </row>
    <row r="2334" spans="1:11">
      <c r="A2334" s="1054">
        <v>52150503</v>
      </c>
      <c r="B2334" s="1055" t="s">
        <v>1489</v>
      </c>
      <c r="C2334" s="1055" t="s">
        <v>824</v>
      </c>
      <c r="D2334" s="1055" t="s">
        <v>1286</v>
      </c>
      <c r="E2334" s="1055" t="s">
        <v>1287</v>
      </c>
      <c r="F2334" s="1056">
        <v>1485</v>
      </c>
      <c r="G2334" s="1056">
        <v>0</v>
      </c>
      <c r="H2334" s="1056">
        <v>0</v>
      </c>
      <c r="I2334" s="1056">
        <v>1485</v>
      </c>
      <c r="K2334" s="995">
        <f t="shared" si="36"/>
        <v>8</v>
      </c>
    </row>
    <row r="2335" spans="1:11">
      <c r="A2335" s="1054">
        <v>52150504</v>
      </c>
      <c r="B2335" s="1055" t="s">
        <v>1489</v>
      </c>
      <c r="C2335" s="1055" t="s">
        <v>1797</v>
      </c>
      <c r="D2335" s="1055" t="s">
        <v>893</v>
      </c>
      <c r="E2335" s="1055" t="s">
        <v>893</v>
      </c>
      <c r="F2335" s="1056">
        <v>2154</v>
      </c>
      <c r="G2335" s="1056">
        <v>0</v>
      </c>
      <c r="H2335" s="1056">
        <v>0</v>
      </c>
      <c r="I2335" s="1056">
        <v>2154</v>
      </c>
      <c r="K2335" s="995">
        <f t="shared" si="36"/>
        <v>8</v>
      </c>
    </row>
    <row r="2336" spans="1:11">
      <c r="A2336" s="1054">
        <v>52150504</v>
      </c>
      <c r="B2336" s="1055" t="s">
        <v>1489</v>
      </c>
      <c r="C2336" s="1055" t="s">
        <v>1797</v>
      </c>
      <c r="D2336" s="1055" t="s">
        <v>1401</v>
      </c>
      <c r="E2336" s="1055" t="s">
        <v>1402</v>
      </c>
      <c r="F2336" s="1056">
        <v>2154</v>
      </c>
      <c r="G2336" s="1056">
        <v>0</v>
      </c>
      <c r="H2336" s="1056">
        <v>0</v>
      </c>
      <c r="I2336" s="1056">
        <v>2154</v>
      </c>
      <c r="K2336" s="995">
        <f t="shared" si="36"/>
        <v>8</v>
      </c>
    </row>
    <row r="2337" spans="1:11">
      <c r="A2337" s="1054">
        <v>521515</v>
      </c>
      <c r="B2337" s="1055" t="s">
        <v>1489</v>
      </c>
      <c r="C2337" s="1055" t="s">
        <v>1000</v>
      </c>
      <c r="D2337" s="1055" t="s">
        <v>893</v>
      </c>
      <c r="E2337" s="1055" t="s">
        <v>893</v>
      </c>
      <c r="F2337" s="1056">
        <v>12785</v>
      </c>
      <c r="G2337" s="1056">
        <v>0</v>
      </c>
      <c r="H2337" s="1056">
        <v>0</v>
      </c>
      <c r="I2337" s="1056">
        <v>12785</v>
      </c>
      <c r="K2337" s="995">
        <f t="shared" si="36"/>
        <v>6</v>
      </c>
    </row>
    <row r="2338" spans="1:11">
      <c r="A2338" s="1054">
        <v>52151505</v>
      </c>
      <c r="B2338" s="1055" t="s">
        <v>1489</v>
      </c>
      <c r="C2338" s="1055" t="s">
        <v>1770</v>
      </c>
      <c r="D2338" s="1055" t="s">
        <v>893</v>
      </c>
      <c r="E2338" s="1055" t="s">
        <v>893</v>
      </c>
      <c r="F2338" s="1056">
        <v>12785</v>
      </c>
      <c r="G2338" s="1056">
        <v>0</v>
      </c>
      <c r="H2338" s="1056">
        <v>0</v>
      </c>
      <c r="I2338" s="1056">
        <v>12785</v>
      </c>
      <c r="K2338" s="995">
        <f t="shared" si="36"/>
        <v>8</v>
      </c>
    </row>
    <row r="2339" spans="1:11">
      <c r="A2339" s="1054">
        <v>52151505</v>
      </c>
      <c r="B2339" s="1055" t="s">
        <v>1489</v>
      </c>
      <c r="C2339" s="1055" t="s">
        <v>1770</v>
      </c>
      <c r="D2339" s="1055" t="s">
        <v>1405</v>
      </c>
      <c r="E2339" s="1055" t="s">
        <v>1406</v>
      </c>
      <c r="F2339" s="1056">
        <v>8991</v>
      </c>
      <c r="G2339" s="1056">
        <v>0</v>
      </c>
      <c r="H2339" s="1056">
        <v>0</v>
      </c>
      <c r="I2339" s="1056">
        <v>8991</v>
      </c>
      <c r="K2339" s="995">
        <f t="shared" si="36"/>
        <v>8</v>
      </c>
    </row>
    <row r="2340" spans="1:11">
      <c r="A2340" s="1054">
        <v>52151505</v>
      </c>
      <c r="B2340" s="1055" t="s">
        <v>1489</v>
      </c>
      <c r="C2340" s="1055" t="s">
        <v>1770</v>
      </c>
      <c r="D2340" s="1055" t="s">
        <v>1286</v>
      </c>
      <c r="E2340" s="1055" t="s">
        <v>1287</v>
      </c>
      <c r="F2340" s="1056">
        <v>3793</v>
      </c>
      <c r="G2340" s="1056">
        <v>0</v>
      </c>
      <c r="H2340" s="1056">
        <v>0</v>
      </c>
      <c r="I2340" s="1056">
        <v>3793</v>
      </c>
      <c r="K2340" s="995">
        <f t="shared" si="36"/>
        <v>8</v>
      </c>
    </row>
    <row r="2341" spans="1:11">
      <c r="A2341" s="1054">
        <v>521575</v>
      </c>
      <c r="B2341" s="1055" t="s">
        <v>893</v>
      </c>
      <c r="C2341" s="1055" t="s">
        <v>772</v>
      </c>
      <c r="D2341" s="1055" t="s">
        <v>893</v>
      </c>
      <c r="E2341" s="1055" t="s">
        <v>893</v>
      </c>
      <c r="F2341" s="1056">
        <v>26</v>
      </c>
      <c r="G2341" s="1056">
        <v>0</v>
      </c>
      <c r="H2341" s="1056">
        <v>0</v>
      </c>
      <c r="I2341" s="1056">
        <v>26</v>
      </c>
      <c r="K2341" s="995">
        <f t="shared" si="36"/>
        <v>6</v>
      </c>
    </row>
    <row r="2342" spans="1:11">
      <c r="A2342" s="1054">
        <v>52157501</v>
      </c>
      <c r="B2342" s="1055" t="s">
        <v>893</v>
      </c>
      <c r="C2342" s="1055" t="s">
        <v>772</v>
      </c>
      <c r="D2342" s="1055" t="s">
        <v>893</v>
      </c>
      <c r="E2342" s="1055" t="s">
        <v>893</v>
      </c>
      <c r="F2342" s="1056">
        <v>26</v>
      </c>
      <c r="G2342" s="1056">
        <v>0</v>
      </c>
      <c r="H2342" s="1056">
        <v>0</v>
      </c>
      <c r="I2342" s="1056">
        <v>26</v>
      </c>
      <c r="K2342" s="995">
        <f t="shared" si="36"/>
        <v>8</v>
      </c>
    </row>
    <row r="2343" spans="1:11">
      <c r="A2343" s="1054">
        <v>52157501</v>
      </c>
      <c r="B2343" s="1055" t="s">
        <v>893</v>
      </c>
      <c r="C2343" s="1055" t="s">
        <v>772</v>
      </c>
      <c r="D2343" s="1055" t="s">
        <v>1201</v>
      </c>
      <c r="E2343" s="1055" t="s">
        <v>679</v>
      </c>
      <c r="F2343" s="1056">
        <v>26</v>
      </c>
      <c r="G2343" s="1056">
        <v>0</v>
      </c>
      <c r="H2343" s="1056">
        <v>0</v>
      </c>
      <c r="I2343" s="1056">
        <v>26</v>
      </c>
      <c r="K2343" s="995">
        <f t="shared" si="36"/>
        <v>8</v>
      </c>
    </row>
    <row r="2344" spans="1:11">
      <c r="A2344" s="1054">
        <v>5220</v>
      </c>
      <c r="B2344" s="1055" t="s">
        <v>893</v>
      </c>
      <c r="C2344" s="1055" t="s">
        <v>119</v>
      </c>
      <c r="D2344" s="1055" t="s">
        <v>893</v>
      </c>
      <c r="E2344" s="1055" t="s">
        <v>893</v>
      </c>
      <c r="F2344" s="1056">
        <v>328965</v>
      </c>
      <c r="G2344" s="1056">
        <v>65084</v>
      </c>
      <c r="H2344" s="1056">
        <v>0</v>
      </c>
      <c r="I2344" s="1056">
        <v>394049</v>
      </c>
      <c r="K2344" s="995">
        <f t="shared" si="36"/>
        <v>4</v>
      </c>
    </row>
    <row r="2345" spans="1:11">
      <c r="A2345" s="1054">
        <v>522010</v>
      </c>
      <c r="B2345" s="1055" t="s">
        <v>893</v>
      </c>
      <c r="C2345" s="1055" t="s">
        <v>209</v>
      </c>
      <c r="D2345" s="1055" t="s">
        <v>893</v>
      </c>
      <c r="E2345" s="1055" t="s">
        <v>893</v>
      </c>
      <c r="F2345" s="1056">
        <v>328965</v>
      </c>
      <c r="G2345" s="1056">
        <v>65084</v>
      </c>
      <c r="H2345" s="1056">
        <v>0</v>
      </c>
      <c r="I2345" s="1056">
        <v>394049</v>
      </c>
      <c r="K2345" s="995">
        <f t="shared" si="36"/>
        <v>6</v>
      </c>
    </row>
    <row r="2346" spans="1:11">
      <c r="A2346" s="1054">
        <v>52201001</v>
      </c>
      <c r="B2346" s="1055" t="s">
        <v>893</v>
      </c>
      <c r="C2346" s="1055" t="s">
        <v>209</v>
      </c>
      <c r="D2346" s="1055" t="s">
        <v>893</v>
      </c>
      <c r="E2346" s="1055" t="s">
        <v>893</v>
      </c>
      <c r="F2346" s="1056">
        <v>328965</v>
      </c>
      <c r="G2346" s="1056">
        <v>65084</v>
      </c>
      <c r="H2346" s="1056">
        <v>0</v>
      </c>
      <c r="I2346" s="1056">
        <v>394049</v>
      </c>
      <c r="K2346" s="995">
        <f t="shared" si="36"/>
        <v>8</v>
      </c>
    </row>
    <row r="2347" spans="1:11">
      <c r="A2347" s="1054">
        <v>52201001</v>
      </c>
      <c r="B2347" s="1055" t="s">
        <v>893</v>
      </c>
      <c r="C2347" s="1055" t="s">
        <v>209</v>
      </c>
      <c r="D2347" s="1055" t="s">
        <v>1179</v>
      </c>
      <c r="E2347" s="1055" t="s">
        <v>1013</v>
      </c>
      <c r="F2347" s="1056">
        <v>19690</v>
      </c>
      <c r="G2347" s="1056">
        <v>4300</v>
      </c>
      <c r="H2347" s="1056">
        <v>0</v>
      </c>
      <c r="I2347" s="1056">
        <v>23991</v>
      </c>
      <c r="K2347" s="995">
        <f t="shared" si="36"/>
        <v>8</v>
      </c>
    </row>
    <row r="2348" spans="1:11">
      <c r="A2348" s="1054">
        <v>52201001</v>
      </c>
      <c r="B2348" s="1055" t="s">
        <v>893</v>
      </c>
      <c r="C2348" s="1055" t="s">
        <v>209</v>
      </c>
      <c r="D2348" s="1055" t="s">
        <v>1180</v>
      </c>
      <c r="E2348" s="1055" t="s">
        <v>1014</v>
      </c>
      <c r="F2348" s="1056">
        <v>39718</v>
      </c>
      <c r="G2348" s="1056">
        <v>7631</v>
      </c>
      <c r="H2348" s="1056">
        <v>0</v>
      </c>
      <c r="I2348" s="1056">
        <v>47348</v>
      </c>
      <c r="K2348" s="995">
        <f t="shared" si="36"/>
        <v>8</v>
      </c>
    </row>
    <row r="2349" spans="1:11">
      <c r="A2349" s="1054">
        <v>52201001</v>
      </c>
      <c r="B2349" s="1055" t="s">
        <v>893</v>
      </c>
      <c r="C2349" s="1055" t="s">
        <v>209</v>
      </c>
      <c r="D2349" s="1055" t="s">
        <v>1183</v>
      </c>
      <c r="E2349" s="1055" t="s">
        <v>1015</v>
      </c>
      <c r="F2349" s="1056">
        <v>19690</v>
      </c>
      <c r="G2349" s="1056">
        <v>4300</v>
      </c>
      <c r="H2349" s="1056">
        <v>0</v>
      </c>
      <c r="I2349" s="1056">
        <v>23991</v>
      </c>
      <c r="K2349" s="995">
        <f t="shared" si="36"/>
        <v>8</v>
      </c>
    </row>
    <row r="2350" spans="1:11">
      <c r="A2350" s="1054">
        <v>52201001</v>
      </c>
      <c r="B2350" s="1055" t="s">
        <v>893</v>
      </c>
      <c r="C2350" s="1055" t="s">
        <v>209</v>
      </c>
      <c r="D2350" s="1055" t="s">
        <v>1295</v>
      </c>
      <c r="E2350" s="1055" t="s">
        <v>963</v>
      </c>
      <c r="F2350" s="1056">
        <v>7502</v>
      </c>
      <c r="G2350" s="1056">
        <v>0</v>
      </c>
      <c r="H2350" s="1056">
        <v>0</v>
      </c>
      <c r="I2350" s="1056">
        <v>7502</v>
      </c>
      <c r="K2350" s="995">
        <f t="shared" si="36"/>
        <v>8</v>
      </c>
    </row>
    <row r="2351" spans="1:11">
      <c r="A2351" s="1054">
        <v>52201001</v>
      </c>
      <c r="B2351" s="1055" t="s">
        <v>893</v>
      </c>
      <c r="C2351" s="1055" t="s">
        <v>209</v>
      </c>
      <c r="D2351" s="1055" t="s">
        <v>1224</v>
      </c>
      <c r="E2351" s="1055" t="s">
        <v>1225</v>
      </c>
      <c r="F2351" s="1056">
        <v>17909</v>
      </c>
      <c r="G2351" s="1056">
        <v>3582</v>
      </c>
      <c r="H2351" s="1056">
        <v>0</v>
      </c>
      <c r="I2351" s="1056">
        <v>21491</v>
      </c>
      <c r="K2351" s="995">
        <f t="shared" si="36"/>
        <v>8</v>
      </c>
    </row>
    <row r="2352" spans="1:11">
      <c r="A2352" s="1054">
        <v>52201001</v>
      </c>
      <c r="B2352" s="1055" t="s">
        <v>893</v>
      </c>
      <c r="C2352" s="1055" t="s">
        <v>209</v>
      </c>
      <c r="D2352" s="1055" t="s">
        <v>1033</v>
      </c>
      <c r="E2352" s="1055" t="s">
        <v>695</v>
      </c>
      <c r="F2352" s="1056">
        <v>1127</v>
      </c>
      <c r="G2352" s="1056">
        <v>204</v>
      </c>
      <c r="H2352" s="1056">
        <v>0</v>
      </c>
      <c r="I2352" s="1056">
        <v>1332</v>
      </c>
      <c r="K2352" s="995">
        <f t="shared" si="36"/>
        <v>8</v>
      </c>
    </row>
    <row r="2353" spans="1:11">
      <c r="A2353" s="1054">
        <v>52201001</v>
      </c>
      <c r="B2353" s="1055" t="s">
        <v>893</v>
      </c>
      <c r="C2353" s="1055" t="s">
        <v>209</v>
      </c>
      <c r="D2353" s="1055" t="s">
        <v>1213</v>
      </c>
      <c r="E2353" s="1055" t="s">
        <v>1214</v>
      </c>
      <c r="F2353" s="1056">
        <v>27009</v>
      </c>
      <c r="G2353" s="1056">
        <v>5402</v>
      </c>
      <c r="H2353" s="1056">
        <v>0</v>
      </c>
      <c r="I2353" s="1056">
        <v>32411</v>
      </c>
      <c r="K2353" s="995">
        <f t="shared" si="36"/>
        <v>8</v>
      </c>
    </row>
    <row r="2354" spans="1:11">
      <c r="A2354" s="1054">
        <v>52201001</v>
      </c>
      <c r="B2354" s="1055" t="s">
        <v>893</v>
      </c>
      <c r="C2354" s="1055" t="s">
        <v>209</v>
      </c>
      <c r="D2354" s="1055" t="s">
        <v>1195</v>
      </c>
      <c r="E2354" s="1055" t="s">
        <v>1022</v>
      </c>
      <c r="F2354" s="1056">
        <v>61459</v>
      </c>
      <c r="G2354" s="1056">
        <v>12380</v>
      </c>
      <c r="H2354" s="1056">
        <v>0</v>
      </c>
      <c r="I2354" s="1056">
        <v>73839</v>
      </c>
      <c r="K2354" s="995">
        <f t="shared" si="36"/>
        <v>8</v>
      </c>
    </row>
    <row r="2355" spans="1:11">
      <c r="A2355" s="1054">
        <v>52201001</v>
      </c>
      <c r="B2355" s="1055" t="s">
        <v>893</v>
      </c>
      <c r="C2355" s="1055" t="s">
        <v>209</v>
      </c>
      <c r="D2355" s="1055" t="s">
        <v>1046</v>
      </c>
      <c r="E2355" s="1055" t="s">
        <v>1026</v>
      </c>
      <c r="F2355" s="1056">
        <v>64</v>
      </c>
      <c r="G2355" s="1056">
        <v>16</v>
      </c>
      <c r="H2355" s="1056">
        <v>0</v>
      </c>
      <c r="I2355" s="1056">
        <v>80</v>
      </c>
      <c r="K2355" s="995">
        <f t="shared" si="36"/>
        <v>8</v>
      </c>
    </row>
    <row r="2356" spans="1:11">
      <c r="A2356" s="1054">
        <v>52201001</v>
      </c>
      <c r="B2356" s="1055" t="s">
        <v>893</v>
      </c>
      <c r="C2356" s="1055" t="s">
        <v>209</v>
      </c>
      <c r="D2356" s="1055" t="s">
        <v>1215</v>
      </c>
      <c r="E2356" s="1055" t="s">
        <v>1216</v>
      </c>
      <c r="F2356" s="1056">
        <v>41787</v>
      </c>
      <c r="G2356" s="1056">
        <v>8357</v>
      </c>
      <c r="H2356" s="1056">
        <v>0</v>
      </c>
      <c r="I2356" s="1056">
        <v>50144</v>
      </c>
      <c r="K2356" s="995">
        <f t="shared" si="36"/>
        <v>8</v>
      </c>
    </row>
    <row r="2357" spans="1:11">
      <c r="A2357" s="1054">
        <v>52201001</v>
      </c>
      <c r="B2357" s="1055" t="s">
        <v>893</v>
      </c>
      <c r="C2357" s="1055" t="s">
        <v>209</v>
      </c>
      <c r="D2357" s="1055" t="s">
        <v>1217</v>
      </c>
      <c r="E2357" s="1055" t="s">
        <v>1218</v>
      </c>
      <c r="F2357" s="1056">
        <v>51221</v>
      </c>
      <c r="G2357" s="1056">
        <v>10244</v>
      </c>
      <c r="H2357" s="1056">
        <v>0</v>
      </c>
      <c r="I2357" s="1056">
        <v>61465</v>
      </c>
      <c r="K2357" s="995">
        <f t="shared" si="36"/>
        <v>8</v>
      </c>
    </row>
    <row r="2358" spans="1:11">
      <c r="A2358" s="1054">
        <v>52201001</v>
      </c>
      <c r="B2358" s="1055" t="s">
        <v>893</v>
      </c>
      <c r="C2358" s="1055" t="s">
        <v>209</v>
      </c>
      <c r="D2358" s="1055" t="s">
        <v>1203</v>
      </c>
      <c r="E2358" s="1055" t="s">
        <v>1827</v>
      </c>
      <c r="F2358" s="1056">
        <v>2072</v>
      </c>
      <c r="G2358" s="1056">
        <v>1036</v>
      </c>
      <c r="H2358" s="1056">
        <v>0</v>
      </c>
      <c r="I2358" s="1056">
        <v>3108</v>
      </c>
      <c r="K2358" s="995">
        <f t="shared" si="36"/>
        <v>8</v>
      </c>
    </row>
    <row r="2359" spans="1:11">
      <c r="A2359" s="1054">
        <v>52201001</v>
      </c>
      <c r="B2359" s="1055" t="s">
        <v>893</v>
      </c>
      <c r="C2359" s="1055" t="s">
        <v>209</v>
      </c>
      <c r="D2359" s="1055" t="s">
        <v>1207</v>
      </c>
      <c r="E2359" s="1055" t="s">
        <v>1028</v>
      </c>
      <c r="F2359" s="1056">
        <v>39718</v>
      </c>
      <c r="G2359" s="1056">
        <v>7631</v>
      </c>
      <c r="H2359" s="1056">
        <v>0</v>
      </c>
      <c r="I2359" s="1056">
        <v>47348</v>
      </c>
      <c r="K2359" s="995">
        <f t="shared" si="36"/>
        <v>8</v>
      </c>
    </row>
    <row r="2360" spans="1:11">
      <c r="A2360" s="1054">
        <v>5225</v>
      </c>
      <c r="B2360" s="1055" t="s">
        <v>893</v>
      </c>
      <c r="C2360" s="1055" t="s">
        <v>137</v>
      </c>
      <c r="D2360" s="1055" t="s">
        <v>893</v>
      </c>
      <c r="E2360" s="1055" t="s">
        <v>893</v>
      </c>
      <c r="F2360" s="1056">
        <v>61956</v>
      </c>
      <c r="G2360" s="1056">
        <v>12012</v>
      </c>
      <c r="H2360" s="1056">
        <v>0</v>
      </c>
      <c r="I2360" s="1056">
        <v>73967</v>
      </c>
      <c r="K2360" s="995">
        <f t="shared" si="36"/>
        <v>4</v>
      </c>
    </row>
    <row r="2361" spans="1:11">
      <c r="A2361" s="1054">
        <v>522510</v>
      </c>
      <c r="B2361" s="1055" t="s">
        <v>893</v>
      </c>
      <c r="C2361" s="1055" t="s">
        <v>582</v>
      </c>
      <c r="D2361" s="1055" t="s">
        <v>893</v>
      </c>
      <c r="E2361" s="1055" t="s">
        <v>893</v>
      </c>
      <c r="F2361" s="1056">
        <v>61956</v>
      </c>
      <c r="G2361" s="1056">
        <v>12012</v>
      </c>
      <c r="H2361" s="1056">
        <v>0</v>
      </c>
      <c r="I2361" s="1056">
        <v>73967</v>
      </c>
      <c r="K2361" s="995">
        <f t="shared" si="36"/>
        <v>6</v>
      </c>
    </row>
    <row r="2362" spans="1:11">
      <c r="A2362" s="1054">
        <v>52251001</v>
      </c>
      <c r="B2362" s="1055" t="s">
        <v>893</v>
      </c>
      <c r="C2362" s="1055" t="s">
        <v>582</v>
      </c>
      <c r="D2362" s="1055" t="s">
        <v>893</v>
      </c>
      <c r="E2362" s="1055" t="s">
        <v>893</v>
      </c>
      <c r="F2362" s="1056">
        <v>61956</v>
      </c>
      <c r="G2362" s="1056">
        <v>12012</v>
      </c>
      <c r="H2362" s="1056">
        <v>0</v>
      </c>
      <c r="I2362" s="1056">
        <v>73967</v>
      </c>
      <c r="K2362" s="995">
        <f t="shared" si="36"/>
        <v>8</v>
      </c>
    </row>
    <row r="2363" spans="1:11">
      <c r="A2363" s="1054">
        <v>52251001</v>
      </c>
      <c r="B2363" s="1055" t="s">
        <v>893</v>
      </c>
      <c r="C2363" s="1055" t="s">
        <v>582</v>
      </c>
      <c r="D2363" s="1055" t="s">
        <v>1186</v>
      </c>
      <c r="E2363" s="1055" t="s">
        <v>1018</v>
      </c>
      <c r="F2363" s="1056">
        <v>21737</v>
      </c>
      <c r="G2363" s="1056">
        <v>4532</v>
      </c>
      <c r="H2363" s="1056">
        <v>0</v>
      </c>
      <c r="I2363" s="1056">
        <v>26269</v>
      </c>
      <c r="K2363" s="995">
        <f t="shared" si="36"/>
        <v>8</v>
      </c>
    </row>
    <row r="2364" spans="1:11">
      <c r="A2364" s="1054">
        <v>52251001</v>
      </c>
      <c r="B2364" s="1055" t="s">
        <v>893</v>
      </c>
      <c r="C2364" s="1055" t="s">
        <v>582</v>
      </c>
      <c r="D2364" s="1055" t="s">
        <v>1187</v>
      </c>
      <c r="E2364" s="1055" t="s">
        <v>1019</v>
      </c>
      <c r="F2364" s="1056">
        <v>1653</v>
      </c>
      <c r="G2364" s="1056">
        <v>331</v>
      </c>
      <c r="H2364" s="1056">
        <v>0</v>
      </c>
      <c r="I2364" s="1056">
        <v>1984</v>
      </c>
      <c r="K2364" s="995">
        <f t="shared" si="36"/>
        <v>8</v>
      </c>
    </row>
    <row r="2365" spans="1:11">
      <c r="A2365" s="1054">
        <v>52251001</v>
      </c>
      <c r="B2365" s="1055" t="s">
        <v>893</v>
      </c>
      <c r="C2365" s="1055" t="s">
        <v>582</v>
      </c>
      <c r="D2365" s="1055" t="s">
        <v>1224</v>
      </c>
      <c r="E2365" s="1055" t="s">
        <v>1225</v>
      </c>
      <c r="F2365" s="1056">
        <v>2112</v>
      </c>
      <c r="G2365" s="1056">
        <v>422</v>
      </c>
      <c r="H2365" s="1056">
        <v>0</v>
      </c>
      <c r="I2365" s="1056">
        <v>2535</v>
      </c>
      <c r="K2365" s="995">
        <f t="shared" si="36"/>
        <v>8</v>
      </c>
    </row>
    <row r="2366" spans="1:11">
      <c r="A2366" s="1054">
        <v>52251001</v>
      </c>
      <c r="B2366" s="1055" t="s">
        <v>893</v>
      </c>
      <c r="C2366" s="1055" t="s">
        <v>582</v>
      </c>
      <c r="D2366" s="1055" t="s">
        <v>1046</v>
      </c>
      <c r="E2366" s="1055" t="s">
        <v>1026</v>
      </c>
      <c r="F2366" s="1056">
        <v>16</v>
      </c>
      <c r="G2366" s="1056">
        <v>0</v>
      </c>
      <c r="H2366" s="1056">
        <v>0</v>
      </c>
      <c r="I2366" s="1056">
        <v>16</v>
      </c>
      <c r="K2366" s="995">
        <f t="shared" si="36"/>
        <v>8</v>
      </c>
    </row>
    <row r="2367" spans="1:11">
      <c r="A2367" s="1054">
        <v>52251001</v>
      </c>
      <c r="B2367" s="1055" t="s">
        <v>893</v>
      </c>
      <c r="C2367" s="1055" t="s">
        <v>582</v>
      </c>
      <c r="D2367" s="1055" t="s">
        <v>1215</v>
      </c>
      <c r="E2367" s="1055" t="s">
        <v>1216</v>
      </c>
      <c r="F2367" s="1056">
        <v>2742</v>
      </c>
      <c r="G2367" s="1056">
        <v>545</v>
      </c>
      <c r="H2367" s="1056">
        <v>0</v>
      </c>
      <c r="I2367" s="1056">
        <v>3287</v>
      </c>
      <c r="K2367" s="995">
        <f t="shared" si="36"/>
        <v>8</v>
      </c>
    </row>
    <row r="2368" spans="1:11">
      <c r="A2368" s="1054">
        <v>52251001</v>
      </c>
      <c r="B2368" s="1055" t="s">
        <v>893</v>
      </c>
      <c r="C2368" s="1055" t="s">
        <v>582</v>
      </c>
      <c r="D2368" s="1055" t="s">
        <v>1217</v>
      </c>
      <c r="E2368" s="1055" t="s">
        <v>1218</v>
      </c>
      <c r="F2368" s="1056">
        <v>2513</v>
      </c>
      <c r="G2368" s="1056">
        <v>507</v>
      </c>
      <c r="H2368" s="1056">
        <v>0</v>
      </c>
      <c r="I2368" s="1056">
        <v>3021</v>
      </c>
      <c r="K2368" s="995">
        <f t="shared" si="36"/>
        <v>8</v>
      </c>
    </row>
    <row r="2369" spans="1:11">
      <c r="A2369" s="1054">
        <v>52251001</v>
      </c>
      <c r="B2369" s="1055" t="s">
        <v>893</v>
      </c>
      <c r="C2369" s="1055" t="s">
        <v>582</v>
      </c>
      <c r="D2369" s="1055" t="s">
        <v>1203</v>
      </c>
      <c r="E2369" s="1055" t="s">
        <v>1827</v>
      </c>
      <c r="F2369" s="1056">
        <v>3108</v>
      </c>
      <c r="G2369" s="1056">
        <v>0</v>
      </c>
      <c r="H2369" s="1056">
        <v>0</v>
      </c>
      <c r="I2369" s="1056">
        <v>3108</v>
      </c>
      <c r="K2369" s="995">
        <f t="shared" si="36"/>
        <v>8</v>
      </c>
    </row>
    <row r="2370" spans="1:11">
      <c r="A2370" s="1054">
        <v>52251001</v>
      </c>
      <c r="B2370" s="1055" t="s">
        <v>893</v>
      </c>
      <c r="C2370" s="1055" t="s">
        <v>582</v>
      </c>
      <c r="D2370" s="1055" t="s">
        <v>1170</v>
      </c>
      <c r="E2370" s="1055" t="s">
        <v>696</v>
      </c>
      <c r="F2370" s="1056">
        <v>8417</v>
      </c>
      <c r="G2370" s="1056">
        <v>1681</v>
      </c>
      <c r="H2370" s="1056">
        <v>0</v>
      </c>
      <c r="I2370" s="1056">
        <v>10098</v>
      </c>
      <c r="K2370" s="995">
        <f t="shared" si="36"/>
        <v>8</v>
      </c>
    </row>
    <row r="2371" spans="1:11">
      <c r="A2371" s="1054">
        <v>52251001</v>
      </c>
      <c r="B2371" s="1055" t="s">
        <v>893</v>
      </c>
      <c r="C2371" s="1055" t="s">
        <v>582</v>
      </c>
      <c r="D2371" s="1055" t="s">
        <v>1036</v>
      </c>
      <c r="E2371" s="1055" t="s">
        <v>1037</v>
      </c>
      <c r="F2371" s="1056">
        <v>9863</v>
      </c>
      <c r="G2371" s="1056">
        <v>1973</v>
      </c>
      <c r="H2371" s="1056">
        <v>0</v>
      </c>
      <c r="I2371" s="1056">
        <v>11836</v>
      </c>
      <c r="K2371" s="995">
        <f t="shared" si="36"/>
        <v>8</v>
      </c>
    </row>
    <row r="2372" spans="1:11">
      <c r="A2372" s="1054">
        <v>52251001</v>
      </c>
      <c r="B2372" s="1055" t="s">
        <v>893</v>
      </c>
      <c r="C2372" s="1055" t="s">
        <v>582</v>
      </c>
      <c r="D2372" s="1055" t="s">
        <v>1209</v>
      </c>
      <c r="E2372" s="1055" t="s">
        <v>1029</v>
      </c>
      <c r="F2372" s="1056">
        <v>9794</v>
      </c>
      <c r="G2372" s="1056">
        <v>2020</v>
      </c>
      <c r="H2372" s="1056">
        <v>0</v>
      </c>
      <c r="I2372" s="1056">
        <v>11815</v>
      </c>
      <c r="K2372" s="995">
        <f t="shared" si="36"/>
        <v>8</v>
      </c>
    </row>
    <row r="2373" spans="1:11">
      <c r="A2373" s="1054">
        <v>5230</v>
      </c>
      <c r="B2373" s="1055" t="s">
        <v>893</v>
      </c>
      <c r="C2373" s="1055" t="s">
        <v>138</v>
      </c>
      <c r="D2373" s="1055" t="s">
        <v>893</v>
      </c>
      <c r="E2373" s="1055" t="s">
        <v>893</v>
      </c>
      <c r="F2373" s="1056">
        <v>10730</v>
      </c>
      <c r="G2373" s="1056">
        <v>0</v>
      </c>
      <c r="H2373" s="1056">
        <v>0</v>
      </c>
      <c r="I2373" s="1056">
        <v>10730</v>
      </c>
      <c r="K2373" s="995">
        <f t="shared" ref="K2373:K2436" si="37">+LEN(A2373)</f>
        <v>4</v>
      </c>
    </row>
    <row r="2374" spans="1:11">
      <c r="A2374" s="1054">
        <v>523010</v>
      </c>
      <c r="B2374" s="1055" t="s">
        <v>893</v>
      </c>
      <c r="C2374" s="1055" t="s">
        <v>1627</v>
      </c>
      <c r="D2374" s="1055" t="s">
        <v>893</v>
      </c>
      <c r="E2374" s="1055" t="s">
        <v>893</v>
      </c>
      <c r="F2374" s="1056">
        <v>9612</v>
      </c>
      <c r="G2374" s="1056">
        <v>0</v>
      </c>
      <c r="H2374" s="1056">
        <v>0</v>
      </c>
      <c r="I2374" s="1056">
        <v>9612</v>
      </c>
      <c r="K2374" s="995">
        <f t="shared" si="37"/>
        <v>6</v>
      </c>
    </row>
    <row r="2375" spans="1:11">
      <c r="A2375" s="1054">
        <v>52301001</v>
      </c>
      <c r="B2375" s="1055" t="s">
        <v>893</v>
      </c>
      <c r="C2375" s="1055" t="s">
        <v>1627</v>
      </c>
      <c r="D2375" s="1055" t="s">
        <v>893</v>
      </c>
      <c r="E2375" s="1055" t="s">
        <v>893</v>
      </c>
      <c r="F2375" s="1056">
        <v>9612</v>
      </c>
      <c r="G2375" s="1056">
        <v>0</v>
      </c>
      <c r="H2375" s="1056">
        <v>0</v>
      </c>
      <c r="I2375" s="1056">
        <v>9612</v>
      </c>
      <c r="K2375" s="995">
        <f t="shared" si="37"/>
        <v>8</v>
      </c>
    </row>
    <row r="2376" spans="1:11">
      <c r="A2376" s="1054">
        <v>52301001</v>
      </c>
      <c r="B2376" s="1055" t="s">
        <v>893</v>
      </c>
      <c r="C2376" s="1055" t="s">
        <v>1627</v>
      </c>
      <c r="D2376" s="1055" t="s">
        <v>1234</v>
      </c>
      <c r="E2376" s="1055" t="s">
        <v>913</v>
      </c>
      <c r="F2376" s="1056">
        <v>9612</v>
      </c>
      <c r="G2376" s="1056">
        <v>0</v>
      </c>
      <c r="H2376" s="1056">
        <v>0</v>
      </c>
      <c r="I2376" s="1056">
        <v>9612</v>
      </c>
      <c r="K2376" s="995">
        <f t="shared" si="37"/>
        <v>8</v>
      </c>
    </row>
    <row r="2377" spans="1:11">
      <c r="A2377" s="1054">
        <v>523095</v>
      </c>
      <c r="B2377" s="1055" t="s">
        <v>893</v>
      </c>
      <c r="C2377" s="1055" t="s">
        <v>323</v>
      </c>
      <c r="D2377" s="1055" t="s">
        <v>893</v>
      </c>
      <c r="E2377" s="1055" t="s">
        <v>893</v>
      </c>
      <c r="F2377" s="1056">
        <v>1118</v>
      </c>
      <c r="G2377" s="1056">
        <v>0</v>
      </c>
      <c r="H2377" s="1056">
        <v>0</v>
      </c>
      <c r="I2377" s="1056">
        <v>1118</v>
      </c>
      <c r="K2377" s="995">
        <f t="shared" si="37"/>
        <v>6</v>
      </c>
    </row>
    <row r="2378" spans="1:11">
      <c r="A2378" s="1054">
        <v>52309501</v>
      </c>
      <c r="B2378" s="1055" t="s">
        <v>893</v>
      </c>
      <c r="C2378" s="1055" t="s">
        <v>323</v>
      </c>
      <c r="D2378" s="1055" t="s">
        <v>893</v>
      </c>
      <c r="E2378" s="1055" t="s">
        <v>893</v>
      </c>
      <c r="F2378" s="1056">
        <v>1118</v>
      </c>
      <c r="G2378" s="1056">
        <v>0</v>
      </c>
      <c r="H2378" s="1056">
        <v>0</v>
      </c>
      <c r="I2378" s="1056">
        <v>1118</v>
      </c>
      <c r="K2378" s="995">
        <f t="shared" si="37"/>
        <v>8</v>
      </c>
    </row>
    <row r="2379" spans="1:11">
      <c r="A2379" s="1054">
        <v>52309501</v>
      </c>
      <c r="B2379" s="1055" t="s">
        <v>893</v>
      </c>
      <c r="C2379" s="1055" t="s">
        <v>323</v>
      </c>
      <c r="D2379" s="1055" t="s">
        <v>1691</v>
      </c>
      <c r="E2379" s="1055" t="s">
        <v>1692</v>
      </c>
      <c r="F2379" s="1056">
        <v>1118</v>
      </c>
      <c r="G2379" s="1056">
        <v>0</v>
      </c>
      <c r="H2379" s="1056">
        <v>0</v>
      </c>
      <c r="I2379" s="1056">
        <v>1118</v>
      </c>
      <c r="K2379" s="995">
        <f t="shared" si="37"/>
        <v>8</v>
      </c>
    </row>
    <row r="2380" spans="1:11">
      <c r="A2380" s="1054">
        <v>5235</v>
      </c>
      <c r="B2380" s="1055" t="s">
        <v>893</v>
      </c>
      <c r="C2380" s="1055" t="s">
        <v>118</v>
      </c>
      <c r="D2380" s="1055" t="s">
        <v>893</v>
      </c>
      <c r="E2380" s="1055" t="s">
        <v>893</v>
      </c>
      <c r="F2380" s="1056">
        <v>222469</v>
      </c>
      <c r="G2380" s="1056">
        <v>63056</v>
      </c>
      <c r="H2380" s="1056">
        <v>6</v>
      </c>
      <c r="I2380" s="1056">
        <v>285519</v>
      </c>
      <c r="K2380" s="995">
        <f t="shared" si="37"/>
        <v>4</v>
      </c>
    </row>
    <row r="2381" spans="1:11">
      <c r="A2381" s="1054">
        <v>523505</v>
      </c>
      <c r="B2381" s="1055" t="s">
        <v>893</v>
      </c>
      <c r="C2381" s="1055" t="s">
        <v>387</v>
      </c>
      <c r="D2381" s="1055" t="s">
        <v>893</v>
      </c>
      <c r="E2381" s="1055" t="s">
        <v>893</v>
      </c>
      <c r="F2381" s="1056">
        <v>4067</v>
      </c>
      <c r="G2381" s="1056">
        <v>571</v>
      </c>
      <c r="H2381" s="1056">
        <v>0</v>
      </c>
      <c r="I2381" s="1056">
        <v>4638</v>
      </c>
      <c r="K2381" s="995">
        <f t="shared" si="37"/>
        <v>6</v>
      </c>
    </row>
    <row r="2382" spans="1:11">
      <c r="A2382" s="1054">
        <v>52350501</v>
      </c>
      <c r="B2382" s="1055" t="s">
        <v>893</v>
      </c>
      <c r="C2382" s="1055" t="s">
        <v>387</v>
      </c>
      <c r="D2382" s="1055" t="s">
        <v>893</v>
      </c>
      <c r="E2382" s="1055" t="s">
        <v>893</v>
      </c>
      <c r="F2382" s="1056">
        <v>4067</v>
      </c>
      <c r="G2382" s="1056">
        <v>571</v>
      </c>
      <c r="H2382" s="1056">
        <v>0</v>
      </c>
      <c r="I2382" s="1056">
        <v>4638</v>
      </c>
      <c r="K2382" s="995">
        <f t="shared" si="37"/>
        <v>8</v>
      </c>
    </row>
    <row r="2383" spans="1:11">
      <c r="A2383" s="1054">
        <v>52350501</v>
      </c>
      <c r="B2383" s="1055" t="s">
        <v>893</v>
      </c>
      <c r="C2383" s="1055" t="s">
        <v>387</v>
      </c>
      <c r="D2383" s="1055" t="s">
        <v>1186</v>
      </c>
      <c r="E2383" s="1055" t="s">
        <v>1018</v>
      </c>
      <c r="F2383" s="1056">
        <v>148</v>
      </c>
      <c r="G2383" s="1056">
        <v>32</v>
      </c>
      <c r="H2383" s="1056">
        <v>0</v>
      </c>
      <c r="I2383" s="1056">
        <v>180</v>
      </c>
      <c r="K2383" s="995">
        <f t="shared" si="37"/>
        <v>8</v>
      </c>
    </row>
    <row r="2384" spans="1:11">
      <c r="A2384" s="1054">
        <v>52350501</v>
      </c>
      <c r="B2384" s="1055" t="s">
        <v>893</v>
      </c>
      <c r="C2384" s="1055" t="s">
        <v>387</v>
      </c>
      <c r="D2384" s="1055" t="s">
        <v>1187</v>
      </c>
      <c r="E2384" s="1055" t="s">
        <v>1019</v>
      </c>
      <c r="F2384" s="1056">
        <v>1254</v>
      </c>
      <c r="G2384" s="1056">
        <v>212</v>
      </c>
      <c r="H2384" s="1056">
        <v>0</v>
      </c>
      <c r="I2384" s="1056">
        <v>1466</v>
      </c>
      <c r="K2384" s="995">
        <f t="shared" si="37"/>
        <v>8</v>
      </c>
    </row>
    <row r="2385" spans="1:11">
      <c r="A2385" s="1054">
        <v>52350501</v>
      </c>
      <c r="B2385" s="1055" t="s">
        <v>893</v>
      </c>
      <c r="C2385" s="1055" t="s">
        <v>387</v>
      </c>
      <c r="D2385" s="1055" t="s">
        <v>1191</v>
      </c>
      <c r="E2385" s="1055" t="s">
        <v>1021</v>
      </c>
      <c r="F2385" s="1056">
        <v>2593</v>
      </c>
      <c r="G2385" s="1056">
        <v>311</v>
      </c>
      <c r="H2385" s="1056">
        <v>0</v>
      </c>
      <c r="I2385" s="1056">
        <v>2904</v>
      </c>
      <c r="K2385" s="995">
        <f t="shared" si="37"/>
        <v>8</v>
      </c>
    </row>
    <row r="2386" spans="1:11">
      <c r="A2386" s="1054">
        <v>52350501</v>
      </c>
      <c r="B2386" s="1055" t="s">
        <v>893</v>
      </c>
      <c r="C2386" s="1055" t="s">
        <v>387</v>
      </c>
      <c r="D2386" s="1055" t="s">
        <v>1200</v>
      </c>
      <c r="E2386" s="1055" t="s">
        <v>1025</v>
      </c>
      <c r="F2386" s="1056">
        <v>72</v>
      </c>
      <c r="G2386" s="1056">
        <v>17</v>
      </c>
      <c r="H2386" s="1056">
        <v>0</v>
      </c>
      <c r="I2386" s="1056">
        <v>88</v>
      </c>
      <c r="K2386" s="995">
        <f t="shared" si="37"/>
        <v>8</v>
      </c>
    </row>
    <row r="2387" spans="1:11">
      <c r="A2387" s="1054">
        <v>523510</v>
      </c>
      <c r="B2387" s="1055" t="s">
        <v>893</v>
      </c>
      <c r="C2387" s="1055" t="s">
        <v>388</v>
      </c>
      <c r="D2387" s="1055" t="s">
        <v>893</v>
      </c>
      <c r="E2387" s="1055" t="s">
        <v>893</v>
      </c>
      <c r="F2387" s="1056">
        <v>16505</v>
      </c>
      <c r="G2387" s="1056">
        <v>11763</v>
      </c>
      <c r="H2387" s="1056">
        <v>0</v>
      </c>
      <c r="I2387" s="1056">
        <v>28269</v>
      </c>
      <c r="K2387" s="995">
        <f t="shared" si="37"/>
        <v>6</v>
      </c>
    </row>
    <row r="2388" spans="1:11">
      <c r="A2388" s="1054">
        <v>52351001</v>
      </c>
      <c r="B2388" s="1055" t="s">
        <v>893</v>
      </c>
      <c r="C2388" s="1055" t="s">
        <v>388</v>
      </c>
      <c r="D2388" s="1055" t="s">
        <v>893</v>
      </c>
      <c r="E2388" s="1055" t="s">
        <v>893</v>
      </c>
      <c r="F2388" s="1056">
        <v>15474</v>
      </c>
      <c r="G2388" s="1056">
        <v>10892</v>
      </c>
      <c r="H2388" s="1056">
        <v>0</v>
      </c>
      <c r="I2388" s="1056">
        <v>26366</v>
      </c>
      <c r="K2388" s="995">
        <f t="shared" si="37"/>
        <v>8</v>
      </c>
    </row>
    <row r="2389" spans="1:11">
      <c r="A2389" s="1054">
        <v>52351001</v>
      </c>
      <c r="B2389" s="1055" t="s">
        <v>893</v>
      </c>
      <c r="C2389" s="1055" t="s">
        <v>388</v>
      </c>
      <c r="D2389" s="1055" t="s">
        <v>1198</v>
      </c>
      <c r="E2389" s="1055" t="s">
        <v>337</v>
      </c>
      <c r="F2389" s="1056">
        <v>15474</v>
      </c>
      <c r="G2389" s="1056">
        <v>10892</v>
      </c>
      <c r="H2389" s="1056">
        <v>0</v>
      </c>
      <c r="I2389" s="1056">
        <v>26366</v>
      </c>
      <c r="K2389" s="995">
        <f t="shared" si="37"/>
        <v>8</v>
      </c>
    </row>
    <row r="2390" spans="1:11">
      <c r="A2390" s="1054">
        <v>52351002</v>
      </c>
      <c r="B2390" s="1055" t="s">
        <v>893</v>
      </c>
      <c r="C2390" s="1055" t="s">
        <v>558</v>
      </c>
      <c r="D2390" s="1055" t="s">
        <v>893</v>
      </c>
      <c r="E2390" s="1055" t="s">
        <v>893</v>
      </c>
      <c r="F2390" s="1056">
        <v>1031</v>
      </c>
      <c r="G2390" s="1056">
        <v>871</v>
      </c>
      <c r="H2390" s="1056">
        <v>0</v>
      </c>
      <c r="I2390" s="1056">
        <v>1903</v>
      </c>
      <c r="K2390" s="995">
        <f t="shared" si="37"/>
        <v>8</v>
      </c>
    </row>
    <row r="2391" spans="1:11">
      <c r="A2391" s="1054">
        <v>52351002</v>
      </c>
      <c r="B2391" s="1055" t="s">
        <v>893</v>
      </c>
      <c r="C2391" s="1055" t="s">
        <v>558</v>
      </c>
      <c r="D2391" s="1055" t="s">
        <v>1198</v>
      </c>
      <c r="E2391" s="1055" t="s">
        <v>337</v>
      </c>
      <c r="F2391" s="1056">
        <v>1031</v>
      </c>
      <c r="G2391" s="1056">
        <v>871</v>
      </c>
      <c r="H2391" s="1056">
        <v>0</v>
      </c>
      <c r="I2391" s="1056">
        <v>1903</v>
      </c>
      <c r="K2391" s="995">
        <f t="shared" si="37"/>
        <v>8</v>
      </c>
    </row>
    <row r="2392" spans="1:11">
      <c r="A2392" s="1054">
        <v>523520</v>
      </c>
      <c r="B2392" s="1055" t="s">
        <v>893</v>
      </c>
      <c r="C2392" s="1055" t="s">
        <v>389</v>
      </c>
      <c r="D2392" s="1055" t="s">
        <v>893</v>
      </c>
      <c r="E2392" s="1055" t="s">
        <v>893</v>
      </c>
      <c r="F2392" s="1056">
        <v>17259</v>
      </c>
      <c r="G2392" s="1056">
        <v>4254</v>
      </c>
      <c r="H2392" s="1056">
        <v>0</v>
      </c>
      <c r="I2392" s="1056">
        <v>21514</v>
      </c>
      <c r="K2392" s="995">
        <f t="shared" si="37"/>
        <v>6</v>
      </c>
    </row>
    <row r="2393" spans="1:11">
      <c r="A2393" s="1054">
        <v>52352001</v>
      </c>
      <c r="B2393" s="1055" t="s">
        <v>893</v>
      </c>
      <c r="C2393" s="1055" t="s">
        <v>389</v>
      </c>
      <c r="D2393" s="1055" t="s">
        <v>893</v>
      </c>
      <c r="E2393" s="1055" t="s">
        <v>893</v>
      </c>
      <c r="F2393" s="1056">
        <v>17259</v>
      </c>
      <c r="G2393" s="1056">
        <v>4254</v>
      </c>
      <c r="H2393" s="1056">
        <v>0</v>
      </c>
      <c r="I2393" s="1056">
        <v>21514</v>
      </c>
      <c r="K2393" s="995">
        <f t="shared" si="37"/>
        <v>8</v>
      </c>
    </row>
    <row r="2394" spans="1:11">
      <c r="A2394" s="1054">
        <v>52352001</v>
      </c>
      <c r="B2394" s="1055" t="s">
        <v>893</v>
      </c>
      <c r="C2394" s="1055" t="s">
        <v>389</v>
      </c>
      <c r="D2394" s="1055" t="s">
        <v>1608</v>
      </c>
      <c r="E2394" s="1055" t="s">
        <v>1609</v>
      </c>
      <c r="F2394" s="1056">
        <v>288</v>
      </c>
      <c r="G2394" s="1056">
        <v>433</v>
      </c>
      <c r="H2394" s="1056">
        <v>0</v>
      </c>
      <c r="I2394" s="1056">
        <v>720</v>
      </c>
      <c r="K2394" s="995">
        <f t="shared" si="37"/>
        <v>8</v>
      </c>
    </row>
    <row r="2395" spans="1:11">
      <c r="A2395" s="1054">
        <v>52352001</v>
      </c>
      <c r="B2395" s="1055" t="s">
        <v>893</v>
      </c>
      <c r="C2395" s="1055" t="s">
        <v>389</v>
      </c>
      <c r="D2395" s="1055" t="s">
        <v>1204</v>
      </c>
      <c r="E2395" s="1055" t="s">
        <v>427</v>
      </c>
      <c r="F2395" s="1056">
        <v>541</v>
      </c>
      <c r="G2395" s="1056">
        <v>135</v>
      </c>
      <c r="H2395" s="1056">
        <v>0</v>
      </c>
      <c r="I2395" s="1056">
        <v>676</v>
      </c>
      <c r="K2395" s="995">
        <f t="shared" si="37"/>
        <v>8</v>
      </c>
    </row>
    <row r="2396" spans="1:11">
      <c r="A2396" s="1054">
        <v>52352001</v>
      </c>
      <c r="B2396" s="1055" t="s">
        <v>893</v>
      </c>
      <c r="C2396" s="1055" t="s">
        <v>389</v>
      </c>
      <c r="D2396" s="1055" t="s">
        <v>1205</v>
      </c>
      <c r="E2396" s="1055" t="s">
        <v>328</v>
      </c>
      <c r="F2396" s="1056">
        <v>14791</v>
      </c>
      <c r="G2396" s="1056">
        <v>3187</v>
      </c>
      <c r="H2396" s="1056">
        <v>0</v>
      </c>
      <c r="I2396" s="1056">
        <v>17978</v>
      </c>
      <c r="K2396" s="995">
        <f t="shared" si="37"/>
        <v>8</v>
      </c>
    </row>
    <row r="2397" spans="1:11">
      <c r="A2397" s="1054">
        <v>52352001</v>
      </c>
      <c r="B2397" s="1055" t="s">
        <v>893</v>
      </c>
      <c r="C2397" s="1055" t="s">
        <v>389</v>
      </c>
      <c r="D2397" s="1055" t="s">
        <v>1317</v>
      </c>
      <c r="E2397" s="1055" t="s">
        <v>1318</v>
      </c>
      <c r="F2397" s="1056">
        <v>250</v>
      </c>
      <c r="G2397" s="1056">
        <v>0</v>
      </c>
      <c r="H2397" s="1056">
        <v>0</v>
      </c>
      <c r="I2397" s="1056">
        <v>250</v>
      </c>
      <c r="K2397" s="995">
        <f t="shared" si="37"/>
        <v>8</v>
      </c>
    </row>
    <row r="2398" spans="1:11">
      <c r="A2398" s="1054">
        <v>52352001</v>
      </c>
      <c r="B2398" s="1055" t="s">
        <v>893</v>
      </c>
      <c r="C2398" s="1055" t="s">
        <v>389</v>
      </c>
      <c r="D2398" s="1055" t="s">
        <v>1315</v>
      </c>
      <c r="E2398" s="1055" t="s">
        <v>996</v>
      </c>
      <c r="F2398" s="1056">
        <v>1300</v>
      </c>
      <c r="G2398" s="1056">
        <v>500</v>
      </c>
      <c r="H2398" s="1056">
        <v>0</v>
      </c>
      <c r="I2398" s="1056">
        <v>1800</v>
      </c>
      <c r="K2398" s="995">
        <f t="shared" si="37"/>
        <v>8</v>
      </c>
    </row>
    <row r="2399" spans="1:11">
      <c r="A2399" s="1054">
        <v>52352001</v>
      </c>
      <c r="B2399" s="1055" t="s">
        <v>893</v>
      </c>
      <c r="C2399" s="1055" t="s">
        <v>389</v>
      </c>
      <c r="D2399" s="1055" t="s">
        <v>1294</v>
      </c>
      <c r="E2399" s="1055" t="s">
        <v>779</v>
      </c>
      <c r="F2399" s="1056">
        <v>90</v>
      </c>
      <c r="G2399" s="1056">
        <v>0</v>
      </c>
      <c r="H2399" s="1056">
        <v>0</v>
      </c>
      <c r="I2399" s="1056">
        <v>90</v>
      </c>
      <c r="K2399" s="995">
        <f t="shared" si="37"/>
        <v>8</v>
      </c>
    </row>
    <row r="2400" spans="1:11">
      <c r="A2400" s="1054">
        <v>523525</v>
      </c>
      <c r="B2400" s="1055" t="s">
        <v>893</v>
      </c>
      <c r="C2400" s="1055" t="s">
        <v>396</v>
      </c>
      <c r="D2400" s="1055" t="s">
        <v>893</v>
      </c>
      <c r="E2400" s="1055" t="s">
        <v>893</v>
      </c>
      <c r="F2400" s="1056">
        <v>6633</v>
      </c>
      <c r="G2400" s="1056">
        <v>1329</v>
      </c>
      <c r="H2400" s="1056">
        <v>0</v>
      </c>
      <c r="I2400" s="1056">
        <v>7962</v>
      </c>
      <c r="K2400" s="995">
        <f t="shared" si="37"/>
        <v>6</v>
      </c>
    </row>
    <row r="2401" spans="1:11">
      <c r="A2401" s="1054">
        <v>52352501</v>
      </c>
      <c r="B2401" s="1055" t="s">
        <v>893</v>
      </c>
      <c r="C2401" s="1055" t="s">
        <v>396</v>
      </c>
      <c r="D2401" s="1055" t="s">
        <v>893</v>
      </c>
      <c r="E2401" s="1055" t="s">
        <v>893</v>
      </c>
      <c r="F2401" s="1056">
        <v>6633</v>
      </c>
      <c r="G2401" s="1056">
        <v>1329</v>
      </c>
      <c r="H2401" s="1056">
        <v>0</v>
      </c>
      <c r="I2401" s="1056">
        <v>7962</v>
      </c>
      <c r="K2401" s="995">
        <f t="shared" si="37"/>
        <v>8</v>
      </c>
    </row>
    <row r="2402" spans="1:11">
      <c r="A2402" s="1054">
        <v>52352501</v>
      </c>
      <c r="B2402" s="1055" t="s">
        <v>893</v>
      </c>
      <c r="C2402" s="1055" t="s">
        <v>396</v>
      </c>
      <c r="D2402" s="1055" t="s">
        <v>1191</v>
      </c>
      <c r="E2402" s="1055" t="s">
        <v>1021</v>
      </c>
      <c r="F2402" s="1056">
        <v>6533</v>
      </c>
      <c r="G2402" s="1056">
        <v>1329</v>
      </c>
      <c r="H2402" s="1056">
        <v>0</v>
      </c>
      <c r="I2402" s="1056">
        <v>7862</v>
      </c>
      <c r="K2402" s="995">
        <f t="shared" si="37"/>
        <v>8</v>
      </c>
    </row>
    <row r="2403" spans="1:11">
      <c r="A2403" s="1054">
        <v>52352501</v>
      </c>
      <c r="B2403" s="1055" t="s">
        <v>893</v>
      </c>
      <c r="C2403" s="1055" t="s">
        <v>396</v>
      </c>
      <c r="D2403" s="1055" t="s">
        <v>1036</v>
      </c>
      <c r="E2403" s="1055" t="s">
        <v>1037</v>
      </c>
      <c r="F2403" s="1056">
        <v>100</v>
      </c>
      <c r="G2403" s="1056">
        <v>0</v>
      </c>
      <c r="H2403" s="1056">
        <v>0</v>
      </c>
      <c r="I2403" s="1056">
        <v>100</v>
      </c>
      <c r="K2403" s="995">
        <f t="shared" si="37"/>
        <v>8</v>
      </c>
    </row>
    <row r="2404" spans="1:11">
      <c r="A2404" s="1054">
        <v>523530</v>
      </c>
      <c r="B2404" s="1055" t="s">
        <v>893</v>
      </c>
      <c r="C2404" s="1055" t="s">
        <v>390</v>
      </c>
      <c r="D2404" s="1055" t="s">
        <v>893</v>
      </c>
      <c r="E2404" s="1055" t="s">
        <v>893</v>
      </c>
      <c r="F2404" s="1056">
        <v>74668</v>
      </c>
      <c r="G2404" s="1056">
        <v>14028</v>
      </c>
      <c r="H2404" s="1056">
        <v>0</v>
      </c>
      <c r="I2404" s="1056">
        <v>88695</v>
      </c>
      <c r="K2404" s="995">
        <f t="shared" si="37"/>
        <v>6</v>
      </c>
    </row>
    <row r="2405" spans="1:11">
      <c r="A2405" s="1054">
        <v>52353001</v>
      </c>
      <c r="B2405" s="1055" t="s">
        <v>893</v>
      </c>
      <c r="C2405" s="1055" t="s">
        <v>390</v>
      </c>
      <c r="D2405" s="1055" t="s">
        <v>893</v>
      </c>
      <c r="E2405" s="1055" t="s">
        <v>893</v>
      </c>
      <c r="F2405" s="1056">
        <v>74668</v>
      </c>
      <c r="G2405" s="1056">
        <v>14028</v>
      </c>
      <c r="H2405" s="1056">
        <v>0</v>
      </c>
      <c r="I2405" s="1056">
        <v>88695</v>
      </c>
      <c r="K2405" s="995">
        <f t="shared" si="37"/>
        <v>8</v>
      </c>
    </row>
    <row r="2406" spans="1:11">
      <c r="A2406" s="1054">
        <v>52353001</v>
      </c>
      <c r="B2406" s="1055" t="s">
        <v>893</v>
      </c>
      <c r="C2406" s="1055" t="s">
        <v>390</v>
      </c>
      <c r="D2406" s="1055" t="s">
        <v>1295</v>
      </c>
      <c r="E2406" s="1055" t="s">
        <v>963</v>
      </c>
      <c r="F2406" s="1056">
        <v>378</v>
      </c>
      <c r="G2406" s="1056">
        <v>0</v>
      </c>
      <c r="H2406" s="1056">
        <v>0</v>
      </c>
      <c r="I2406" s="1056">
        <v>378</v>
      </c>
      <c r="K2406" s="995">
        <f t="shared" si="37"/>
        <v>8</v>
      </c>
    </row>
    <row r="2407" spans="1:11">
      <c r="A2407" s="1054">
        <v>52353001</v>
      </c>
      <c r="B2407" s="1055" t="s">
        <v>893</v>
      </c>
      <c r="C2407" s="1055" t="s">
        <v>390</v>
      </c>
      <c r="D2407" s="1055" t="s">
        <v>1313</v>
      </c>
      <c r="E2407" s="1055" t="s">
        <v>1020</v>
      </c>
      <c r="F2407" s="1056">
        <v>10103</v>
      </c>
      <c r="G2407" s="1056">
        <v>1826</v>
      </c>
      <c r="H2407" s="1056">
        <v>0</v>
      </c>
      <c r="I2407" s="1056">
        <v>11929</v>
      </c>
      <c r="K2407" s="995">
        <f t="shared" si="37"/>
        <v>8</v>
      </c>
    </row>
    <row r="2408" spans="1:11">
      <c r="A2408" s="1054">
        <v>52353001</v>
      </c>
      <c r="B2408" s="1055" t="s">
        <v>893</v>
      </c>
      <c r="C2408" s="1055" t="s">
        <v>390</v>
      </c>
      <c r="D2408" s="1055" t="s">
        <v>1191</v>
      </c>
      <c r="E2408" s="1055" t="s">
        <v>1021</v>
      </c>
      <c r="F2408" s="1056">
        <v>64187</v>
      </c>
      <c r="G2408" s="1056">
        <v>12202</v>
      </c>
      <c r="H2408" s="1056">
        <v>0</v>
      </c>
      <c r="I2408" s="1056">
        <v>76389</v>
      </c>
      <c r="K2408" s="995">
        <f t="shared" si="37"/>
        <v>8</v>
      </c>
    </row>
    <row r="2409" spans="1:11">
      <c r="A2409" s="1054">
        <v>523535</v>
      </c>
      <c r="B2409" s="1055" t="s">
        <v>893</v>
      </c>
      <c r="C2409" s="1055" t="s">
        <v>773</v>
      </c>
      <c r="D2409" s="1055" t="s">
        <v>893</v>
      </c>
      <c r="E2409" s="1055" t="s">
        <v>893</v>
      </c>
      <c r="F2409" s="1056">
        <v>1</v>
      </c>
      <c r="G2409" s="1056">
        <v>0</v>
      </c>
      <c r="H2409" s="1056">
        <v>0</v>
      </c>
      <c r="I2409" s="1056">
        <v>1</v>
      </c>
      <c r="K2409" s="995">
        <f t="shared" si="37"/>
        <v>6</v>
      </c>
    </row>
    <row r="2410" spans="1:11">
      <c r="A2410" s="1054">
        <v>52353501</v>
      </c>
      <c r="B2410" s="1055" t="s">
        <v>893</v>
      </c>
      <c r="C2410" s="1055" t="s">
        <v>773</v>
      </c>
      <c r="D2410" s="1055" t="s">
        <v>893</v>
      </c>
      <c r="E2410" s="1055" t="s">
        <v>893</v>
      </c>
      <c r="F2410" s="1056">
        <v>1</v>
      </c>
      <c r="G2410" s="1056">
        <v>0</v>
      </c>
      <c r="H2410" s="1056">
        <v>0</v>
      </c>
      <c r="I2410" s="1056">
        <v>1</v>
      </c>
      <c r="K2410" s="995">
        <f t="shared" si="37"/>
        <v>8</v>
      </c>
    </row>
    <row r="2411" spans="1:11">
      <c r="A2411" s="1054">
        <v>52353501</v>
      </c>
      <c r="B2411" s="1055" t="s">
        <v>893</v>
      </c>
      <c r="C2411" s="1055" t="s">
        <v>773</v>
      </c>
      <c r="D2411" s="1055" t="s">
        <v>1201</v>
      </c>
      <c r="E2411" s="1055" t="s">
        <v>679</v>
      </c>
      <c r="F2411" s="1056">
        <v>1</v>
      </c>
      <c r="G2411" s="1056">
        <v>0</v>
      </c>
      <c r="H2411" s="1056">
        <v>0</v>
      </c>
      <c r="I2411" s="1056">
        <v>1</v>
      </c>
      <c r="K2411" s="995">
        <f t="shared" si="37"/>
        <v>8</v>
      </c>
    </row>
    <row r="2412" spans="1:11">
      <c r="A2412" s="1054">
        <v>523550</v>
      </c>
      <c r="B2412" s="1055" t="s">
        <v>893</v>
      </c>
      <c r="C2412" s="1055" t="s">
        <v>366</v>
      </c>
      <c r="D2412" s="1055" t="s">
        <v>893</v>
      </c>
      <c r="E2412" s="1055" t="s">
        <v>893</v>
      </c>
      <c r="F2412" s="1056">
        <v>18395</v>
      </c>
      <c r="G2412" s="1056">
        <v>3359</v>
      </c>
      <c r="H2412" s="1056">
        <v>6</v>
      </c>
      <c r="I2412" s="1056">
        <v>21748</v>
      </c>
      <c r="K2412" s="995">
        <f t="shared" si="37"/>
        <v>6</v>
      </c>
    </row>
    <row r="2413" spans="1:11">
      <c r="A2413" s="1054">
        <v>52355001</v>
      </c>
      <c r="B2413" s="1055" t="s">
        <v>893</v>
      </c>
      <c r="C2413" s="1055" t="s">
        <v>366</v>
      </c>
      <c r="D2413" s="1055" t="s">
        <v>893</v>
      </c>
      <c r="E2413" s="1055" t="s">
        <v>893</v>
      </c>
      <c r="F2413" s="1056">
        <v>18395</v>
      </c>
      <c r="G2413" s="1056">
        <v>3359</v>
      </c>
      <c r="H2413" s="1056">
        <v>6</v>
      </c>
      <c r="I2413" s="1056">
        <v>21748</v>
      </c>
      <c r="K2413" s="995">
        <f t="shared" si="37"/>
        <v>8</v>
      </c>
    </row>
    <row r="2414" spans="1:11">
      <c r="A2414" s="1054">
        <v>52355001</v>
      </c>
      <c r="B2414" s="1055" t="s">
        <v>893</v>
      </c>
      <c r="C2414" s="1055" t="s">
        <v>366</v>
      </c>
      <c r="D2414" s="1055" t="s">
        <v>1051</v>
      </c>
      <c r="E2414" s="1055" t="s">
        <v>1052</v>
      </c>
      <c r="F2414" s="1056">
        <v>440</v>
      </c>
      <c r="G2414" s="1056">
        <v>0</v>
      </c>
      <c r="H2414" s="1056">
        <v>0</v>
      </c>
      <c r="I2414" s="1056">
        <v>440</v>
      </c>
      <c r="K2414" s="995">
        <f t="shared" si="37"/>
        <v>8</v>
      </c>
    </row>
    <row r="2415" spans="1:11">
      <c r="A2415" s="1054">
        <v>52355001</v>
      </c>
      <c r="B2415" s="1055" t="s">
        <v>893</v>
      </c>
      <c r="C2415" s="1055" t="s">
        <v>366</v>
      </c>
      <c r="D2415" s="1055" t="s">
        <v>1857</v>
      </c>
      <c r="E2415" s="1055" t="s">
        <v>1858</v>
      </c>
      <c r="F2415" s="1056">
        <v>5</v>
      </c>
      <c r="G2415" s="1056">
        <v>0</v>
      </c>
      <c r="H2415" s="1056">
        <v>0</v>
      </c>
      <c r="I2415" s="1056">
        <v>5</v>
      </c>
      <c r="K2415" s="995">
        <f t="shared" si="37"/>
        <v>8</v>
      </c>
    </row>
    <row r="2416" spans="1:11">
      <c r="A2416" s="1054">
        <v>52355001</v>
      </c>
      <c r="B2416" s="1055" t="s">
        <v>893</v>
      </c>
      <c r="C2416" s="1055" t="s">
        <v>366</v>
      </c>
      <c r="D2416" s="1055" t="s">
        <v>1780</v>
      </c>
      <c r="E2416" s="1055" t="s">
        <v>1781</v>
      </c>
      <c r="F2416" s="1056">
        <v>850</v>
      </c>
      <c r="G2416" s="1056">
        <v>0</v>
      </c>
      <c r="H2416" s="1056">
        <v>0</v>
      </c>
      <c r="I2416" s="1056">
        <v>850</v>
      </c>
      <c r="K2416" s="995">
        <f t="shared" si="37"/>
        <v>8</v>
      </c>
    </row>
    <row r="2417" spans="1:11">
      <c r="A2417" s="1054">
        <v>52355001</v>
      </c>
      <c r="B2417" s="1055" t="s">
        <v>893</v>
      </c>
      <c r="C2417" s="1055" t="s">
        <v>366</v>
      </c>
      <c r="D2417" s="1055" t="s">
        <v>1331</v>
      </c>
      <c r="E2417" s="1055" t="s">
        <v>1332</v>
      </c>
      <c r="F2417" s="1056">
        <v>34</v>
      </c>
      <c r="G2417" s="1056">
        <v>8</v>
      </c>
      <c r="H2417" s="1056">
        <v>0</v>
      </c>
      <c r="I2417" s="1056">
        <v>42</v>
      </c>
      <c r="K2417" s="995">
        <f t="shared" si="37"/>
        <v>8</v>
      </c>
    </row>
    <row r="2418" spans="1:11">
      <c r="A2418" s="1054">
        <v>52355001</v>
      </c>
      <c r="B2418" s="1055" t="s">
        <v>893</v>
      </c>
      <c r="C2418" s="1055" t="s">
        <v>366</v>
      </c>
      <c r="D2418" s="1055" t="s">
        <v>1777</v>
      </c>
      <c r="E2418" s="1055" t="s">
        <v>1778</v>
      </c>
      <c r="F2418" s="1056">
        <v>136</v>
      </c>
      <c r="G2418" s="1056">
        <v>0</v>
      </c>
      <c r="H2418" s="1056">
        <v>0</v>
      </c>
      <c r="I2418" s="1056">
        <v>136</v>
      </c>
      <c r="K2418" s="995">
        <f t="shared" si="37"/>
        <v>8</v>
      </c>
    </row>
    <row r="2419" spans="1:11">
      <c r="A2419" s="1054">
        <v>52355001</v>
      </c>
      <c r="B2419" s="1055" t="s">
        <v>893</v>
      </c>
      <c r="C2419" s="1055" t="s">
        <v>366</v>
      </c>
      <c r="D2419" s="1055" t="s">
        <v>1034</v>
      </c>
      <c r="E2419" s="1055" t="s">
        <v>504</v>
      </c>
      <c r="F2419" s="1056">
        <v>16220</v>
      </c>
      <c r="G2419" s="1056">
        <v>3252</v>
      </c>
      <c r="H2419" s="1056">
        <v>0</v>
      </c>
      <c r="I2419" s="1056">
        <v>19472</v>
      </c>
      <c r="K2419" s="995">
        <f t="shared" si="37"/>
        <v>8</v>
      </c>
    </row>
    <row r="2420" spans="1:11">
      <c r="A2420" s="1054">
        <v>52355001</v>
      </c>
      <c r="B2420" s="1055" t="s">
        <v>893</v>
      </c>
      <c r="C2420" s="1055" t="s">
        <v>366</v>
      </c>
      <c r="D2420" s="1055" t="s">
        <v>1077</v>
      </c>
      <c r="E2420" s="1055" t="s">
        <v>1078</v>
      </c>
      <c r="F2420" s="1056">
        <v>46</v>
      </c>
      <c r="G2420" s="1056">
        <v>8</v>
      </c>
      <c r="H2420" s="1056">
        <v>0</v>
      </c>
      <c r="I2420" s="1056">
        <v>55</v>
      </c>
      <c r="K2420" s="995">
        <f t="shared" si="37"/>
        <v>8</v>
      </c>
    </row>
    <row r="2421" spans="1:11">
      <c r="A2421" s="1054">
        <v>52355001</v>
      </c>
      <c r="B2421" s="1055" t="s">
        <v>893</v>
      </c>
      <c r="C2421" s="1055" t="s">
        <v>366</v>
      </c>
      <c r="D2421" s="1055" t="s">
        <v>1062</v>
      </c>
      <c r="E2421" s="1055" t="s">
        <v>510</v>
      </c>
      <c r="F2421" s="1056">
        <v>400</v>
      </c>
      <c r="G2421" s="1056">
        <v>0</v>
      </c>
      <c r="H2421" s="1056">
        <v>0</v>
      </c>
      <c r="I2421" s="1056">
        <v>400</v>
      </c>
      <c r="K2421" s="995">
        <f t="shared" si="37"/>
        <v>8</v>
      </c>
    </row>
    <row r="2422" spans="1:11">
      <c r="A2422" s="1054">
        <v>52355001</v>
      </c>
      <c r="B2422" s="1055" t="s">
        <v>893</v>
      </c>
      <c r="C2422" s="1055" t="s">
        <v>366</v>
      </c>
      <c r="D2422" s="1055" t="s">
        <v>1307</v>
      </c>
      <c r="E2422" s="1055" t="s">
        <v>992</v>
      </c>
      <c r="F2422" s="1056">
        <v>264</v>
      </c>
      <c r="G2422" s="1056">
        <v>60</v>
      </c>
      <c r="H2422" s="1056">
        <v>6</v>
      </c>
      <c r="I2422" s="1056">
        <v>318</v>
      </c>
      <c r="K2422" s="995">
        <f t="shared" si="37"/>
        <v>8</v>
      </c>
    </row>
    <row r="2423" spans="1:11">
      <c r="A2423" s="1054">
        <v>52355001</v>
      </c>
      <c r="B2423" s="1055" t="s">
        <v>893</v>
      </c>
      <c r="C2423" s="1055" t="s">
        <v>366</v>
      </c>
      <c r="D2423" s="1055" t="s">
        <v>1924</v>
      </c>
      <c r="E2423" s="1055" t="s">
        <v>1925</v>
      </c>
      <c r="F2423" s="1056">
        <v>0</v>
      </c>
      <c r="G2423" s="1056">
        <v>30</v>
      </c>
      <c r="H2423" s="1056">
        <v>0</v>
      </c>
      <c r="I2423" s="1056">
        <v>30</v>
      </c>
      <c r="K2423" s="995">
        <f t="shared" si="37"/>
        <v>8</v>
      </c>
    </row>
    <row r="2424" spans="1:11">
      <c r="A2424" s="1054">
        <v>523560</v>
      </c>
      <c r="B2424" s="1055" t="s">
        <v>1489</v>
      </c>
      <c r="C2424" s="1055" t="s">
        <v>922</v>
      </c>
      <c r="D2424" s="1055" t="s">
        <v>893</v>
      </c>
      <c r="E2424" s="1055" t="s">
        <v>893</v>
      </c>
      <c r="F2424" s="1056">
        <v>5387</v>
      </c>
      <c r="G2424" s="1056">
        <v>7649</v>
      </c>
      <c r="H2424" s="1056">
        <v>0</v>
      </c>
      <c r="I2424" s="1056">
        <v>13036</v>
      </c>
      <c r="K2424" s="995">
        <f t="shared" si="37"/>
        <v>6</v>
      </c>
    </row>
    <row r="2425" spans="1:11">
      <c r="A2425" s="1054">
        <v>52356001</v>
      </c>
      <c r="B2425" s="1055" t="s">
        <v>893</v>
      </c>
      <c r="C2425" s="1055" t="s">
        <v>923</v>
      </c>
      <c r="D2425" s="1055" t="s">
        <v>893</v>
      </c>
      <c r="E2425" s="1055" t="s">
        <v>893</v>
      </c>
      <c r="F2425" s="1056">
        <v>5387</v>
      </c>
      <c r="G2425" s="1056">
        <v>7649</v>
      </c>
      <c r="H2425" s="1056">
        <v>0</v>
      </c>
      <c r="I2425" s="1056">
        <v>13036</v>
      </c>
      <c r="K2425" s="995">
        <f t="shared" si="37"/>
        <v>8</v>
      </c>
    </row>
    <row r="2426" spans="1:11">
      <c r="A2426" s="1054">
        <v>52356001</v>
      </c>
      <c r="B2426" s="1055" t="s">
        <v>893</v>
      </c>
      <c r="C2426" s="1055" t="s">
        <v>923</v>
      </c>
      <c r="D2426" s="1055" t="s">
        <v>1034</v>
      </c>
      <c r="E2426" s="1055" t="s">
        <v>504</v>
      </c>
      <c r="F2426" s="1056">
        <v>5387</v>
      </c>
      <c r="G2426" s="1056">
        <v>7649</v>
      </c>
      <c r="H2426" s="1056">
        <v>0</v>
      </c>
      <c r="I2426" s="1056">
        <v>13036</v>
      </c>
      <c r="K2426" s="995">
        <f t="shared" si="37"/>
        <v>8</v>
      </c>
    </row>
    <row r="2427" spans="1:11">
      <c r="A2427" s="1054">
        <v>523565</v>
      </c>
      <c r="B2427" s="1055" t="s">
        <v>893</v>
      </c>
      <c r="C2427" s="1055" t="s">
        <v>774</v>
      </c>
      <c r="D2427" s="1055" t="s">
        <v>893</v>
      </c>
      <c r="E2427" s="1055" t="s">
        <v>893</v>
      </c>
      <c r="F2427" s="1056">
        <v>718</v>
      </c>
      <c r="G2427" s="1056">
        <v>387</v>
      </c>
      <c r="H2427" s="1056">
        <v>0</v>
      </c>
      <c r="I2427" s="1056">
        <v>1106</v>
      </c>
      <c r="K2427" s="995">
        <f t="shared" si="37"/>
        <v>6</v>
      </c>
    </row>
    <row r="2428" spans="1:11">
      <c r="A2428" s="1054">
        <v>52356501</v>
      </c>
      <c r="B2428" s="1055" t="s">
        <v>893</v>
      </c>
      <c r="C2428" s="1055" t="s">
        <v>774</v>
      </c>
      <c r="D2428" s="1055" t="s">
        <v>893</v>
      </c>
      <c r="E2428" s="1055" t="s">
        <v>893</v>
      </c>
      <c r="F2428" s="1056">
        <v>718</v>
      </c>
      <c r="G2428" s="1056">
        <v>387</v>
      </c>
      <c r="H2428" s="1056">
        <v>0</v>
      </c>
      <c r="I2428" s="1056">
        <v>1106</v>
      </c>
      <c r="K2428" s="995">
        <f t="shared" si="37"/>
        <v>8</v>
      </c>
    </row>
    <row r="2429" spans="1:11">
      <c r="A2429" s="1054">
        <v>52356501</v>
      </c>
      <c r="B2429" s="1055" t="s">
        <v>893</v>
      </c>
      <c r="C2429" s="1055" t="s">
        <v>774</v>
      </c>
      <c r="D2429" s="1055" t="s">
        <v>1188</v>
      </c>
      <c r="E2429" s="1055" t="s">
        <v>729</v>
      </c>
      <c r="F2429" s="1056">
        <v>154</v>
      </c>
      <c r="G2429" s="1056">
        <v>0</v>
      </c>
      <c r="H2429" s="1056">
        <v>0</v>
      </c>
      <c r="I2429" s="1056">
        <v>154</v>
      </c>
      <c r="K2429" s="995">
        <f t="shared" si="37"/>
        <v>8</v>
      </c>
    </row>
    <row r="2430" spans="1:11">
      <c r="A2430" s="1054">
        <v>52356501</v>
      </c>
      <c r="B2430" s="1055" t="s">
        <v>893</v>
      </c>
      <c r="C2430" s="1055" t="s">
        <v>774</v>
      </c>
      <c r="D2430" s="1055" t="s">
        <v>1201</v>
      </c>
      <c r="E2430" s="1055" t="s">
        <v>679</v>
      </c>
      <c r="F2430" s="1056">
        <v>564</v>
      </c>
      <c r="G2430" s="1056">
        <v>100</v>
      </c>
      <c r="H2430" s="1056">
        <v>0</v>
      </c>
      <c r="I2430" s="1056">
        <v>664</v>
      </c>
      <c r="K2430" s="995">
        <f t="shared" si="37"/>
        <v>8</v>
      </c>
    </row>
    <row r="2431" spans="1:11">
      <c r="A2431" s="1054">
        <v>52356501</v>
      </c>
      <c r="B2431" s="1055" t="s">
        <v>893</v>
      </c>
      <c r="C2431" s="1055" t="s">
        <v>774</v>
      </c>
      <c r="D2431" s="1055" t="s">
        <v>1918</v>
      </c>
      <c r="E2431" s="1055" t="s">
        <v>1919</v>
      </c>
      <c r="F2431" s="1056">
        <v>0</v>
      </c>
      <c r="G2431" s="1056">
        <v>288</v>
      </c>
      <c r="H2431" s="1056">
        <v>0</v>
      </c>
      <c r="I2431" s="1056">
        <v>288</v>
      </c>
      <c r="K2431" s="995">
        <f t="shared" si="37"/>
        <v>8</v>
      </c>
    </row>
    <row r="2432" spans="1:11">
      <c r="A2432" s="1054">
        <v>523595</v>
      </c>
      <c r="B2432" s="1055" t="s">
        <v>893</v>
      </c>
      <c r="C2432" s="1055" t="s">
        <v>323</v>
      </c>
      <c r="D2432" s="1055" t="s">
        <v>893</v>
      </c>
      <c r="E2432" s="1055" t="s">
        <v>893</v>
      </c>
      <c r="F2432" s="1056">
        <v>78836</v>
      </c>
      <c r="G2432" s="1056">
        <v>19715</v>
      </c>
      <c r="H2432" s="1056">
        <v>0</v>
      </c>
      <c r="I2432" s="1056">
        <v>98551</v>
      </c>
      <c r="K2432" s="995">
        <f t="shared" si="37"/>
        <v>6</v>
      </c>
    </row>
    <row r="2433" spans="1:11">
      <c r="A2433" s="1054">
        <v>52359503</v>
      </c>
      <c r="B2433" s="1055" t="s">
        <v>1489</v>
      </c>
      <c r="C2433" s="1055" t="s">
        <v>775</v>
      </c>
      <c r="D2433" s="1055" t="s">
        <v>893</v>
      </c>
      <c r="E2433" s="1055" t="s">
        <v>893</v>
      </c>
      <c r="F2433" s="1056">
        <v>62797</v>
      </c>
      <c r="G2433" s="1056">
        <v>16825</v>
      </c>
      <c r="H2433" s="1056">
        <v>0</v>
      </c>
      <c r="I2433" s="1056">
        <v>79623</v>
      </c>
      <c r="K2433" s="995">
        <f t="shared" si="37"/>
        <v>8</v>
      </c>
    </row>
    <row r="2434" spans="1:11">
      <c r="A2434" s="1054">
        <v>52359503</v>
      </c>
      <c r="B2434" s="1055" t="s">
        <v>1489</v>
      </c>
      <c r="C2434" s="1055" t="s">
        <v>775</v>
      </c>
      <c r="D2434" s="1055" t="s">
        <v>1180</v>
      </c>
      <c r="E2434" s="1055" t="s">
        <v>1014</v>
      </c>
      <c r="F2434" s="1056">
        <v>20219</v>
      </c>
      <c r="G2434" s="1056">
        <v>8887</v>
      </c>
      <c r="H2434" s="1056">
        <v>0</v>
      </c>
      <c r="I2434" s="1056">
        <v>29106</v>
      </c>
      <c r="K2434" s="995">
        <f t="shared" si="37"/>
        <v>8</v>
      </c>
    </row>
    <row r="2435" spans="1:11">
      <c r="A2435" s="1054">
        <v>52359503</v>
      </c>
      <c r="B2435" s="1055" t="s">
        <v>1489</v>
      </c>
      <c r="C2435" s="1055" t="s">
        <v>775</v>
      </c>
      <c r="D2435" s="1055" t="s">
        <v>1032</v>
      </c>
      <c r="E2435" s="1055" t="s">
        <v>508</v>
      </c>
      <c r="F2435" s="1056">
        <v>1890</v>
      </c>
      <c r="G2435" s="1056">
        <v>0</v>
      </c>
      <c r="H2435" s="1056">
        <v>0</v>
      </c>
      <c r="I2435" s="1056">
        <v>1890</v>
      </c>
      <c r="K2435" s="995">
        <f t="shared" si="37"/>
        <v>8</v>
      </c>
    </row>
    <row r="2436" spans="1:11">
      <c r="A2436" s="1054">
        <v>52359503</v>
      </c>
      <c r="B2436" s="1055" t="s">
        <v>1489</v>
      </c>
      <c r="C2436" s="1055" t="s">
        <v>775</v>
      </c>
      <c r="D2436" s="1055" t="s">
        <v>1185</v>
      </c>
      <c r="E2436" s="1055" t="s">
        <v>1017</v>
      </c>
      <c r="F2436" s="1056">
        <v>7972</v>
      </c>
      <c r="G2436" s="1056">
        <v>1985</v>
      </c>
      <c r="H2436" s="1056">
        <v>0</v>
      </c>
      <c r="I2436" s="1056">
        <v>9957</v>
      </c>
      <c r="K2436" s="995">
        <f t="shared" si="37"/>
        <v>8</v>
      </c>
    </row>
    <row r="2437" spans="1:11">
      <c r="A2437" s="1054">
        <v>52359503</v>
      </c>
      <c r="B2437" s="1055" t="s">
        <v>1489</v>
      </c>
      <c r="C2437" s="1055" t="s">
        <v>775</v>
      </c>
      <c r="D2437" s="1055" t="s">
        <v>1034</v>
      </c>
      <c r="E2437" s="1055" t="s">
        <v>504</v>
      </c>
      <c r="F2437" s="1056">
        <v>14285</v>
      </c>
      <c r="G2437" s="1056">
        <v>0</v>
      </c>
      <c r="H2437" s="1056">
        <v>0</v>
      </c>
      <c r="I2437" s="1056">
        <v>14285</v>
      </c>
      <c r="K2437" s="995">
        <f t="shared" ref="K2437:K2500" si="38">+LEN(A2437)</f>
        <v>8</v>
      </c>
    </row>
    <row r="2438" spans="1:11">
      <c r="A2438" s="1054">
        <v>52359503</v>
      </c>
      <c r="B2438" s="1055" t="s">
        <v>1489</v>
      </c>
      <c r="C2438" s="1055" t="s">
        <v>775</v>
      </c>
      <c r="D2438" s="1055" t="s">
        <v>1207</v>
      </c>
      <c r="E2438" s="1055" t="s">
        <v>1028</v>
      </c>
      <c r="F2438" s="1056">
        <v>18432</v>
      </c>
      <c r="G2438" s="1056">
        <v>5954</v>
      </c>
      <c r="H2438" s="1056">
        <v>0</v>
      </c>
      <c r="I2438" s="1056">
        <v>24386</v>
      </c>
      <c r="K2438" s="995">
        <f t="shared" si="38"/>
        <v>8</v>
      </c>
    </row>
    <row r="2439" spans="1:11">
      <c r="A2439" s="1054">
        <v>52359504</v>
      </c>
      <c r="B2439" s="1055" t="s">
        <v>1489</v>
      </c>
      <c r="C2439" s="1055" t="s">
        <v>322</v>
      </c>
      <c r="D2439" s="1055" t="s">
        <v>893</v>
      </c>
      <c r="E2439" s="1055" t="s">
        <v>893</v>
      </c>
      <c r="F2439" s="1056">
        <v>4495</v>
      </c>
      <c r="G2439" s="1056">
        <v>0</v>
      </c>
      <c r="H2439" s="1056">
        <v>0</v>
      </c>
      <c r="I2439" s="1056">
        <v>4495</v>
      </c>
      <c r="K2439" s="995">
        <f t="shared" si="38"/>
        <v>8</v>
      </c>
    </row>
    <row r="2440" spans="1:11">
      <c r="A2440" s="1054">
        <v>52359504</v>
      </c>
      <c r="B2440" s="1055" t="s">
        <v>1489</v>
      </c>
      <c r="C2440" s="1055" t="s">
        <v>322</v>
      </c>
      <c r="D2440" s="1055" t="s">
        <v>1062</v>
      </c>
      <c r="E2440" s="1055" t="s">
        <v>510</v>
      </c>
      <c r="F2440" s="1056">
        <v>4495</v>
      </c>
      <c r="G2440" s="1056">
        <v>0</v>
      </c>
      <c r="H2440" s="1056">
        <v>0</v>
      </c>
      <c r="I2440" s="1056">
        <v>4495</v>
      </c>
      <c r="K2440" s="995">
        <f t="shared" si="38"/>
        <v>8</v>
      </c>
    </row>
    <row r="2441" spans="1:11">
      <c r="A2441" s="1054">
        <v>52359505</v>
      </c>
      <c r="B2441" s="1055" t="s">
        <v>1489</v>
      </c>
      <c r="C2441" s="1055" t="s">
        <v>546</v>
      </c>
      <c r="D2441" s="1055" t="s">
        <v>893</v>
      </c>
      <c r="E2441" s="1055" t="s">
        <v>893</v>
      </c>
      <c r="F2441" s="1056">
        <v>3430</v>
      </c>
      <c r="G2441" s="1056">
        <v>1399</v>
      </c>
      <c r="H2441" s="1056">
        <v>0</v>
      </c>
      <c r="I2441" s="1056">
        <v>4828</v>
      </c>
      <c r="K2441" s="995">
        <f t="shared" si="38"/>
        <v>8</v>
      </c>
    </row>
    <row r="2442" spans="1:11">
      <c r="A2442" s="1054">
        <v>52359505</v>
      </c>
      <c r="B2442" s="1055" t="s">
        <v>1489</v>
      </c>
      <c r="C2442" s="1055" t="s">
        <v>546</v>
      </c>
      <c r="D2442" s="1055" t="s">
        <v>1035</v>
      </c>
      <c r="E2442" s="1055" t="s">
        <v>573</v>
      </c>
      <c r="F2442" s="1056">
        <v>3430</v>
      </c>
      <c r="G2442" s="1056">
        <v>1399</v>
      </c>
      <c r="H2442" s="1056">
        <v>0</v>
      </c>
      <c r="I2442" s="1056">
        <v>4828</v>
      </c>
      <c r="K2442" s="995">
        <f t="shared" si="38"/>
        <v>8</v>
      </c>
    </row>
    <row r="2443" spans="1:11">
      <c r="A2443" s="1054">
        <v>52359509</v>
      </c>
      <c r="B2443" s="1055" t="s">
        <v>1489</v>
      </c>
      <c r="C2443" s="1055" t="s">
        <v>776</v>
      </c>
      <c r="D2443" s="1055" t="s">
        <v>893</v>
      </c>
      <c r="E2443" s="1055" t="s">
        <v>893</v>
      </c>
      <c r="F2443" s="1056">
        <v>95</v>
      </c>
      <c r="G2443" s="1056">
        <v>0</v>
      </c>
      <c r="H2443" s="1056">
        <v>0</v>
      </c>
      <c r="I2443" s="1056">
        <v>95</v>
      </c>
      <c r="K2443" s="995">
        <f t="shared" si="38"/>
        <v>8</v>
      </c>
    </row>
    <row r="2444" spans="1:11">
      <c r="A2444" s="1054">
        <v>52359509</v>
      </c>
      <c r="B2444" s="1055" t="s">
        <v>1489</v>
      </c>
      <c r="C2444" s="1055" t="s">
        <v>776</v>
      </c>
      <c r="D2444" s="1055" t="s">
        <v>1237</v>
      </c>
      <c r="E2444" s="1055" t="s">
        <v>338</v>
      </c>
      <c r="F2444" s="1056">
        <v>95</v>
      </c>
      <c r="G2444" s="1056">
        <v>0</v>
      </c>
      <c r="H2444" s="1056">
        <v>0</v>
      </c>
      <c r="I2444" s="1056">
        <v>95</v>
      </c>
      <c r="K2444" s="995">
        <f t="shared" si="38"/>
        <v>8</v>
      </c>
    </row>
    <row r="2445" spans="1:11">
      <c r="A2445" s="1054">
        <v>52359595</v>
      </c>
      <c r="B2445" s="1055" t="s">
        <v>893</v>
      </c>
      <c r="C2445" s="1055" t="s">
        <v>391</v>
      </c>
      <c r="D2445" s="1055" t="s">
        <v>893</v>
      </c>
      <c r="E2445" s="1055" t="s">
        <v>893</v>
      </c>
      <c r="F2445" s="1056">
        <v>8019</v>
      </c>
      <c r="G2445" s="1056">
        <v>1491</v>
      </c>
      <c r="H2445" s="1056">
        <v>0</v>
      </c>
      <c r="I2445" s="1056">
        <v>9510</v>
      </c>
      <c r="K2445" s="995">
        <f t="shared" si="38"/>
        <v>8</v>
      </c>
    </row>
    <row r="2446" spans="1:11">
      <c r="A2446" s="1054">
        <v>52359595</v>
      </c>
      <c r="B2446" s="1055" t="s">
        <v>893</v>
      </c>
      <c r="C2446" s="1055" t="s">
        <v>391</v>
      </c>
      <c r="D2446" s="1055" t="s">
        <v>1700</v>
      </c>
      <c r="E2446" s="1055" t="s">
        <v>1701</v>
      </c>
      <c r="F2446" s="1056">
        <v>35</v>
      </c>
      <c r="G2446" s="1056">
        <v>0</v>
      </c>
      <c r="H2446" s="1056">
        <v>0</v>
      </c>
      <c r="I2446" s="1056">
        <v>35</v>
      </c>
      <c r="K2446" s="995">
        <f t="shared" si="38"/>
        <v>8</v>
      </c>
    </row>
    <row r="2447" spans="1:11">
      <c r="A2447" s="1054">
        <v>52359595</v>
      </c>
      <c r="B2447" s="1055" t="s">
        <v>893</v>
      </c>
      <c r="C2447" s="1055" t="s">
        <v>391</v>
      </c>
      <c r="D2447" s="1055" t="s">
        <v>1034</v>
      </c>
      <c r="E2447" s="1055" t="s">
        <v>504</v>
      </c>
      <c r="F2447" s="1056">
        <v>3440</v>
      </c>
      <c r="G2447" s="1056">
        <v>0</v>
      </c>
      <c r="H2447" s="1056">
        <v>0</v>
      </c>
      <c r="I2447" s="1056">
        <v>3440</v>
      </c>
      <c r="K2447" s="995">
        <f t="shared" si="38"/>
        <v>8</v>
      </c>
    </row>
    <row r="2448" spans="1:11">
      <c r="A2448" s="1054">
        <v>52359595</v>
      </c>
      <c r="B2448" s="1055" t="s">
        <v>893</v>
      </c>
      <c r="C2448" s="1055" t="s">
        <v>391</v>
      </c>
      <c r="D2448" s="1055" t="s">
        <v>1202</v>
      </c>
      <c r="E2448" s="1055" t="s">
        <v>446</v>
      </c>
      <c r="F2448" s="1056">
        <v>4144</v>
      </c>
      <c r="G2448" s="1056">
        <v>896</v>
      </c>
      <c r="H2448" s="1056">
        <v>0</v>
      </c>
      <c r="I2448" s="1056">
        <v>5040</v>
      </c>
      <c r="K2448" s="995">
        <f t="shared" si="38"/>
        <v>8</v>
      </c>
    </row>
    <row r="2449" spans="1:11">
      <c r="A2449" s="1054">
        <v>52359595</v>
      </c>
      <c r="B2449" s="1055" t="s">
        <v>893</v>
      </c>
      <c r="C2449" s="1055" t="s">
        <v>391</v>
      </c>
      <c r="D2449" s="1055" t="s">
        <v>1315</v>
      </c>
      <c r="E2449" s="1055" t="s">
        <v>996</v>
      </c>
      <c r="F2449" s="1056">
        <v>400</v>
      </c>
      <c r="G2449" s="1056">
        <v>0</v>
      </c>
      <c r="H2449" s="1056">
        <v>0</v>
      </c>
      <c r="I2449" s="1056">
        <v>400</v>
      </c>
      <c r="K2449" s="995">
        <f t="shared" si="38"/>
        <v>8</v>
      </c>
    </row>
    <row r="2450" spans="1:11">
      <c r="A2450" s="1054">
        <v>52359595</v>
      </c>
      <c r="B2450" s="1055" t="s">
        <v>893</v>
      </c>
      <c r="C2450" s="1055" t="s">
        <v>391</v>
      </c>
      <c r="D2450" s="1055" t="s">
        <v>1924</v>
      </c>
      <c r="E2450" s="1055" t="s">
        <v>1925</v>
      </c>
      <c r="F2450" s="1056">
        <v>0</v>
      </c>
      <c r="G2450" s="1056">
        <v>595</v>
      </c>
      <c r="H2450" s="1056">
        <v>0</v>
      </c>
      <c r="I2450" s="1056">
        <v>595</v>
      </c>
      <c r="K2450" s="995">
        <f t="shared" si="38"/>
        <v>8</v>
      </c>
    </row>
    <row r="2451" spans="1:11">
      <c r="A2451" s="1054">
        <v>5240</v>
      </c>
      <c r="B2451" s="1055" t="s">
        <v>893</v>
      </c>
      <c r="C2451" s="1055" t="s">
        <v>139</v>
      </c>
      <c r="D2451" s="1055" t="s">
        <v>893</v>
      </c>
      <c r="E2451" s="1055" t="s">
        <v>893</v>
      </c>
      <c r="F2451" s="1056">
        <v>6130</v>
      </c>
      <c r="G2451" s="1056">
        <v>0</v>
      </c>
      <c r="H2451" s="1056">
        <v>0</v>
      </c>
      <c r="I2451" s="1056">
        <v>6130</v>
      </c>
      <c r="K2451" s="995">
        <f t="shared" si="38"/>
        <v>4</v>
      </c>
    </row>
    <row r="2452" spans="1:11">
      <c r="A2452" s="1054">
        <v>524015</v>
      </c>
      <c r="B2452" s="1055" t="s">
        <v>893</v>
      </c>
      <c r="C2452" s="1055" t="s">
        <v>397</v>
      </c>
      <c r="D2452" s="1055" t="s">
        <v>893</v>
      </c>
      <c r="E2452" s="1055" t="s">
        <v>893</v>
      </c>
      <c r="F2452" s="1056">
        <v>6130</v>
      </c>
      <c r="G2452" s="1056">
        <v>0</v>
      </c>
      <c r="H2452" s="1056">
        <v>0</v>
      </c>
      <c r="I2452" s="1056">
        <v>6130</v>
      </c>
      <c r="K2452" s="995">
        <f t="shared" si="38"/>
        <v>6</v>
      </c>
    </row>
    <row r="2453" spans="1:11">
      <c r="A2453" s="1054">
        <v>52401501</v>
      </c>
      <c r="B2453" s="1055" t="s">
        <v>893</v>
      </c>
      <c r="C2453" s="1055" t="s">
        <v>397</v>
      </c>
      <c r="D2453" s="1055" t="s">
        <v>893</v>
      </c>
      <c r="E2453" s="1055" t="s">
        <v>893</v>
      </c>
      <c r="F2453" s="1056">
        <v>6130</v>
      </c>
      <c r="G2453" s="1056">
        <v>0</v>
      </c>
      <c r="H2453" s="1056">
        <v>0</v>
      </c>
      <c r="I2453" s="1056">
        <v>6130</v>
      </c>
      <c r="K2453" s="995">
        <f t="shared" si="38"/>
        <v>8</v>
      </c>
    </row>
    <row r="2454" spans="1:11">
      <c r="A2454" s="1054">
        <v>52401501</v>
      </c>
      <c r="B2454" s="1055" t="s">
        <v>893</v>
      </c>
      <c r="C2454" s="1055" t="s">
        <v>397</v>
      </c>
      <c r="D2454" s="1055" t="s">
        <v>1288</v>
      </c>
      <c r="E2454" s="1055" t="s">
        <v>1289</v>
      </c>
      <c r="F2454" s="1056">
        <v>779</v>
      </c>
      <c r="G2454" s="1056">
        <v>0</v>
      </c>
      <c r="H2454" s="1056">
        <v>0</v>
      </c>
      <c r="I2454" s="1056">
        <v>779</v>
      </c>
      <c r="K2454" s="995">
        <f t="shared" si="38"/>
        <v>8</v>
      </c>
    </row>
    <row r="2455" spans="1:11">
      <c r="A2455" s="1054">
        <v>52401501</v>
      </c>
      <c r="B2455" s="1055" t="s">
        <v>893</v>
      </c>
      <c r="C2455" s="1055" t="s">
        <v>397</v>
      </c>
      <c r="D2455" s="1055" t="s">
        <v>1615</v>
      </c>
      <c r="E2455" s="1055" t="s">
        <v>1616</v>
      </c>
      <c r="F2455" s="1056">
        <v>198</v>
      </c>
      <c r="G2455" s="1056">
        <v>0</v>
      </c>
      <c r="H2455" s="1056">
        <v>0</v>
      </c>
      <c r="I2455" s="1056">
        <v>198</v>
      </c>
      <c r="K2455" s="995">
        <f t="shared" si="38"/>
        <v>8</v>
      </c>
    </row>
    <row r="2456" spans="1:11">
      <c r="A2456" s="1054">
        <v>52401501</v>
      </c>
      <c r="B2456" s="1055" t="s">
        <v>893</v>
      </c>
      <c r="C2456" s="1055" t="s">
        <v>397</v>
      </c>
      <c r="D2456" s="1055" t="s">
        <v>1192</v>
      </c>
      <c r="E2456" s="1055" t="s">
        <v>1193</v>
      </c>
      <c r="F2456" s="1056">
        <v>5152</v>
      </c>
      <c r="G2456" s="1056">
        <v>0</v>
      </c>
      <c r="H2456" s="1056">
        <v>0</v>
      </c>
      <c r="I2456" s="1056">
        <v>5152</v>
      </c>
      <c r="K2456" s="995">
        <f t="shared" si="38"/>
        <v>8</v>
      </c>
    </row>
    <row r="2457" spans="1:11">
      <c r="A2457" s="1054">
        <v>5245</v>
      </c>
      <c r="B2457" s="1055" t="s">
        <v>893</v>
      </c>
      <c r="C2457" s="1055" t="s">
        <v>392</v>
      </c>
      <c r="D2457" s="1055" t="s">
        <v>893</v>
      </c>
      <c r="E2457" s="1055" t="s">
        <v>893</v>
      </c>
      <c r="F2457" s="1056">
        <v>12257</v>
      </c>
      <c r="G2457" s="1056">
        <v>2795</v>
      </c>
      <c r="H2457" s="1056">
        <v>0</v>
      </c>
      <c r="I2457" s="1056">
        <v>15052</v>
      </c>
      <c r="K2457" s="995">
        <f t="shared" si="38"/>
        <v>4</v>
      </c>
    </row>
    <row r="2458" spans="1:11">
      <c r="A2458" s="1054">
        <v>524515</v>
      </c>
      <c r="B2458" s="1055" t="s">
        <v>893</v>
      </c>
      <c r="C2458" s="1055" t="s">
        <v>110</v>
      </c>
      <c r="D2458" s="1055" t="s">
        <v>893</v>
      </c>
      <c r="E2458" s="1055" t="s">
        <v>893</v>
      </c>
      <c r="F2458" s="1056">
        <v>11980</v>
      </c>
      <c r="G2458" s="1056">
        <v>2795</v>
      </c>
      <c r="H2458" s="1056">
        <v>0</v>
      </c>
      <c r="I2458" s="1056">
        <v>14776</v>
      </c>
      <c r="K2458" s="995">
        <f t="shared" si="38"/>
        <v>6</v>
      </c>
    </row>
    <row r="2459" spans="1:11">
      <c r="A2459" s="1054">
        <v>52451501</v>
      </c>
      <c r="B2459" s="1055" t="s">
        <v>893</v>
      </c>
      <c r="C2459" s="1055" t="s">
        <v>110</v>
      </c>
      <c r="D2459" s="1055" t="s">
        <v>893</v>
      </c>
      <c r="E2459" s="1055" t="s">
        <v>893</v>
      </c>
      <c r="F2459" s="1056">
        <v>11980</v>
      </c>
      <c r="G2459" s="1056">
        <v>2795</v>
      </c>
      <c r="H2459" s="1056">
        <v>0</v>
      </c>
      <c r="I2459" s="1056">
        <v>14776</v>
      </c>
      <c r="K2459" s="995">
        <f t="shared" si="38"/>
        <v>8</v>
      </c>
    </row>
    <row r="2460" spans="1:11">
      <c r="A2460" s="1054">
        <v>52451501</v>
      </c>
      <c r="B2460" s="1055" t="s">
        <v>893</v>
      </c>
      <c r="C2460" s="1055" t="s">
        <v>110</v>
      </c>
      <c r="D2460" s="1055" t="s">
        <v>1182</v>
      </c>
      <c r="E2460" s="1055" t="s">
        <v>521</v>
      </c>
      <c r="F2460" s="1056">
        <v>6440</v>
      </c>
      <c r="G2460" s="1056">
        <v>1300</v>
      </c>
      <c r="H2460" s="1056">
        <v>0</v>
      </c>
      <c r="I2460" s="1056">
        <v>7740</v>
      </c>
      <c r="K2460" s="995">
        <f t="shared" si="38"/>
        <v>8</v>
      </c>
    </row>
    <row r="2461" spans="1:11">
      <c r="A2461" s="1054">
        <v>52451501</v>
      </c>
      <c r="B2461" s="1055" t="s">
        <v>893</v>
      </c>
      <c r="C2461" s="1055" t="s">
        <v>110</v>
      </c>
      <c r="D2461" s="1055" t="s">
        <v>1311</v>
      </c>
      <c r="E2461" s="1055" t="s">
        <v>995</v>
      </c>
      <c r="F2461" s="1056">
        <v>1600</v>
      </c>
      <c r="G2461" s="1056">
        <v>905</v>
      </c>
      <c r="H2461" s="1056">
        <v>0</v>
      </c>
      <c r="I2461" s="1056">
        <v>2505</v>
      </c>
      <c r="K2461" s="995">
        <f t="shared" si="38"/>
        <v>8</v>
      </c>
    </row>
    <row r="2462" spans="1:11">
      <c r="A2462" s="1054">
        <v>52451501</v>
      </c>
      <c r="B2462" s="1055" t="s">
        <v>893</v>
      </c>
      <c r="C2462" s="1055" t="s">
        <v>110</v>
      </c>
      <c r="D2462" s="1055" t="s">
        <v>1105</v>
      </c>
      <c r="E2462" s="1055" t="s">
        <v>1106</v>
      </c>
      <c r="F2462" s="1056">
        <v>0</v>
      </c>
      <c r="G2462" s="1056">
        <v>150</v>
      </c>
      <c r="H2462" s="1056">
        <v>0</v>
      </c>
      <c r="I2462" s="1056">
        <v>150</v>
      </c>
      <c r="K2462" s="995">
        <f t="shared" si="38"/>
        <v>8</v>
      </c>
    </row>
    <row r="2463" spans="1:11">
      <c r="A2463" s="1054">
        <v>52451501</v>
      </c>
      <c r="B2463" s="1055" t="s">
        <v>893</v>
      </c>
      <c r="C2463" s="1055" t="s">
        <v>110</v>
      </c>
      <c r="D2463" s="1055" t="s">
        <v>1230</v>
      </c>
      <c r="E2463" s="1055" t="s">
        <v>1231</v>
      </c>
      <c r="F2463" s="1056">
        <v>52</v>
      </c>
      <c r="G2463" s="1056">
        <v>0</v>
      </c>
      <c r="H2463" s="1056">
        <v>0</v>
      </c>
      <c r="I2463" s="1056">
        <v>52</v>
      </c>
      <c r="K2463" s="995">
        <f t="shared" si="38"/>
        <v>8</v>
      </c>
    </row>
    <row r="2464" spans="1:11">
      <c r="A2464" s="1054">
        <v>52451501</v>
      </c>
      <c r="B2464" s="1055" t="s">
        <v>893</v>
      </c>
      <c r="C2464" s="1055" t="s">
        <v>110</v>
      </c>
      <c r="D2464" s="1055" t="s">
        <v>1109</v>
      </c>
      <c r="E2464" s="1055" t="s">
        <v>1110</v>
      </c>
      <c r="F2464" s="1056">
        <v>306</v>
      </c>
      <c r="G2464" s="1056">
        <v>0</v>
      </c>
      <c r="H2464" s="1056">
        <v>0</v>
      </c>
      <c r="I2464" s="1056">
        <v>306</v>
      </c>
      <c r="K2464" s="995">
        <f t="shared" si="38"/>
        <v>8</v>
      </c>
    </row>
    <row r="2465" spans="1:11">
      <c r="A2465" s="1054">
        <v>52451501</v>
      </c>
      <c r="B2465" s="1055" t="s">
        <v>893</v>
      </c>
      <c r="C2465" s="1055" t="s">
        <v>110</v>
      </c>
      <c r="D2465" s="1055" t="s">
        <v>1623</v>
      </c>
      <c r="E2465" s="1055" t="s">
        <v>1624</v>
      </c>
      <c r="F2465" s="1056">
        <v>122</v>
      </c>
      <c r="G2465" s="1056">
        <v>0</v>
      </c>
      <c r="H2465" s="1056">
        <v>0</v>
      </c>
      <c r="I2465" s="1056">
        <v>122</v>
      </c>
      <c r="K2465" s="995">
        <f t="shared" si="38"/>
        <v>8</v>
      </c>
    </row>
    <row r="2466" spans="1:11">
      <c r="A2466" s="1054">
        <v>52451501</v>
      </c>
      <c r="B2466" s="1055" t="s">
        <v>893</v>
      </c>
      <c r="C2466" s="1055" t="s">
        <v>110</v>
      </c>
      <c r="D2466" s="1055" t="s">
        <v>1294</v>
      </c>
      <c r="E2466" s="1055" t="s">
        <v>779</v>
      </c>
      <c r="F2466" s="1056">
        <v>849</v>
      </c>
      <c r="G2466" s="1056">
        <v>440</v>
      </c>
      <c r="H2466" s="1056">
        <v>0</v>
      </c>
      <c r="I2466" s="1056">
        <v>1289</v>
      </c>
      <c r="K2466" s="995">
        <f t="shared" si="38"/>
        <v>8</v>
      </c>
    </row>
    <row r="2467" spans="1:11">
      <c r="A2467" s="1054">
        <v>52451501</v>
      </c>
      <c r="B2467" s="1055" t="s">
        <v>893</v>
      </c>
      <c r="C2467" s="1055" t="s">
        <v>110</v>
      </c>
      <c r="D2467" s="1055" t="s">
        <v>1316</v>
      </c>
      <c r="E2467" s="1055" t="s">
        <v>985</v>
      </c>
      <c r="F2467" s="1056">
        <v>120</v>
      </c>
      <c r="G2467" s="1056">
        <v>0</v>
      </c>
      <c r="H2467" s="1056">
        <v>0</v>
      </c>
      <c r="I2467" s="1056">
        <v>120</v>
      </c>
      <c r="K2467" s="995">
        <f t="shared" si="38"/>
        <v>8</v>
      </c>
    </row>
    <row r="2468" spans="1:11">
      <c r="A2468" s="1054">
        <v>52451501</v>
      </c>
      <c r="B2468" s="1055" t="s">
        <v>893</v>
      </c>
      <c r="C2468" s="1055" t="s">
        <v>110</v>
      </c>
      <c r="D2468" s="1055" t="s">
        <v>1210</v>
      </c>
      <c r="E2468" s="1055" t="s">
        <v>1211</v>
      </c>
      <c r="F2468" s="1056">
        <v>2042</v>
      </c>
      <c r="G2468" s="1056">
        <v>0</v>
      </c>
      <c r="H2468" s="1056">
        <v>0</v>
      </c>
      <c r="I2468" s="1056">
        <v>2042</v>
      </c>
      <c r="K2468" s="995">
        <f t="shared" si="38"/>
        <v>8</v>
      </c>
    </row>
    <row r="2469" spans="1:11">
      <c r="A2469" s="1054">
        <v>52451501</v>
      </c>
      <c r="B2469" s="1055" t="s">
        <v>893</v>
      </c>
      <c r="C2469" s="1055" t="s">
        <v>110</v>
      </c>
      <c r="D2469" s="1055" t="s">
        <v>1859</v>
      </c>
      <c r="E2469" s="1055" t="s">
        <v>1860</v>
      </c>
      <c r="F2469" s="1056">
        <v>450</v>
      </c>
      <c r="G2469" s="1056">
        <v>0</v>
      </c>
      <c r="H2469" s="1056">
        <v>0</v>
      </c>
      <c r="I2469" s="1056">
        <v>450</v>
      </c>
      <c r="K2469" s="995">
        <f t="shared" si="38"/>
        <v>8</v>
      </c>
    </row>
    <row r="2470" spans="1:11">
      <c r="A2470" s="1054">
        <v>524595</v>
      </c>
      <c r="B2470" s="1055" t="s">
        <v>893</v>
      </c>
      <c r="C2470" s="1055" t="s">
        <v>323</v>
      </c>
      <c r="D2470" s="1055" t="s">
        <v>893</v>
      </c>
      <c r="E2470" s="1055" t="s">
        <v>893</v>
      </c>
      <c r="F2470" s="1056">
        <v>277</v>
      </c>
      <c r="G2470" s="1056">
        <v>0</v>
      </c>
      <c r="H2470" s="1056">
        <v>0</v>
      </c>
      <c r="I2470" s="1056">
        <v>277</v>
      </c>
      <c r="K2470" s="995">
        <f t="shared" si="38"/>
        <v>6</v>
      </c>
    </row>
    <row r="2471" spans="1:11">
      <c r="A2471" s="1054">
        <v>52459595</v>
      </c>
      <c r="B2471" s="1055" t="s">
        <v>893</v>
      </c>
      <c r="C2471" s="1055" t="s">
        <v>323</v>
      </c>
      <c r="D2471" s="1055" t="s">
        <v>893</v>
      </c>
      <c r="E2471" s="1055" t="s">
        <v>893</v>
      </c>
      <c r="F2471" s="1056">
        <v>277</v>
      </c>
      <c r="G2471" s="1056">
        <v>0</v>
      </c>
      <c r="H2471" s="1056">
        <v>0</v>
      </c>
      <c r="I2471" s="1056">
        <v>277</v>
      </c>
      <c r="K2471" s="995">
        <f t="shared" si="38"/>
        <v>8</v>
      </c>
    </row>
    <row r="2472" spans="1:11">
      <c r="A2472" s="1054">
        <v>52459595</v>
      </c>
      <c r="B2472" s="1055" t="s">
        <v>893</v>
      </c>
      <c r="C2472" s="1055" t="s">
        <v>323</v>
      </c>
      <c r="D2472" s="1055" t="s">
        <v>1719</v>
      </c>
      <c r="E2472" s="1055" t="s">
        <v>1720</v>
      </c>
      <c r="F2472" s="1056">
        <v>8</v>
      </c>
      <c r="G2472" s="1056">
        <v>0</v>
      </c>
      <c r="H2472" s="1056">
        <v>0</v>
      </c>
      <c r="I2472" s="1056">
        <v>8</v>
      </c>
      <c r="K2472" s="995">
        <f t="shared" si="38"/>
        <v>8</v>
      </c>
    </row>
    <row r="2473" spans="1:11">
      <c r="A2473" s="1054">
        <v>52459595</v>
      </c>
      <c r="B2473" s="1055" t="s">
        <v>893</v>
      </c>
      <c r="C2473" s="1055" t="s">
        <v>323</v>
      </c>
      <c r="D2473" s="1055" t="s">
        <v>1230</v>
      </c>
      <c r="E2473" s="1055" t="s">
        <v>1231</v>
      </c>
      <c r="F2473" s="1056">
        <v>252</v>
      </c>
      <c r="G2473" s="1056">
        <v>0</v>
      </c>
      <c r="H2473" s="1056">
        <v>0</v>
      </c>
      <c r="I2473" s="1056">
        <v>252</v>
      </c>
      <c r="K2473" s="995">
        <f t="shared" si="38"/>
        <v>8</v>
      </c>
    </row>
    <row r="2474" spans="1:11">
      <c r="A2474" s="1054">
        <v>52459595</v>
      </c>
      <c r="B2474" s="1055" t="s">
        <v>893</v>
      </c>
      <c r="C2474" s="1055" t="s">
        <v>323</v>
      </c>
      <c r="D2474" s="1055" t="s">
        <v>1711</v>
      </c>
      <c r="E2474" s="1055" t="s">
        <v>1712</v>
      </c>
      <c r="F2474" s="1056">
        <v>17</v>
      </c>
      <c r="G2474" s="1056">
        <v>0</v>
      </c>
      <c r="H2474" s="1056">
        <v>0</v>
      </c>
      <c r="I2474" s="1056">
        <v>17</v>
      </c>
      <c r="K2474" s="995">
        <f t="shared" si="38"/>
        <v>8</v>
      </c>
    </row>
    <row r="2475" spans="1:11">
      <c r="A2475" s="1054">
        <v>5250</v>
      </c>
      <c r="B2475" s="1055" t="s">
        <v>893</v>
      </c>
      <c r="C2475" s="1055" t="s">
        <v>547</v>
      </c>
      <c r="D2475" s="1055" t="s">
        <v>893</v>
      </c>
      <c r="E2475" s="1055" t="s">
        <v>893</v>
      </c>
      <c r="F2475" s="1056">
        <v>12105</v>
      </c>
      <c r="G2475" s="1056">
        <v>1387</v>
      </c>
      <c r="H2475" s="1056">
        <v>0</v>
      </c>
      <c r="I2475" s="1056">
        <v>13492</v>
      </c>
      <c r="K2475" s="995">
        <f t="shared" si="38"/>
        <v>4</v>
      </c>
    </row>
    <row r="2476" spans="1:11">
      <c r="A2476" s="1054">
        <v>525005</v>
      </c>
      <c r="B2476" s="1055" t="s">
        <v>893</v>
      </c>
      <c r="C2476" s="1055" t="s">
        <v>476</v>
      </c>
      <c r="D2476" s="1055" t="s">
        <v>893</v>
      </c>
      <c r="E2476" s="1055" t="s">
        <v>893</v>
      </c>
      <c r="F2476" s="1056">
        <v>132</v>
      </c>
      <c r="G2476" s="1056">
        <v>0</v>
      </c>
      <c r="H2476" s="1056">
        <v>0</v>
      </c>
      <c r="I2476" s="1056">
        <v>132</v>
      </c>
      <c r="K2476" s="995">
        <f t="shared" si="38"/>
        <v>6</v>
      </c>
    </row>
    <row r="2477" spans="1:11">
      <c r="A2477" s="1054">
        <v>52500501</v>
      </c>
      <c r="B2477" s="1055" t="s">
        <v>893</v>
      </c>
      <c r="C2477" s="1055" t="s">
        <v>476</v>
      </c>
      <c r="D2477" s="1055" t="s">
        <v>893</v>
      </c>
      <c r="E2477" s="1055" t="s">
        <v>893</v>
      </c>
      <c r="F2477" s="1056">
        <v>132</v>
      </c>
      <c r="G2477" s="1056">
        <v>0</v>
      </c>
      <c r="H2477" s="1056">
        <v>0</v>
      </c>
      <c r="I2477" s="1056">
        <v>132</v>
      </c>
      <c r="K2477" s="995">
        <f t="shared" si="38"/>
        <v>8</v>
      </c>
    </row>
    <row r="2478" spans="1:11">
      <c r="A2478" s="1054">
        <v>52500501</v>
      </c>
      <c r="B2478" s="1055" t="s">
        <v>893</v>
      </c>
      <c r="C2478" s="1055" t="s">
        <v>476</v>
      </c>
      <c r="D2478" s="1055" t="s">
        <v>1232</v>
      </c>
      <c r="E2478" s="1055" t="s">
        <v>1233</v>
      </c>
      <c r="F2478" s="1056">
        <v>6</v>
      </c>
      <c r="G2478" s="1056">
        <v>0</v>
      </c>
      <c r="H2478" s="1056">
        <v>0</v>
      </c>
      <c r="I2478" s="1056">
        <v>6</v>
      </c>
      <c r="K2478" s="995">
        <f t="shared" si="38"/>
        <v>8</v>
      </c>
    </row>
    <row r="2479" spans="1:11">
      <c r="A2479" s="1054">
        <v>52500501</v>
      </c>
      <c r="B2479" s="1055" t="s">
        <v>893</v>
      </c>
      <c r="C2479" s="1055" t="s">
        <v>476</v>
      </c>
      <c r="D2479" s="1055" t="s">
        <v>1069</v>
      </c>
      <c r="E2479" s="1055" t="s">
        <v>1070</v>
      </c>
      <c r="F2479" s="1056">
        <v>34</v>
      </c>
      <c r="G2479" s="1056">
        <v>0</v>
      </c>
      <c r="H2479" s="1056">
        <v>0</v>
      </c>
      <c r="I2479" s="1056">
        <v>34</v>
      </c>
      <c r="K2479" s="995">
        <f t="shared" si="38"/>
        <v>8</v>
      </c>
    </row>
    <row r="2480" spans="1:11">
      <c r="A2480" s="1054">
        <v>52500501</v>
      </c>
      <c r="B2480" s="1055" t="s">
        <v>893</v>
      </c>
      <c r="C2480" s="1055" t="s">
        <v>476</v>
      </c>
      <c r="D2480" s="1055" t="s">
        <v>1244</v>
      </c>
      <c r="E2480" s="1055" t="s">
        <v>1245</v>
      </c>
      <c r="F2480" s="1056">
        <v>93</v>
      </c>
      <c r="G2480" s="1056">
        <v>0</v>
      </c>
      <c r="H2480" s="1056">
        <v>0</v>
      </c>
      <c r="I2480" s="1056">
        <v>93</v>
      </c>
      <c r="K2480" s="995">
        <f t="shared" si="38"/>
        <v>8</v>
      </c>
    </row>
    <row r="2481" spans="1:11">
      <c r="A2481" s="1054">
        <v>525010</v>
      </c>
      <c r="B2481" s="1055" t="s">
        <v>893</v>
      </c>
      <c r="C2481" s="1055" t="s">
        <v>1592</v>
      </c>
      <c r="D2481" s="1055" t="s">
        <v>893</v>
      </c>
      <c r="E2481" s="1055" t="s">
        <v>893</v>
      </c>
      <c r="F2481" s="1056">
        <v>0</v>
      </c>
      <c r="G2481" s="1056">
        <v>90</v>
      </c>
      <c r="H2481" s="1056">
        <v>0</v>
      </c>
      <c r="I2481" s="1056">
        <v>90</v>
      </c>
      <c r="K2481" s="995">
        <f t="shared" si="38"/>
        <v>6</v>
      </c>
    </row>
    <row r="2482" spans="1:11">
      <c r="A2482" s="1054">
        <v>52501001</v>
      </c>
      <c r="B2482" s="1055" t="s">
        <v>893</v>
      </c>
      <c r="C2482" s="1055" t="s">
        <v>1592</v>
      </c>
      <c r="D2482" s="1055" t="s">
        <v>893</v>
      </c>
      <c r="E2482" s="1055" t="s">
        <v>893</v>
      </c>
      <c r="F2482" s="1056">
        <v>0</v>
      </c>
      <c r="G2482" s="1056">
        <v>90</v>
      </c>
      <c r="H2482" s="1056">
        <v>0</v>
      </c>
      <c r="I2482" s="1056">
        <v>90</v>
      </c>
      <c r="K2482" s="995">
        <f t="shared" si="38"/>
        <v>8</v>
      </c>
    </row>
    <row r="2483" spans="1:11">
      <c r="A2483" s="1054">
        <v>52501001</v>
      </c>
      <c r="B2483" s="1055" t="s">
        <v>893</v>
      </c>
      <c r="C2483" s="1055" t="s">
        <v>1592</v>
      </c>
      <c r="D2483" s="1055" t="s">
        <v>1562</v>
      </c>
      <c r="E2483" s="1055" t="s">
        <v>1563</v>
      </c>
      <c r="F2483" s="1056">
        <v>0</v>
      </c>
      <c r="G2483" s="1056">
        <v>90</v>
      </c>
      <c r="H2483" s="1056">
        <v>0</v>
      </c>
      <c r="I2483" s="1056">
        <v>90</v>
      </c>
      <c r="K2483" s="995">
        <f t="shared" si="38"/>
        <v>8</v>
      </c>
    </row>
    <row r="2484" spans="1:11">
      <c r="A2484" s="1054">
        <v>525015</v>
      </c>
      <c r="B2484" s="1055" t="s">
        <v>893</v>
      </c>
      <c r="C2484" s="1055" t="s">
        <v>393</v>
      </c>
      <c r="D2484" s="1055" t="s">
        <v>893</v>
      </c>
      <c r="E2484" s="1055" t="s">
        <v>893</v>
      </c>
      <c r="F2484" s="1056">
        <v>2034</v>
      </c>
      <c r="G2484" s="1056">
        <v>1197</v>
      </c>
      <c r="H2484" s="1056">
        <v>0</v>
      </c>
      <c r="I2484" s="1056">
        <v>3231</v>
      </c>
      <c r="K2484" s="995">
        <f t="shared" si="38"/>
        <v>6</v>
      </c>
    </row>
    <row r="2485" spans="1:11">
      <c r="A2485" s="1054">
        <v>52501501</v>
      </c>
      <c r="B2485" s="1055" t="s">
        <v>893</v>
      </c>
      <c r="C2485" s="1055" t="s">
        <v>393</v>
      </c>
      <c r="D2485" s="1055" t="s">
        <v>893</v>
      </c>
      <c r="E2485" s="1055" t="s">
        <v>893</v>
      </c>
      <c r="F2485" s="1056">
        <v>2034</v>
      </c>
      <c r="G2485" s="1056">
        <v>1197</v>
      </c>
      <c r="H2485" s="1056">
        <v>0</v>
      </c>
      <c r="I2485" s="1056">
        <v>3231</v>
      </c>
      <c r="K2485" s="995">
        <f t="shared" si="38"/>
        <v>8</v>
      </c>
    </row>
    <row r="2486" spans="1:11">
      <c r="A2486" s="1054">
        <v>52501501</v>
      </c>
      <c r="B2486" s="1055" t="s">
        <v>893</v>
      </c>
      <c r="C2486" s="1055" t="s">
        <v>393</v>
      </c>
      <c r="D2486" s="1055" t="s">
        <v>1310</v>
      </c>
      <c r="E2486" s="1055" t="s">
        <v>994</v>
      </c>
      <c r="F2486" s="1056">
        <v>10</v>
      </c>
      <c r="G2486" s="1056">
        <v>0</v>
      </c>
      <c r="H2486" s="1056">
        <v>0</v>
      </c>
      <c r="I2486" s="1056">
        <v>10</v>
      </c>
      <c r="K2486" s="995">
        <f t="shared" si="38"/>
        <v>8</v>
      </c>
    </row>
    <row r="2487" spans="1:11">
      <c r="A2487" s="1054">
        <v>52501501</v>
      </c>
      <c r="B2487" s="1055" t="s">
        <v>893</v>
      </c>
      <c r="C2487" s="1055" t="s">
        <v>393</v>
      </c>
      <c r="D2487" s="1055" t="s">
        <v>1407</v>
      </c>
      <c r="E2487" s="1055" t="s">
        <v>1408</v>
      </c>
      <c r="F2487" s="1056">
        <v>400</v>
      </c>
      <c r="G2487" s="1056">
        <v>0</v>
      </c>
      <c r="H2487" s="1056">
        <v>0</v>
      </c>
      <c r="I2487" s="1056">
        <v>400</v>
      </c>
      <c r="K2487" s="995">
        <f t="shared" si="38"/>
        <v>8</v>
      </c>
    </row>
    <row r="2488" spans="1:11">
      <c r="A2488" s="1054">
        <v>52501501</v>
      </c>
      <c r="B2488" s="1055" t="s">
        <v>893</v>
      </c>
      <c r="C2488" s="1055" t="s">
        <v>393</v>
      </c>
      <c r="D2488" s="1055" t="s">
        <v>1333</v>
      </c>
      <c r="E2488" s="1055" t="s">
        <v>1334</v>
      </c>
      <c r="F2488" s="1056">
        <v>12</v>
      </c>
      <c r="G2488" s="1056">
        <v>0</v>
      </c>
      <c r="H2488" s="1056">
        <v>0</v>
      </c>
      <c r="I2488" s="1056">
        <v>12</v>
      </c>
      <c r="K2488" s="995">
        <f t="shared" si="38"/>
        <v>8</v>
      </c>
    </row>
    <row r="2489" spans="1:11">
      <c r="A2489" s="1054">
        <v>52501501</v>
      </c>
      <c r="B2489" s="1055" t="s">
        <v>893</v>
      </c>
      <c r="C2489" s="1055" t="s">
        <v>393</v>
      </c>
      <c r="D2489" s="1055" t="s">
        <v>1135</v>
      </c>
      <c r="E2489" s="1055" t="s">
        <v>1016</v>
      </c>
      <c r="F2489" s="1056">
        <v>845</v>
      </c>
      <c r="G2489" s="1056">
        <v>680</v>
      </c>
      <c r="H2489" s="1056">
        <v>0</v>
      </c>
      <c r="I2489" s="1056">
        <v>1525</v>
      </c>
      <c r="K2489" s="995">
        <f t="shared" si="38"/>
        <v>8</v>
      </c>
    </row>
    <row r="2490" spans="1:11">
      <c r="A2490" s="1054">
        <v>52501501</v>
      </c>
      <c r="B2490" s="1055" t="s">
        <v>893</v>
      </c>
      <c r="C2490" s="1055" t="s">
        <v>393</v>
      </c>
      <c r="D2490" s="1055" t="s">
        <v>1335</v>
      </c>
      <c r="E2490" s="1055" t="s">
        <v>1737</v>
      </c>
      <c r="F2490" s="1056">
        <v>82</v>
      </c>
      <c r="G2490" s="1056">
        <v>0</v>
      </c>
      <c r="H2490" s="1056">
        <v>0</v>
      </c>
      <c r="I2490" s="1056">
        <v>82</v>
      </c>
      <c r="K2490" s="995">
        <f t="shared" si="38"/>
        <v>8</v>
      </c>
    </row>
    <row r="2491" spans="1:11">
      <c r="A2491" s="1054">
        <v>52501501</v>
      </c>
      <c r="B2491" s="1055" t="s">
        <v>893</v>
      </c>
      <c r="C2491" s="1055" t="s">
        <v>393</v>
      </c>
      <c r="D2491" s="1055" t="s">
        <v>1230</v>
      </c>
      <c r="E2491" s="1055" t="s">
        <v>1231</v>
      </c>
      <c r="F2491" s="1056">
        <v>239</v>
      </c>
      <c r="G2491" s="1056">
        <v>0</v>
      </c>
      <c r="H2491" s="1056">
        <v>0</v>
      </c>
      <c r="I2491" s="1056">
        <v>239</v>
      </c>
      <c r="K2491" s="995">
        <f t="shared" si="38"/>
        <v>8</v>
      </c>
    </row>
    <row r="2492" spans="1:11">
      <c r="A2492" s="1054">
        <v>52501501</v>
      </c>
      <c r="B2492" s="1055" t="s">
        <v>893</v>
      </c>
      <c r="C2492" s="1055" t="s">
        <v>393</v>
      </c>
      <c r="D2492" s="1055" t="s">
        <v>1242</v>
      </c>
      <c r="E2492" s="1055" t="s">
        <v>1243</v>
      </c>
      <c r="F2492" s="1056">
        <v>104</v>
      </c>
      <c r="G2492" s="1056">
        <v>0</v>
      </c>
      <c r="H2492" s="1056">
        <v>0</v>
      </c>
      <c r="I2492" s="1056">
        <v>104</v>
      </c>
      <c r="K2492" s="995">
        <f t="shared" si="38"/>
        <v>8</v>
      </c>
    </row>
    <row r="2493" spans="1:11">
      <c r="A2493" s="1054">
        <v>52501501</v>
      </c>
      <c r="B2493" s="1055" t="s">
        <v>893</v>
      </c>
      <c r="C2493" s="1055" t="s">
        <v>393</v>
      </c>
      <c r="D2493" s="1055" t="s">
        <v>1564</v>
      </c>
      <c r="E2493" s="1055" t="s">
        <v>1565</v>
      </c>
      <c r="F2493" s="1056">
        <v>185</v>
      </c>
      <c r="G2493" s="1056">
        <v>0</v>
      </c>
      <c r="H2493" s="1056">
        <v>0</v>
      </c>
      <c r="I2493" s="1056">
        <v>185</v>
      </c>
      <c r="K2493" s="995">
        <f t="shared" si="38"/>
        <v>8</v>
      </c>
    </row>
    <row r="2494" spans="1:11">
      <c r="A2494" s="1054">
        <v>52501501</v>
      </c>
      <c r="B2494" s="1055" t="s">
        <v>893</v>
      </c>
      <c r="C2494" s="1055" t="s">
        <v>393</v>
      </c>
      <c r="D2494" s="1055" t="s">
        <v>1210</v>
      </c>
      <c r="E2494" s="1055" t="s">
        <v>1211</v>
      </c>
      <c r="F2494" s="1056">
        <v>157</v>
      </c>
      <c r="G2494" s="1056">
        <v>0</v>
      </c>
      <c r="H2494" s="1056">
        <v>0</v>
      </c>
      <c r="I2494" s="1056">
        <v>157</v>
      </c>
      <c r="K2494" s="995">
        <f t="shared" si="38"/>
        <v>8</v>
      </c>
    </row>
    <row r="2495" spans="1:11">
      <c r="A2495" s="1054">
        <v>52501501</v>
      </c>
      <c r="B2495" s="1055" t="s">
        <v>893</v>
      </c>
      <c r="C2495" s="1055" t="s">
        <v>393</v>
      </c>
      <c r="D2495" s="1055" t="s">
        <v>1912</v>
      </c>
      <c r="E2495" s="1055" t="s">
        <v>1913</v>
      </c>
      <c r="F2495" s="1056">
        <v>0</v>
      </c>
      <c r="G2495" s="1056">
        <v>517</v>
      </c>
      <c r="H2495" s="1056">
        <v>0</v>
      </c>
      <c r="I2495" s="1056">
        <v>517</v>
      </c>
      <c r="K2495" s="995">
        <f t="shared" si="38"/>
        <v>8</v>
      </c>
    </row>
    <row r="2496" spans="1:11">
      <c r="A2496" s="1054">
        <v>525095</v>
      </c>
      <c r="B2496" s="1055" t="s">
        <v>893</v>
      </c>
      <c r="C2496" s="1055" t="s">
        <v>1593</v>
      </c>
      <c r="D2496" s="1055" t="s">
        <v>893</v>
      </c>
      <c r="E2496" s="1055" t="s">
        <v>893</v>
      </c>
      <c r="F2496" s="1056">
        <v>9939</v>
      </c>
      <c r="G2496" s="1056">
        <v>100</v>
      </c>
      <c r="H2496" s="1056">
        <v>0</v>
      </c>
      <c r="I2496" s="1056">
        <v>10039</v>
      </c>
      <c r="K2496" s="995">
        <f t="shared" si="38"/>
        <v>6</v>
      </c>
    </row>
    <row r="2497" spans="1:11">
      <c r="A2497" s="1054">
        <v>52509505</v>
      </c>
      <c r="B2497" s="1055" t="s">
        <v>893</v>
      </c>
      <c r="C2497" s="1055" t="s">
        <v>1594</v>
      </c>
      <c r="D2497" s="1055" t="s">
        <v>893</v>
      </c>
      <c r="E2497" s="1055" t="s">
        <v>893</v>
      </c>
      <c r="F2497" s="1056">
        <v>2164</v>
      </c>
      <c r="G2497" s="1056">
        <v>0</v>
      </c>
      <c r="H2497" s="1056">
        <v>0</v>
      </c>
      <c r="I2497" s="1056">
        <v>2164</v>
      </c>
      <c r="K2497" s="995">
        <f t="shared" si="38"/>
        <v>8</v>
      </c>
    </row>
    <row r="2498" spans="1:11">
      <c r="A2498" s="1054">
        <v>52509505</v>
      </c>
      <c r="B2498" s="1055" t="s">
        <v>893</v>
      </c>
      <c r="C2498" s="1055" t="s">
        <v>1594</v>
      </c>
      <c r="D2498" s="1055" t="s">
        <v>1316</v>
      </c>
      <c r="E2498" s="1055" t="s">
        <v>985</v>
      </c>
      <c r="F2498" s="1056">
        <v>2164</v>
      </c>
      <c r="G2498" s="1056">
        <v>0</v>
      </c>
      <c r="H2498" s="1056">
        <v>0</v>
      </c>
      <c r="I2498" s="1056">
        <v>2164</v>
      </c>
      <c r="K2498" s="995">
        <f t="shared" si="38"/>
        <v>8</v>
      </c>
    </row>
    <row r="2499" spans="1:11">
      <c r="A2499" s="1054">
        <v>52509595</v>
      </c>
      <c r="B2499" s="1055" t="s">
        <v>893</v>
      </c>
      <c r="C2499" s="1055" t="s">
        <v>1593</v>
      </c>
      <c r="D2499" s="1055" t="s">
        <v>893</v>
      </c>
      <c r="E2499" s="1055" t="s">
        <v>893</v>
      </c>
      <c r="F2499" s="1056">
        <v>7774</v>
      </c>
      <c r="G2499" s="1056">
        <v>100</v>
      </c>
      <c r="H2499" s="1056">
        <v>0</v>
      </c>
      <c r="I2499" s="1056">
        <v>7874</v>
      </c>
      <c r="K2499" s="995">
        <f t="shared" si="38"/>
        <v>8</v>
      </c>
    </row>
    <row r="2500" spans="1:11">
      <c r="A2500" s="1054">
        <v>52509595</v>
      </c>
      <c r="B2500" s="1055" t="s">
        <v>893</v>
      </c>
      <c r="C2500" s="1055" t="s">
        <v>1593</v>
      </c>
      <c r="D2500" s="1055" t="s">
        <v>1773</v>
      </c>
      <c r="E2500" s="1055" t="s">
        <v>1774</v>
      </c>
      <c r="F2500" s="1056">
        <v>1800</v>
      </c>
      <c r="G2500" s="1056">
        <v>0</v>
      </c>
      <c r="H2500" s="1056">
        <v>0</v>
      </c>
      <c r="I2500" s="1056">
        <v>1800</v>
      </c>
      <c r="K2500" s="995">
        <f t="shared" si="38"/>
        <v>8</v>
      </c>
    </row>
    <row r="2501" spans="1:11">
      <c r="A2501" s="1054">
        <v>52509595</v>
      </c>
      <c r="B2501" s="1055" t="s">
        <v>893</v>
      </c>
      <c r="C2501" s="1055" t="s">
        <v>1593</v>
      </c>
      <c r="D2501" s="1055" t="s">
        <v>1310</v>
      </c>
      <c r="E2501" s="1055" t="s">
        <v>994</v>
      </c>
      <c r="F2501" s="1056">
        <v>36</v>
      </c>
      <c r="G2501" s="1056">
        <v>0</v>
      </c>
      <c r="H2501" s="1056">
        <v>0</v>
      </c>
      <c r="I2501" s="1056">
        <v>36</v>
      </c>
      <c r="K2501" s="995">
        <f t="shared" ref="K2501:K2564" si="39">+LEN(A2501)</f>
        <v>8</v>
      </c>
    </row>
    <row r="2502" spans="1:11">
      <c r="A2502" s="1054">
        <v>52509595</v>
      </c>
      <c r="B2502" s="1055" t="s">
        <v>893</v>
      </c>
      <c r="C2502" s="1055" t="s">
        <v>1593</v>
      </c>
      <c r="D2502" s="1055" t="s">
        <v>1135</v>
      </c>
      <c r="E2502" s="1055" t="s">
        <v>1016</v>
      </c>
      <c r="F2502" s="1056">
        <v>0</v>
      </c>
      <c r="G2502" s="1056">
        <v>100</v>
      </c>
      <c r="H2502" s="1056">
        <v>0</v>
      </c>
      <c r="I2502" s="1056">
        <v>100</v>
      </c>
      <c r="K2502" s="995">
        <f t="shared" si="39"/>
        <v>8</v>
      </c>
    </row>
    <row r="2503" spans="1:11">
      <c r="A2503" s="1054">
        <v>52509595</v>
      </c>
      <c r="B2503" s="1055" t="s">
        <v>893</v>
      </c>
      <c r="C2503" s="1055" t="s">
        <v>1593</v>
      </c>
      <c r="D2503" s="1055" t="s">
        <v>1140</v>
      </c>
      <c r="E2503" s="1055" t="s">
        <v>1141</v>
      </c>
      <c r="F2503" s="1056">
        <v>5938</v>
      </c>
      <c r="G2503" s="1056">
        <v>0</v>
      </c>
      <c r="H2503" s="1056">
        <v>0</v>
      </c>
      <c r="I2503" s="1056">
        <v>5938</v>
      </c>
      <c r="K2503" s="995">
        <f t="shared" si="39"/>
        <v>8</v>
      </c>
    </row>
    <row r="2504" spans="1:11">
      <c r="A2504" s="1054">
        <v>5260</v>
      </c>
      <c r="B2504" s="1055" t="s">
        <v>893</v>
      </c>
      <c r="C2504" s="1055" t="s">
        <v>327</v>
      </c>
      <c r="D2504" s="1055" t="s">
        <v>893</v>
      </c>
      <c r="E2504" s="1055" t="s">
        <v>893</v>
      </c>
      <c r="F2504" s="1056">
        <v>4591</v>
      </c>
      <c r="G2504" s="1056">
        <v>890</v>
      </c>
      <c r="H2504" s="1056">
        <v>0</v>
      </c>
      <c r="I2504" s="1056">
        <v>5481</v>
      </c>
      <c r="K2504" s="995">
        <f t="shared" si="39"/>
        <v>4</v>
      </c>
    </row>
    <row r="2505" spans="1:11">
      <c r="A2505" s="1054">
        <v>526005</v>
      </c>
      <c r="B2505" s="1055" t="s">
        <v>1489</v>
      </c>
      <c r="C2505" s="1055" t="s">
        <v>209</v>
      </c>
      <c r="D2505" s="1055" t="s">
        <v>893</v>
      </c>
      <c r="E2505" s="1055" t="s">
        <v>893</v>
      </c>
      <c r="F2505" s="1056">
        <v>2551</v>
      </c>
      <c r="G2505" s="1056">
        <v>487</v>
      </c>
      <c r="H2505" s="1056">
        <v>0</v>
      </c>
      <c r="I2505" s="1056">
        <v>3038</v>
      </c>
      <c r="K2505" s="995">
        <f t="shared" si="39"/>
        <v>6</v>
      </c>
    </row>
    <row r="2506" spans="1:11">
      <c r="A2506" s="1054">
        <v>526005</v>
      </c>
      <c r="B2506" s="1055" t="s">
        <v>1489</v>
      </c>
      <c r="C2506" s="1055" t="s">
        <v>209</v>
      </c>
      <c r="D2506" s="1055" t="s">
        <v>1083</v>
      </c>
      <c r="E2506" s="1055" t="s">
        <v>256</v>
      </c>
      <c r="F2506" s="1056">
        <v>2551</v>
      </c>
      <c r="G2506" s="1056">
        <v>487</v>
      </c>
      <c r="H2506" s="1056">
        <v>0</v>
      </c>
      <c r="I2506" s="1056">
        <v>3038</v>
      </c>
      <c r="K2506" s="995">
        <f t="shared" si="39"/>
        <v>6</v>
      </c>
    </row>
    <row r="2507" spans="1:11">
      <c r="A2507" s="1054">
        <v>526010</v>
      </c>
      <c r="B2507" s="1055" t="s">
        <v>893</v>
      </c>
      <c r="C2507" s="1055" t="s">
        <v>110</v>
      </c>
      <c r="D2507" s="1055" t="s">
        <v>893</v>
      </c>
      <c r="E2507" s="1055" t="s">
        <v>893</v>
      </c>
      <c r="F2507" s="1056">
        <v>1053</v>
      </c>
      <c r="G2507" s="1056">
        <v>211</v>
      </c>
      <c r="H2507" s="1056">
        <v>0</v>
      </c>
      <c r="I2507" s="1056">
        <v>1263</v>
      </c>
      <c r="K2507" s="995">
        <f t="shared" si="39"/>
        <v>6</v>
      </c>
    </row>
    <row r="2508" spans="1:11">
      <c r="A2508" s="1054">
        <v>52601001</v>
      </c>
      <c r="B2508" s="1055" t="s">
        <v>893</v>
      </c>
      <c r="C2508" s="1055" t="s">
        <v>110</v>
      </c>
      <c r="D2508" s="1055" t="s">
        <v>893</v>
      </c>
      <c r="E2508" s="1055" t="s">
        <v>893</v>
      </c>
      <c r="F2508" s="1056">
        <v>1053</v>
      </c>
      <c r="G2508" s="1056">
        <v>211</v>
      </c>
      <c r="H2508" s="1056">
        <v>0</v>
      </c>
      <c r="I2508" s="1056">
        <v>1263</v>
      </c>
      <c r="K2508" s="995">
        <f t="shared" si="39"/>
        <v>8</v>
      </c>
    </row>
    <row r="2509" spans="1:11">
      <c r="A2509" s="1054">
        <v>52601001</v>
      </c>
      <c r="B2509" s="1055" t="s">
        <v>893</v>
      </c>
      <c r="C2509" s="1055" t="s">
        <v>110</v>
      </c>
      <c r="D2509" s="1055" t="s">
        <v>1083</v>
      </c>
      <c r="E2509" s="1055" t="s">
        <v>256</v>
      </c>
      <c r="F2509" s="1056">
        <v>1053</v>
      </c>
      <c r="G2509" s="1056">
        <v>211</v>
      </c>
      <c r="H2509" s="1056">
        <v>0</v>
      </c>
      <c r="I2509" s="1056">
        <v>1263</v>
      </c>
      <c r="K2509" s="995">
        <f t="shared" si="39"/>
        <v>8</v>
      </c>
    </row>
    <row r="2510" spans="1:11">
      <c r="A2510" s="1054">
        <v>526015</v>
      </c>
      <c r="B2510" s="1055" t="s">
        <v>893</v>
      </c>
      <c r="C2510" s="1055" t="s">
        <v>111</v>
      </c>
      <c r="D2510" s="1055" t="s">
        <v>893</v>
      </c>
      <c r="E2510" s="1055" t="s">
        <v>893</v>
      </c>
      <c r="F2510" s="1056">
        <v>724</v>
      </c>
      <c r="G2510" s="1056">
        <v>145</v>
      </c>
      <c r="H2510" s="1056">
        <v>0</v>
      </c>
      <c r="I2510" s="1056">
        <v>869</v>
      </c>
      <c r="K2510" s="995">
        <f t="shared" si="39"/>
        <v>6</v>
      </c>
    </row>
    <row r="2511" spans="1:11">
      <c r="A2511" s="1054">
        <v>52601501</v>
      </c>
      <c r="B2511" s="1055" t="s">
        <v>893</v>
      </c>
      <c r="C2511" s="1055" t="s">
        <v>111</v>
      </c>
      <c r="D2511" s="1055" t="s">
        <v>893</v>
      </c>
      <c r="E2511" s="1055" t="s">
        <v>893</v>
      </c>
      <c r="F2511" s="1056">
        <v>724</v>
      </c>
      <c r="G2511" s="1056">
        <v>145</v>
      </c>
      <c r="H2511" s="1056">
        <v>0</v>
      </c>
      <c r="I2511" s="1056">
        <v>869</v>
      </c>
      <c r="K2511" s="995">
        <f t="shared" si="39"/>
        <v>8</v>
      </c>
    </row>
    <row r="2512" spans="1:11">
      <c r="A2512" s="1054">
        <v>52601501</v>
      </c>
      <c r="B2512" s="1055" t="s">
        <v>893</v>
      </c>
      <c r="C2512" s="1055" t="s">
        <v>111</v>
      </c>
      <c r="D2512" s="1055" t="s">
        <v>1083</v>
      </c>
      <c r="E2512" s="1055" t="s">
        <v>256</v>
      </c>
      <c r="F2512" s="1056">
        <v>724</v>
      </c>
      <c r="G2512" s="1056">
        <v>145</v>
      </c>
      <c r="H2512" s="1056">
        <v>0</v>
      </c>
      <c r="I2512" s="1056">
        <v>869</v>
      </c>
      <c r="K2512" s="995">
        <f t="shared" si="39"/>
        <v>8</v>
      </c>
    </row>
    <row r="2513" spans="1:11">
      <c r="A2513" s="1054">
        <v>526020</v>
      </c>
      <c r="B2513" s="1055" t="s">
        <v>893</v>
      </c>
      <c r="C2513" s="1055" t="s">
        <v>777</v>
      </c>
      <c r="D2513" s="1055" t="s">
        <v>893</v>
      </c>
      <c r="E2513" s="1055" t="s">
        <v>893</v>
      </c>
      <c r="F2513" s="1056">
        <v>263</v>
      </c>
      <c r="G2513" s="1056">
        <v>47</v>
      </c>
      <c r="H2513" s="1056">
        <v>0</v>
      </c>
      <c r="I2513" s="1056">
        <v>310</v>
      </c>
      <c r="K2513" s="995">
        <f t="shared" si="39"/>
        <v>6</v>
      </c>
    </row>
    <row r="2514" spans="1:11">
      <c r="A2514" s="1054">
        <v>52602001</v>
      </c>
      <c r="B2514" s="1055" t="s">
        <v>893</v>
      </c>
      <c r="C2514" s="1055" t="s">
        <v>777</v>
      </c>
      <c r="D2514" s="1055" t="s">
        <v>893</v>
      </c>
      <c r="E2514" s="1055" t="s">
        <v>893</v>
      </c>
      <c r="F2514" s="1056">
        <v>263</v>
      </c>
      <c r="G2514" s="1056">
        <v>47</v>
      </c>
      <c r="H2514" s="1056">
        <v>0</v>
      </c>
      <c r="I2514" s="1056">
        <v>310</v>
      </c>
      <c r="K2514" s="995">
        <f t="shared" si="39"/>
        <v>8</v>
      </c>
    </row>
    <row r="2515" spans="1:11">
      <c r="A2515" s="1054">
        <v>52602001</v>
      </c>
      <c r="B2515" s="1055" t="s">
        <v>893</v>
      </c>
      <c r="C2515" s="1055" t="s">
        <v>777</v>
      </c>
      <c r="D2515" s="1055" t="s">
        <v>1083</v>
      </c>
      <c r="E2515" s="1055" t="s">
        <v>256</v>
      </c>
      <c r="F2515" s="1056">
        <v>263</v>
      </c>
      <c r="G2515" s="1056">
        <v>47</v>
      </c>
      <c r="H2515" s="1056">
        <v>0</v>
      </c>
      <c r="I2515" s="1056">
        <v>310</v>
      </c>
      <c r="K2515" s="995">
        <f t="shared" si="39"/>
        <v>8</v>
      </c>
    </row>
    <row r="2516" spans="1:11">
      <c r="A2516" s="1054">
        <v>5295</v>
      </c>
      <c r="B2516" s="1055" t="s">
        <v>893</v>
      </c>
      <c r="C2516" s="1055" t="s">
        <v>141</v>
      </c>
      <c r="D2516" s="1055" t="s">
        <v>893</v>
      </c>
      <c r="E2516" s="1055" t="s">
        <v>893</v>
      </c>
      <c r="F2516" s="1056">
        <v>23647</v>
      </c>
      <c r="G2516" s="1056">
        <v>4505</v>
      </c>
      <c r="H2516" s="1056">
        <v>530</v>
      </c>
      <c r="I2516" s="1056">
        <v>27622</v>
      </c>
      <c r="K2516" s="995">
        <f t="shared" si="39"/>
        <v>4</v>
      </c>
    </row>
    <row r="2517" spans="1:11">
      <c r="A2517" s="1054">
        <v>529525</v>
      </c>
      <c r="B2517" s="1055" t="s">
        <v>893</v>
      </c>
      <c r="C2517" s="1055" t="s">
        <v>429</v>
      </c>
      <c r="D2517" s="1055" t="s">
        <v>893</v>
      </c>
      <c r="E2517" s="1055" t="s">
        <v>893</v>
      </c>
      <c r="F2517" s="1056">
        <v>6201</v>
      </c>
      <c r="G2517" s="1056">
        <v>1421</v>
      </c>
      <c r="H2517" s="1056">
        <v>0</v>
      </c>
      <c r="I2517" s="1056">
        <v>7623</v>
      </c>
      <c r="K2517" s="995">
        <f t="shared" si="39"/>
        <v>6</v>
      </c>
    </row>
    <row r="2518" spans="1:11">
      <c r="A2518" s="1054">
        <v>52952502</v>
      </c>
      <c r="B2518" s="1055" t="s">
        <v>893</v>
      </c>
      <c r="C2518" s="1055" t="s">
        <v>548</v>
      </c>
      <c r="D2518" s="1055" t="s">
        <v>893</v>
      </c>
      <c r="E2518" s="1055" t="s">
        <v>893</v>
      </c>
      <c r="F2518" s="1056">
        <v>6201</v>
      </c>
      <c r="G2518" s="1056">
        <v>1421</v>
      </c>
      <c r="H2518" s="1056">
        <v>0</v>
      </c>
      <c r="I2518" s="1056">
        <v>7623</v>
      </c>
      <c r="K2518" s="995">
        <f t="shared" si="39"/>
        <v>8</v>
      </c>
    </row>
    <row r="2519" spans="1:11">
      <c r="A2519" s="1054">
        <v>52952502</v>
      </c>
      <c r="B2519" s="1055" t="s">
        <v>893</v>
      </c>
      <c r="C2519" s="1055" t="s">
        <v>548</v>
      </c>
      <c r="D2519" s="1055" t="s">
        <v>1331</v>
      </c>
      <c r="E2519" s="1055" t="s">
        <v>1332</v>
      </c>
      <c r="F2519" s="1056">
        <v>411</v>
      </c>
      <c r="G2519" s="1056">
        <v>87</v>
      </c>
      <c r="H2519" s="1056">
        <v>0</v>
      </c>
      <c r="I2519" s="1056">
        <v>498</v>
      </c>
      <c r="K2519" s="995">
        <f t="shared" si="39"/>
        <v>8</v>
      </c>
    </row>
    <row r="2520" spans="1:11">
      <c r="A2520" s="1054">
        <v>52952502</v>
      </c>
      <c r="B2520" s="1055" t="s">
        <v>893</v>
      </c>
      <c r="C2520" s="1055" t="s">
        <v>548</v>
      </c>
      <c r="D2520" s="1055" t="s">
        <v>1230</v>
      </c>
      <c r="E2520" s="1055" t="s">
        <v>1231</v>
      </c>
      <c r="F2520" s="1056">
        <v>96</v>
      </c>
      <c r="G2520" s="1056">
        <v>0</v>
      </c>
      <c r="H2520" s="1056">
        <v>0</v>
      </c>
      <c r="I2520" s="1056">
        <v>96</v>
      </c>
      <c r="K2520" s="995">
        <f t="shared" si="39"/>
        <v>8</v>
      </c>
    </row>
    <row r="2521" spans="1:11">
      <c r="A2521" s="1054">
        <v>52952502</v>
      </c>
      <c r="B2521" s="1055" t="s">
        <v>893</v>
      </c>
      <c r="C2521" s="1055" t="s">
        <v>548</v>
      </c>
      <c r="D2521" s="1055" t="s">
        <v>1109</v>
      </c>
      <c r="E2521" s="1055" t="s">
        <v>1110</v>
      </c>
      <c r="F2521" s="1056">
        <v>58</v>
      </c>
      <c r="G2521" s="1056">
        <v>0</v>
      </c>
      <c r="H2521" s="1056">
        <v>0</v>
      </c>
      <c r="I2521" s="1056">
        <v>58</v>
      </c>
      <c r="K2521" s="995">
        <f t="shared" si="39"/>
        <v>8</v>
      </c>
    </row>
    <row r="2522" spans="1:11">
      <c r="A2522" s="1054">
        <v>52952502</v>
      </c>
      <c r="B2522" s="1055" t="s">
        <v>893</v>
      </c>
      <c r="C2522" s="1055" t="s">
        <v>548</v>
      </c>
      <c r="D2522" s="1055" t="s">
        <v>1341</v>
      </c>
      <c r="E2522" s="1055" t="s">
        <v>1342</v>
      </c>
      <c r="F2522" s="1056">
        <v>113</v>
      </c>
      <c r="G2522" s="1056">
        <v>0</v>
      </c>
      <c r="H2522" s="1056">
        <v>0</v>
      </c>
      <c r="I2522" s="1056">
        <v>113</v>
      </c>
      <c r="K2522" s="995">
        <f t="shared" si="39"/>
        <v>8</v>
      </c>
    </row>
    <row r="2523" spans="1:11">
      <c r="A2523" s="1054">
        <v>52952502</v>
      </c>
      <c r="B2523" s="1055" t="s">
        <v>893</v>
      </c>
      <c r="C2523" s="1055" t="s">
        <v>548</v>
      </c>
      <c r="D2523" s="1055" t="s">
        <v>1069</v>
      </c>
      <c r="E2523" s="1055" t="s">
        <v>1070</v>
      </c>
      <c r="F2523" s="1056">
        <v>247</v>
      </c>
      <c r="G2523" s="1056">
        <v>23</v>
      </c>
      <c r="H2523" s="1056">
        <v>0</v>
      </c>
      <c r="I2523" s="1056">
        <v>270</v>
      </c>
      <c r="K2523" s="995">
        <f t="shared" si="39"/>
        <v>8</v>
      </c>
    </row>
    <row r="2524" spans="1:11">
      <c r="A2524" s="1054">
        <v>52952502</v>
      </c>
      <c r="B2524" s="1055" t="s">
        <v>893</v>
      </c>
      <c r="C2524" s="1055" t="s">
        <v>548</v>
      </c>
      <c r="D2524" s="1055" t="s">
        <v>1348</v>
      </c>
      <c r="E2524" s="1055" t="s">
        <v>1349</v>
      </c>
      <c r="F2524" s="1056">
        <v>3</v>
      </c>
      <c r="G2524" s="1056">
        <v>0</v>
      </c>
      <c r="H2524" s="1056">
        <v>0</v>
      </c>
      <c r="I2524" s="1056">
        <v>3</v>
      </c>
      <c r="K2524" s="995">
        <f t="shared" si="39"/>
        <v>8</v>
      </c>
    </row>
    <row r="2525" spans="1:11">
      <c r="A2525" s="1054">
        <v>52952502</v>
      </c>
      <c r="B2525" s="1055" t="s">
        <v>893</v>
      </c>
      <c r="C2525" s="1055" t="s">
        <v>548</v>
      </c>
      <c r="D2525" s="1055" t="s">
        <v>1075</v>
      </c>
      <c r="E2525" s="1055" t="s">
        <v>325</v>
      </c>
      <c r="F2525" s="1056">
        <v>5256</v>
      </c>
      <c r="G2525" s="1056">
        <v>1311</v>
      </c>
      <c r="H2525" s="1056">
        <v>0</v>
      </c>
      <c r="I2525" s="1056">
        <v>6567</v>
      </c>
      <c r="K2525" s="995">
        <f t="shared" si="39"/>
        <v>8</v>
      </c>
    </row>
    <row r="2526" spans="1:11">
      <c r="A2526" s="1054">
        <v>52952502</v>
      </c>
      <c r="B2526" s="1055" t="s">
        <v>893</v>
      </c>
      <c r="C2526" s="1055" t="s">
        <v>548</v>
      </c>
      <c r="D2526" s="1055" t="s">
        <v>1238</v>
      </c>
      <c r="E2526" s="1055" t="s">
        <v>1239</v>
      </c>
      <c r="F2526" s="1056">
        <v>18</v>
      </c>
      <c r="G2526" s="1056">
        <v>0</v>
      </c>
      <c r="H2526" s="1056">
        <v>0</v>
      </c>
      <c r="I2526" s="1056">
        <v>18</v>
      </c>
      <c r="K2526" s="995">
        <f t="shared" si="39"/>
        <v>8</v>
      </c>
    </row>
    <row r="2527" spans="1:11">
      <c r="A2527" s="1054">
        <v>529530</v>
      </c>
      <c r="B2527" s="1055" t="s">
        <v>893</v>
      </c>
      <c r="C2527" s="1055" t="s">
        <v>399</v>
      </c>
      <c r="D2527" s="1055" t="s">
        <v>893</v>
      </c>
      <c r="E2527" s="1055" t="s">
        <v>893</v>
      </c>
      <c r="F2527" s="1056">
        <v>3407</v>
      </c>
      <c r="G2527" s="1056">
        <v>361</v>
      </c>
      <c r="H2527" s="1056">
        <v>0</v>
      </c>
      <c r="I2527" s="1056">
        <v>3768</v>
      </c>
      <c r="K2527" s="995">
        <f t="shared" si="39"/>
        <v>6</v>
      </c>
    </row>
    <row r="2528" spans="1:11">
      <c r="A2528" s="1054">
        <v>52953001</v>
      </c>
      <c r="B2528" s="1055" t="s">
        <v>893</v>
      </c>
      <c r="C2528" s="1055" t="s">
        <v>399</v>
      </c>
      <c r="D2528" s="1055" t="s">
        <v>893</v>
      </c>
      <c r="E2528" s="1055" t="s">
        <v>893</v>
      </c>
      <c r="F2528" s="1056">
        <v>3407</v>
      </c>
      <c r="G2528" s="1056">
        <v>361</v>
      </c>
      <c r="H2528" s="1056">
        <v>0</v>
      </c>
      <c r="I2528" s="1056">
        <v>3768</v>
      </c>
      <c r="K2528" s="995">
        <f t="shared" si="39"/>
        <v>8</v>
      </c>
    </row>
    <row r="2529" spans="1:11">
      <c r="A2529" s="1054">
        <v>52953001</v>
      </c>
      <c r="B2529" s="1055" t="s">
        <v>893</v>
      </c>
      <c r="C2529" s="1055" t="s">
        <v>399</v>
      </c>
      <c r="D2529" s="1055" t="s">
        <v>1409</v>
      </c>
      <c r="E2529" s="1055" t="s">
        <v>1410</v>
      </c>
      <c r="F2529" s="1056">
        <v>6</v>
      </c>
      <c r="G2529" s="1056">
        <v>0</v>
      </c>
      <c r="H2529" s="1056">
        <v>0</v>
      </c>
      <c r="I2529" s="1056">
        <v>6</v>
      </c>
      <c r="K2529" s="995">
        <f t="shared" si="39"/>
        <v>8</v>
      </c>
    </row>
    <row r="2530" spans="1:11">
      <c r="A2530" s="1054">
        <v>52953001</v>
      </c>
      <c r="B2530" s="1055" t="s">
        <v>893</v>
      </c>
      <c r="C2530" s="1055" t="s">
        <v>399</v>
      </c>
      <c r="D2530" s="1055" t="s">
        <v>1329</v>
      </c>
      <c r="E2530" s="1055" t="s">
        <v>1330</v>
      </c>
      <c r="F2530" s="1056">
        <v>307</v>
      </c>
      <c r="G2530" s="1056">
        <v>50</v>
      </c>
      <c r="H2530" s="1056">
        <v>0</v>
      </c>
      <c r="I2530" s="1056">
        <v>357</v>
      </c>
      <c r="K2530" s="995">
        <f t="shared" si="39"/>
        <v>8</v>
      </c>
    </row>
    <row r="2531" spans="1:11">
      <c r="A2531" s="1054">
        <v>52953001</v>
      </c>
      <c r="B2531" s="1055" t="s">
        <v>893</v>
      </c>
      <c r="C2531" s="1055" t="s">
        <v>399</v>
      </c>
      <c r="D2531" s="1055" t="s">
        <v>1272</v>
      </c>
      <c r="E2531" s="1055" t="s">
        <v>1273</v>
      </c>
      <c r="F2531" s="1056">
        <v>2227</v>
      </c>
      <c r="G2531" s="1056">
        <v>266</v>
      </c>
      <c r="H2531" s="1056">
        <v>0</v>
      </c>
      <c r="I2531" s="1056">
        <v>2493</v>
      </c>
      <c r="K2531" s="995">
        <f t="shared" si="39"/>
        <v>8</v>
      </c>
    </row>
    <row r="2532" spans="1:11">
      <c r="A2532" s="1054">
        <v>52953001</v>
      </c>
      <c r="B2532" s="1055" t="s">
        <v>893</v>
      </c>
      <c r="C2532" s="1055" t="s">
        <v>399</v>
      </c>
      <c r="D2532" s="1055" t="s">
        <v>1673</v>
      </c>
      <c r="E2532" s="1055" t="s">
        <v>1674</v>
      </c>
      <c r="F2532" s="1056">
        <v>253</v>
      </c>
      <c r="G2532" s="1056">
        <v>0</v>
      </c>
      <c r="H2532" s="1056">
        <v>0</v>
      </c>
      <c r="I2532" s="1056">
        <v>253</v>
      </c>
      <c r="K2532" s="995">
        <f t="shared" si="39"/>
        <v>8</v>
      </c>
    </row>
    <row r="2533" spans="1:11">
      <c r="A2533" s="1054">
        <v>52953001</v>
      </c>
      <c r="B2533" s="1055" t="s">
        <v>893</v>
      </c>
      <c r="C2533" s="1055" t="s">
        <v>399</v>
      </c>
      <c r="D2533" s="1055" t="s">
        <v>1228</v>
      </c>
      <c r="E2533" s="1055" t="s">
        <v>1229</v>
      </c>
      <c r="F2533" s="1056">
        <v>342</v>
      </c>
      <c r="G2533" s="1056">
        <v>30</v>
      </c>
      <c r="H2533" s="1056">
        <v>0</v>
      </c>
      <c r="I2533" s="1056">
        <v>372</v>
      </c>
      <c r="K2533" s="995">
        <f t="shared" si="39"/>
        <v>8</v>
      </c>
    </row>
    <row r="2534" spans="1:11">
      <c r="A2534" s="1054">
        <v>52953001</v>
      </c>
      <c r="B2534" s="1055" t="s">
        <v>893</v>
      </c>
      <c r="C2534" s="1055" t="s">
        <v>399</v>
      </c>
      <c r="D2534" s="1055" t="s">
        <v>1411</v>
      </c>
      <c r="E2534" s="1055" t="s">
        <v>1412</v>
      </c>
      <c r="F2534" s="1056">
        <v>88</v>
      </c>
      <c r="G2534" s="1056">
        <v>5</v>
      </c>
      <c r="H2534" s="1056">
        <v>0</v>
      </c>
      <c r="I2534" s="1056">
        <v>93</v>
      </c>
      <c r="K2534" s="995">
        <f t="shared" si="39"/>
        <v>8</v>
      </c>
    </row>
    <row r="2535" spans="1:11">
      <c r="A2535" s="1054">
        <v>52953001</v>
      </c>
      <c r="B2535" s="1055" t="s">
        <v>893</v>
      </c>
      <c r="C2535" s="1055" t="s">
        <v>399</v>
      </c>
      <c r="D2535" s="1055" t="s">
        <v>1336</v>
      </c>
      <c r="E2535" s="1055" t="s">
        <v>1337</v>
      </c>
      <c r="F2535" s="1056">
        <v>16</v>
      </c>
      <c r="G2535" s="1056">
        <v>0</v>
      </c>
      <c r="H2535" s="1056">
        <v>0</v>
      </c>
      <c r="I2535" s="1056">
        <v>16</v>
      </c>
      <c r="K2535" s="995">
        <f t="shared" si="39"/>
        <v>8</v>
      </c>
    </row>
    <row r="2536" spans="1:11">
      <c r="A2536" s="1054">
        <v>52953001</v>
      </c>
      <c r="B2536" s="1055" t="s">
        <v>893</v>
      </c>
      <c r="C2536" s="1055" t="s">
        <v>399</v>
      </c>
      <c r="D2536" s="1055" t="s">
        <v>1069</v>
      </c>
      <c r="E2536" s="1055" t="s">
        <v>1070</v>
      </c>
      <c r="F2536" s="1056">
        <v>28</v>
      </c>
      <c r="G2536" s="1056">
        <v>0</v>
      </c>
      <c r="H2536" s="1056">
        <v>0</v>
      </c>
      <c r="I2536" s="1056">
        <v>28</v>
      </c>
      <c r="K2536" s="995">
        <f t="shared" si="39"/>
        <v>8</v>
      </c>
    </row>
    <row r="2537" spans="1:11">
      <c r="A2537" s="1054">
        <v>52953001</v>
      </c>
      <c r="B2537" s="1055" t="s">
        <v>893</v>
      </c>
      <c r="C2537" s="1055" t="s">
        <v>399</v>
      </c>
      <c r="D2537" s="1055" t="s">
        <v>1793</v>
      </c>
      <c r="E2537" s="1055" t="s">
        <v>1794</v>
      </c>
      <c r="F2537" s="1056">
        <v>23</v>
      </c>
      <c r="G2537" s="1056">
        <v>0</v>
      </c>
      <c r="H2537" s="1056">
        <v>0</v>
      </c>
      <c r="I2537" s="1056">
        <v>23</v>
      </c>
      <c r="K2537" s="995">
        <f t="shared" si="39"/>
        <v>8</v>
      </c>
    </row>
    <row r="2538" spans="1:11">
      <c r="A2538" s="1054">
        <v>52953001</v>
      </c>
      <c r="B2538" s="1055" t="s">
        <v>893</v>
      </c>
      <c r="C2538" s="1055" t="s">
        <v>399</v>
      </c>
      <c r="D2538" s="1055" t="s">
        <v>1795</v>
      </c>
      <c r="E2538" s="1055" t="s">
        <v>1796</v>
      </c>
      <c r="F2538" s="1056">
        <v>5</v>
      </c>
      <c r="G2538" s="1056">
        <v>0</v>
      </c>
      <c r="H2538" s="1056">
        <v>0</v>
      </c>
      <c r="I2538" s="1056">
        <v>5</v>
      </c>
      <c r="K2538" s="995">
        <f t="shared" si="39"/>
        <v>8</v>
      </c>
    </row>
    <row r="2539" spans="1:11">
      <c r="A2539" s="1054">
        <v>52953001</v>
      </c>
      <c r="B2539" s="1055" t="s">
        <v>893</v>
      </c>
      <c r="C2539" s="1055" t="s">
        <v>399</v>
      </c>
      <c r="D2539" s="1055" t="s">
        <v>1238</v>
      </c>
      <c r="E2539" s="1055" t="s">
        <v>1239</v>
      </c>
      <c r="F2539" s="1056">
        <v>65</v>
      </c>
      <c r="G2539" s="1056">
        <v>0</v>
      </c>
      <c r="H2539" s="1056">
        <v>0</v>
      </c>
      <c r="I2539" s="1056">
        <v>65</v>
      </c>
      <c r="K2539" s="995">
        <f t="shared" si="39"/>
        <v>8</v>
      </c>
    </row>
    <row r="2540" spans="1:11">
      <c r="A2540" s="1054">
        <v>52953001</v>
      </c>
      <c r="B2540" s="1055" t="s">
        <v>893</v>
      </c>
      <c r="C2540" s="1055" t="s">
        <v>399</v>
      </c>
      <c r="D2540" s="1055" t="s">
        <v>1036</v>
      </c>
      <c r="E2540" s="1055" t="s">
        <v>1037</v>
      </c>
      <c r="F2540" s="1056">
        <v>10</v>
      </c>
      <c r="G2540" s="1056">
        <v>0</v>
      </c>
      <c r="H2540" s="1056">
        <v>0</v>
      </c>
      <c r="I2540" s="1056">
        <v>10</v>
      </c>
      <c r="K2540" s="995">
        <f t="shared" si="39"/>
        <v>8</v>
      </c>
    </row>
    <row r="2541" spans="1:11">
      <c r="A2541" s="1054">
        <v>52953001</v>
      </c>
      <c r="B2541" s="1055" t="s">
        <v>893</v>
      </c>
      <c r="C2541" s="1055" t="s">
        <v>399</v>
      </c>
      <c r="D2541" s="1055" t="s">
        <v>1294</v>
      </c>
      <c r="E2541" s="1055" t="s">
        <v>779</v>
      </c>
      <c r="F2541" s="1056">
        <v>4</v>
      </c>
      <c r="G2541" s="1056">
        <v>0</v>
      </c>
      <c r="H2541" s="1056">
        <v>0</v>
      </c>
      <c r="I2541" s="1056">
        <v>4</v>
      </c>
      <c r="K2541" s="995">
        <f t="shared" si="39"/>
        <v>8</v>
      </c>
    </row>
    <row r="2542" spans="1:11">
      <c r="A2542" s="1054">
        <v>52953001</v>
      </c>
      <c r="B2542" s="1055" t="s">
        <v>893</v>
      </c>
      <c r="C2542" s="1055" t="s">
        <v>399</v>
      </c>
      <c r="D2542" s="1055" t="s">
        <v>1356</v>
      </c>
      <c r="E2542" s="1055" t="s">
        <v>1357</v>
      </c>
      <c r="F2542" s="1056">
        <v>32</v>
      </c>
      <c r="G2542" s="1056">
        <v>10</v>
      </c>
      <c r="H2542" s="1056">
        <v>0</v>
      </c>
      <c r="I2542" s="1056">
        <v>42</v>
      </c>
      <c r="K2542" s="995">
        <f t="shared" si="39"/>
        <v>8</v>
      </c>
    </row>
    <row r="2543" spans="1:11">
      <c r="A2543" s="1054">
        <v>529540</v>
      </c>
      <c r="B2543" s="1055" t="s">
        <v>893</v>
      </c>
      <c r="C2543" s="1055" t="s">
        <v>477</v>
      </c>
      <c r="D2543" s="1055" t="s">
        <v>893</v>
      </c>
      <c r="E2543" s="1055" t="s">
        <v>893</v>
      </c>
      <c r="F2543" s="1056">
        <v>229</v>
      </c>
      <c r="G2543" s="1056">
        <v>191</v>
      </c>
      <c r="H2543" s="1056">
        <v>0</v>
      </c>
      <c r="I2543" s="1056">
        <v>420</v>
      </c>
      <c r="K2543" s="995">
        <f t="shared" si="39"/>
        <v>6</v>
      </c>
    </row>
    <row r="2544" spans="1:11">
      <c r="A2544" s="1054">
        <v>52954001</v>
      </c>
      <c r="B2544" s="1055" t="s">
        <v>893</v>
      </c>
      <c r="C2544" s="1055" t="s">
        <v>477</v>
      </c>
      <c r="D2544" s="1055" t="s">
        <v>893</v>
      </c>
      <c r="E2544" s="1055" t="s">
        <v>893</v>
      </c>
      <c r="F2544" s="1056">
        <v>229</v>
      </c>
      <c r="G2544" s="1056">
        <v>191</v>
      </c>
      <c r="H2544" s="1056">
        <v>0</v>
      </c>
      <c r="I2544" s="1056">
        <v>420</v>
      </c>
      <c r="K2544" s="995">
        <f t="shared" si="39"/>
        <v>8</v>
      </c>
    </row>
    <row r="2545" spans="1:11">
      <c r="A2545" s="1054">
        <v>52954001</v>
      </c>
      <c r="B2545" s="1055" t="s">
        <v>893</v>
      </c>
      <c r="C2545" s="1055" t="s">
        <v>477</v>
      </c>
      <c r="D2545" s="1055" t="s">
        <v>1230</v>
      </c>
      <c r="E2545" s="1055" t="s">
        <v>1231</v>
      </c>
      <c r="F2545" s="1056">
        <v>91</v>
      </c>
      <c r="G2545" s="1056">
        <v>0</v>
      </c>
      <c r="H2545" s="1056">
        <v>0</v>
      </c>
      <c r="I2545" s="1056">
        <v>91</v>
      </c>
      <c r="K2545" s="995">
        <f t="shared" si="39"/>
        <v>8</v>
      </c>
    </row>
    <row r="2546" spans="1:11">
      <c r="A2546" s="1054">
        <v>52954001</v>
      </c>
      <c r="B2546" s="1055" t="s">
        <v>893</v>
      </c>
      <c r="C2546" s="1055" t="s">
        <v>477</v>
      </c>
      <c r="D2546" s="1055" t="s">
        <v>1069</v>
      </c>
      <c r="E2546" s="1055" t="s">
        <v>1070</v>
      </c>
      <c r="F2546" s="1056">
        <v>2</v>
      </c>
      <c r="G2546" s="1056">
        <v>1</v>
      </c>
      <c r="H2546" s="1056">
        <v>0</v>
      </c>
      <c r="I2546" s="1056">
        <v>3</v>
      </c>
      <c r="K2546" s="995">
        <f t="shared" si="39"/>
        <v>8</v>
      </c>
    </row>
    <row r="2547" spans="1:11">
      <c r="A2547" s="1054">
        <v>52954001</v>
      </c>
      <c r="B2547" s="1055" t="s">
        <v>893</v>
      </c>
      <c r="C2547" s="1055" t="s">
        <v>477</v>
      </c>
      <c r="D2547" s="1055" t="s">
        <v>1597</v>
      </c>
      <c r="E2547" s="1055" t="s">
        <v>1598</v>
      </c>
      <c r="F2547" s="1056">
        <v>0</v>
      </c>
      <c r="G2547" s="1056">
        <v>0</v>
      </c>
      <c r="H2547" s="1056">
        <v>0</v>
      </c>
      <c r="I2547" s="1056">
        <v>0</v>
      </c>
      <c r="K2547" s="995">
        <f t="shared" si="39"/>
        <v>8</v>
      </c>
    </row>
    <row r="2548" spans="1:11">
      <c r="A2548" s="1054">
        <v>52954001</v>
      </c>
      <c r="B2548" s="1055" t="s">
        <v>893</v>
      </c>
      <c r="C2548" s="1055" t="s">
        <v>477</v>
      </c>
      <c r="D2548" s="1055" t="s">
        <v>1238</v>
      </c>
      <c r="E2548" s="1055" t="s">
        <v>1239</v>
      </c>
      <c r="F2548" s="1056">
        <v>94</v>
      </c>
      <c r="G2548" s="1056">
        <v>189</v>
      </c>
      <c r="H2548" s="1056">
        <v>0</v>
      </c>
      <c r="I2548" s="1056">
        <v>284</v>
      </c>
      <c r="K2548" s="995">
        <f t="shared" si="39"/>
        <v>8</v>
      </c>
    </row>
    <row r="2549" spans="1:11">
      <c r="A2549" s="1054">
        <v>52954001</v>
      </c>
      <c r="B2549" s="1055" t="s">
        <v>893</v>
      </c>
      <c r="C2549" s="1055" t="s">
        <v>477</v>
      </c>
      <c r="D2549" s="1055" t="s">
        <v>1684</v>
      </c>
      <c r="E2549" s="1055" t="s">
        <v>1685</v>
      </c>
      <c r="F2549" s="1056">
        <v>42</v>
      </c>
      <c r="G2549" s="1056">
        <v>0</v>
      </c>
      <c r="H2549" s="1056">
        <v>0</v>
      </c>
      <c r="I2549" s="1056">
        <v>42</v>
      </c>
      <c r="K2549" s="995">
        <f t="shared" si="39"/>
        <v>8</v>
      </c>
    </row>
    <row r="2550" spans="1:11">
      <c r="A2550" s="1054">
        <v>52954001</v>
      </c>
      <c r="B2550" s="1055" t="s">
        <v>893</v>
      </c>
      <c r="C2550" s="1055" t="s">
        <v>477</v>
      </c>
      <c r="D2550" s="1055" t="s">
        <v>1914</v>
      </c>
      <c r="E2550" s="1055" t="s">
        <v>1915</v>
      </c>
      <c r="F2550" s="1056">
        <v>0</v>
      </c>
      <c r="G2550" s="1056">
        <v>0</v>
      </c>
      <c r="H2550" s="1056">
        <v>0</v>
      </c>
      <c r="I2550" s="1056">
        <v>0</v>
      </c>
      <c r="K2550" s="995">
        <f t="shared" si="39"/>
        <v>8</v>
      </c>
    </row>
    <row r="2551" spans="1:11">
      <c r="A2551" s="1054">
        <v>529545</v>
      </c>
      <c r="B2551" s="1055" t="s">
        <v>893</v>
      </c>
      <c r="C2551" s="1055" t="s">
        <v>394</v>
      </c>
      <c r="D2551" s="1055" t="s">
        <v>893</v>
      </c>
      <c r="E2551" s="1055" t="s">
        <v>893</v>
      </c>
      <c r="F2551" s="1056">
        <v>1272</v>
      </c>
      <c r="G2551" s="1056">
        <v>377</v>
      </c>
      <c r="H2551" s="1056">
        <v>0</v>
      </c>
      <c r="I2551" s="1056">
        <v>1649</v>
      </c>
      <c r="K2551" s="995">
        <f t="shared" si="39"/>
        <v>6</v>
      </c>
    </row>
    <row r="2552" spans="1:11">
      <c r="A2552" s="1054">
        <v>52954501</v>
      </c>
      <c r="B2552" s="1055" t="s">
        <v>893</v>
      </c>
      <c r="C2552" s="1055" t="s">
        <v>394</v>
      </c>
      <c r="D2552" s="1055" t="s">
        <v>893</v>
      </c>
      <c r="E2552" s="1055" t="s">
        <v>893</v>
      </c>
      <c r="F2552" s="1056">
        <v>1272</v>
      </c>
      <c r="G2552" s="1056">
        <v>377</v>
      </c>
      <c r="H2552" s="1056">
        <v>0</v>
      </c>
      <c r="I2552" s="1056">
        <v>1649</v>
      </c>
      <c r="K2552" s="995">
        <f t="shared" si="39"/>
        <v>8</v>
      </c>
    </row>
    <row r="2553" spans="1:11">
      <c r="A2553" s="1054">
        <v>52954501</v>
      </c>
      <c r="B2553" s="1055" t="s">
        <v>893</v>
      </c>
      <c r="C2553" s="1055" t="s">
        <v>394</v>
      </c>
      <c r="D2553" s="1055" t="s">
        <v>1109</v>
      </c>
      <c r="E2553" s="1055" t="s">
        <v>1110</v>
      </c>
      <c r="F2553" s="1056">
        <v>66</v>
      </c>
      <c r="G2553" s="1056">
        <v>0</v>
      </c>
      <c r="H2553" s="1056">
        <v>0</v>
      </c>
      <c r="I2553" s="1056">
        <v>66</v>
      </c>
      <c r="K2553" s="995">
        <f t="shared" si="39"/>
        <v>8</v>
      </c>
    </row>
    <row r="2554" spans="1:11">
      <c r="A2554" s="1054">
        <v>52954501</v>
      </c>
      <c r="B2554" s="1055" t="s">
        <v>893</v>
      </c>
      <c r="C2554" s="1055" t="s">
        <v>394</v>
      </c>
      <c r="D2554" s="1055" t="s">
        <v>1299</v>
      </c>
      <c r="E2554" s="1055" t="s">
        <v>1737</v>
      </c>
      <c r="F2554" s="1056">
        <v>247</v>
      </c>
      <c r="G2554" s="1056">
        <v>28</v>
      </c>
      <c r="H2554" s="1056">
        <v>0</v>
      </c>
      <c r="I2554" s="1056">
        <v>275</v>
      </c>
      <c r="K2554" s="995">
        <f t="shared" si="39"/>
        <v>8</v>
      </c>
    </row>
    <row r="2555" spans="1:11">
      <c r="A2555" s="1054">
        <v>52954501</v>
      </c>
      <c r="B2555" s="1055" t="s">
        <v>893</v>
      </c>
      <c r="C2555" s="1055" t="s">
        <v>394</v>
      </c>
      <c r="D2555" s="1055" t="s">
        <v>1695</v>
      </c>
      <c r="E2555" s="1055" t="s">
        <v>1696</v>
      </c>
      <c r="F2555" s="1056">
        <v>4</v>
      </c>
      <c r="G2555" s="1056">
        <v>4</v>
      </c>
      <c r="H2555" s="1056">
        <v>0</v>
      </c>
      <c r="I2555" s="1056">
        <v>8</v>
      </c>
      <c r="K2555" s="995">
        <f t="shared" si="39"/>
        <v>8</v>
      </c>
    </row>
    <row r="2556" spans="1:11">
      <c r="A2556" s="1054">
        <v>52954501</v>
      </c>
      <c r="B2556" s="1055" t="s">
        <v>893</v>
      </c>
      <c r="C2556" s="1055" t="s">
        <v>394</v>
      </c>
      <c r="D2556" s="1055" t="s">
        <v>1300</v>
      </c>
      <c r="E2556" s="1055" t="s">
        <v>1301</v>
      </c>
      <c r="F2556" s="1056">
        <v>947</v>
      </c>
      <c r="G2556" s="1056">
        <v>345</v>
      </c>
      <c r="H2556" s="1056">
        <v>0</v>
      </c>
      <c r="I2556" s="1056">
        <v>1292</v>
      </c>
      <c r="K2556" s="995">
        <f t="shared" si="39"/>
        <v>8</v>
      </c>
    </row>
    <row r="2557" spans="1:11">
      <c r="A2557" s="1054">
        <v>52954501</v>
      </c>
      <c r="B2557" s="1055" t="s">
        <v>893</v>
      </c>
      <c r="C2557" s="1055" t="s">
        <v>394</v>
      </c>
      <c r="D2557" s="1055" t="s">
        <v>1036</v>
      </c>
      <c r="E2557" s="1055" t="s">
        <v>1037</v>
      </c>
      <c r="F2557" s="1056">
        <v>8</v>
      </c>
      <c r="G2557" s="1056">
        <v>0</v>
      </c>
      <c r="H2557" s="1056">
        <v>0</v>
      </c>
      <c r="I2557" s="1056">
        <v>8</v>
      </c>
      <c r="K2557" s="995">
        <f t="shared" si="39"/>
        <v>8</v>
      </c>
    </row>
    <row r="2558" spans="1:11">
      <c r="A2558" s="1054">
        <v>529565</v>
      </c>
      <c r="B2558" s="1055" t="s">
        <v>893</v>
      </c>
      <c r="C2558" s="1055" t="s">
        <v>795</v>
      </c>
      <c r="D2558" s="1055" t="s">
        <v>893</v>
      </c>
      <c r="E2558" s="1055" t="s">
        <v>893</v>
      </c>
      <c r="F2558" s="1056">
        <v>718</v>
      </c>
      <c r="G2558" s="1056">
        <v>95</v>
      </c>
      <c r="H2558" s="1056">
        <v>0</v>
      </c>
      <c r="I2558" s="1056">
        <v>813</v>
      </c>
      <c r="K2558" s="995">
        <f t="shared" si="39"/>
        <v>6</v>
      </c>
    </row>
    <row r="2559" spans="1:11">
      <c r="A2559" s="1054">
        <v>52956501</v>
      </c>
      <c r="B2559" s="1055" t="s">
        <v>893</v>
      </c>
      <c r="C2559" s="1055" t="s">
        <v>795</v>
      </c>
      <c r="D2559" s="1055" t="s">
        <v>893</v>
      </c>
      <c r="E2559" s="1055" t="s">
        <v>893</v>
      </c>
      <c r="F2559" s="1056">
        <v>718</v>
      </c>
      <c r="G2559" s="1056">
        <v>95</v>
      </c>
      <c r="H2559" s="1056">
        <v>0</v>
      </c>
      <c r="I2559" s="1056">
        <v>813</v>
      </c>
      <c r="K2559" s="995">
        <f t="shared" si="39"/>
        <v>8</v>
      </c>
    </row>
    <row r="2560" spans="1:11">
      <c r="A2560" s="1054">
        <v>52956501</v>
      </c>
      <c r="B2560" s="1055" t="s">
        <v>893</v>
      </c>
      <c r="C2560" s="1055" t="s">
        <v>795</v>
      </c>
      <c r="D2560" s="1055" t="s">
        <v>1340</v>
      </c>
      <c r="E2560" s="1055" t="s">
        <v>1737</v>
      </c>
      <c r="F2560" s="1056">
        <v>47</v>
      </c>
      <c r="G2560" s="1056">
        <v>27</v>
      </c>
      <c r="H2560" s="1056">
        <v>0</v>
      </c>
      <c r="I2560" s="1056">
        <v>74</v>
      </c>
      <c r="K2560" s="995">
        <f t="shared" si="39"/>
        <v>8</v>
      </c>
    </row>
    <row r="2561" spans="1:11">
      <c r="A2561" s="1054">
        <v>52956501</v>
      </c>
      <c r="B2561" s="1055" t="s">
        <v>893</v>
      </c>
      <c r="C2561" s="1055" t="s">
        <v>795</v>
      </c>
      <c r="D2561" s="1055" t="s">
        <v>1345</v>
      </c>
      <c r="E2561" s="1055" t="s">
        <v>1754</v>
      </c>
      <c r="F2561" s="1056">
        <v>44</v>
      </c>
      <c r="G2561" s="1056">
        <v>0</v>
      </c>
      <c r="H2561" s="1056">
        <v>0</v>
      </c>
      <c r="I2561" s="1056">
        <v>44</v>
      </c>
      <c r="K2561" s="995">
        <f t="shared" si="39"/>
        <v>8</v>
      </c>
    </row>
    <row r="2562" spans="1:11">
      <c r="A2562" s="1054">
        <v>52956501</v>
      </c>
      <c r="B2562" s="1055" t="s">
        <v>893</v>
      </c>
      <c r="C2562" s="1055" t="s">
        <v>795</v>
      </c>
      <c r="D2562" s="1055" t="s">
        <v>1350</v>
      </c>
      <c r="E2562" s="1055" t="s">
        <v>1351</v>
      </c>
      <c r="F2562" s="1056">
        <v>145</v>
      </c>
      <c r="G2562" s="1056">
        <v>23</v>
      </c>
      <c r="H2562" s="1056">
        <v>0</v>
      </c>
      <c r="I2562" s="1056">
        <v>168</v>
      </c>
      <c r="K2562" s="995">
        <f t="shared" si="39"/>
        <v>8</v>
      </c>
    </row>
    <row r="2563" spans="1:11">
      <c r="A2563" s="1054">
        <v>52956501</v>
      </c>
      <c r="B2563" s="1055" t="s">
        <v>893</v>
      </c>
      <c r="C2563" s="1055" t="s">
        <v>795</v>
      </c>
      <c r="D2563" s="1055" t="s">
        <v>1352</v>
      </c>
      <c r="E2563" s="1055" t="s">
        <v>1353</v>
      </c>
      <c r="F2563" s="1056">
        <v>150</v>
      </c>
      <c r="G2563" s="1056">
        <v>16</v>
      </c>
      <c r="H2563" s="1056">
        <v>0</v>
      </c>
      <c r="I2563" s="1056">
        <v>167</v>
      </c>
      <c r="K2563" s="995">
        <f t="shared" si="39"/>
        <v>8</v>
      </c>
    </row>
    <row r="2564" spans="1:11">
      <c r="A2564" s="1054">
        <v>52956501</v>
      </c>
      <c r="B2564" s="1055" t="s">
        <v>893</v>
      </c>
      <c r="C2564" s="1055" t="s">
        <v>795</v>
      </c>
      <c r="D2564" s="1055" t="s">
        <v>1709</v>
      </c>
      <c r="E2564" s="1055" t="s">
        <v>1710</v>
      </c>
      <c r="F2564" s="1056">
        <v>19</v>
      </c>
      <c r="G2564" s="1056">
        <v>0</v>
      </c>
      <c r="H2564" s="1056">
        <v>0</v>
      </c>
      <c r="I2564" s="1056">
        <v>19</v>
      </c>
      <c r="K2564" s="995">
        <f t="shared" si="39"/>
        <v>8</v>
      </c>
    </row>
    <row r="2565" spans="1:11">
      <c r="A2565" s="1054">
        <v>52956501</v>
      </c>
      <c r="B2565" s="1055" t="s">
        <v>893</v>
      </c>
      <c r="C2565" s="1055" t="s">
        <v>795</v>
      </c>
      <c r="D2565" s="1055" t="s">
        <v>1170</v>
      </c>
      <c r="E2565" s="1055" t="s">
        <v>696</v>
      </c>
      <c r="F2565" s="1056">
        <v>73</v>
      </c>
      <c r="G2565" s="1056">
        <v>0</v>
      </c>
      <c r="H2565" s="1056">
        <v>0</v>
      </c>
      <c r="I2565" s="1056">
        <v>73</v>
      </c>
      <c r="K2565" s="995">
        <f t="shared" ref="K2565:K2628" si="40">+LEN(A2565)</f>
        <v>8</v>
      </c>
    </row>
    <row r="2566" spans="1:11">
      <c r="A2566" s="1054">
        <v>52956501</v>
      </c>
      <c r="B2566" s="1055" t="s">
        <v>893</v>
      </c>
      <c r="C2566" s="1055" t="s">
        <v>795</v>
      </c>
      <c r="D2566" s="1055" t="s">
        <v>1036</v>
      </c>
      <c r="E2566" s="1055" t="s">
        <v>1037</v>
      </c>
      <c r="F2566" s="1056">
        <v>239</v>
      </c>
      <c r="G2566" s="1056">
        <v>29</v>
      </c>
      <c r="H2566" s="1056">
        <v>0</v>
      </c>
      <c r="I2566" s="1056">
        <v>268</v>
      </c>
      <c r="K2566" s="995">
        <f t="shared" si="40"/>
        <v>8</v>
      </c>
    </row>
    <row r="2567" spans="1:11">
      <c r="A2567" s="1054">
        <v>529595</v>
      </c>
      <c r="B2567" s="1055" t="s">
        <v>893</v>
      </c>
      <c r="C2567" s="1055" t="s">
        <v>323</v>
      </c>
      <c r="D2567" s="1055" t="s">
        <v>893</v>
      </c>
      <c r="E2567" s="1055" t="s">
        <v>893</v>
      </c>
      <c r="F2567" s="1056">
        <v>9280</v>
      </c>
      <c r="G2567" s="1056">
        <v>1835</v>
      </c>
      <c r="H2567" s="1056">
        <v>530</v>
      </c>
      <c r="I2567" s="1056">
        <v>10585</v>
      </c>
      <c r="K2567" s="995">
        <f t="shared" si="40"/>
        <v>6</v>
      </c>
    </row>
    <row r="2568" spans="1:11">
      <c r="A2568" s="1054">
        <v>52959501</v>
      </c>
      <c r="B2568" s="1055" t="s">
        <v>893</v>
      </c>
      <c r="C2568" s="1055" t="s">
        <v>434</v>
      </c>
      <c r="D2568" s="1055" t="s">
        <v>893</v>
      </c>
      <c r="E2568" s="1055" t="s">
        <v>893</v>
      </c>
      <c r="F2568" s="1056">
        <v>1895</v>
      </c>
      <c r="G2568" s="1056">
        <v>795</v>
      </c>
      <c r="H2568" s="1056">
        <v>530</v>
      </c>
      <c r="I2568" s="1056">
        <v>2160</v>
      </c>
      <c r="K2568" s="995">
        <f t="shared" si="40"/>
        <v>8</v>
      </c>
    </row>
    <row r="2569" spans="1:11">
      <c r="A2569" s="1054">
        <v>52959501</v>
      </c>
      <c r="B2569" s="1055" t="s">
        <v>893</v>
      </c>
      <c r="C2569" s="1055" t="s">
        <v>434</v>
      </c>
      <c r="D2569" s="1055" t="s">
        <v>1272</v>
      </c>
      <c r="E2569" s="1055" t="s">
        <v>1273</v>
      </c>
      <c r="F2569" s="1056">
        <v>560</v>
      </c>
      <c r="G2569" s="1056">
        <v>0</v>
      </c>
      <c r="H2569" s="1056">
        <v>0</v>
      </c>
      <c r="I2569" s="1056">
        <v>560</v>
      </c>
      <c r="K2569" s="995">
        <f t="shared" si="40"/>
        <v>8</v>
      </c>
    </row>
    <row r="2570" spans="1:11">
      <c r="A2570" s="1054">
        <v>52959501</v>
      </c>
      <c r="B2570" s="1055" t="s">
        <v>893</v>
      </c>
      <c r="C2570" s="1055" t="s">
        <v>434</v>
      </c>
      <c r="D2570" s="1055" t="s">
        <v>1693</v>
      </c>
      <c r="E2570" s="1055" t="s">
        <v>1694</v>
      </c>
      <c r="F2570" s="1056">
        <v>330</v>
      </c>
      <c r="G2570" s="1056">
        <v>90</v>
      </c>
      <c r="H2570" s="1056">
        <v>0</v>
      </c>
      <c r="I2570" s="1056">
        <v>420</v>
      </c>
      <c r="K2570" s="995">
        <f t="shared" si="40"/>
        <v>8</v>
      </c>
    </row>
    <row r="2571" spans="1:11">
      <c r="A2571" s="1054">
        <v>52959501</v>
      </c>
      <c r="B2571" s="1055" t="s">
        <v>893</v>
      </c>
      <c r="C2571" s="1055" t="s">
        <v>434</v>
      </c>
      <c r="D2571" s="1055" t="s">
        <v>1857</v>
      </c>
      <c r="E2571" s="1055" t="s">
        <v>1858</v>
      </c>
      <c r="F2571" s="1056">
        <v>178</v>
      </c>
      <c r="G2571" s="1056">
        <v>0</v>
      </c>
      <c r="H2571" s="1056">
        <v>0</v>
      </c>
      <c r="I2571" s="1056">
        <v>178</v>
      </c>
      <c r="K2571" s="995">
        <f t="shared" si="40"/>
        <v>8</v>
      </c>
    </row>
    <row r="2572" spans="1:11">
      <c r="A2572" s="1054">
        <v>52959501</v>
      </c>
      <c r="B2572" s="1055" t="s">
        <v>893</v>
      </c>
      <c r="C2572" s="1055" t="s">
        <v>434</v>
      </c>
      <c r="D2572" s="1055" t="s">
        <v>1798</v>
      </c>
      <c r="E2572" s="1055" t="s">
        <v>1737</v>
      </c>
      <c r="F2572" s="1056">
        <v>168</v>
      </c>
      <c r="G2572" s="1056">
        <v>0</v>
      </c>
      <c r="H2572" s="1056">
        <v>0</v>
      </c>
      <c r="I2572" s="1056">
        <v>168</v>
      </c>
      <c r="K2572" s="995">
        <f t="shared" si="40"/>
        <v>8</v>
      </c>
    </row>
    <row r="2573" spans="1:11">
      <c r="A2573" s="1054">
        <v>52959501</v>
      </c>
      <c r="B2573" s="1055" t="s">
        <v>893</v>
      </c>
      <c r="C2573" s="1055" t="s">
        <v>434</v>
      </c>
      <c r="D2573" s="1055" t="s">
        <v>1069</v>
      </c>
      <c r="E2573" s="1055" t="s">
        <v>1070</v>
      </c>
      <c r="F2573" s="1056">
        <v>92</v>
      </c>
      <c r="G2573" s="1056">
        <v>20</v>
      </c>
      <c r="H2573" s="1056">
        <v>0</v>
      </c>
      <c r="I2573" s="1056">
        <v>112</v>
      </c>
      <c r="K2573" s="995">
        <f t="shared" si="40"/>
        <v>8</v>
      </c>
    </row>
    <row r="2574" spans="1:11">
      <c r="A2574" s="1054">
        <v>52959501</v>
      </c>
      <c r="B2574" s="1055" t="s">
        <v>893</v>
      </c>
      <c r="C2574" s="1055" t="s">
        <v>434</v>
      </c>
      <c r="D2574" s="1055" t="s">
        <v>1235</v>
      </c>
      <c r="E2574" s="1055" t="s">
        <v>1236</v>
      </c>
      <c r="F2574" s="1056">
        <v>322</v>
      </c>
      <c r="G2574" s="1056">
        <v>0</v>
      </c>
      <c r="H2574" s="1056">
        <v>0</v>
      </c>
      <c r="I2574" s="1056">
        <v>322</v>
      </c>
      <c r="K2574" s="995">
        <f t="shared" si="40"/>
        <v>8</v>
      </c>
    </row>
    <row r="2575" spans="1:11">
      <c r="A2575" s="1054">
        <v>52959501</v>
      </c>
      <c r="B2575" s="1055" t="s">
        <v>893</v>
      </c>
      <c r="C2575" s="1055" t="s">
        <v>434</v>
      </c>
      <c r="D2575" s="1055" t="s">
        <v>1755</v>
      </c>
      <c r="E2575" s="1055" t="s">
        <v>1756</v>
      </c>
      <c r="F2575" s="1056">
        <v>0</v>
      </c>
      <c r="G2575" s="1056">
        <v>155</v>
      </c>
      <c r="H2575" s="1056">
        <v>0</v>
      </c>
      <c r="I2575" s="1056">
        <v>155</v>
      </c>
      <c r="K2575" s="995">
        <f t="shared" si="40"/>
        <v>8</v>
      </c>
    </row>
    <row r="2576" spans="1:11">
      <c r="A2576" s="1054">
        <v>52959501</v>
      </c>
      <c r="B2576" s="1055" t="s">
        <v>893</v>
      </c>
      <c r="C2576" s="1055" t="s">
        <v>434</v>
      </c>
      <c r="D2576" s="1055" t="s">
        <v>1238</v>
      </c>
      <c r="E2576" s="1055" t="s">
        <v>1239</v>
      </c>
      <c r="F2576" s="1056">
        <v>64</v>
      </c>
      <c r="G2576" s="1056">
        <v>0</v>
      </c>
      <c r="H2576" s="1056">
        <v>0</v>
      </c>
      <c r="I2576" s="1056">
        <v>64</v>
      </c>
      <c r="K2576" s="995">
        <f t="shared" si="40"/>
        <v>8</v>
      </c>
    </row>
    <row r="2577" spans="1:11">
      <c r="A2577" s="1054">
        <v>52959501</v>
      </c>
      <c r="B2577" s="1055" t="s">
        <v>893</v>
      </c>
      <c r="C2577" s="1055" t="s">
        <v>434</v>
      </c>
      <c r="D2577" s="1055" t="s">
        <v>1628</v>
      </c>
      <c r="E2577" s="1055" t="s">
        <v>1629</v>
      </c>
      <c r="F2577" s="1056">
        <v>180</v>
      </c>
      <c r="G2577" s="1056">
        <v>0</v>
      </c>
      <c r="H2577" s="1056">
        <v>0</v>
      </c>
      <c r="I2577" s="1056">
        <v>180</v>
      </c>
      <c r="K2577" s="995">
        <f t="shared" si="40"/>
        <v>8</v>
      </c>
    </row>
    <row r="2578" spans="1:11">
      <c r="A2578" s="1054">
        <v>52959501</v>
      </c>
      <c r="B2578" s="1055" t="s">
        <v>893</v>
      </c>
      <c r="C2578" s="1055" t="s">
        <v>434</v>
      </c>
      <c r="D2578" s="1055" t="s">
        <v>1920</v>
      </c>
      <c r="E2578" s="1055" t="s">
        <v>1921</v>
      </c>
      <c r="F2578" s="1056">
        <v>0</v>
      </c>
      <c r="G2578" s="1056">
        <v>530</v>
      </c>
      <c r="H2578" s="1056">
        <v>530</v>
      </c>
      <c r="I2578" s="1056">
        <v>0</v>
      </c>
      <c r="K2578" s="995">
        <f t="shared" si="40"/>
        <v>8</v>
      </c>
    </row>
    <row r="2579" spans="1:11">
      <c r="A2579" s="1054">
        <v>52959506</v>
      </c>
      <c r="B2579" s="1055" t="s">
        <v>893</v>
      </c>
      <c r="C2579" s="1055" t="s">
        <v>550</v>
      </c>
      <c r="D2579" s="1055" t="s">
        <v>893</v>
      </c>
      <c r="E2579" s="1055" t="s">
        <v>893</v>
      </c>
      <c r="F2579" s="1056">
        <v>3023</v>
      </c>
      <c r="G2579" s="1056">
        <v>792</v>
      </c>
      <c r="H2579" s="1056">
        <v>0</v>
      </c>
      <c r="I2579" s="1056">
        <v>3814</v>
      </c>
      <c r="K2579" s="995">
        <f t="shared" si="40"/>
        <v>8</v>
      </c>
    </row>
    <row r="2580" spans="1:11">
      <c r="A2580" s="1054">
        <v>52959506</v>
      </c>
      <c r="B2580" s="1055" t="s">
        <v>893</v>
      </c>
      <c r="C2580" s="1055" t="s">
        <v>550</v>
      </c>
      <c r="D2580" s="1055" t="s">
        <v>1053</v>
      </c>
      <c r="E2580" s="1055" t="s">
        <v>1054</v>
      </c>
      <c r="F2580" s="1056">
        <v>3012</v>
      </c>
      <c r="G2580" s="1056">
        <v>792</v>
      </c>
      <c r="H2580" s="1056">
        <v>0</v>
      </c>
      <c r="I2580" s="1056">
        <v>3804</v>
      </c>
      <c r="K2580" s="995">
        <f t="shared" si="40"/>
        <v>8</v>
      </c>
    </row>
    <row r="2581" spans="1:11">
      <c r="A2581" s="1054">
        <v>52959506</v>
      </c>
      <c r="B2581" s="1055" t="s">
        <v>893</v>
      </c>
      <c r="C2581" s="1055" t="s">
        <v>550</v>
      </c>
      <c r="D2581" s="1055" t="s">
        <v>1791</v>
      </c>
      <c r="E2581" s="1055" t="s">
        <v>1792</v>
      </c>
      <c r="F2581" s="1056">
        <v>10</v>
      </c>
      <c r="G2581" s="1056">
        <v>0</v>
      </c>
      <c r="H2581" s="1056">
        <v>0</v>
      </c>
      <c r="I2581" s="1056">
        <v>10</v>
      </c>
      <c r="K2581" s="995">
        <f t="shared" si="40"/>
        <v>8</v>
      </c>
    </row>
    <row r="2582" spans="1:11">
      <c r="A2582" s="1054">
        <v>52959508</v>
      </c>
      <c r="B2582" s="1055" t="s">
        <v>1489</v>
      </c>
      <c r="C2582" s="1055" t="s">
        <v>549</v>
      </c>
      <c r="D2582" s="1055" t="s">
        <v>893</v>
      </c>
      <c r="E2582" s="1055" t="s">
        <v>893</v>
      </c>
      <c r="F2582" s="1056">
        <v>3282</v>
      </c>
      <c r="G2582" s="1056">
        <v>152</v>
      </c>
      <c r="H2582" s="1056">
        <v>0</v>
      </c>
      <c r="I2582" s="1056">
        <v>3434</v>
      </c>
      <c r="K2582" s="995">
        <f t="shared" si="40"/>
        <v>8</v>
      </c>
    </row>
    <row r="2583" spans="1:11">
      <c r="A2583" s="1054">
        <v>52959508</v>
      </c>
      <c r="B2583" s="1055" t="s">
        <v>1489</v>
      </c>
      <c r="C2583" s="1055" t="s">
        <v>549</v>
      </c>
      <c r="D2583" s="1055" t="s">
        <v>1230</v>
      </c>
      <c r="E2583" s="1055" t="s">
        <v>1231</v>
      </c>
      <c r="F2583" s="1056">
        <v>161</v>
      </c>
      <c r="G2583" s="1056">
        <v>0</v>
      </c>
      <c r="H2583" s="1056">
        <v>0</v>
      </c>
      <c r="I2583" s="1056">
        <v>161</v>
      </c>
      <c r="K2583" s="995">
        <f t="shared" si="40"/>
        <v>8</v>
      </c>
    </row>
    <row r="2584" spans="1:11">
      <c r="A2584" s="1054">
        <v>52959508</v>
      </c>
      <c r="B2584" s="1055" t="s">
        <v>1489</v>
      </c>
      <c r="C2584" s="1055" t="s">
        <v>549</v>
      </c>
      <c r="D2584" s="1055" t="s">
        <v>1558</v>
      </c>
      <c r="E2584" s="1055" t="s">
        <v>1559</v>
      </c>
      <c r="F2584" s="1056">
        <v>1950</v>
      </c>
      <c r="G2584" s="1056">
        <v>0</v>
      </c>
      <c r="H2584" s="1056">
        <v>0</v>
      </c>
      <c r="I2584" s="1056">
        <v>1950</v>
      </c>
      <c r="K2584" s="995">
        <f t="shared" si="40"/>
        <v>8</v>
      </c>
    </row>
    <row r="2585" spans="1:11">
      <c r="A2585" s="1054">
        <v>52959508</v>
      </c>
      <c r="B2585" s="1055" t="s">
        <v>1489</v>
      </c>
      <c r="C2585" s="1055" t="s">
        <v>549</v>
      </c>
      <c r="D2585" s="1055" t="s">
        <v>1232</v>
      </c>
      <c r="E2585" s="1055" t="s">
        <v>1233</v>
      </c>
      <c r="F2585" s="1056">
        <v>49</v>
      </c>
      <c r="G2585" s="1056">
        <v>0</v>
      </c>
      <c r="H2585" s="1056">
        <v>0</v>
      </c>
      <c r="I2585" s="1056">
        <v>49</v>
      </c>
      <c r="K2585" s="995">
        <f t="shared" si="40"/>
        <v>8</v>
      </c>
    </row>
    <row r="2586" spans="1:11">
      <c r="A2586" s="1054">
        <v>52959508</v>
      </c>
      <c r="B2586" s="1055" t="s">
        <v>1489</v>
      </c>
      <c r="C2586" s="1055" t="s">
        <v>549</v>
      </c>
      <c r="D2586" s="1055" t="s">
        <v>1619</v>
      </c>
      <c r="E2586" s="1055" t="s">
        <v>1620</v>
      </c>
      <c r="F2586" s="1056">
        <v>56</v>
      </c>
      <c r="G2586" s="1056">
        <v>0</v>
      </c>
      <c r="H2586" s="1056">
        <v>0</v>
      </c>
      <c r="I2586" s="1056">
        <v>56</v>
      </c>
      <c r="K2586" s="995">
        <f t="shared" si="40"/>
        <v>8</v>
      </c>
    </row>
    <row r="2587" spans="1:11">
      <c r="A2587" s="1054">
        <v>52959508</v>
      </c>
      <c r="B2587" s="1055" t="s">
        <v>1489</v>
      </c>
      <c r="C2587" s="1055" t="s">
        <v>549</v>
      </c>
      <c r="D2587" s="1055" t="s">
        <v>1069</v>
      </c>
      <c r="E2587" s="1055" t="s">
        <v>1070</v>
      </c>
      <c r="F2587" s="1056">
        <v>45</v>
      </c>
      <c r="G2587" s="1056">
        <v>0</v>
      </c>
      <c r="H2587" s="1056">
        <v>0</v>
      </c>
      <c r="I2587" s="1056">
        <v>45</v>
      </c>
      <c r="K2587" s="995">
        <f t="shared" si="40"/>
        <v>8</v>
      </c>
    </row>
    <row r="2588" spans="1:11">
      <c r="A2588" s="1054">
        <v>52959508</v>
      </c>
      <c r="B2588" s="1055" t="s">
        <v>1489</v>
      </c>
      <c r="C2588" s="1055" t="s">
        <v>549</v>
      </c>
      <c r="D2588" s="1055" t="s">
        <v>1346</v>
      </c>
      <c r="E2588" s="1055" t="s">
        <v>1347</v>
      </c>
      <c r="F2588" s="1056">
        <v>129</v>
      </c>
      <c r="G2588" s="1056">
        <v>0</v>
      </c>
      <c r="H2588" s="1056">
        <v>0</v>
      </c>
      <c r="I2588" s="1056">
        <v>129</v>
      </c>
      <c r="K2588" s="995">
        <f t="shared" si="40"/>
        <v>8</v>
      </c>
    </row>
    <row r="2589" spans="1:11">
      <c r="A2589" s="1054">
        <v>52959508</v>
      </c>
      <c r="B2589" s="1055" t="s">
        <v>1489</v>
      </c>
      <c r="C2589" s="1055" t="s">
        <v>549</v>
      </c>
      <c r="D2589" s="1055" t="s">
        <v>1238</v>
      </c>
      <c r="E2589" s="1055" t="s">
        <v>1239</v>
      </c>
      <c r="F2589" s="1056">
        <v>319</v>
      </c>
      <c r="G2589" s="1056">
        <v>152</v>
      </c>
      <c r="H2589" s="1056">
        <v>0</v>
      </c>
      <c r="I2589" s="1056">
        <v>471</v>
      </c>
      <c r="K2589" s="995">
        <f t="shared" si="40"/>
        <v>8</v>
      </c>
    </row>
    <row r="2590" spans="1:11">
      <c r="A2590" s="1054">
        <v>52959508</v>
      </c>
      <c r="B2590" s="1055" t="s">
        <v>1489</v>
      </c>
      <c r="C2590" s="1055" t="s">
        <v>549</v>
      </c>
      <c r="D2590" s="1055" t="s">
        <v>1713</v>
      </c>
      <c r="E2590" s="1055" t="s">
        <v>1714</v>
      </c>
      <c r="F2590" s="1056">
        <v>42</v>
      </c>
      <c r="G2590" s="1056">
        <v>0</v>
      </c>
      <c r="H2590" s="1056">
        <v>0</v>
      </c>
      <c r="I2590" s="1056">
        <v>42</v>
      </c>
      <c r="K2590" s="995">
        <f t="shared" si="40"/>
        <v>8</v>
      </c>
    </row>
    <row r="2591" spans="1:11">
      <c r="A2591" s="1054">
        <v>52959508</v>
      </c>
      <c r="B2591" s="1055" t="s">
        <v>1489</v>
      </c>
      <c r="C2591" s="1055" t="s">
        <v>549</v>
      </c>
      <c r="D2591" s="1055" t="s">
        <v>1684</v>
      </c>
      <c r="E2591" s="1055" t="s">
        <v>1685</v>
      </c>
      <c r="F2591" s="1056">
        <v>12</v>
      </c>
      <c r="G2591" s="1056">
        <v>0</v>
      </c>
      <c r="H2591" s="1056">
        <v>0</v>
      </c>
      <c r="I2591" s="1056">
        <v>12</v>
      </c>
      <c r="K2591" s="995">
        <f t="shared" si="40"/>
        <v>8</v>
      </c>
    </row>
    <row r="2592" spans="1:11">
      <c r="A2592" s="1054">
        <v>52959508</v>
      </c>
      <c r="B2592" s="1055" t="s">
        <v>1489</v>
      </c>
      <c r="C2592" s="1055" t="s">
        <v>549</v>
      </c>
      <c r="D2592" s="1055" t="s">
        <v>1865</v>
      </c>
      <c r="E2592" s="1055" t="s">
        <v>1866</v>
      </c>
      <c r="F2592" s="1056">
        <v>390</v>
      </c>
      <c r="G2592" s="1056">
        <v>0</v>
      </c>
      <c r="H2592" s="1056">
        <v>0</v>
      </c>
      <c r="I2592" s="1056">
        <v>390</v>
      </c>
      <c r="K2592" s="995">
        <f t="shared" si="40"/>
        <v>8</v>
      </c>
    </row>
    <row r="2593" spans="1:11">
      <c r="A2593" s="1054">
        <v>52959508</v>
      </c>
      <c r="B2593" s="1055" t="s">
        <v>1489</v>
      </c>
      <c r="C2593" s="1055" t="s">
        <v>549</v>
      </c>
      <c r="D2593" s="1055" t="s">
        <v>1717</v>
      </c>
      <c r="E2593" s="1055" t="s">
        <v>1732</v>
      </c>
      <c r="F2593" s="1056">
        <v>128</v>
      </c>
      <c r="G2593" s="1056">
        <v>0</v>
      </c>
      <c r="H2593" s="1056">
        <v>0</v>
      </c>
      <c r="I2593" s="1056">
        <v>128</v>
      </c>
      <c r="K2593" s="995">
        <f t="shared" si="40"/>
        <v>8</v>
      </c>
    </row>
    <row r="2594" spans="1:11">
      <c r="A2594" s="1054">
        <v>52959516</v>
      </c>
      <c r="B2594" s="1055" t="s">
        <v>1489</v>
      </c>
      <c r="C2594" s="1055" t="s">
        <v>784</v>
      </c>
      <c r="D2594" s="1055" t="s">
        <v>893</v>
      </c>
      <c r="E2594" s="1055" t="s">
        <v>893</v>
      </c>
      <c r="F2594" s="1056">
        <v>301</v>
      </c>
      <c r="G2594" s="1056">
        <v>86</v>
      </c>
      <c r="H2594" s="1056">
        <v>0</v>
      </c>
      <c r="I2594" s="1056">
        <v>386</v>
      </c>
      <c r="K2594" s="995">
        <f t="shared" si="40"/>
        <v>8</v>
      </c>
    </row>
    <row r="2595" spans="1:11">
      <c r="A2595" s="1054">
        <v>52959516</v>
      </c>
      <c r="B2595" s="1055" t="s">
        <v>1489</v>
      </c>
      <c r="C2595" s="1055" t="s">
        <v>784</v>
      </c>
      <c r="D2595" s="1055" t="s">
        <v>1035</v>
      </c>
      <c r="E2595" s="1055" t="s">
        <v>573</v>
      </c>
      <c r="F2595" s="1056">
        <v>301</v>
      </c>
      <c r="G2595" s="1056">
        <v>86</v>
      </c>
      <c r="H2595" s="1056">
        <v>0</v>
      </c>
      <c r="I2595" s="1056">
        <v>386</v>
      </c>
      <c r="K2595" s="995">
        <f t="shared" si="40"/>
        <v>8</v>
      </c>
    </row>
    <row r="2596" spans="1:11">
      <c r="A2596" s="1054">
        <v>52959595</v>
      </c>
      <c r="B2596" s="1055" t="s">
        <v>893</v>
      </c>
      <c r="C2596" s="1055" t="s">
        <v>323</v>
      </c>
      <c r="D2596" s="1055" t="s">
        <v>893</v>
      </c>
      <c r="E2596" s="1055" t="s">
        <v>893</v>
      </c>
      <c r="F2596" s="1056">
        <v>781</v>
      </c>
      <c r="G2596" s="1056">
        <v>11</v>
      </c>
      <c r="H2596" s="1056">
        <v>0</v>
      </c>
      <c r="I2596" s="1056">
        <v>791</v>
      </c>
      <c r="K2596" s="995">
        <f t="shared" si="40"/>
        <v>8</v>
      </c>
    </row>
    <row r="2597" spans="1:11">
      <c r="A2597" s="1054">
        <v>52959595</v>
      </c>
      <c r="B2597" s="1055" t="s">
        <v>893</v>
      </c>
      <c r="C2597" s="1055" t="s">
        <v>323</v>
      </c>
      <c r="D2597" s="1055" t="s">
        <v>1051</v>
      </c>
      <c r="E2597" s="1055" t="s">
        <v>1052</v>
      </c>
      <c r="F2597" s="1056">
        <v>60</v>
      </c>
      <c r="G2597" s="1056">
        <v>0</v>
      </c>
      <c r="H2597" s="1056">
        <v>0</v>
      </c>
      <c r="I2597" s="1056">
        <v>60</v>
      </c>
      <c r="K2597" s="995">
        <f t="shared" si="40"/>
        <v>8</v>
      </c>
    </row>
    <row r="2598" spans="1:11">
      <c r="A2598" s="1054">
        <v>52959595</v>
      </c>
      <c r="B2598" s="1055" t="s">
        <v>893</v>
      </c>
      <c r="C2598" s="1055" t="s">
        <v>323</v>
      </c>
      <c r="D2598" s="1055" t="s">
        <v>1775</v>
      </c>
      <c r="E2598" s="1055" t="s">
        <v>1776</v>
      </c>
      <c r="F2598" s="1056">
        <v>340</v>
      </c>
      <c r="G2598" s="1056">
        <v>0</v>
      </c>
      <c r="H2598" s="1056">
        <v>0</v>
      </c>
      <c r="I2598" s="1056">
        <v>340</v>
      </c>
      <c r="K2598" s="995">
        <f t="shared" si="40"/>
        <v>8</v>
      </c>
    </row>
    <row r="2599" spans="1:11">
      <c r="A2599" s="1054">
        <v>52959595</v>
      </c>
      <c r="B2599" s="1055" t="s">
        <v>893</v>
      </c>
      <c r="C2599" s="1055" t="s">
        <v>323</v>
      </c>
      <c r="D2599" s="1055" t="s">
        <v>1603</v>
      </c>
      <c r="E2599" s="1055" t="s">
        <v>1604</v>
      </c>
      <c r="F2599" s="1056">
        <v>30</v>
      </c>
      <c r="G2599" s="1056">
        <v>0</v>
      </c>
      <c r="H2599" s="1056">
        <v>0</v>
      </c>
      <c r="I2599" s="1056">
        <v>30</v>
      </c>
      <c r="K2599" s="995">
        <f t="shared" si="40"/>
        <v>8</v>
      </c>
    </row>
    <row r="2600" spans="1:11">
      <c r="A2600" s="1054">
        <v>52959595</v>
      </c>
      <c r="B2600" s="1055" t="s">
        <v>893</v>
      </c>
      <c r="C2600" s="1055" t="s">
        <v>323</v>
      </c>
      <c r="D2600" s="1055" t="s">
        <v>1230</v>
      </c>
      <c r="E2600" s="1055" t="s">
        <v>1231</v>
      </c>
      <c r="F2600" s="1056">
        <v>25</v>
      </c>
      <c r="G2600" s="1056">
        <v>11</v>
      </c>
      <c r="H2600" s="1056">
        <v>0</v>
      </c>
      <c r="I2600" s="1056">
        <v>35</v>
      </c>
      <c r="K2600" s="995">
        <f t="shared" si="40"/>
        <v>8</v>
      </c>
    </row>
    <row r="2601" spans="1:11">
      <c r="A2601" s="1054">
        <v>52959595</v>
      </c>
      <c r="B2601" s="1055" t="s">
        <v>893</v>
      </c>
      <c r="C2601" s="1055" t="s">
        <v>323</v>
      </c>
      <c r="D2601" s="1055" t="s">
        <v>1237</v>
      </c>
      <c r="E2601" s="1055" t="s">
        <v>338</v>
      </c>
      <c r="F2601" s="1056">
        <v>100</v>
      </c>
      <c r="G2601" s="1056">
        <v>0</v>
      </c>
      <c r="H2601" s="1056">
        <v>0</v>
      </c>
      <c r="I2601" s="1056">
        <v>100</v>
      </c>
      <c r="K2601" s="995">
        <f t="shared" si="40"/>
        <v>8</v>
      </c>
    </row>
    <row r="2602" spans="1:11">
      <c r="A2602" s="1054">
        <v>52959595</v>
      </c>
      <c r="B2602" s="1055" t="s">
        <v>893</v>
      </c>
      <c r="C2602" s="1055" t="s">
        <v>323</v>
      </c>
      <c r="D2602" s="1055" t="s">
        <v>1621</v>
      </c>
      <c r="E2602" s="1055" t="s">
        <v>1622</v>
      </c>
      <c r="F2602" s="1056">
        <v>8</v>
      </c>
      <c r="G2602" s="1056">
        <v>0</v>
      </c>
      <c r="H2602" s="1056">
        <v>0</v>
      </c>
      <c r="I2602" s="1056">
        <v>8</v>
      </c>
      <c r="K2602" s="995">
        <f t="shared" si="40"/>
        <v>8</v>
      </c>
    </row>
    <row r="2603" spans="1:11">
      <c r="A2603" s="1054">
        <v>52959595</v>
      </c>
      <c r="B2603" s="1055" t="s">
        <v>893</v>
      </c>
      <c r="C2603" s="1055" t="s">
        <v>323</v>
      </c>
      <c r="D2603" s="1055" t="s">
        <v>1294</v>
      </c>
      <c r="E2603" s="1055" t="s">
        <v>779</v>
      </c>
      <c r="F2603" s="1056">
        <v>13</v>
      </c>
      <c r="G2603" s="1056">
        <v>0</v>
      </c>
      <c r="H2603" s="1056">
        <v>0</v>
      </c>
      <c r="I2603" s="1056">
        <v>13</v>
      </c>
      <c r="K2603" s="995">
        <f t="shared" si="40"/>
        <v>8</v>
      </c>
    </row>
    <row r="2604" spans="1:11">
      <c r="A2604" s="1054">
        <v>52959595</v>
      </c>
      <c r="B2604" s="1055" t="s">
        <v>893</v>
      </c>
      <c r="C2604" s="1055" t="s">
        <v>323</v>
      </c>
      <c r="D2604" s="1055" t="s">
        <v>1354</v>
      </c>
      <c r="E2604" s="1055" t="s">
        <v>1355</v>
      </c>
      <c r="F2604" s="1056">
        <v>171</v>
      </c>
      <c r="G2604" s="1056">
        <v>0</v>
      </c>
      <c r="H2604" s="1056">
        <v>0</v>
      </c>
      <c r="I2604" s="1056">
        <v>171</v>
      </c>
      <c r="K2604" s="995">
        <f t="shared" si="40"/>
        <v>8</v>
      </c>
    </row>
    <row r="2605" spans="1:11">
      <c r="A2605" s="1054">
        <v>52959595</v>
      </c>
      <c r="B2605" s="1055" t="s">
        <v>893</v>
      </c>
      <c r="C2605" s="1055" t="s">
        <v>323</v>
      </c>
      <c r="D2605" s="1055" t="s">
        <v>1715</v>
      </c>
      <c r="E2605" s="1055" t="s">
        <v>1716</v>
      </c>
      <c r="F2605" s="1056">
        <v>34</v>
      </c>
      <c r="G2605" s="1056">
        <v>0</v>
      </c>
      <c r="H2605" s="1056">
        <v>0</v>
      </c>
      <c r="I2605" s="1056">
        <v>34</v>
      </c>
      <c r="K2605" s="995">
        <f t="shared" si="40"/>
        <v>8</v>
      </c>
    </row>
    <row r="2606" spans="1:11">
      <c r="A2606" s="1054">
        <v>529596</v>
      </c>
      <c r="B2606" s="1055" t="s">
        <v>893</v>
      </c>
      <c r="C2606" s="1055" t="s">
        <v>433</v>
      </c>
      <c r="D2606" s="1055" t="s">
        <v>893</v>
      </c>
      <c r="E2606" s="1055" t="s">
        <v>893</v>
      </c>
      <c r="F2606" s="1056">
        <v>2540</v>
      </c>
      <c r="G2606" s="1056">
        <v>224</v>
      </c>
      <c r="H2606" s="1056">
        <v>0</v>
      </c>
      <c r="I2606" s="1056">
        <v>2764</v>
      </c>
      <c r="K2606" s="995">
        <f t="shared" si="40"/>
        <v>6</v>
      </c>
    </row>
    <row r="2607" spans="1:11">
      <c r="A2607" s="1054">
        <v>52959601</v>
      </c>
      <c r="B2607" s="1055" t="s">
        <v>893</v>
      </c>
      <c r="C2607" s="1055" t="s">
        <v>433</v>
      </c>
      <c r="D2607" s="1055" t="s">
        <v>893</v>
      </c>
      <c r="E2607" s="1055" t="s">
        <v>893</v>
      </c>
      <c r="F2607" s="1056">
        <v>1119</v>
      </c>
      <c r="G2607" s="1056">
        <v>224</v>
      </c>
      <c r="H2607" s="1056">
        <v>0</v>
      </c>
      <c r="I2607" s="1056">
        <v>1343</v>
      </c>
      <c r="K2607" s="995">
        <f t="shared" si="40"/>
        <v>8</v>
      </c>
    </row>
    <row r="2608" spans="1:11">
      <c r="A2608" s="1054">
        <v>52959601</v>
      </c>
      <c r="B2608" s="1055" t="s">
        <v>893</v>
      </c>
      <c r="C2608" s="1055" t="s">
        <v>433</v>
      </c>
      <c r="D2608" s="1055" t="s">
        <v>1043</v>
      </c>
      <c r="E2608" s="1055" t="s">
        <v>318</v>
      </c>
      <c r="F2608" s="1056">
        <v>5</v>
      </c>
      <c r="G2608" s="1056">
        <v>0</v>
      </c>
      <c r="H2608" s="1056">
        <v>0</v>
      </c>
      <c r="I2608" s="1056">
        <v>5</v>
      </c>
      <c r="K2608" s="995">
        <f t="shared" si="40"/>
        <v>8</v>
      </c>
    </row>
    <row r="2609" spans="1:11">
      <c r="A2609" s="1054">
        <v>52959601</v>
      </c>
      <c r="B2609" s="1055" t="s">
        <v>893</v>
      </c>
      <c r="C2609" s="1055" t="s">
        <v>433</v>
      </c>
      <c r="D2609" s="1055" t="s">
        <v>1331</v>
      </c>
      <c r="E2609" s="1055" t="s">
        <v>1332</v>
      </c>
      <c r="F2609" s="1056">
        <v>5</v>
      </c>
      <c r="G2609" s="1056">
        <v>0</v>
      </c>
      <c r="H2609" s="1056">
        <v>0</v>
      </c>
      <c r="I2609" s="1056">
        <v>5</v>
      </c>
      <c r="K2609" s="995">
        <f t="shared" si="40"/>
        <v>8</v>
      </c>
    </row>
    <row r="2610" spans="1:11">
      <c r="A2610" s="1054">
        <v>52959601</v>
      </c>
      <c r="B2610" s="1055" t="s">
        <v>893</v>
      </c>
      <c r="C2610" s="1055" t="s">
        <v>433</v>
      </c>
      <c r="D2610" s="1055" t="s">
        <v>1228</v>
      </c>
      <c r="E2610" s="1055" t="s">
        <v>1229</v>
      </c>
      <c r="F2610" s="1056">
        <v>18</v>
      </c>
      <c r="G2610" s="1056">
        <v>0</v>
      </c>
      <c r="H2610" s="1056">
        <v>0</v>
      </c>
      <c r="I2610" s="1056">
        <v>18</v>
      </c>
      <c r="K2610" s="995">
        <f t="shared" si="40"/>
        <v>8</v>
      </c>
    </row>
    <row r="2611" spans="1:11">
      <c r="A2611" s="1054">
        <v>52959601</v>
      </c>
      <c r="B2611" s="1055" t="s">
        <v>893</v>
      </c>
      <c r="C2611" s="1055" t="s">
        <v>433</v>
      </c>
      <c r="D2611" s="1055" t="s">
        <v>1411</v>
      </c>
      <c r="E2611" s="1055" t="s">
        <v>1412</v>
      </c>
      <c r="F2611" s="1056">
        <v>10</v>
      </c>
      <c r="G2611" s="1056">
        <v>0</v>
      </c>
      <c r="H2611" s="1056">
        <v>0</v>
      </c>
      <c r="I2611" s="1056">
        <v>10</v>
      </c>
      <c r="K2611" s="995">
        <f t="shared" si="40"/>
        <v>8</v>
      </c>
    </row>
    <row r="2612" spans="1:11">
      <c r="A2612" s="1054">
        <v>52959601</v>
      </c>
      <c r="B2612" s="1055" t="s">
        <v>893</v>
      </c>
      <c r="C2612" s="1055" t="s">
        <v>433</v>
      </c>
      <c r="D2612" s="1055" t="s">
        <v>1222</v>
      </c>
      <c r="E2612" s="1055" t="s">
        <v>332</v>
      </c>
      <c r="F2612" s="1056">
        <v>2</v>
      </c>
      <c r="G2612" s="1056">
        <v>0</v>
      </c>
      <c r="H2612" s="1056">
        <v>0</v>
      </c>
      <c r="I2612" s="1056">
        <v>2</v>
      </c>
      <c r="K2612" s="995">
        <f t="shared" si="40"/>
        <v>8</v>
      </c>
    </row>
    <row r="2613" spans="1:11">
      <c r="A2613" s="1054">
        <v>52959601</v>
      </c>
      <c r="B2613" s="1055" t="s">
        <v>893</v>
      </c>
      <c r="C2613" s="1055" t="s">
        <v>433</v>
      </c>
      <c r="D2613" s="1055" t="s">
        <v>1721</v>
      </c>
      <c r="E2613" s="1055" t="s">
        <v>1722</v>
      </c>
      <c r="F2613" s="1056">
        <v>37</v>
      </c>
      <c r="G2613" s="1056">
        <v>0</v>
      </c>
      <c r="H2613" s="1056">
        <v>0</v>
      </c>
      <c r="I2613" s="1056">
        <v>37</v>
      </c>
      <c r="K2613" s="995">
        <f t="shared" si="40"/>
        <v>8</v>
      </c>
    </row>
    <row r="2614" spans="1:11">
      <c r="A2614" s="1054">
        <v>52959601</v>
      </c>
      <c r="B2614" s="1055" t="s">
        <v>893</v>
      </c>
      <c r="C2614" s="1055" t="s">
        <v>433</v>
      </c>
      <c r="D2614" s="1055" t="s">
        <v>1572</v>
      </c>
      <c r="E2614" s="1055" t="s">
        <v>1573</v>
      </c>
      <c r="F2614" s="1056">
        <v>12</v>
      </c>
      <c r="G2614" s="1056">
        <v>12</v>
      </c>
      <c r="H2614" s="1056">
        <v>0</v>
      </c>
      <c r="I2614" s="1056">
        <v>23</v>
      </c>
      <c r="K2614" s="995">
        <f t="shared" si="40"/>
        <v>8</v>
      </c>
    </row>
    <row r="2615" spans="1:11">
      <c r="A2615" s="1054">
        <v>52959601</v>
      </c>
      <c r="B2615" s="1055" t="s">
        <v>893</v>
      </c>
      <c r="C2615" s="1055" t="s">
        <v>433</v>
      </c>
      <c r="D2615" s="1055" t="s">
        <v>1799</v>
      </c>
      <c r="E2615" s="1055" t="s">
        <v>1800</v>
      </c>
      <c r="F2615" s="1056">
        <v>106</v>
      </c>
      <c r="G2615" s="1056">
        <v>0</v>
      </c>
      <c r="H2615" s="1056">
        <v>0</v>
      </c>
      <c r="I2615" s="1056">
        <v>106</v>
      </c>
      <c r="K2615" s="995">
        <f t="shared" si="40"/>
        <v>8</v>
      </c>
    </row>
    <row r="2616" spans="1:11">
      <c r="A2616" s="1054">
        <v>52959601</v>
      </c>
      <c r="B2616" s="1055" t="s">
        <v>893</v>
      </c>
      <c r="C2616" s="1055" t="s">
        <v>433</v>
      </c>
      <c r="D2616" s="1055" t="s">
        <v>1069</v>
      </c>
      <c r="E2616" s="1055" t="s">
        <v>1070</v>
      </c>
      <c r="F2616" s="1056">
        <v>50</v>
      </c>
      <c r="G2616" s="1056">
        <v>1</v>
      </c>
      <c r="H2616" s="1056">
        <v>0</v>
      </c>
      <c r="I2616" s="1056">
        <v>51</v>
      </c>
      <c r="K2616" s="995">
        <f t="shared" si="40"/>
        <v>8</v>
      </c>
    </row>
    <row r="2617" spans="1:11">
      <c r="A2617" s="1054">
        <v>52959601</v>
      </c>
      <c r="B2617" s="1055" t="s">
        <v>893</v>
      </c>
      <c r="C2617" s="1055" t="s">
        <v>433</v>
      </c>
      <c r="D2617" s="1055" t="s">
        <v>1299</v>
      </c>
      <c r="E2617" s="1055" t="s">
        <v>1737</v>
      </c>
      <c r="F2617" s="1056">
        <v>39</v>
      </c>
      <c r="G2617" s="1056">
        <v>0</v>
      </c>
      <c r="H2617" s="1056">
        <v>0</v>
      </c>
      <c r="I2617" s="1056">
        <v>39</v>
      </c>
      <c r="K2617" s="995">
        <f t="shared" si="40"/>
        <v>8</v>
      </c>
    </row>
    <row r="2618" spans="1:11">
      <c r="A2618" s="1054">
        <v>52959601</v>
      </c>
      <c r="B2618" s="1055" t="s">
        <v>893</v>
      </c>
      <c r="C2618" s="1055" t="s">
        <v>433</v>
      </c>
      <c r="D2618" s="1055" t="s">
        <v>1290</v>
      </c>
      <c r="E2618" s="1055" t="s">
        <v>1291</v>
      </c>
      <c r="F2618" s="1056">
        <v>17</v>
      </c>
      <c r="G2618" s="1056">
        <v>0</v>
      </c>
      <c r="H2618" s="1056">
        <v>0</v>
      </c>
      <c r="I2618" s="1056">
        <v>17</v>
      </c>
      <c r="K2618" s="995">
        <f t="shared" si="40"/>
        <v>8</v>
      </c>
    </row>
    <row r="2619" spans="1:11">
      <c r="A2619" s="1054">
        <v>52959601</v>
      </c>
      <c r="B2619" s="1055" t="s">
        <v>893</v>
      </c>
      <c r="C2619" s="1055" t="s">
        <v>433</v>
      </c>
      <c r="D2619" s="1055" t="s">
        <v>1689</v>
      </c>
      <c r="E2619" s="1055" t="s">
        <v>1690</v>
      </c>
      <c r="F2619" s="1056">
        <v>22</v>
      </c>
      <c r="G2619" s="1056">
        <v>0</v>
      </c>
      <c r="H2619" s="1056">
        <v>0</v>
      </c>
      <c r="I2619" s="1056">
        <v>22</v>
      </c>
      <c r="K2619" s="995">
        <f t="shared" si="40"/>
        <v>8</v>
      </c>
    </row>
    <row r="2620" spans="1:11">
      <c r="A2620" s="1054">
        <v>52959601</v>
      </c>
      <c r="B2620" s="1055" t="s">
        <v>893</v>
      </c>
      <c r="C2620" s="1055" t="s">
        <v>433</v>
      </c>
      <c r="D2620" s="1055" t="s">
        <v>1235</v>
      </c>
      <c r="E2620" s="1055" t="s">
        <v>1236</v>
      </c>
      <c r="F2620" s="1056">
        <v>15</v>
      </c>
      <c r="G2620" s="1056">
        <v>0</v>
      </c>
      <c r="H2620" s="1056">
        <v>0</v>
      </c>
      <c r="I2620" s="1056">
        <v>15</v>
      </c>
      <c r="K2620" s="995">
        <f t="shared" si="40"/>
        <v>8</v>
      </c>
    </row>
    <row r="2621" spans="1:11">
      <c r="A2621" s="1054">
        <v>52959601</v>
      </c>
      <c r="B2621" s="1055" t="s">
        <v>893</v>
      </c>
      <c r="C2621" s="1055" t="s">
        <v>433</v>
      </c>
      <c r="D2621" s="1055" t="s">
        <v>1801</v>
      </c>
      <c r="E2621" s="1055" t="s">
        <v>1802</v>
      </c>
      <c r="F2621" s="1056">
        <v>47</v>
      </c>
      <c r="G2621" s="1056">
        <v>0</v>
      </c>
      <c r="H2621" s="1056">
        <v>0</v>
      </c>
      <c r="I2621" s="1056">
        <v>47</v>
      </c>
      <c r="K2621" s="995">
        <f t="shared" si="40"/>
        <v>8</v>
      </c>
    </row>
    <row r="2622" spans="1:11">
      <c r="A2622" s="1054">
        <v>52959601</v>
      </c>
      <c r="B2622" s="1055" t="s">
        <v>893</v>
      </c>
      <c r="C2622" s="1055" t="s">
        <v>433</v>
      </c>
      <c r="D2622" s="1055" t="s">
        <v>1352</v>
      </c>
      <c r="E2622" s="1055" t="s">
        <v>1353</v>
      </c>
      <c r="F2622" s="1056">
        <v>82</v>
      </c>
      <c r="G2622" s="1056">
        <v>0</v>
      </c>
      <c r="H2622" s="1056">
        <v>0</v>
      </c>
      <c r="I2622" s="1056">
        <v>82</v>
      </c>
      <c r="K2622" s="995">
        <f t="shared" si="40"/>
        <v>8</v>
      </c>
    </row>
    <row r="2623" spans="1:11">
      <c r="A2623" s="1054">
        <v>52959601</v>
      </c>
      <c r="B2623" s="1055" t="s">
        <v>893</v>
      </c>
      <c r="C2623" s="1055" t="s">
        <v>433</v>
      </c>
      <c r="D2623" s="1055" t="s">
        <v>1292</v>
      </c>
      <c r="E2623" s="1055" t="s">
        <v>1293</v>
      </c>
      <c r="F2623" s="1056">
        <v>6</v>
      </c>
      <c r="G2623" s="1056">
        <v>0</v>
      </c>
      <c r="H2623" s="1056">
        <v>0</v>
      </c>
      <c r="I2623" s="1056">
        <v>6</v>
      </c>
      <c r="K2623" s="995">
        <f t="shared" si="40"/>
        <v>8</v>
      </c>
    </row>
    <row r="2624" spans="1:11">
      <c r="A2624" s="1054">
        <v>52959601</v>
      </c>
      <c r="B2624" s="1055" t="s">
        <v>893</v>
      </c>
      <c r="C2624" s="1055" t="s">
        <v>433</v>
      </c>
      <c r="D2624" s="1055" t="s">
        <v>1238</v>
      </c>
      <c r="E2624" s="1055" t="s">
        <v>1239</v>
      </c>
      <c r="F2624" s="1056">
        <v>10</v>
      </c>
      <c r="G2624" s="1056">
        <v>0</v>
      </c>
      <c r="H2624" s="1056">
        <v>0</v>
      </c>
      <c r="I2624" s="1056">
        <v>10</v>
      </c>
      <c r="K2624" s="995">
        <f t="shared" si="40"/>
        <v>8</v>
      </c>
    </row>
    <row r="2625" spans="1:11">
      <c r="A2625" s="1054">
        <v>52959601</v>
      </c>
      <c r="B2625" s="1055" t="s">
        <v>893</v>
      </c>
      <c r="C2625" s="1055" t="s">
        <v>433</v>
      </c>
      <c r="D2625" s="1055" t="s">
        <v>1240</v>
      </c>
      <c r="E2625" s="1055" t="s">
        <v>1241</v>
      </c>
      <c r="F2625" s="1056">
        <v>11</v>
      </c>
      <c r="G2625" s="1056">
        <v>0</v>
      </c>
      <c r="H2625" s="1056">
        <v>0</v>
      </c>
      <c r="I2625" s="1056">
        <v>11</v>
      </c>
      <c r="K2625" s="995">
        <f t="shared" si="40"/>
        <v>8</v>
      </c>
    </row>
    <row r="2626" spans="1:11">
      <c r="A2626" s="1054">
        <v>52959601</v>
      </c>
      <c r="B2626" s="1055" t="s">
        <v>893</v>
      </c>
      <c r="C2626" s="1055" t="s">
        <v>433</v>
      </c>
      <c r="D2626" s="1055" t="s">
        <v>1170</v>
      </c>
      <c r="E2626" s="1055" t="s">
        <v>696</v>
      </c>
      <c r="F2626" s="1056">
        <v>4</v>
      </c>
      <c r="G2626" s="1056">
        <v>0</v>
      </c>
      <c r="H2626" s="1056">
        <v>0</v>
      </c>
      <c r="I2626" s="1056">
        <v>4</v>
      </c>
      <c r="K2626" s="995">
        <f t="shared" si="40"/>
        <v>8</v>
      </c>
    </row>
    <row r="2627" spans="1:11">
      <c r="A2627" s="1054">
        <v>52959601</v>
      </c>
      <c r="B2627" s="1055" t="s">
        <v>893</v>
      </c>
      <c r="C2627" s="1055" t="s">
        <v>433</v>
      </c>
      <c r="D2627" s="1055" t="s">
        <v>1036</v>
      </c>
      <c r="E2627" s="1055" t="s">
        <v>1037</v>
      </c>
      <c r="F2627" s="1056">
        <v>39</v>
      </c>
      <c r="G2627" s="1056">
        <v>0</v>
      </c>
      <c r="H2627" s="1056">
        <v>0</v>
      </c>
      <c r="I2627" s="1056">
        <v>39</v>
      </c>
      <c r="K2627" s="995">
        <f t="shared" si="40"/>
        <v>8</v>
      </c>
    </row>
    <row r="2628" spans="1:11">
      <c r="A2628" s="1054">
        <v>52959601</v>
      </c>
      <c r="B2628" s="1055" t="s">
        <v>893</v>
      </c>
      <c r="C2628" s="1055" t="s">
        <v>433</v>
      </c>
      <c r="D2628" s="1055" t="s">
        <v>1803</v>
      </c>
      <c r="E2628" s="1055" t="s">
        <v>1804</v>
      </c>
      <c r="F2628" s="1056">
        <v>8</v>
      </c>
      <c r="G2628" s="1056">
        <v>0</v>
      </c>
      <c r="H2628" s="1056">
        <v>0</v>
      </c>
      <c r="I2628" s="1056">
        <v>8</v>
      </c>
      <c r="K2628" s="995">
        <f t="shared" si="40"/>
        <v>8</v>
      </c>
    </row>
    <row r="2629" spans="1:11">
      <c r="A2629" s="1054">
        <v>52959601</v>
      </c>
      <c r="B2629" s="1055" t="s">
        <v>893</v>
      </c>
      <c r="C2629" s="1055" t="s">
        <v>433</v>
      </c>
      <c r="D2629" s="1055" t="s">
        <v>1356</v>
      </c>
      <c r="E2629" s="1055" t="s">
        <v>1357</v>
      </c>
      <c r="F2629" s="1056">
        <v>16</v>
      </c>
      <c r="G2629" s="1056">
        <v>0</v>
      </c>
      <c r="H2629" s="1056">
        <v>0</v>
      </c>
      <c r="I2629" s="1056">
        <v>16</v>
      </c>
      <c r="K2629" s="995">
        <f t="shared" ref="K2629:K2692" si="41">+LEN(A2629)</f>
        <v>8</v>
      </c>
    </row>
    <row r="2630" spans="1:11">
      <c r="A2630" s="1054">
        <v>52959601</v>
      </c>
      <c r="B2630" s="1055" t="s">
        <v>893</v>
      </c>
      <c r="C2630" s="1055" t="s">
        <v>433</v>
      </c>
      <c r="D2630" s="1055" t="s">
        <v>1413</v>
      </c>
      <c r="E2630" s="1055" t="s">
        <v>1414</v>
      </c>
      <c r="F2630" s="1056">
        <v>50</v>
      </c>
      <c r="G2630" s="1056">
        <v>22</v>
      </c>
      <c r="H2630" s="1056">
        <v>0</v>
      </c>
      <c r="I2630" s="1056">
        <v>71</v>
      </c>
      <c r="K2630" s="995">
        <f t="shared" si="41"/>
        <v>8</v>
      </c>
    </row>
    <row r="2631" spans="1:11">
      <c r="A2631" s="1054">
        <v>52959601</v>
      </c>
      <c r="B2631" s="1055" t="s">
        <v>893</v>
      </c>
      <c r="C2631" s="1055" t="s">
        <v>433</v>
      </c>
      <c r="D2631" s="1055" t="s">
        <v>1630</v>
      </c>
      <c r="E2631" s="1055" t="s">
        <v>1631</v>
      </c>
      <c r="F2631" s="1056">
        <v>8</v>
      </c>
      <c r="G2631" s="1056">
        <v>0</v>
      </c>
      <c r="H2631" s="1056">
        <v>0</v>
      </c>
      <c r="I2631" s="1056">
        <v>8</v>
      </c>
      <c r="K2631" s="995">
        <f t="shared" si="41"/>
        <v>8</v>
      </c>
    </row>
    <row r="2632" spans="1:11">
      <c r="A2632" s="1054">
        <v>52959601</v>
      </c>
      <c r="B2632" s="1055" t="s">
        <v>893</v>
      </c>
      <c r="C2632" s="1055" t="s">
        <v>433</v>
      </c>
      <c r="D2632" s="1055" t="s">
        <v>1415</v>
      </c>
      <c r="E2632" s="1055" t="s">
        <v>1416</v>
      </c>
      <c r="F2632" s="1056">
        <v>44</v>
      </c>
      <c r="G2632" s="1056">
        <v>5</v>
      </c>
      <c r="H2632" s="1056">
        <v>0</v>
      </c>
      <c r="I2632" s="1056">
        <v>49</v>
      </c>
      <c r="K2632" s="995">
        <f t="shared" si="41"/>
        <v>8</v>
      </c>
    </row>
    <row r="2633" spans="1:11">
      <c r="A2633" s="1054">
        <v>52959601</v>
      </c>
      <c r="B2633" s="1055" t="s">
        <v>893</v>
      </c>
      <c r="C2633" s="1055" t="s">
        <v>433</v>
      </c>
      <c r="D2633" s="1055" t="s">
        <v>1912</v>
      </c>
      <c r="E2633" s="1055" t="s">
        <v>1913</v>
      </c>
      <c r="F2633" s="1056">
        <v>0</v>
      </c>
      <c r="G2633" s="1056">
        <v>80</v>
      </c>
      <c r="H2633" s="1056">
        <v>0</v>
      </c>
      <c r="I2633" s="1056">
        <v>80</v>
      </c>
      <c r="K2633" s="995">
        <f t="shared" si="41"/>
        <v>8</v>
      </c>
    </row>
    <row r="2634" spans="1:11">
      <c r="A2634" s="1054">
        <v>52959601</v>
      </c>
      <c r="B2634" s="1055" t="s">
        <v>893</v>
      </c>
      <c r="C2634" s="1055" t="s">
        <v>433</v>
      </c>
      <c r="D2634" s="1055" t="s">
        <v>1060</v>
      </c>
      <c r="E2634" s="1055" t="s">
        <v>1061</v>
      </c>
      <c r="F2634" s="1056">
        <v>456</v>
      </c>
      <c r="G2634" s="1056">
        <v>105</v>
      </c>
      <c r="H2634" s="1056">
        <v>0</v>
      </c>
      <c r="I2634" s="1056">
        <v>561</v>
      </c>
      <c r="K2634" s="995">
        <f t="shared" si="41"/>
        <v>8</v>
      </c>
    </row>
    <row r="2635" spans="1:11">
      <c r="A2635" s="1054">
        <v>52959606</v>
      </c>
      <c r="B2635" s="1055" t="s">
        <v>893</v>
      </c>
      <c r="C2635" s="1055" t="s">
        <v>1805</v>
      </c>
      <c r="D2635" s="1055" t="s">
        <v>893</v>
      </c>
      <c r="E2635" s="1055" t="s">
        <v>893</v>
      </c>
      <c r="F2635" s="1056">
        <v>42</v>
      </c>
      <c r="G2635" s="1056">
        <v>0</v>
      </c>
      <c r="H2635" s="1056">
        <v>0</v>
      </c>
      <c r="I2635" s="1056">
        <v>42</v>
      </c>
      <c r="K2635" s="995">
        <f t="shared" si="41"/>
        <v>8</v>
      </c>
    </row>
    <row r="2636" spans="1:11">
      <c r="A2636" s="1054">
        <v>52959606</v>
      </c>
      <c r="B2636" s="1055" t="s">
        <v>893</v>
      </c>
      <c r="C2636" s="1055" t="s">
        <v>1805</v>
      </c>
      <c r="D2636" s="1055" t="s">
        <v>1053</v>
      </c>
      <c r="E2636" s="1055" t="s">
        <v>1054</v>
      </c>
      <c r="F2636" s="1056">
        <v>42</v>
      </c>
      <c r="G2636" s="1056">
        <v>0</v>
      </c>
      <c r="H2636" s="1056">
        <v>0</v>
      </c>
      <c r="I2636" s="1056">
        <v>42</v>
      </c>
      <c r="K2636" s="995">
        <f t="shared" si="41"/>
        <v>8</v>
      </c>
    </row>
    <row r="2637" spans="1:11">
      <c r="A2637" s="1054">
        <v>52959612</v>
      </c>
      <c r="B2637" s="1055" t="s">
        <v>893</v>
      </c>
      <c r="C2637" s="1055" t="s">
        <v>1632</v>
      </c>
      <c r="D2637" s="1055" t="s">
        <v>893</v>
      </c>
      <c r="E2637" s="1055" t="s">
        <v>893</v>
      </c>
      <c r="F2637" s="1056">
        <v>1379</v>
      </c>
      <c r="G2637" s="1056">
        <v>0</v>
      </c>
      <c r="H2637" s="1056">
        <v>0</v>
      </c>
      <c r="I2637" s="1056">
        <v>1379</v>
      </c>
      <c r="K2637" s="995">
        <f t="shared" si="41"/>
        <v>8</v>
      </c>
    </row>
    <row r="2638" spans="1:11">
      <c r="A2638" s="1054">
        <v>52959612</v>
      </c>
      <c r="B2638" s="1055" t="s">
        <v>893</v>
      </c>
      <c r="C2638" s="1055" t="s">
        <v>1632</v>
      </c>
      <c r="D2638" s="1055" t="s">
        <v>1066</v>
      </c>
      <c r="E2638" s="1055" t="s">
        <v>662</v>
      </c>
      <c r="F2638" s="1056">
        <v>1379</v>
      </c>
      <c r="G2638" s="1056">
        <v>0</v>
      </c>
      <c r="H2638" s="1056">
        <v>0</v>
      </c>
      <c r="I2638" s="1056">
        <v>1379</v>
      </c>
      <c r="K2638" s="995">
        <f t="shared" si="41"/>
        <v>8</v>
      </c>
    </row>
    <row r="2639" spans="1:11">
      <c r="A2639" s="1054">
        <v>5297</v>
      </c>
      <c r="B2639" s="1055" t="s">
        <v>1489</v>
      </c>
      <c r="C2639" s="1055" t="s">
        <v>778</v>
      </c>
      <c r="D2639" s="1055" t="s">
        <v>893</v>
      </c>
      <c r="E2639" s="1055" t="s">
        <v>893</v>
      </c>
      <c r="F2639" s="1056">
        <v>5431</v>
      </c>
      <c r="G2639" s="1056">
        <v>456</v>
      </c>
      <c r="H2639" s="1056">
        <v>0</v>
      </c>
      <c r="I2639" s="1056">
        <v>5887</v>
      </c>
      <c r="K2639" s="995">
        <f t="shared" si="41"/>
        <v>4</v>
      </c>
    </row>
    <row r="2640" spans="1:11">
      <c r="A2640" s="1054">
        <v>529705</v>
      </c>
      <c r="B2640" s="1055" t="s">
        <v>1489</v>
      </c>
      <c r="C2640" s="1055" t="s">
        <v>551</v>
      </c>
      <c r="D2640" s="1055" t="s">
        <v>893</v>
      </c>
      <c r="E2640" s="1055" t="s">
        <v>893</v>
      </c>
      <c r="F2640" s="1056">
        <v>5431</v>
      </c>
      <c r="G2640" s="1056">
        <v>456</v>
      </c>
      <c r="H2640" s="1056">
        <v>0</v>
      </c>
      <c r="I2640" s="1056">
        <v>5887</v>
      </c>
      <c r="K2640" s="995">
        <f t="shared" si="41"/>
        <v>6</v>
      </c>
    </row>
    <row r="2641" spans="1:11">
      <c r="A2641" s="1054">
        <v>52970501</v>
      </c>
      <c r="B2641" s="1055" t="s">
        <v>1489</v>
      </c>
      <c r="C2641" s="1055" t="s">
        <v>551</v>
      </c>
      <c r="D2641" s="1055" t="s">
        <v>893</v>
      </c>
      <c r="E2641" s="1055" t="s">
        <v>893</v>
      </c>
      <c r="F2641" s="1056">
        <v>1943</v>
      </c>
      <c r="G2641" s="1056">
        <v>456</v>
      </c>
      <c r="H2641" s="1056">
        <v>0</v>
      </c>
      <c r="I2641" s="1056">
        <v>2399</v>
      </c>
      <c r="K2641" s="995">
        <f t="shared" si="41"/>
        <v>8</v>
      </c>
    </row>
    <row r="2642" spans="1:11">
      <c r="A2642" s="1054">
        <v>52970501</v>
      </c>
      <c r="B2642" s="1055" t="s">
        <v>1489</v>
      </c>
      <c r="C2642" s="1055" t="s">
        <v>551</v>
      </c>
      <c r="D2642" s="1055" t="s">
        <v>1230</v>
      </c>
      <c r="E2642" s="1055" t="s">
        <v>1231</v>
      </c>
      <c r="F2642" s="1056">
        <v>490</v>
      </c>
      <c r="G2642" s="1056">
        <v>0</v>
      </c>
      <c r="H2642" s="1056">
        <v>0</v>
      </c>
      <c r="I2642" s="1056">
        <v>490</v>
      </c>
      <c r="K2642" s="995">
        <f t="shared" si="41"/>
        <v>8</v>
      </c>
    </row>
    <row r="2643" spans="1:11">
      <c r="A2643" s="1054">
        <v>52970501</v>
      </c>
      <c r="B2643" s="1055" t="s">
        <v>1489</v>
      </c>
      <c r="C2643" s="1055" t="s">
        <v>551</v>
      </c>
      <c r="D2643" s="1055" t="s">
        <v>1232</v>
      </c>
      <c r="E2643" s="1055" t="s">
        <v>1233</v>
      </c>
      <c r="F2643" s="1056">
        <v>151</v>
      </c>
      <c r="G2643" s="1056">
        <v>0</v>
      </c>
      <c r="H2643" s="1056">
        <v>0</v>
      </c>
      <c r="I2643" s="1056">
        <v>151</v>
      </c>
      <c r="K2643" s="995">
        <f t="shared" si="41"/>
        <v>8</v>
      </c>
    </row>
    <row r="2644" spans="1:11">
      <c r="A2644" s="1054">
        <v>52970501</v>
      </c>
      <c r="B2644" s="1055" t="s">
        <v>1489</v>
      </c>
      <c r="C2644" s="1055" t="s">
        <v>551</v>
      </c>
      <c r="D2644" s="1055" t="s">
        <v>1308</v>
      </c>
      <c r="E2644" s="1055" t="s">
        <v>993</v>
      </c>
      <c r="F2644" s="1056">
        <v>323</v>
      </c>
      <c r="G2644" s="1056">
        <v>0</v>
      </c>
      <c r="H2644" s="1056">
        <v>0</v>
      </c>
      <c r="I2644" s="1056">
        <v>323</v>
      </c>
      <c r="K2644" s="995">
        <f t="shared" si="41"/>
        <v>8</v>
      </c>
    </row>
    <row r="2645" spans="1:11">
      <c r="A2645" s="1054">
        <v>52970501</v>
      </c>
      <c r="B2645" s="1055" t="s">
        <v>1489</v>
      </c>
      <c r="C2645" s="1055" t="s">
        <v>551</v>
      </c>
      <c r="D2645" s="1055" t="s">
        <v>1294</v>
      </c>
      <c r="E2645" s="1055" t="s">
        <v>779</v>
      </c>
      <c r="F2645" s="1056">
        <v>979</v>
      </c>
      <c r="G2645" s="1056">
        <v>0</v>
      </c>
      <c r="H2645" s="1056">
        <v>0</v>
      </c>
      <c r="I2645" s="1056">
        <v>979</v>
      </c>
      <c r="K2645" s="995">
        <f t="shared" si="41"/>
        <v>8</v>
      </c>
    </row>
    <row r="2646" spans="1:11">
      <c r="A2646" s="1054">
        <v>52970501</v>
      </c>
      <c r="B2646" s="1055" t="s">
        <v>1489</v>
      </c>
      <c r="C2646" s="1055" t="s">
        <v>551</v>
      </c>
      <c r="D2646" s="1055" t="s">
        <v>1924</v>
      </c>
      <c r="E2646" s="1055" t="s">
        <v>1925</v>
      </c>
      <c r="F2646" s="1056">
        <v>0</v>
      </c>
      <c r="G2646" s="1056">
        <v>456</v>
      </c>
      <c r="H2646" s="1056">
        <v>0</v>
      </c>
      <c r="I2646" s="1056">
        <v>456</v>
      </c>
      <c r="K2646" s="995">
        <f t="shared" si="41"/>
        <v>8</v>
      </c>
    </row>
    <row r="2647" spans="1:11">
      <c r="A2647" s="1054">
        <v>52970502</v>
      </c>
      <c r="B2647" s="1055" t="s">
        <v>1489</v>
      </c>
      <c r="C2647" s="1055" t="s">
        <v>551</v>
      </c>
      <c r="D2647" s="1055" t="s">
        <v>893</v>
      </c>
      <c r="E2647" s="1055" t="s">
        <v>893</v>
      </c>
      <c r="F2647" s="1056">
        <v>3488</v>
      </c>
      <c r="G2647" s="1056">
        <v>0</v>
      </c>
      <c r="H2647" s="1056">
        <v>0</v>
      </c>
      <c r="I2647" s="1056">
        <v>3488</v>
      </c>
      <c r="K2647" s="995">
        <f t="shared" si="41"/>
        <v>8</v>
      </c>
    </row>
    <row r="2648" spans="1:11">
      <c r="A2648" s="1054">
        <v>52970502</v>
      </c>
      <c r="B2648" s="1055" t="s">
        <v>1489</v>
      </c>
      <c r="C2648" s="1055" t="s">
        <v>551</v>
      </c>
      <c r="D2648" s="1055" t="s">
        <v>1338</v>
      </c>
      <c r="E2648" s="1055" t="s">
        <v>1339</v>
      </c>
      <c r="F2648" s="1056">
        <v>25</v>
      </c>
      <c r="G2648" s="1056">
        <v>0</v>
      </c>
      <c r="H2648" s="1056">
        <v>0</v>
      </c>
      <c r="I2648" s="1056">
        <v>25</v>
      </c>
      <c r="K2648" s="995">
        <f t="shared" si="41"/>
        <v>8</v>
      </c>
    </row>
    <row r="2649" spans="1:11">
      <c r="A2649" s="1054">
        <v>52970502</v>
      </c>
      <c r="B2649" s="1055" t="s">
        <v>1489</v>
      </c>
      <c r="C2649" s="1055" t="s">
        <v>551</v>
      </c>
      <c r="D2649" s="1055" t="s">
        <v>1232</v>
      </c>
      <c r="E2649" s="1055" t="s">
        <v>1233</v>
      </c>
      <c r="F2649" s="1056">
        <v>39</v>
      </c>
      <c r="G2649" s="1056">
        <v>0</v>
      </c>
      <c r="H2649" s="1056">
        <v>0</v>
      </c>
      <c r="I2649" s="1056">
        <v>39</v>
      </c>
      <c r="K2649" s="995">
        <f t="shared" si="41"/>
        <v>8</v>
      </c>
    </row>
    <row r="2650" spans="1:11">
      <c r="A2650" s="1054">
        <v>52970502</v>
      </c>
      <c r="B2650" s="1055" t="s">
        <v>1489</v>
      </c>
      <c r="C2650" s="1055" t="s">
        <v>551</v>
      </c>
      <c r="D2650" s="1055" t="s">
        <v>1777</v>
      </c>
      <c r="E2650" s="1055" t="s">
        <v>1778</v>
      </c>
      <c r="F2650" s="1056">
        <v>3424</v>
      </c>
      <c r="G2650" s="1056">
        <v>0</v>
      </c>
      <c r="H2650" s="1056">
        <v>0</v>
      </c>
      <c r="I2650" s="1056">
        <v>3424</v>
      </c>
      <c r="K2650" s="995">
        <f t="shared" si="41"/>
        <v>8</v>
      </c>
    </row>
    <row r="2651" spans="1:11">
      <c r="A2651" s="1054">
        <v>53</v>
      </c>
      <c r="B2651" s="1055" t="s">
        <v>893</v>
      </c>
      <c r="C2651" s="1055" t="s">
        <v>369</v>
      </c>
      <c r="D2651" s="1055" t="s">
        <v>893</v>
      </c>
      <c r="E2651" s="1055" t="s">
        <v>893</v>
      </c>
      <c r="F2651" s="1056">
        <v>66229</v>
      </c>
      <c r="G2651" s="1056">
        <v>19487</v>
      </c>
      <c r="H2651" s="1056">
        <v>6297</v>
      </c>
      <c r="I2651" s="1056">
        <v>79418</v>
      </c>
      <c r="K2651" s="995">
        <f t="shared" si="41"/>
        <v>2</v>
      </c>
    </row>
    <row r="2652" spans="1:11">
      <c r="A2652" s="1054">
        <v>5305</v>
      </c>
      <c r="B2652" s="1055" t="s">
        <v>893</v>
      </c>
      <c r="C2652" s="1055" t="s">
        <v>375</v>
      </c>
      <c r="D2652" s="1055" t="s">
        <v>893</v>
      </c>
      <c r="E2652" s="1055" t="s">
        <v>893</v>
      </c>
      <c r="F2652" s="1056">
        <v>66182</v>
      </c>
      <c r="G2652" s="1056">
        <v>13190</v>
      </c>
      <c r="H2652" s="1056">
        <v>0</v>
      </c>
      <c r="I2652" s="1056">
        <v>79372</v>
      </c>
      <c r="K2652" s="995">
        <f t="shared" si="41"/>
        <v>4</v>
      </c>
    </row>
    <row r="2653" spans="1:11">
      <c r="A2653" s="1054">
        <v>530505</v>
      </c>
      <c r="B2653" s="1055" t="s">
        <v>893</v>
      </c>
      <c r="C2653" s="1055" t="s">
        <v>144</v>
      </c>
      <c r="D2653" s="1055" t="s">
        <v>893</v>
      </c>
      <c r="E2653" s="1055" t="s">
        <v>893</v>
      </c>
      <c r="F2653" s="1056">
        <v>2255</v>
      </c>
      <c r="G2653" s="1056">
        <v>242</v>
      </c>
      <c r="H2653" s="1056">
        <v>0</v>
      </c>
      <c r="I2653" s="1056">
        <v>2497</v>
      </c>
      <c r="K2653" s="995">
        <f t="shared" si="41"/>
        <v>6</v>
      </c>
    </row>
    <row r="2654" spans="1:11">
      <c r="A2654" s="1054">
        <v>53050501</v>
      </c>
      <c r="B2654" s="1055" t="s">
        <v>893</v>
      </c>
      <c r="C2654" s="1055" t="s">
        <v>144</v>
      </c>
      <c r="D2654" s="1055" t="s">
        <v>893</v>
      </c>
      <c r="E2654" s="1055" t="s">
        <v>893</v>
      </c>
      <c r="F2654" s="1056">
        <v>2255</v>
      </c>
      <c r="G2654" s="1056">
        <v>242</v>
      </c>
      <c r="H2654" s="1056">
        <v>0</v>
      </c>
      <c r="I2654" s="1056">
        <v>2497</v>
      </c>
      <c r="K2654" s="995">
        <f t="shared" si="41"/>
        <v>8</v>
      </c>
    </row>
    <row r="2655" spans="1:11">
      <c r="A2655" s="1054">
        <v>53050501</v>
      </c>
      <c r="B2655" s="1055" t="s">
        <v>893</v>
      </c>
      <c r="C2655" s="1055" t="s">
        <v>144</v>
      </c>
      <c r="D2655" s="1055" t="s">
        <v>1171</v>
      </c>
      <c r="E2655" s="1055" t="s">
        <v>335</v>
      </c>
      <c r="F2655" s="1056">
        <v>292</v>
      </c>
      <c r="G2655" s="1056">
        <v>0</v>
      </c>
      <c r="H2655" s="1056">
        <v>0</v>
      </c>
      <c r="I2655" s="1056">
        <v>292</v>
      </c>
      <c r="K2655" s="995">
        <f t="shared" si="41"/>
        <v>8</v>
      </c>
    </row>
    <row r="2656" spans="1:11">
      <c r="A2656" s="1054">
        <v>53050501</v>
      </c>
      <c r="B2656" s="1055" t="s">
        <v>893</v>
      </c>
      <c r="C2656" s="1055" t="s">
        <v>144</v>
      </c>
      <c r="D2656" s="1055" t="s">
        <v>1099</v>
      </c>
      <c r="E2656" s="1055" t="s">
        <v>1100</v>
      </c>
      <c r="F2656" s="1056">
        <v>146</v>
      </c>
      <c r="G2656" s="1056">
        <v>0</v>
      </c>
      <c r="H2656" s="1056">
        <v>0</v>
      </c>
      <c r="I2656" s="1056">
        <v>146</v>
      </c>
      <c r="K2656" s="995">
        <f t="shared" si="41"/>
        <v>8</v>
      </c>
    </row>
    <row r="2657" spans="1:11">
      <c r="A2657" s="1054">
        <v>53050501</v>
      </c>
      <c r="B2657" s="1055" t="s">
        <v>893</v>
      </c>
      <c r="C2657" s="1055" t="s">
        <v>144</v>
      </c>
      <c r="D2657" s="1055" t="s">
        <v>1172</v>
      </c>
      <c r="E2657" s="1055" t="s">
        <v>1173</v>
      </c>
      <c r="F2657" s="1056">
        <v>872</v>
      </c>
      <c r="G2657" s="1056">
        <v>60</v>
      </c>
      <c r="H2657" s="1056">
        <v>0</v>
      </c>
      <c r="I2657" s="1056">
        <v>932</v>
      </c>
      <c r="K2657" s="995">
        <f t="shared" si="41"/>
        <v>8</v>
      </c>
    </row>
    <row r="2658" spans="1:11">
      <c r="A2658" s="1054">
        <v>53050501</v>
      </c>
      <c r="B2658" s="1055" t="s">
        <v>893</v>
      </c>
      <c r="C2658" s="1055" t="s">
        <v>144</v>
      </c>
      <c r="D2658" s="1055" t="s">
        <v>1168</v>
      </c>
      <c r="E2658" s="1055" t="s">
        <v>1169</v>
      </c>
      <c r="F2658" s="1056">
        <v>722</v>
      </c>
      <c r="G2658" s="1056">
        <v>87</v>
      </c>
      <c r="H2658" s="1056">
        <v>0</v>
      </c>
      <c r="I2658" s="1056">
        <v>809</v>
      </c>
      <c r="K2658" s="995">
        <f t="shared" si="41"/>
        <v>8</v>
      </c>
    </row>
    <row r="2659" spans="1:11">
      <c r="A2659" s="1054">
        <v>53050501</v>
      </c>
      <c r="B2659" s="1055" t="s">
        <v>893</v>
      </c>
      <c r="C2659" s="1055" t="s">
        <v>144</v>
      </c>
      <c r="D2659" s="1055" t="s">
        <v>1035</v>
      </c>
      <c r="E2659" s="1055" t="s">
        <v>573</v>
      </c>
      <c r="F2659" s="1056">
        <v>223</v>
      </c>
      <c r="G2659" s="1056">
        <v>95</v>
      </c>
      <c r="H2659" s="1056">
        <v>0</v>
      </c>
      <c r="I2659" s="1056">
        <v>318</v>
      </c>
      <c r="K2659" s="995">
        <f t="shared" si="41"/>
        <v>8</v>
      </c>
    </row>
    <row r="2660" spans="1:11">
      <c r="A2660" s="1054">
        <v>530506</v>
      </c>
      <c r="B2660" s="1055" t="s">
        <v>893</v>
      </c>
      <c r="C2660" s="1055" t="s">
        <v>400</v>
      </c>
      <c r="D2660" s="1055" t="s">
        <v>893</v>
      </c>
      <c r="E2660" s="1055" t="s">
        <v>893</v>
      </c>
      <c r="F2660" s="1056">
        <v>12146</v>
      </c>
      <c r="G2660" s="1056">
        <v>2457</v>
      </c>
      <c r="H2660" s="1056">
        <v>0</v>
      </c>
      <c r="I2660" s="1056">
        <v>14603</v>
      </c>
      <c r="K2660" s="995">
        <f t="shared" si="41"/>
        <v>6</v>
      </c>
    </row>
    <row r="2661" spans="1:11">
      <c r="A2661" s="1054">
        <v>53050601</v>
      </c>
      <c r="B2661" s="1055" t="s">
        <v>893</v>
      </c>
      <c r="C2661" s="1055" t="s">
        <v>400</v>
      </c>
      <c r="D2661" s="1055" t="s">
        <v>893</v>
      </c>
      <c r="E2661" s="1055" t="s">
        <v>893</v>
      </c>
      <c r="F2661" s="1056">
        <v>12146</v>
      </c>
      <c r="G2661" s="1056">
        <v>2457</v>
      </c>
      <c r="H2661" s="1056">
        <v>0</v>
      </c>
      <c r="I2661" s="1056">
        <v>14603</v>
      </c>
      <c r="K2661" s="995">
        <f t="shared" si="41"/>
        <v>8</v>
      </c>
    </row>
    <row r="2662" spans="1:11">
      <c r="A2662" s="1054">
        <v>53050601</v>
      </c>
      <c r="B2662" s="1055" t="s">
        <v>893</v>
      </c>
      <c r="C2662" s="1055" t="s">
        <v>400</v>
      </c>
      <c r="D2662" s="1055" t="s">
        <v>1171</v>
      </c>
      <c r="E2662" s="1055" t="s">
        <v>335</v>
      </c>
      <c r="F2662" s="1056">
        <v>732</v>
      </c>
      <c r="G2662" s="1056">
        <v>135</v>
      </c>
      <c r="H2662" s="1056">
        <v>0</v>
      </c>
      <c r="I2662" s="1056">
        <v>867</v>
      </c>
      <c r="K2662" s="995">
        <f t="shared" si="41"/>
        <v>8</v>
      </c>
    </row>
    <row r="2663" spans="1:11">
      <c r="A2663" s="1054">
        <v>53050601</v>
      </c>
      <c r="B2663" s="1055" t="s">
        <v>893</v>
      </c>
      <c r="C2663" s="1055" t="s">
        <v>400</v>
      </c>
      <c r="D2663" s="1055" t="s">
        <v>1172</v>
      </c>
      <c r="E2663" s="1055" t="s">
        <v>1173</v>
      </c>
      <c r="F2663" s="1056">
        <v>820</v>
      </c>
      <c r="G2663" s="1056">
        <v>104</v>
      </c>
      <c r="H2663" s="1056">
        <v>0</v>
      </c>
      <c r="I2663" s="1056">
        <v>924</v>
      </c>
      <c r="K2663" s="995">
        <f t="shared" si="41"/>
        <v>8</v>
      </c>
    </row>
    <row r="2664" spans="1:11">
      <c r="A2664" s="1054">
        <v>53050601</v>
      </c>
      <c r="B2664" s="1055" t="s">
        <v>893</v>
      </c>
      <c r="C2664" s="1055" t="s">
        <v>400</v>
      </c>
      <c r="D2664" s="1055" t="s">
        <v>1168</v>
      </c>
      <c r="E2664" s="1055" t="s">
        <v>1169</v>
      </c>
      <c r="F2664" s="1056">
        <v>10595</v>
      </c>
      <c r="G2664" s="1056">
        <v>2218</v>
      </c>
      <c r="H2664" s="1056">
        <v>0</v>
      </c>
      <c r="I2664" s="1056">
        <v>12812</v>
      </c>
      <c r="K2664" s="995">
        <f t="shared" si="41"/>
        <v>8</v>
      </c>
    </row>
    <row r="2665" spans="1:11">
      <c r="A2665" s="1054">
        <v>530515</v>
      </c>
      <c r="B2665" s="1055" t="s">
        <v>893</v>
      </c>
      <c r="C2665" s="1055" t="s">
        <v>398</v>
      </c>
      <c r="D2665" s="1055" t="s">
        <v>893</v>
      </c>
      <c r="E2665" s="1055" t="s">
        <v>893</v>
      </c>
      <c r="F2665" s="1056">
        <v>31964</v>
      </c>
      <c r="G2665" s="1056">
        <v>6018</v>
      </c>
      <c r="H2665" s="1056">
        <v>0</v>
      </c>
      <c r="I2665" s="1056">
        <v>37982</v>
      </c>
      <c r="K2665" s="995">
        <f t="shared" si="41"/>
        <v>6</v>
      </c>
    </row>
    <row r="2666" spans="1:11">
      <c r="A2666" s="1054">
        <v>53051501</v>
      </c>
      <c r="B2666" s="1055" t="s">
        <v>893</v>
      </c>
      <c r="C2666" s="1055" t="s">
        <v>398</v>
      </c>
      <c r="D2666" s="1055" t="s">
        <v>893</v>
      </c>
      <c r="E2666" s="1055" t="s">
        <v>893</v>
      </c>
      <c r="F2666" s="1056">
        <v>31964</v>
      </c>
      <c r="G2666" s="1056">
        <v>6018</v>
      </c>
      <c r="H2666" s="1056">
        <v>0</v>
      </c>
      <c r="I2666" s="1056">
        <v>37982</v>
      </c>
      <c r="K2666" s="995">
        <f t="shared" si="41"/>
        <v>8</v>
      </c>
    </row>
    <row r="2667" spans="1:11">
      <c r="A2667" s="1054">
        <v>53051501</v>
      </c>
      <c r="B2667" s="1055" t="s">
        <v>893</v>
      </c>
      <c r="C2667" s="1055" t="s">
        <v>398</v>
      </c>
      <c r="D2667" s="1055" t="s">
        <v>1066</v>
      </c>
      <c r="E2667" s="1055" t="s">
        <v>662</v>
      </c>
      <c r="F2667" s="1056">
        <v>26</v>
      </c>
      <c r="G2667" s="1056">
        <v>0</v>
      </c>
      <c r="H2667" s="1056">
        <v>0</v>
      </c>
      <c r="I2667" s="1056">
        <v>26</v>
      </c>
      <c r="K2667" s="995">
        <f t="shared" si="41"/>
        <v>8</v>
      </c>
    </row>
    <row r="2668" spans="1:11">
      <c r="A2668" s="1054">
        <v>53051501</v>
      </c>
      <c r="B2668" s="1055" t="s">
        <v>893</v>
      </c>
      <c r="C2668" s="1055" t="s">
        <v>398</v>
      </c>
      <c r="D2668" s="1055" t="s">
        <v>1405</v>
      </c>
      <c r="E2668" s="1055" t="s">
        <v>1406</v>
      </c>
      <c r="F2668" s="1056">
        <v>3410</v>
      </c>
      <c r="G2668" s="1056">
        <v>0</v>
      </c>
      <c r="H2668" s="1056">
        <v>0</v>
      </c>
      <c r="I2668" s="1056">
        <v>3410</v>
      </c>
      <c r="K2668" s="995">
        <f t="shared" si="41"/>
        <v>8</v>
      </c>
    </row>
    <row r="2669" spans="1:11">
      <c r="A2669" s="1054">
        <v>53051501</v>
      </c>
      <c r="B2669" s="1055" t="s">
        <v>893</v>
      </c>
      <c r="C2669" s="1055" t="s">
        <v>398</v>
      </c>
      <c r="D2669" s="1055" t="s">
        <v>1171</v>
      </c>
      <c r="E2669" s="1055" t="s">
        <v>335</v>
      </c>
      <c r="F2669" s="1056">
        <v>0</v>
      </c>
      <c r="G2669" s="1056">
        <v>55</v>
      </c>
      <c r="H2669" s="1056">
        <v>0</v>
      </c>
      <c r="I2669" s="1056">
        <v>55</v>
      </c>
      <c r="K2669" s="995">
        <f t="shared" si="41"/>
        <v>8</v>
      </c>
    </row>
    <row r="2670" spans="1:11">
      <c r="A2670" s="1054">
        <v>53051501</v>
      </c>
      <c r="B2670" s="1055" t="s">
        <v>893</v>
      </c>
      <c r="C2670" s="1055" t="s">
        <v>398</v>
      </c>
      <c r="D2670" s="1055" t="s">
        <v>1099</v>
      </c>
      <c r="E2670" s="1055" t="s">
        <v>1100</v>
      </c>
      <c r="F2670" s="1056">
        <v>292</v>
      </c>
      <c r="G2670" s="1056">
        <v>0</v>
      </c>
      <c r="H2670" s="1056">
        <v>0</v>
      </c>
      <c r="I2670" s="1056">
        <v>292</v>
      </c>
      <c r="K2670" s="995">
        <f t="shared" si="41"/>
        <v>8</v>
      </c>
    </row>
    <row r="2671" spans="1:11">
      <c r="A2671" s="1054">
        <v>53051501</v>
      </c>
      <c r="B2671" s="1055" t="s">
        <v>893</v>
      </c>
      <c r="C2671" s="1055" t="s">
        <v>398</v>
      </c>
      <c r="D2671" s="1055" t="s">
        <v>1168</v>
      </c>
      <c r="E2671" s="1055" t="s">
        <v>1169</v>
      </c>
      <c r="F2671" s="1056">
        <v>28234</v>
      </c>
      <c r="G2671" s="1056">
        <v>5963</v>
      </c>
      <c r="H2671" s="1056">
        <v>0</v>
      </c>
      <c r="I2671" s="1056">
        <v>34197</v>
      </c>
      <c r="K2671" s="995">
        <f t="shared" si="41"/>
        <v>8</v>
      </c>
    </row>
    <row r="2672" spans="1:11">
      <c r="A2672" s="1054">
        <v>530516</v>
      </c>
      <c r="B2672" s="1055" t="s">
        <v>893</v>
      </c>
      <c r="C2672" s="1055" t="s">
        <v>1852</v>
      </c>
      <c r="D2672" s="1055" t="s">
        <v>893</v>
      </c>
      <c r="E2672" s="1055" t="s">
        <v>893</v>
      </c>
      <c r="F2672" s="1056">
        <v>1200</v>
      </c>
      <c r="G2672" s="1056">
        <v>0</v>
      </c>
      <c r="H2672" s="1056">
        <v>0</v>
      </c>
      <c r="I2672" s="1056">
        <v>1200</v>
      </c>
      <c r="K2672" s="995">
        <f t="shared" si="41"/>
        <v>6</v>
      </c>
    </row>
    <row r="2673" spans="1:11">
      <c r="A2673" s="1054">
        <v>53051601</v>
      </c>
      <c r="B2673" s="1055" t="s">
        <v>893</v>
      </c>
      <c r="C2673" s="1055" t="s">
        <v>1852</v>
      </c>
      <c r="D2673" s="1055" t="s">
        <v>893</v>
      </c>
      <c r="E2673" s="1055" t="s">
        <v>893</v>
      </c>
      <c r="F2673" s="1056">
        <v>1200</v>
      </c>
      <c r="G2673" s="1056">
        <v>0</v>
      </c>
      <c r="H2673" s="1056">
        <v>0</v>
      </c>
      <c r="I2673" s="1056">
        <v>1200</v>
      </c>
      <c r="K2673" s="995">
        <f t="shared" si="41"/>
        <v>8</v>
      </c>
    </row>
    <row r="2674" spans="1:11">
      <c r="A2674" s="1054">
        <v>53051601</v>
      </c>
      <c r="B2674" s="1055" t="s">
        <v>893</v>
      </c>
      <c r="C2674" s="1055" t="s">
        <v>1852</v>
      </c>
      <c r="D2674" s="1055" t="s">
        <v>1172</v>
      </c>
      <c r="E2674" s="1055" t="s">
        <v>1173</v>
      </c>
      <c r="F2674" s="1056">
        <v>1200</v>
      </c>
      <c r="G2674" s="1056">
        <v>0</v>
      </c>
      <c r="H2674" s="1056">
        <v>0</v>
      </c>
      <c r="I2674" s="1056">
        <v>1200</v>
      </c>
      <c r="K2674" s="995">
        <f t="shared" si="41"/>
        <v>8</v>
      </c>
    </row>
    <row r="2675" spans="1:11">
      <c r="A2675" s="1054">
        <v>530520</v>
      </c>
      <c r="B2675" s="1055" t="s">
        <v>893</v>
      </c>
      <c r="C2675" s="1055" t="s">
        <v>130</v>
      </c>
      <c r="D2675" s="1055" t="s">
        <v>893</v>
      </c>
      <c r="E2675" s="1055" t="s">
        <v>893</v>
      </c>
      <c r="F2675" s="1056">
        <v>18579</v>
      </c>
      <c r="G2675" s="1056">
        <v>4321</v>
      </c>
      <c r="H2675" s="1056">
        <v>0</v>
      </c>
      <c r="I2675" s="1056">
        <v>22900</v>
      </c>
      <c r="K2675" s="995">
        <f t="shared" si="41"/>
        <v>6</v>
      </c>
    </row>
    <row r="2676" spans="1:11">
      <c r="A2676" s="1054">
        <v>53052001</v>
      </c>
      <c r="B2676" s="1055" t="s">
        <v>893</v>
      </c>
      <c r="C2676" s="1055" t="s">
        <v>130</v>
      </c>
      <c r="D2676" s="1055" t="s">
        <v>893</v>
      </c>
      <c r="E2676" s="1055" t="s">
        <v>893</v>
      </c>
      <c r="F2676" s="1056">
        <v>18579</v>
      </c>
      <c r="G2676" s="1056">
        <v>4321</v>
      </c>
      <c r="H2676" s="1056">
        <v>0</v>
      </c>
      <c r="I2676" s="1056">
        <v>22900</v>
      </c>
      <c r="K2676" s="995">
        <f t="shared" si="41"/>
        <v>8</v>
      </c>
    </row>
    <row r="2677" spans="1:11">
      <c r="A2677" s="1054">
        <v>53052001</v>
      </c>
      <c r="B2677" s="1055" t="s">
        <v>893</v>
      </c>
      <c r="C2677" s="1055" t="s">
        <v>130</v>
      </c>
      <c r="D2677" s="1055" t="s">
        <v>1177</v>
      </c>
      <c r="E2677" s="1055" t="s">
        <v>1011</v>
      </c>
      <c r="F2677" s="1056">
        <v>1478</v>
      </c>
      <c r="G2677" s="1056">
        <v>296</v>
      </c>
      <c r="H2677" s="1056">
        <v>0</v>
      </c>
      <c r="I2677" s="1056">
        <v>1774</v>
      </c>
      <c r="K2677" s="995">
        <f t="shared" si="41"/>
        <v>8</v>
      </c>
    </row>
    <row r="2678" spans="1:11">
      <c r="A2678" s="1054">
        <v>53052001</v>
      </c>
      <c r="B2678" s="1055" t="s">
        <v>893</v>
      </c>
      <c r="C2678" s="1055" t="s">
        <v>130</v>
      </c>
      <c r="D2678" s="1055" t="s">
        <v>1178</v>
      </c>
      <c r="E2678" s="1055" t="s">
        <v>1012</v>
      </c>
      <c r="F2678" s="1056">
        <v>3226</v>
      </c>
      <c r="G2678" s="1056">
        <v>645</v>
      </c>
      <c r="H2678" s="1056">
        <v>0</v>
      </c>
      <c r="I2678" s="1056">
        <v>3871</v>
      </c>
      <c r="K2678" s="995">
        <f t="shared" si="41"/>
        <v>8</v>
      </c>
    </row>
    <row r="2679" spans="1:11">
      <c r="A2679" s="1054">
        <v>53052001</v>
      </c>
      <c r="B2679" s="1055" t="s">
        <v>893</v>
      </c>
      <c r="C2679" s="1055" t="s">
        <v>130</v>
      </c>
      <c r="D2679" s="1055" t="s">
        <v>1171</v>
      </c>
      <c r="E2679" s="1055" t="s">
        <v>335</v>
      </c>
      <c r="F2679" s="1056">
        <v>9511</v>
      </c>
      <c r="G2679" s="1056">
        <v>1686</v>
      </c>
      <c r="H2679" s="1056">
        <v>0</v>
      </c>
      <c r="I2679" s="1056">
        <v>11197</v>
      </c>
      <c r="K2679" s="995">
        <f t="shared" si="41"/>
        <v>8</v>
      </c>
    </row>
    <row r="2680" spans="1:11">
      <c r="A2680" s="1054">
        <v>53052001</v>
      </c>
      <c r="B2680" s="1055" t="s">
        <v>893</v>
      </c>
      <c r="C2680" s="1055" t="s">
        <v>130</v>
      </c>
      <c r="D2680" s="1055" t="s">
        <v>1099</v>
      </c>
      <c r="E2680" s="1055" t="s">
        <v>1100</v>
      </c>
      <c r="F2680" s="1056">
        <v>450</v>
      </c>
      <c r="G2680" s="1056">
        <v>0</v>
      </c>
      <c r="H2680" s="1056">
        <v>0</v>
      </c>
      <c r="I2680" s="1056">
        <v>450</v>
      </c>
      <c r="K2680" s="995">
        <f t="shared" si="41"/>
        <v>8</v>
      </c>
    </row>
    <row r="2681" spans="1:11">
      <c r="A2681" s="1054">
        <v>53052001</v>
      </c>
      <c r="B2681" s="1055" t="s">
        <v>893</v>
      </c>
      <c r="C2681" s="1055" t="s">
        <v>130</v>
      </c>
      <c r="D2681" s="1055" t="s">
        <v>1172</v>
      </c>
      <c r="E2681" s="1055" t="s">
        <v>1173</v>
      </c>
      <c r="F2681" s="1056">
        <v>2813</v>
      </c>
      <c r="G2681" s="1056">
        <v>1694</v>
      </c>
      <c r="H2681" s="1056">
        <v>0</v>
      </c>
      <c r="I2681" s="1056">
        <v>4507</v>
      </c>
      <c r="K2681" s="995">
        <f t="shared" si="41"/>
        <v>8</v>
      </c>
    </row>
    <row r="2682" spans="1:11">
      <c r="A2682" s="1054">
        <v>53052001</v>
      </c>
      <c r="B2682" s="1055" t="s">
        <v>893</v>
      </c>
      <c r="C2682" s="1055" t="s">
        <v>130</v>
      </c>
      <c r="D2682" s="1055" t="s">
        <v>1168</v>
      </c>
      <c r="E2682" s="1055" t="s">
        <v>1169</v>
      </c>
      <c r="F2682" s="1056">
        <v>1101</v>
      </c>
      <c r="G2682" s="1056">
        <v>0</v>
      </c>
      <c r="H2682" s="1056">
        <v>0</v>
      </c>
      <c r="I2682" s="1056">
        <v>1101</v>
      </c>
      <c r="K2682" s="995">
        <f t="shared" si="41"/>
        <v>8</v>
      </c>
    </row>
    <row r="2683" spans="1:11">
      <c r="A2683" s="1054">
        <v>530521</v>
      </c>
      <c r="B2683" s="1055" t="s">
        <v>893</v>
      </c>
      <c r="C2683" s="1055" t="s">
        <v>376</v>
      </c>
      <c r="D2683" s="1055" t="s">
        <v>893</v>
      </c>
      <c r="E2683" s="1055" t="s">
        <v>893</v>
      </c>
      <c r="F2683" s="1056">
        <v>38</v>
      </c>
      <c r="G2683" s="1056">
        <v>103</v>
      </c>
      <c r="H2683" s="1056">
        <v>0</v>
      </c>
      <c r="I2683" s="1056">
        <v>140</v>
      </c>
      <c r="K2683" s="995">
        <f t="shared" si="41"/>
        <v>6</v>
      </c>
    </row>
    <row r="2684" spans="1:11">
      <c r="A2684" s="1054">
        <v>53052101</v>
      </c>
      <c r="B2684" s="1055" t="s">
        <v>893</v>
      </c>
      <c r="C2684" s="1055" t="s">
        <v>376</v>
      </c>
      <c r="D2684" s="1055" t="s">
        <v>893</v>
      </c>
      <c r="E2684" s="1055" t="s">
        <v>893</v>
      </c>
      <c r="F2684" s="1056">
        <v>38</v>
      </c>
      <c r="G2684" s="1056">
        <v>103</v>
      </c>
      <c r="H2684" s="1056">
        <v>0</v>
      </c>
      <c r="I2684" s="1056">
        <v>140</v>
      </c>
      <c r="K2684" s="995">
        <f t="shared" si="41"/>
        <v>8</v>
      </c>
    </row>
    <row r="2685" spans="1:11">
      <c r="A2685" s="1054">
        <v>53052101</v>
      </c>
      <c r="B2685" s="1055" t="s">
        <v>893</v>
      </c>
      <c r="C2685" s="1055" t="s">
        <v>376</v>
      </c>
      <c r="D2685" s="1055" t="s">
        <v>1187</v>
      </c>
      <c r="E2685" s="1055" t="s">
        <v>1019</v>
      </c>
      <c r="F2685" s="1056">
        <v>12</v>
      </c>
      <c r="G2685" s="1056">
        <v>0</v>
      </c>
      <c r="H2685" s="1056">
        <v>0</v>
      </c>
      <c r="I2685" s="1056">
        <v>12</v>
      </c>
      <c r="K2685" s="995">
        <f t="shared" si="41"/>
        <v>8</v>
      </c>
    </row>
    <row r="2686" spans="1:11">
      <c r="A2686" s="1054">
        <v>53052101</v>
      </c>
      <c r="B2686" s="1055" t="s">
        <v>893</v>
      </c>
      <c r="C2686" s="1055" t="s">
        <v>376</v>
      </c>
      <c r="D2686" s="1055" t="s">
        <v>1313</v>
      </c>
      <c r="E2686" s="1055" t="s">
        <v>1020</v>
      </c>
      <c r="F2686" s="1056">
        <v>21</v>
      </c>
      <c r="G2686" s="1056">
        <v>0</v>
      </c>
      <c r="H2686" s="1056">
        <v>0</v>
      </c>
      <c r="I2686" s="1056">
        <v>21</v>
      </c>
      <c r="K2686" s="995">
        <f t="shared" si="41"/>
        <v>8</v>
      </c>
    </row>
    <row r="2687" spans="1:11">
      <c r="A2687" s="1054">
        <v>53052101</v>
      </c>
      <c r="B2687" s="1055" t="s">
        <v>893</v>
      </c>
      <c r="C2687" s="1055" t="s">
        <v>376</v>
      </c>
      <c r="D2687" s="1055" t="s">
        <v>1171</v>
      </c>
      <c r="E2687" s="1055" t="s">
        <v>335</v>
      </c>
      <c r="F2687" s="1056">
        <v>1</v>
      </c>
      <c r="G2687" s="1056">
        <v>0</v>
      </c>
      <c r="H2687" s="1056">
        <v>0</v>
      </c>
      <c r="I2687" s="1056">
        <v>1</v>
      </c>
      <c r="K2687" s="995">
        <f t="shared" si="41"/>
        <v>8</v>
      </c>
    </row>
    <row r="2688" spans="1:11">
      <c r="A2688" s="1054">
        <v>53052101</v>
      </c>
      <c r="B2688" s="1055" t="s">
        <v>893</v>
      </c>
      <c r="C2688" s="1055" t="s">
        <v>376</v>
      </c>
      <c r="D2688" s="1055" t="s">
        <v>1196</v>
      </c>
      <c r="E2688" s="1055" t="s">
        <v>1023</v>
      </c>
      <c r="F2688" s="1056">
        <v>0</v>
      </c>
      <c r="G2688" s="1056">
        <v>103</v>
      </c>
      <c r="H2688" s="1056">
        <v>0</v>
      </c>
      <c r="I2688" s="1056">
        <v>103</v>
      </c>
      <c r="K2688" s="995">
        <f t="shared" si="41"/>
        <v>8</v>
      </c>
    </row>
    <row r="2689" spans="1:11">
      <c r="A2689" s="1054">
        <v>53052101</v>
      </c>
      <c r="B2689" s="1055" t="s">
        <v>893</v>
      </c>
      <c r="C2689" s="1055" t="s">
        <v>376</v>
      </c>
      <c r="D2689" s="1055" t="s">
        <v>1170</v>
      </c>
      <c r="E2689" s="1055" t="s">
        <v>696</v>
      </c>
      <c r="F2689" s="1056">
        <v>3</v>
      </c>
      <c r="G2689" s="1056">
        <v>0</v>
      </c>
      <c r="H2689" s="1056">
        <v>0</v>
      </c>
      <c r="I2689" s="1056">
        <v>3</v>
      </c>
      <c r="K2689" s="995">
        <f t="shared" si="41"/>
        <v>8</v>
      </c>
    </row>
    <row r="2690" spans="1:11">
      <c r="A2690" s="1054">
        <v>530535</v>
      </c>
      <c r="B2690" s="1055" t="s">
        <v>893</v>
      </c>
      <c r="C2690" s="1055" t="s">
        <v>401</v>
      </c>
      <c r="D2690" s="1055" t="s">
        <v>893</v>
      </c>
      <c r="E2690" s="1055" t="s">
        <v>893</v>
      </c>
      <c r="F2690" s="1056">
        <v>0</v>
      </c>
      <c r="G2690" s="1056">
        <v>49</v>
      </c>
      <c r="H2690" s="1056">
        <v>0</v>
      </c>
      <c r="I2690" s="1056">
        <v>49</v>
      </c>
      <c r="K2690" s="995">
        <f t="shared" si="41"/>
        <v>6</v>
      </c>
    </row>
    <row r="2691" spans="1:11">
      <c r="A2691" s="1054">
        <v>53053501</v>
      </c>
      <c r="B2691" s="1055" t="s">
        <v>893</v>
      </c>
      <c r="C2691" s="1055" t="s">
        <v>401</v>
      </c>
      <c r="D2691" s="1055" t="s">
        <v>893</v>
      </c>
      <c r="E2691" s="1055" t="s">
        <v>893</v>
      </c>
      <c r="F2691" s="1056">
        <v>0</v>
      </c>
      <c r="G2691" s="1056">
        <v>49</v>
      </c>
      <c r="H2691" s="1056">
        <v>0</v>
      </c>
      <c r="I2691" s="1056">
        <v>49</v>
      </c>
      <c r="K2691" s="995">
        <f t="shared" si="41"/>
        <v>8</v>
      </c>
    </row>
    <row r="2692" spans="1:11">
      <c r="A2692" s="1054">
        <v>53053501</v>
      </c>
      <c r="B2692" s="1055" t="s">
        <v>893</v>
      </c>
      <c r="C2692" s="1055" t="s">
        <v>401</v>
      </c>
      <c r="D2692" s="1055" t="s">
        <v>1035</v>
      </c>
      <c r="E2692" s="1055" t="s">
        <v>573</v>
      </c>
      <c r="F2692" s="1056">
        <v>0</v>
      </c>
      <c r="G2692" s="1056">
        <v>49</v>
      </c>
      <c r="H2692" s="1056">
        <v>0</v>
      </c>
      <c r="I2692" s="1056">
        <v>49</v>
      </c>
      <c r="K2692" s="995">
        <f t="shared" si="41"/>
        <v>8</v>
      </c>
    </row>
    <row r="2693" spans="1:11">
      <c r="A2693" s="1054">
        <v>5395</v>
      </c>
      <c r="B2693" s="1055" t="s">
        <v>1489</v>
      </c>
      <c r="C2693" s="1055" t="s">
        <v>141</v>
      </c>
      <c r="D2693" s="1055" t="s">
        <v>893</v>
      </c>
      <c r="E2693" s="1055" t="s">
        <v>893</v>
      </c>
      <c r="F2693" s="1056">
        <v>47</v>
      </c>
      <c r="G2693" s="1056">
        <v>6297</v>
      </c>
      <c r="H2693" s="1056">
        <v>6297</v>
      </c>
      <c r="I2693" s="1056">
        <v>47</v>
      </c>
      <c r="K2693" s="995">
        <f t="shared" ref="K2693:K2756" si="42">+LEN(A2693)</f>
        <v>4</v>
      </c>
    </row>
    <row r="2694" spans="1:11">
      <c r="A2694" s="1054">
        <v>539580</v>
      </c>
      <c r="B2694" s="1055" t="s">
        <v>893</v>
      </c>
      <c r="C2694" s="1055" t="s">
        <v>374</v>
      </c>
      <c r="D2694" s="1055" t="s">
        <v>893</v>
      </c>
      <c r="E2694" s="1055" t="s">
        <v>893</v>
      </c>
      <c r="F2694" s="1056">
        <v>47</v>
      </c>
      <c r="G2694" s="1056">
        <v>0</v>
      </c>
      <c r="H2694" s="1056">
        <v>0</v>
      </c>
      <c r="I2694" s="1056">
        <v>47</v>
      </c>
      <c r="K2694" s="995">
        <f t="shared" si="42"/>
        <v>6</v>
      </c>
    </row>
    <row r="2695" spans="1:11">
      <c r="A2695" s="1054">
        <v>53958001</v>
      </c>
      <c r="B2695" s="1055" t="s">
        <v>893</v>
      </c>
      <c r="C2695" s="1055" t="s">
        <v>374</v>
      </c>
      <c r="D2695" s="1055" t="s">
        <v>893</v>
      </c>
      <c r="E2695" s="1055" t="s">
        <v>893</v>
      </c>
      <c r="F2695" s="1056">
        <v>47</v>
      </c>
      <c r="G2695" s="1056">
        <v>0</v>
      </c>
      <c r="H2695" s="1056">
        <v>0</v>
      </c>
      <c r="I2695" s="1056">
        <v>47</v>
      </c>
      <c r="K2695" s="995">
        <f t="shared" si="42"/>
        <v>8</v>
      </c>
    </row>
    <row r="2696" spans="1:11">
      <c r="A2696" s="1054">
        <v>53958001</v>
      </c>
      <c r="B2696" s="1055" t="s">
        <v>893</v>
      </c>
      <c r="C2696" s="1055" t="s">
        <v>374</v>
      </c>
      <c r="D2696" s="1055" t="s">
        <v>1298</v>
      </c>
      <c r="E2696" s="1055" t="s">
        <v>987</v>
      </c>
      <c r="F2696" s="1056">
        <v>0</v>
      </c>
      <c r="G2696" s="1056">
        <v>0</v>
      </c>
      <c r="H2696" s="1056">
        <v>0</v>
      </c>
      <c r="I2696" s="1056">
        <v>0</v>
      </c>
      <c r="K2696" s="995">
        <f t="shared" si="42"/>
        <v>8</v>
      </c>
    </row>
    <row r="2697" spans="1:11">
      <c r="A2697" s="1054">
        <v>53958001</v>
      </c>
      <c r="B2697" s="1055" t="s">
        <v>893</v>
      </c>
      <c r="C2697" s="1055" t="s">
        <v>374</v>
      </c>
      <c r="D2697" s="1055" t="s">
        <v>1270</v>
      </c>
      <c r="E2697" s="1055" t="s">
        <v>988</v>
      </c>
      <c r="F2697" s="1056">
        <v>7</v>
      </c>
      <c r="G2697" s="1056">
        <v>0</v>
      </c>
      <c r="H2697" s="1056">
        <v>0</v>
      </c>
      <c r="I2697" s="1056">
        <v>7</v>
      </c>
      <c r="K2697" s="995">
        <f t="shared" si="42"/>
        <v>8</v>
      </c>
    </row>
    <row r="2698" spans="1:11">
      <c r="A2698" s="1054">
        <v>53958001</v>
      </c>
      <c r="B2698" s="1055" t="s">
        <v>893</v>
      </c>
      <c r="C2698" s="1055" t="s">
        <v>374</v>
      </c>
      <c r="D2698" s="1055" t="s">
        <v>1304</v>
      </c>
      <c r="E2698" s="1055" t="s">
        <v>1819</v>
      </c>
      <c r="F2698" s="1056">
        <v>4</v>
      </c>
      <c r="G2698" s="1056">
        <v>0</v>
      </c>
      <c r="H2698" s="1056">
        <v>0</v>
      </c>
      <c r="I2698" s="1056">
        <v>4</v>
      </c>
      <c r="K2698" s="995">
        <f t="shared" si="42"/>
        <v>8</v>
      </c>
    </row>
    <row r="2699" spans="1:11">
      <c r="A2699" s="1054">
        <v>53958001</v>
      </c>
      <c r="B2699" s="1055" t="s">
        <v>893</v>
      </c>
      <c r="C2699" s="1055" t="s">
        <v>374</v>
      </c>
      <c r="D2699" s="1055" t="s">
        <v>1274</v>
      </c>
      <c r="E2699" s="1055" t="s">
        <v>989</v>
      </c>
      <c r="F2699" s="1056">
        <v>6</v>
      </c>
      <c r="G2699" s="1056">
        <v>0</v>
      </c>
      <c r="H2699" s="1056">
        <v>0</v>
      </c>
      <c r="I2699" s="1056">
        <v>6</v>
      </c>
      <c r="K2699" s="995">
        <f t="shared" si="42"/>
        <v>8</v>
      </c>
    </row>
    <row r="2700" spans="1:11">
      <c r="A2700" s="1054">
        <v>53958001</v>
      </c>
      <c r="B2700" s="1055" t="s">
        <v>893</v>
      </c>
      <c r="C2700" s="1055" t="s">
        <v>374</v>
      </c>
      <c r="D2700" s="1055" t="s">
        <v>1700</v>
      </c>
      <c r="E2700" s="1055" t="s">
        <v>1701</v>
      </c>
      <c r="F2700" s="1056">
        <v>0</v>
      </c>
      <c r="G2700" s="1056">
        <v>0</v>
      </c>
      <c r="H2700" s="1056">
        <v>0</v>
      </c>
      <c r="I2700" s="1056">
        <v>0</v>
      </c>
      <c r="K2700" s="995">
        <f t="shared" si="42"/>
        <v>8</v>
      </c>
    </row>
    <row r="2701" spans="1:11">
      <c r="A2701" s="1054">
        <v>53958001</v>
      </c>
      <c r="B2701" s="1055" t="s">
        <v>893</v>
      </c>
      <c r="C2701" s="1055" t="s">
        <v>374</v>
      </c>
      <c r="D2701" s="1055" t="s">
        <v>1223</v>
      </c>
      <c r="E2701" s="1055" t="s">
        <v>742</v>
      </c>
      <c r="F2701" s="1056">
        <v>0</v>
      </c>
      <c r="G2701" s="1056">
        <v>0</v>
      </c>
      <c r="H2701" s="1056">
        <v>0</v>
      </c>
      <c r="I2701" s="1056">
        <v>0</v>
      </c>
      <c r="K2701" s="995">
        <f t="shared" si="42"/>
        <v>8</v>
      </c>
    </row>
    <row r="2702" spans="1:11">
      <c r="A2702" s="1054">
        <v>53958001</v>
      </c>
      <c r="B2702" s="1055" t="s">
        <v>893</v>
      </c>
      <c r="C2702" s="1055" t="s">
        <v>374</v>
      </c>
      <c r="D2702" s="1055" t="s">
        <v>1066</v>
      </c>
      <c r="E2702" s="1055" t="s">
        <v>662</v>
      </c>
      <c r="F2702" s="1056">
        <v>4</v>
      </c>
      <c r="G2702" s="1056">
        <v>0</v>
      </c>
      <c r="H2702" s="1056">
        <v>0</v>
      </c>
      <c r="I2702" s="1056">
        <v>4</v>
      </c>
      <c r="K2702" s="995">
        <f t="shared" si="42"/>
        <v>8</v>
      </c>
    </row>
    <row r="2703" spans="1:11">
      <c r="A2703" s="1054">
        <v>53958001</v>
      </c>
      <c r="B2703" s="1055" t="s">
        <v>893</v>
      </c>
      <c r="C2703" s="1055" t="s">
        <v>374</v>
      </c>
      <c r="D2703" s="1055" t="s">
        <v>1171</v>
      </c>
      <c r="E2703" s="1055" t="s">
        <v>335</v>
      </c>
      <c r="F2703" s="1056">
        <v>0</v>
      </c>
      <c r="G2703" s="1056">
        <v>0</v>
      </c>
      <c r="H2703" s="1056">
        <v>0</v>
      </c>
      <c r="I2703" s="1056">
        <v>0</v>
      </c>
      <c r="K2703" s="995">
        <f t="shared" si="42"/>
        <v>8</v>
      </c>
    </row>
    <row r="2704" spans="1:11">
      <c r="A2704" s="1054">
        <v>53958001</v>
      </c>
      <c r="B2704" s="1055" t="s">
        <v>893</v>
      </c>
      <c r="C2704" s="1055" t="s">
        <v>374</v>
      </c>
      <c r="D2704" s="1055" t="s">
        <v>1352</v>
      </c>
      <c r="E2704" s="1055" t="s">
        <v>1353</v>
      </c>
      <c r="F2704" s="1056">
        <v>0</v>
      </c>
      <c r="G2704" s="1056">
        <v>0</v>
      </c>
      <c r="H2704" s="1056">
        <v>0</v>
      </c>
      <c r="I2704" s="1056">
        <v>0</v>
      </c>
      <c r="K2704" s="995">
        <f t="shared" si="42"/>
        <v>8</v>
      </c>
    </row>
    <row r="2705" spans="1:11">
      <c r="A2705" s="1054">
        <v>53958001</v>
      </c>
      <c r="B2705" s="1055" t="s">
        <v>893</v>
      </c>
      <c r="C2705" s="1055" t="s">
        <v>374</v>
      </c>
      <c r="D2705" s="1055" t="s">
        <v>1035</v>
      </c>
      <c r="E2705" s="1055" t="s">
        <v>573</v>
      </c>
      <c r="F2705" s="1056">
        <v>1</v>
      </c>
      <c r="G2705" s="1056">
        <v>0</v>
      </c>
      <c r="H2705" s="1056">
        <v>0</v>
      </c>
      <c r="I2705" s="1056">
        <v>1</v>
      </c>
      <c r="K2705" s="995">
        <f t="shared" si="42"/>
        <v>8</v>
      </c>
    </row>
    <row r="2706" spans="1:11">
      <c r="A2706" s="1054">
        <v>53958001</v>
      </c>
      <c r="B2706" s="1055" t="s">
        <v>893</v>
      </c>
      <c r="C2706" s="1055" t="s">
        <v>374</v>
      </c>
      <c r="D2706" s="1055" t="s">
        <v>1036</v>
      </c>
      <c r="E2706" s="1055" t="s">
        <v>1037</v>
      </c>
      <c r="F2706" s="1056">
        <v>0</v>
      </c>
      <c r="G2706" s="1056">
        <v>0</v>
      </c>
      <c r="H2706" s="1056">
        <v>0</v>
      </c>
      <c r="I2706" s="1056">
        <v>0</v>
      </c>
      <c r="K2706" s="995">
        <f t="shared" si="42"/>
        <v>8</v>
      </c>
    </row>
    <row r="2707" spans="1:11">
      <c r="A2707" s="1054">
        <v>53958001</v>
      </c>
      <c r="B2707" s="1055" t="s">
        <v>893</v>
      </c>
      <c r="C2707" s="1055" t="s">
        <v>374</v>
      </c>
      <c r="D2707" s="1055" t="s">
        <v>1702</v>
      </c>
      <c r="E2707" s="1055" t="s">
        <v>1703</v>
      </c>
      <c r="F2707" s="1056">
        <v>0</v>
      </c>
      <c r="G2707" s="1056">
        <v>0</v>
      </c>
      <c r="H2707" s="1056">
        <v>0</v>
      </c>
      <c r="I2707" s="1056">
        <v>0</v>
      </c>
      <c r="K2707" s="995">
        <f t="shared" si="42"/>
        <v>8</v>
      </c>
    </row>
    <row r="2708" spans="1:11">
      <c r="A2708" s="1054">
        <v>53958001</v>
      </c>
      <c r="B2708" s="1055" t="s">
        <v>893</v>
      </c>
      <c r="C2708" s="1055" t="s">
        <v>374</v>
      </c>
      <c r="D2708" s="1055" t="s">
        <v>1249</v>
      </c>
      <c r="E2708" s="1055" t="s">
        <v>583</v>
      </c>
      <c r="F2708" s="1056">
        <v>5</v>
      </c>
      <c r="G2708" s="1056">
        <v>0</v>
      </c>
      <c r="H2708" s="1056">
        <v>0</v>
      </c>
      <c r="I2708" s="1056">
        <v>5</v>
      </c>
      <c r="K2708" s="995">
        <f t="shared" si="42"/>
        <v>8</v>
      </c>
    </row>
    <row r="2709" spans="1:11">
      <c r="A2709" s="1054">
        <v>53958001</v>
      </c>
      <c r="B2709" s="1055" t="s">
        <v>893</v>
      </c>
      <c r="C2709" s="1055" t="s">
        <v>374</v>
      </c>
      <c r="D2709" s="1055" t="s">
        <v>1305</v>
      </c>
      <c r="E2709" s="1055" t="s">
        <v>990</v>
      </c>
      <c r="F2709" s="1056">
        <v>1</v>
      </c>
      <c r="G2709" s="1056">
        <v>0</v>
      </c>
      <c r="H2709" s="1056">
        <v>0</v>
      </c>
      <c r="I2709" s="1056">
        <v>1</v>
      </c>
      <c r="K2709" s="995">
        <f t="shared" si="42"/>
        <v>8</v>
      </c>
    </row>
    <row r="2710" spans="1:11">
      <c r="A2710" s="1054">
        <v>53958001</v>
      </c>
      <c r="B2710" s="1055" t="s">
        <v>893</v>
      </c>
      <c r="C2710" s="1055" t="s">
        <v>374</v>
      </c>
      <c r="D2710" s="1055" t="s">
        <v>1605</v>
      </c>
      <c r="E2710" s="1055" t="s">
        <v>1606</v>
      </c>
      <c r="F2710" s="1056">
        <v>5</v>
      </c>
      <c r="G2710" s="1056">
        <v>0</v>
      </c>
      <c r="H2710" s="1056">
        <v>0</v>
      </c>
      <c r="I2710" s="1056">
        <v>5</v>
      </c>
      <c r="K2710" s="995">
        <f t="shared" si="42"/>
        <v>8</v>
      </c>
    </row>
    <row r="2711" spans="1:11">
      <c r="A2711" s="1054">
        <v>53958001</v>
      </c>
      <c r="B2711" s="1055" t="s">
        <v>893</v>
      </c>
      <c r="C2711" s="1055" t="s">
        <v>374</v>
      </c>
      <c r="D2711" s="1055" t="s">
        <v>1254</v>
      </c>
      <c r="E2711" s="1055" t="s">
        <v>744</v>
      </c>
      <c r="F2711" s="1056">
        <v>10</v>
      </c>
      <c r="G2711" s="1056">
        <v>0</v>
      </c>
      <c r="H2711" s="1056">
        <v>0</v>
      </c>
      <c r="I2711" s="1056">
        <v>10</v>
      </c>
      <c r="K2711" s="995">
        <f t="shared" si="42"/>
        <v>8</v>
      </c>
    </row>
    <row r="2712" spans="1:11">
      <c r="A2712" s="1054">
        <v>53958001</v>
      </c>
      <c r="B2712" s="1055" t="s">
        <v>893</v>
      </c>
      <c r="C2712" s="1055" t="s">
        <v>374</v>
      </c>
      <c r="D2712" s="1055" t="s">
        <v>1275</v>
      </c>
      <c r="E2712" s="1055" t="s">
        <v>991</v>
      </c>
      <c r="F2712" s="1056">
        <v>5</v>
      </c>
      <c r="G2712" s="1056">
        <v>0</v>
      </c>
      <c r="H2712" s="1056">
        <v>0</v>
      </c>
      <c r="I2712" s="1056">
        <v>5</v>
      </c>
      <c r="K2712" s="995">
        <f t="shared" si="42"/>
        <v>8</v>
      </c>
    </row>
    <row r="2713" spans="1:11">
      <c r="A2713" s="1054">
        <v>539581</v>
      </c>
      <c r="B2713" s="1055" t="s">
        <v>1489</v>
      </c>
      <c r="C2713" s="1055" t="s">
        <v>374</v>
      </c>
      <c r="D2713" s="1055" t="s">
        <v>893</v>
      </c>
      <c r="E2713" s="1055" t="s">
        <v>893</v>
      </c>
      <c r="F2713" s="1056">
        <v>0</v>
      </c>
      <c r="G2713" s="1056">
        <v>0</v>
      </c>
      <c r="H2713" s="1056">
        <v>0</v>
      </c>
      <c r="I2713" s="1056">
        <v>0</v>
      </c>
      <c r="K2713" s="995">
        <f t="shared" si="42"/>
        <v>6</v>
      </c>
    </row>
    <row r="2714" spans="1:11">
      <c r="A2714" s="1054">
        <v>53958101</v>
      </c>
      <c r="B2714" s="1055" t="s">
        <v>1489</v>
      </c>
      <c r="C2714" s="1055" t="s">
        <v>374</v>
      </c>
      <c r="D2714" s="1055" t="s">
        <v>893</v>
      </c>
      <c r="E2714" s="1055" t="s">
        <v>893</v>
      </c>
      <c r="F2714" s="1056">
        <v>0</v>
      </c>
      <c r="G2714" s="1056">
        <v>0</v>
      </c>
      <c r="H2714" s="1056">
        <v>0</v>
      </c>
      <c r="I2714" s="1056">
        <v>0</v>
      </c>
      <c r="K2714" s="995">
        <f t="shared" si="42"/>
        <v>8</v>
      </c>
    </row>
    <row r="2715" spans="1:11">
      <c r="A2715" s="1054">
        <v>53958101</v>
      </c>
      <c r="B2715" s="1055" t="s">
        <v>1489</v>
      </c>
      <c r="C2715" s="1055" t="s">
        <v>374</v>
      </c>
      <c r="D2715" s="1055" t="s">
        <v>1605</v>
      </c>
      <c r="E2715" s="1055" t="s">
        <v>1606</v>
      </c>
      <c r="F2715" s="1056">
        <v>0</v>
      </c>
      <c r="G2715" s="1056">
        <v>0</v>
      </c>
      <c r="H2715" s="1056">
        <v>0</v>
      </c>
      <c r="I2715" s="1056">
        <v>0</v>
      </c>
      <c r="K2715" s="995">
        <f t="shared" si="42"/>
        <v>8</v>
      </c>
    </row>
    <row r="2716" spans="1:11">
      <c r="A2716" s="1054">
        <v>539595</v>
      </c>
      <c r="B2716" s="1055" t="s">
        <v>893</v>
      </c>
      <c r="C2716" s="1055" t="s">
        <v>323</v>
      </c>
      <c r="D2716" s="1055" t="s">
        <v>893</v>
      </c>
      <c r="E2716" s="1055" t="s">
        <v>893</v>
      </c>
      <c r="F2716" s="1056">
        <v>0</v>
      </c>
      <c r="G2716" s="1056">
        <v>6297</v>
      </c>
      <c r="H2716" s="1056">
        <v>6297</v>
      </c>
      <c r="I2716" s="1056">
        <v>0</v>
      </c>
      <c r="K2716" s="995">
        <f t="shared" si="42"/>
        <v>6</v>
      </c>
    </row>
    <row r="2717" spans="1:11">
      <c r="A2717" s="1054">
        <v>53959505</v>
      </c>
      <c r="B2717" s="1055" t="s">
        <v>1489</v>
      </c>
      <c r="C2717" s="1055" t="s">
        <v>552</v>
      </c>
      <c r="D2717" s="1055" t="s">
        <v>893</v>
      </c>
      <c r="E2717" s="1055" t="s">
        <v>893</v>
      </c>
      <c r="F2717" s="1056">
        <v>0</v>
      </c>
      <c r="G2717" s="1056">
        <v>6297</v>
      </c>
      <c r="H2717" s="1056">
        <v>6297</v>
      </c>
      <c r="I2717" s="1056">
        <v>0</v>
      </c>
      <c r="K2717" s="995">
        <f t="shared" si="42"/>
        <v>8</v>
      </c>
    </row>
    <row r="2718" spans="1:11">
      <c r="A2718" s="1054">
        <v>53959505</v>
      </c>
      <c r="B2718" s="1055" t="s">
        <v>1489</v>
      </c>
      <c r="C2718" s="1055" t="s">
        <v>552</v>
      </c>
      <c r="D2718" s="1055" t="s">
        <v>1033</v>
      </c>
      <c r="E2718" s="1055" t="s">
        <v>695</v>
      </c>
      <c r="F2718" s="1056">
        <v>0</v>
      </c>
      <c r="G2718" s="1056">
        <v>62</v>
      </c>
      <c r="H2718" s="1056">
        <v>62</v>
      </c>
      <c r="I2718" s="1056">
        <v>0</v>
      </c>
      <c r="K2718" s="995">
        <f t="shared" si="42"/>
        <v>8</v>
      </c>
    </row>
    <row r="2719" spans="1:11">
      <c r="A2719" s="1054">
        <v>53959505</v>
      </c>
      <c r="B2719" s="1055" t="s">
        <v>1489</v>
      </c>
      <c r="C2719" s="1055" t="s">
        <v>552</v>
      </c>
      <c r="D2719" s="1055" t="s">
        <v>1035</v>
      </c>
      <c r="E2719" s="1055" t="s">
        <v>573</v>
      </c>
      <c r="F2719" s="1056">
        <v>0</v>
      </c>
      <c r="G2719" s="1056">
        <v>5859</v>
      </c>
      <c r="H2719" s="1056">
        <v>5859</v>
      </c>
      <c r="I2719" s="1056">
        <v>0</v>
      </c>
      <c r="K2719" s="995">
        <f t="shared" si="42"/>
        <v>8</v>
      </c>
    </row>
    <row r="2720" spans="1:11">
      <c r="A2720" s="1054">
        <v>53959505</v>
      </c>
      <c r="B2720" s="1055" t="s">
        <v>1489</v>
      </c>
      <c r="C2720" s="1055" t="s">
        <v>552</v>
      </c>
      <c r="D2720" s="1055" t="s">
        <v>1296</v>
      </c>
      <c r="E2720" s="1055" t="s">
        <v>1297</v>
      </c>
      <c r="F2720" s="1056">
        <v>0</v>
      </c>
      <c r="G2720" s="1056">
        <v>40</v>
      </c>
      <c r="H2720" s="1056">
        <v>40</v>
      </c>
      <c r="I2720" s="1056">
        <v>0</v>
      </c>
      <c r="K2720" s="995">
        <f t="shared" si="42"/>
        <v>8</v>
      </c>
    </row>
    <row r="2721" spans="1:11">
      <c r="A2721" s="1054">
        <v>53959505</v>
      </c>
      <c r="B2721" s="1055" t="s">
        <v>1489</v>
      </c>
      <c r="C2721" s="1055" t="s">
        <v>552</v>
      </c>
      <c r="D2721" s="1055" t="s">
        <v>1170</v>
      </c>
      <c r="E2721" s="1055" t="s">
        <v>696</v>
      </c>
      <c r="F2721" s="1056">
        <v>0</v>
      </c>
      <c r="G2721" s="1056">
        <v>336</v>
      </c>
      <c r="H2721" s="1056">
        <v>336</v>
      </c>
      <c r="I2721" s="1056">
        <v>0</v>
      </c>
      <c r="K2721" s="995">
        <f t="shared" si="42"/>
        <v>8</v>
      </c>
    </row>
    <row r="2722" spans="1:11">
      <c r="A2722" s="1054">
        <v>54</v>
      </c>
      <c r="B2722" s="1055" t="s">
        <v>893</v>
      </c>
      <c r="C2722" s="1055" t="s">
        <v>920</v>
      </c>
      <c r="D2722" s="1055" t="s">
        <v>893</v>
      </c>
      <c r="E2722" s="1055" t="s">
        <v>893</v>
      </c>
      <c r="F2722" s="1056">
        <v>26309</v>
      </c>
      <c r="G2722" s="1056">
        <v>362</v>
      </c>
      <c r="H2722" s="1056">
        <v>0</v>
      </c>
      <c r="I2722" s="1056">
        <v>26671</v>
      </c>
      <c r="K2722" s="995">
        <f t="shared" si="42"/>
        <v>2</v>
      </c>
    </row>
    <row r="2723" spans="1:11">
      <c r="A2723" s="1054">
        <v>5405</v>
      </c>
      <c r="B2723" s="1055" t="s">
        <v>893</v>
      </c>
      <c r="C2723" s="1055" t="s">
        <v>920</v>
      </c>
      <c r="D2723" s="1055" t="s">
        <v>893</v>
      </c>
      <c r="E2723" s="1055" t="s">
        <v>893</v>
      </c>
      <c r="F2723" s="1056">
        <v>26309</v>
      </c>
      <c r="G2723" s="1056">
        <v>362</v>
      </c>
      <c r="H2723" s="1056">
        <v>0</v>
      </c>
      <c r="I2723" s="1056">
        <v>26671</v>
      </c>
      <c r="K2723" s="995">
        <f t="shared" si="42"/>
        <v>4</v>
      </c>
    </row>
    <row r="2724" spans="1:11">
      <c r="A2724" s="1054">
        <v>540505</v>
      </c>
      <c r="B2724" s="1055" t="s">
        <v>893</v>
      </c>
      <c r="C2724" s="1055" t="s">
        <v>920</v>
      </c>
      <c r="D2724" s="1055" t="s">
        <v>893</v>
      </c>
      <c r="E2724" s="1055" t="s">
        <v>893</v>
      </c>
      <c r="F2724" s="1056">
        <v>26309</v>
      </c>
      <c r="G2724" s="1056">
        <v>362</v>
      </c>
      <c r="H2724" s="1056">
        <v>0</v>
      </c>
      <c r="I2724" s="1056">
        <v>26671</v>
      </c>
      <c r="K2724" s="995">
        <f t="shared" si="42"/>
        <v>6</v>
      </c>
    </row>
    <row r="2725" spans="1:11">
      <c r="A2725" s="1054">
        <v>54050501</v>
      </c>
      <c r="B2725" s="1055" t="s">
        <v>893</v>
      </c>
      <c r="C2725" s="1055" t="s">
        <v>920</v>
      </c>
      <c r="D2725" s="1055" t="s">
        <v>893</v>
      </c>
      <c r="E2725" s="1055" t="s">
        <v>893</v>
      </c>
      <c r="F2725" s="1056">
        <v>26309</v>
      </c>
      <c r="G2725" s="1056">
        <v>362</v>
      </c>
      <c r="H2725" s="1056">
        <v>0</v>
      </c>
      <c r="I2725" s="1056">
        <v>26671</v>
      </c>
      <c r="K2725" s="995">
        <f t="shared" si="42"/>
        <v>8</v>
      </c>
    </row>
    <row r="2726" spans="1:11">
      <c r="A2726" s="1054">
        <v>55</v>
      </c>
      <c r="B2726" s="1055" t="s">
        <v>893</v>
      </c>
      <c r="C2726" s="1055" t="s">
        <v>142</v>
      </c>
      <c r="D2726" s="1055" t="s">
        <v>893</v>
      </c>
      <c r="E2726" s="1055" t="s">
        <v>893</v>
      </c>
      <c r="F2726" s="1056">
        <v>474</v>
      </c>
      <c r="G2726" s="1056">
        <v>108</v>
      </c>
      <c r="H2726" s="1056">
        <v>0</v>
      </c>
      <c r="I2726" s="1056">
        <v>582</v>
      </c>
      <c r="K2726" s="995">
        <f t="shared" si="42"/>
        <v>2</v>
      </c>
    </row>
    <row r="2727" spans="1:11">
      <c r="A2727" s="1054">
        <v>5515</v>
      </c>
      <c r="B2727" s="1055" t="s">
        <v>893</v>
      </c>
      <c r="C2727" s="1055" t="s">
        <v>1633</v>
      </c>
      <c r="D2727" s="1055" t="s">
        <v>893</v>
      </c>
      <c r="E2727" s="1055" t="s">
        <v>893</v>
      </c>
      <c r="F2727" s="1056">
        <v>337</v>
      </c>
      <c r="G2727" s="1056">
        <v>33</v>
      </c>
      <c r="H2727" s="1056">
        <v>0</v>
      </c>
      <c r="I2727" s="1056">
        <v>370</v>
      </c>
      <c r="K2727" s="995">
        <f t="shared" si="42"/>
        <v>4</v>
      </c>
    </row>
    <row r="2728" spans="1:11">
      <c r="A2728" s="1054">
        <v>551515</v>
      </c>
      <c r="B2728" s="1055" t="s">
        <v>893</v>
      </c>
      <c r="C2728" s="1055" t="s">
        <v>1634</v>
      </c>
      <c r="D2728" s="1055" t="s">
        <v>893</v>
      </c>
      <c r="E2728" s="1055" t="s">
        <v>893</v>
      </c>
      <c r="F2728" s="1056">
        <v>337</v>
      </c>
      <c r="G2728" s="1056">
        <v>0</v>
      </c>
      <c r="H2728" s="1056">
        <v>0</v>
      </c>
      <c r="I2728" s="1056">
        <v>337</v>
      </c>
      <c r="K2728" s="995">
        <f t="shared" si="42"/>
        <v>6</v>
      </c>
    </row>
    <row r="2729" spans="1:11">
      <c r="A2729" s="1054">
        <v>55151501</v>
      </c>
      <c r="B2729" s="1055" t="s">
        <v>893</v>
      </c>
      <c r="C2729" s="1055" t="s">
        <v>1634</v>
      </c>
      <c r="D2729" s="1055" t="s">
        <v>893</v>
      </c>
      <c r="E2729" s="1055" t="s">
        <v>893</v>
      </c>
      <c r="F2729" s="1056">
        <v>337</v>
      </c>
      <c r="G2729" s="1056">
        <v>0</v>
      </c>
      <c r="H2729" s="1056">
        <v>0</v>
      </c>
      <c r="I2729" s="1056">
        <v>337</v>
      </c>
      <c r="K2729" s="995">
        <f t="shared" si="42"/>
        <v>8</v>
      </c>
    </row>
    <row r="2730" spans="1:11">
      <c r="A2730" s="1054">
        <v>55151501</v>
      </c>
      <c r="B2730" s="1055" t="s">
        <v>893</v>
      </c>
      <c r="C2730" s="1055" t="s">
        <v>1634</v>
      </c>
      <c r="D2730" s="1055" t="s">
        <v>1201</v>
      </c>
      <c r="E2730" s="1055" t="s">
        <v>679</v>
      </c>
      <c r="F2730" s="1056">
        <v>337</v>
      </c>
      <c r="G2730" s="1056">
        <v>0</v>
      </c>
      <c r="H2730" s="1056">
        <v>0</v>
      </c>
      <c r="I2730" s="1056">
        <v>337</v>
      </c>
      <c r="K2730" s="995">
        <f t="shared" si="42"/>
        <v>8</v>
      </c>
    </row>
    <row r="2731" spans="1:11">
      <c r="A2731" s="1054">
        <v>551520</v>
      </c>
      <c r="B2731" s="1055" t="s">
        <v>893</v>
      </c>
      <c r="C2731" s="1055" t="s">
        <v>1929</v>
      </c>
      <c r="D2731" s="1055" t="s">
        <v>893</v>
      </c>
      <c r="E2731" s="1055" t="s">
        <v>893</v>
      </c>
      <c r="F2731" s="1056">
        <v>0</v>
      </c>
      <c r="G2731" s="1056">
        <v>33</v>
      </c>
      <c r="H2731" s="1056">
        <v>0</v>
      </c>
      <c r="I2731" s="1056">
        <v>33</v>
      </c>
      <c r="K2731" s="995">
        <f t="shared" si="42"/>
        <v>6</v>
      </c>
    </row>
    <row r="2732" spans="1:11">
      <c r="A2732" s="1054">
        <v>55152001</v>
      </c>
      <c r="B2732" s="1055" t="s">
        <v>893</v>
      </c>
      <c r="C2732" s="1055" t="s">
        <v>1929</v>
      </c>
      <c r="D2732" s="1055" t="s">
        <v>893</v>
      </c>
      <c r="E2732" s="1055" t="s">
        <v>893</v>
      </c>
      <c r="F2732" s="1056">
        <v>0</v>
      </c>
      <c r="G2732" s="1056">
        <v>33</v>
      </c>
      <c r="H2732" s="1056">
        <v>0</v>
      </c>
      <c r="I2732" s="1056">
        <v>33</v>
      </c>
      <c r="K2732" s="995">
        <f t="shared" si="42"/>
        <v>8</v>
      </c>
    </row>
    <row r="2733" spans="1:11">
      <c r="A2733" s="1054">
        <v>55152001</v>
      </c>
      <c r="B2733" s="1055" t="s">
        <v>893</v>
      </c>
      <c r="C2733" s="1055" t="s">
        <v>1929</v>
      </c>
      <c r="D2733" s="1055" t="s">
        <v>1912</v>
      </c>
      <c r="E2733" s="1055" t="s">
        <v>1913</v>
      </c>
      <c r="F2733" s="1056">
        <v>0</v>
      </c>
      <c r="G2733" s="1056">
        <v>33</v>
      </c>
      <c r="H2733" s="1056">
        <v>0</v>
      </c>
      <c r="I2733" s="1056">
        <v>33</v>
      </c>
      <c r="K2733" s="995">
        <f t="shared" si="42"/>
        <v>8</v>
      </c>
    </row>
    <row r="2734" spans="1:11">
      <c r="A2734" s="1054">
        <v>5595</v>
      </c>
      <c r="B2734" s="1055" t="s">
        <v>893</v>
      </c>
      <c r="C2734" s="1055" t="s">
        <v>141</v>
      </c>
      <c r="D2734" s="1055" t="s">
        <v>893</v>
      </c>
      <c r="E2734" s="1055" t="s">
        <v>893</v>
      </c>
      <c r="F2734" s="1056">
        <v>137</v>
      </c>
      <c r="G2734" s="1056">
        <v>75</v>
      </c>
      <c r="H2734" s="1056">
        <v>0</v>
      </c>
      <c r="I2734" s="1056">
        <v>212</v>
      </c>
      <c r="K2734" s="995">
        <f t="shared" si="42"/>
        <v>4</v>
      </c>
    </row>
    <row r="2735" spans="1:11">
      <c r="A2735" s="1054">
        <v>559520</v>
      </c>
      <c r="B2735" s="1055" t="s">
        <v>893</v>
      </c>
      <c r="C2735" s="1055" t="s">
        <v>430</v>
      </c>
      <c r="D2735" s="1055" t="s">
        <v>893</v>
      </c>
      <c r="E2735" s="1055" t="s">
        <v>893</v>
      </c>
      <c r="F2735" s="1056">
        <v>0</v>
      </c>
      <c r="G2735" s="1056">
        <v>39</v>
      </c>
      <c r="H2735" s="1056">
        <v>0</v>
      </c>
      <c r="I2735" s="1056">
        <v>39</v>
      </c>
      <c r="K2735" s="995">
        <f t="shared" si="42"/>
        <v>6</v>
      </c>
    </row>
    <row r="2736" spans="1:11">
      <c r="A2736" s="1054">
        <v>55952001</v>
      </c>
      <c r="B2736" s="1055" t="s">
        <v>893</v>
      </c>
      <c r="C2736" s="1055" t="s">
        <v>430</v>
      </c>
      <c r="D2736" s="1055" t="s">
        <v>893</v>
      </c>
      <c r="E2736" s="1055" t="s">
        <v>893</v>
      </c>
      <c r="F2736" s="1056">
        <v>0</v>
      </c>
      <c r="G2736" s="1056">
        <v>39</v>
      </c>
      <c r="H2736" s="1056">
        <v>0</v>
      </c>
      <c r="I2736" s="1056">
        <v>39</v>
      </c>
      <c r="K2736" s="995">
        <f t="shared" si="42"/>
        <v>8</v>
      </c>
    </row>
    <row r="2737" spans="1:11">
      <c r="A2737" s="1054">
        <v>55952001</v>
      </c>
      <c r="B2737" s="1055" t="s">
        <v>893</v>
      </c>
      <c r="C2737" s="1055" t="s">
        <v>430</v>
      </c>
      <c r="D2737" s="1055" t="s">
        <v>1035</v>
      </c>
      <c r="E2737" s="1055" t="s">
        <v>573</v>
      </c>
      <c r="F2737" s="1056">
        <v>0</v>
      </c>
      <c r="G2737" s="1056">
        <v>39</v>
      </c>
      <c r="H2737" s="1056">
        <v>0</v>
      </c>
      <c r="I2737" s="1056">
        <v>39</v>
      </c>
      <c r="K2737" s="995">
        <f t="shared" si="42"/>
        <v>8</v>
      </c>
    </row>
    <row r="2738" spans="1:11">
      <c r="A2738" s="1054">
        <v>559581</v>
      </c>
      <c r="B2738" s="1055" t="s">
        <v>893</v>
      </c>
      <c r="C2738" s="1055" t="s">
        <v>374</v>
      </c>
      <c r="D2738" s="1055" t="s">
        <v>893</v>
      </c>
      <c r="E2738" s="1055" t="s">
        <v>893</v>
      </c>
      <c r="F2738" s="1056">
        <v>137</v>
      </c>
      <c r="G2738" s="1056">
        <v>36</v>
      </c>
      <c r="H2738" s="1056">
        <v>0</v>
      </c>
      <c r="I2738" s="1056">
        <v>173</v>
      </c>
      <c r="K2738" s="995">
        <f t="shared" si="42"/>
        <v>6</v>
      </c>
    </row>
    <row r="2739" spans="1:11">
      <c r="A2739" s="1054">
        <v>55958101</v>
      </c>
      <c r="B2739" s="1055" t="s">
        <v>893</v>
      </c>
      <c r="C2739" s="1055" t="s">
        <v>374</v>
      </c>
      <c r="D2739" s="1055" t="s">
        <v>893</v>
      </c>
      <c r="E2739" s="1055" t="s">
        <v>893</v>
      </c>
      <c r="F2739" s="1056">
        <v>137</v>
      </c>
      <c r="G2739" s="1056">
        <v>36</v>
      </c>
      <c r="H2739" s="1056">
        <v>0</v>
      </c>
      <c r="I2739" s="1056">
        <v>173</v>
      </c>
      <c r="K2739" s="995">
        <f t="shared" si="42"/>
        <v>8</v>
      </c>
    </row>
    <row r="2740" spans="1:11">
      <c r="A2740" s="1054">
        <v>55958101</v>
      </c>
      <c r="B2740" s="1055" t="s">
        <v>893</v>
      </c>
      <c r="C2740" s="1055" t="s">
        <v>374</v>
      </c>
      <c r="D2740" s="1055" t="s">
        <v>1360</v>
      </c>
      <c r="E2740" s="1055" t="s">
        <v>1361</v>
      </c>
      <c r="F2740" s="1056">
        <v>0</v>
      </c>
      <c r="G2740" s="1056">
        <v>0</v>
      </c>
      <c r="H2740" s="1056">
        <v>0</v>
      </c>
      <c r="I2740" s="1056">
        <v>0</v>
      </c>
      <c r="K2740" s="995">
        <f t="shared" si="42"/>
        <v>8</v>
      </c>
    </row>
    <row r="2741" spans="1:11">
      <c r="A2741" s="1054">
        <v>55958101</v>
      </c>
      <c r="B2741" s="1055" t="s">
        <v>893</v>
      </c>
      <c r="C2741" s="1055" t="s">
        <v>374</v>
      </c>
      <c r="D2741" s="1055" t="s">
        <v>1298</v>
      </c>
      <c r="E2741" s="1055" t="s">
        <v>987</v>
      </c>
      <c r="F2741" s="1056">
        <v>5</v>
      </c>
      <c r="G2741" s="1056">
        <v>3</v>
      </c>
      <c r="H2741" s="1056">
        <v>0</v>
      </c>
      <c r="I2741" s="1056">
        <v>9</v>
      </c>
      <c r="K2741" s="995">
        <f t="shared" si="42"/>
        <v>8</v>
      </c>
    </row>
    <row r="2742" spans="1:11">
      <c r="A2742" s="1054">
        <v>55958101</v>
      </c>
      <c r="B2742" s="1055" t="s">
        <v>893</v>
      </c>
      <c r="C2742" s="1055" t="s">
        <v>374</v>
      </c>
      <c r="D2742" s="1055" t="s">
        <v>1362</v>
      </c>
      <c r="E2742" s="1055" t="s">
        <v>1363</v>
      </c>
      <c r="F2742" s="1056">
        <v>0</v>
      </c>
      <c r="G2742" s="1056">
        <v>0</v>
      </c>
      <c r="H2742" s="1056">
        <v>0</v>
      </c>
      <c r="I2742" s="1056">
        <v>0</v>
      </c>
      <c r="K2742" s="995">
        <f t="shared" si="42"/>
        <v>8</v>
      </c>
    </row>
    <row r="2743" spans="1:11">
      <c r="A2743" s="1054">
        <v>55958101</v>
      </c>
      <c r="B2743" s="1055" t="s">
        <v>893</v>
      </c>
      <c r="C2743" s="1055" t="s">
        <v>374</v>
      </c>
      <c r="D2743" s="1055" t="s">
        <v>1364</v>
      </c>
      <c r="E2743" s="1055" t="s">
        <v>1365</v>
      </c>
      <c r="F2743" s="1056">
        <v>0</v>
      </c>
      <c r="G2743" s="1056">
        <v>0</v>
      </c>
      <c r="H2743" s="1056">
        <v>0</v>
      </c>
      <c r="I2743" s="1056">
        <v>0</v>
      </c>
      <c r="K2743" s="995">
        <f t="shared" si="42"/>
        <v>8</v>
      </c>
    </row>
    <row r="2744" spans="1:11">
      <c r="A2744" s="1054">
        <v>55958101</v>
      </c>
      <c r="B2744" s="1055" t="s">
        <v>893</v>
      </c>
      <c r="C2744" s="1055" t="s">
        <v>374</v>
      </c>
      <c r="D2744" s="1055" t="s">
        <v>1177</v>
      </c>
      <c r="E2744" s="1055" t="s">
        <v>1011</v>
      </c>
      <c r="F2744" s="1056">
        <v>0</v>
      </c>
      <c r="G2744" s="1056">
        <v>0</v>
      </c>
      <c r="H2744" s="1056">
        <v>0</v>
      </c>
      <c r="I2744" s="1056">
        <v>0</v>
      </c>
      <c r="K2744" s="995">
        <f t="shared" si="42"/>
        <v>8</v>
      </c>
    </row>
    <row r="2745" spans="1:11">
      <c r="A2745" s="1054">
        <v>55958101</v>
      </c>
      <c r="B2745" s="1055" t="s">
        <v>893</v>
      </c>
      <c r="C2745" s="1055" t="s">
        <v>374</v>
      </c>
      <c r="D2745" s="1055" t="s">
        <v>1270</v>
      </c>
      <c r="E2745" s="1055" t="s">
        <v>988</v>
      </c>
      <c r="F2745" s="1056">
        <v>16</v>
      </c>
      <c r="G2745" s="1056">
        <v>2</v>
      </c>
      <c r="H2745" s="1056">
        <v>0</v>
      </c>
      <c r="I2745" s="1056">
        <v>18</v>
      </c>
      <c r="K2745" s="995">
        <f t="shared" si="42"/>
        <v>8</v>
      </c>
    </row>
    <row r="2746" spans="1:11">
      <c r="A2746" s="1054">
        <v>55958101</v>
      </c>
      <c r="B2746" s="1055" t="s">
        <v>893</v>
      </c>
      <c r="C2746" s="1055" t="s">
        <v>374</v>
      </c>
      <c r="D2746" s="1055" t="s">
        <v>1271</v>
      </c>
      <c r="E2746" s="1055" t="s">
        <v>782</v>
      </c>
      <c r="F2746" s="1056">
        <v>0</v>
      </c>
      <c r="G2746" s="1056">
        <v>0</v>
      </c>
      <c r="H2746" s="1056">
        <v>0</v>
      </c>
      <c r="I2746" s="1056">
        <v>0</v>
      </c>
      <c r="K2746" s="995">
        <f t="shared" si="42"/>
        <v>8</v>
      </c>
    </row>
    <row r="2747" spans="1:11">
      <c r="A2747" s="1054">
        <v>55958101</v>
      </c>
      <c r="B2747" s="1055" t="s">
        <v>893</v>
      </c>
      <c r="C2747" s="1055" t="s">
        <v>374</v>
      </c>
      <c r="D2747" s="1055" t="s">
        <v>1366</v>
      </c>
      <c r="E2747" s="1055" t="s">
        <v>1367</v>
      </c>
      <c r="F2747" s="1056">
        <v>0</v>
      </c>
      <c r="G2747" s="1056">
        <v>0</v>
      </c>
      <c r="H2747" s="1056">
        <v>0</v>
      </c>
      <c r="I2747" s="1056">
        <v>0</v>
      </c>
      <c r="K2747" s="995">
        <f t="shared" si="42"/>
        <v>8</v>
      </c>
    </row>
    <row r="2748" spans="1:11">
      <c r="A2748" s="1054">
        <v>55958101</v>
      </c>
      <c r="B2748" s="1055" t="s">
        <v>893</v>
      </c>
      <c r="C2748" s="1055" t="s">
        <v>374</v>
      </c>
      <c r="D2748" s="1055" t="s">
        <v>1302</v>
      </c>
      <c r="E2748" s="1055" t="s">
        <v>986</v>
      </c>
      <c r="F2748" s="1056">
        <v>0</v>
      </c>
      <c r="G2748" s="1056">
        <v>0</v>
      </c>
      <c r="H2748" s="1056">
        <v>0</v>
      </c>
      <c r="I2748" s="1056">
        <v>0</v>
      </c>
      <c r="K2748" s="995">
        <f t="shared" si="42"/>
        <v>8</v>
      </c>
    </row>
    <row r="2749" spans="1:11">
      <c r="A2749" s="1054">
        <v>55958101</v>
      </c>
      <c r="B2749" s="1055" t="s">
        <v>893</v>
      </c>
      <c r="C2749" s="1055" t="s">
        <v>374</v>
      </c>
      <c r="D2749" s="1055" t="s">
        <v>1042</v>
      </c>
      <c r="E2749" s="1055" t="s">
        <v>1732</v>
      </c>
      <c r="F2749" s="1056">
        <v>0</v>
      </c>
      <c r="G2749" s="1056">
        <v>0</v>
      </c>
      <c r="H2749" s="1056">
        <v>0</v>
      </c>
      <c r="I2749" s="1056">
        <v>0</v>
      </c>
      <c r="K2749" s="995">
        <f t="shared" si="42"/>
        <v>8</v>
      </c>
    </row>
    <row r="2750" spans="1:11">
      <c r="A2750" s="1054">
        <v>55958101</v>
      </c>
      <c r="B2750" s="1055" t="s">
        <v>893</v>
      </c>
      <c r="C2750" s="1055" t="s">
        <v>374</v>
      </c>
      <c r="D2750" s="1055" t="s">
        <v>1611</v>
      </c>
      <c r="E2750" s="1055" t="s">
        <v>1612</v>
      </c>
      <c r="F2750" s="1056">
        <v>0</v>
      </c>
      <c r="G2750" s="1056">
        <v>0</v>
      </c>
      <c r="H2750" s="1056">
        <v>0</v>
      </c>
      <c r="I2750" s="1056">
        <v>0</v>
      </c>
      <c r="K2750" s="995">
        <f t="shared" si="42"/>
        <v>8</v>
      </c>
    </row>
    <row r="2751" spans="1:11">
      <c r="A2751" s="1054">
        <v>55958101</v>
      </c>
      <c r="B2751" s="1055" t="s">
        <v>893</v>
      </c>
      <c r="C2751" s="1055" t="s">
        <v>374</v>
      </c>
      <c r="D2751" s="1055" t="s">
        <v>1368</v>
      </c>
      <c r="E2751" s="1055" t="s">
        <v>1369</v>
      </c>
      <c r="F2751" s="1056">
        <v>0</v>
      </c>
      <c r="G2751" s="1056">
        <v>0</v>
      </c>
      <c r="H2751" s="1056">
        <v>0</v>
      </c>
      <c r="I2751" s="1056">
        <v>0</v>
      </c>
      <c r="K2751" s="995">
        <f t="shared" si="42"/>
        <v>8</v>
      </c>
    </row>
    <row r="2752" spans="1:11">
      <c r="A2752" s="1054">
        <v>55958101</v>
      </c>
      <c r="B2752" s="1055" t="s">
        <v>893</v>
      </c>
      <c r="C2752" s="1055" t="s">
        <v>374</v>
      </c>
      <c r="D2752" s="1055" t="s">
        <v>1246</v>
      </c>
      <c r="E2752" s="1055" t="s">
        <v>743</v>
      </c>
      <c r="F2752" s="1056">
        <v>0</v>
      </c>
      <c r="G2752" s="1056">
        <v>0</v>
      </c>
      <c r="H2752" s="1056">
        <v>0</v>
      </c>
      <c r="I2752" s="1056">
        <v>0</v>
      </c>
      <c r="K2752" s="995">
        <f t="shared" si="42"/>
        <v>8</v>
      </c>
    </row>
    <row r="2753" spans="1:11">
      <c r="A2753" s="1054">
        <v>55958101</v>
      </c>
      <c r="B2753" s="1055" t="s">
        <v>893</v>
      </c>
      <c r="C2753" s="1055" t="s">
        <v>374</v>
      </c>
      <c r="D2753" s="1055" t="s">
        <v>1304</v>
      </c>
      <c r="E2753" s="1055" t="s">
        <v>1819</v>
      </c>
      <c r="F2753" s="1056">
        <v>15</v>
      </c>
      <c r="G2753" s="1056">
        <v>4</v>
      </c>
      <c r="H2753" s="1056">
        <v>0</v>
      </c>
      <c r="I2753" s="1056">
        <v>19</v>
      </c>
      <c r="K2753" s="995">
        <f t="shared" si="42"/>
        <v>8</v>
      </c>
    </row>
    <row r="2754" spans="1:11">
      <c r="A2754" s="1054">
        <v>55958101</v>
      </c>
      <c r="B2754" s="1055" t="s">
        <v>893</v>
      </c>
      <c r="C2754" s="1055" t="s">
        <v>374</v>
      </c>
      <c r="D2754" s="1055" t="s">
        <v>1320</v>
      </c>
      <c r="E2754" s="1055" t="s">
        <v>1321</v>
      </c>
      <c r="F2754" s="1056">
        <v>2</v>
      </c>
      <c r="G2754" s="1056">
        <v>0</v>
      </c>
      <c r="H2754" s="1056">
        <v>0</v>
      </c>
      <c r="I2754" s="1056">
        <v>2</v>
      </c>
      <c r="K2754" s="995">
        <f t="shared" si="42"/>
        <v>8</v>
      </c>
    </row>
    <row r="2755" spans="1:11">
      <c r="A2755" s="1054">
        <v>55958101</v>
      </c>
      <c r="B2755" s="1055" t="s">
        <v>893</v>
      </c>
      <c r="C2755" s="1055" t="s">
        <v>374</v>
      </c>
      <c r="D2755" s="1055" t="s">
        <v>1274</v>
      </c>
      <c r="E2755" s="1055" t="s">
        <v>989</v>
      </c>
      <c r="F2755" s="1056">
        <v>15</v>
      </c>
      <c r="G2755" s="1056">
        <v>5</v>
      </c>
      <c r="H2755" s="1056">
        <v>0</v>
      </c>
      <c r="I2755" s="1056">
        <v>20</v>
      </c>
      <c r="K2755" s="995">
        <f t="shared" si="42"/>
        <v>8</v>
      </c>
    </row>
    <row r="2756" spans="1:11">
      <c r="A2756" s="1054">
        <v>55958101</v>
      </c>
      <c r="B2756" s="1055" t="s">
        <v>893</v>
      </c>
      <c r="C2756" s="1055" t="s">
        <v>374</v>
      </c>
      <c r="D2756" s="1055" t="s">
        <v>1247</v>
      </c>
      <c r="E2756" s="1055" t="s">
        <v>1248</v>
      </c>
      <c r="F2756" s="1056">
        <v>0</v>
      </c>
      <c r="G2756" s="1056">
        <v>0</v>
      </c>
      <c r="H2756" s="1056">
        <v>0</v>
      </c>
      <c r="I2756" s="1056">
        <v>0</v>
      </c>
      <c r="K2756" s="995">
        <f t="shared" si="42"/>
        <v>8</v>
      </c>
    </row>
    <row r="2757" spans="1:11">
      <c r="A2757" s="1054">
        <v>55958101</v>
      </c>
      <c r="B2757" s="1055" t="s">
        <v>893</v>
      </c>
      <c r="C2757" s="1055" t="s">
        <v>374</v>
      </c>
      <c r="D2757" s="1055" t="s">
        <v>1180</v>
      </c>
      <c r="E2757" s="1055" t="s">
        <v>1014</v>
      </c>
      <c r="F2757" s="1056">
        <v>0</v>
      </c>
      <c r="G2757" s="1056">
        <v>0</v>
      </c>
      <c r="H2757" s="1056">
        <v>0</v>
      </c>
      <c r="I2757" s="1056">
        <v>0</v>
      </c>
      <c r="K2757" s="995">
        <f t="shared" ref="K2757:K2799" si="43">+LEN(A2757)</f>
        <v>8</v>
      </c>
    </row>
    <row r="2758" spans="1:11">
      <c r="A2758" s="1054">
        <v>55958101</v>
      </c>
      <c r="B2758" s="1055" t="s">
        <v>893</v>
      </c>
      <c r="C2758" s="1055" t="s">
        <v>374</v>
      </c>
      <c r="D2758" s="1055" t="s">
        <v>1370</v>
      </c>
      <c r="E2758" s="1055" t="s">
        <v>1371</v>
      </c>
      <c r="F2758" s="1056">
        <v>0</v>
      </c>
      <c r="G2758" s="1056">
        <v>0</v>
      </c>
      <c r="H2758" s="1056">
        <v>0</v>
      </c>
      <c r="I2758" s="1056">
        <v>0</v>
      </c>
      <c r="K2758" s="995">
        <f t="shared" si="43"/>
        <v>8</v>
      </c>
    </row>
    <row r="2759" spans="1:11">
      <c r="A2759" s="1054">
        <v>55958101</v>
      </c>
      <c r="B2759" s="1055" t="s">
        <v>893</v>
      </c>
      <c r="C2759" s="1055" t="s">
        <v>374</v>
      </c>
      <c r="D2759" s="1055" t="s">
        <v>1223</v>
      </c>
      <c r="E2759" s="1055" t="s">
        <v>742</v>
      </c>
      <c r="F2759" s="1056">
        <v>0</v>
      </c>
      <c r="G2759" s="1056">
        <v>0</v>
      </c>
      <c r="H2759" s="1056">
        <v>0</v>
      </c>
      <c r="I2759" s="1056">
        <v>0</v>
      </c>
      <c r="K2759" s="995">
        <f t="shared" si="43"/>
        <v>8</v>
      </c>
    </row>
    <row r="2760" spans="1:11">
      <c r="A2760" s="1054">
        <v>55958101</v>
      </c>
      <c r="B2760" s="1055" t="s">
        <v>893</v>
      </c>
      <c r="C2760" s="1055" t="s">
        <v>374</v>
      </c>
      <c r="D2760" s="1055" t="s">
        <v>1066</v>
      </c>
      <c r="E2760" s="1055" t="s">
        <v>662</v>
      </c>
      <c r="F2760" s="1056">
        <v>4</v>
      </c>
      <c r="G2760" s="1056">
        <v>0</v>
      </c>
      <c r="H2760" s="1056">
        <v>0</v>
      </c>
      <c r="I2760" s="1056">
        <v>4</v>
      </c>
      <c r="K2760" s="995">
        <f t="shared" si="43"/>
        <v>8</v>
      </c>
    </row>
    <row r="2761" spans="1:11">
      <c r="A2761" s="1054">
        <v>55958101</v>
      </c>
      <c r="B2761" s="1055" t="s">
        <v>893</v>
      </c>
      <c r="C2761" s="1055" t="s">
        <v>374</v>
      </c>
      <c r="D2761" s="1055" t="s">
        <v>1190</v>
      </c>
      <c r="E2761" s="1055" t="s">
        <v>577</v>
      </c>
      <c r="F2761" s="1056">
        <v>0</v>
      </c>
      <c r="G2761" s="1056">
        <v>0</v>
      </c>
      <c r="H2761" s="1056">
        <v>0</v>
      </c>
      <c r="I2761" s="1056">
        <v>0</v>
      </c>
      <c r="K2761" s="995">
        <f t="shared" si="43"/>
        <v>8</v>
      </c>
    </row>
    <row r="2762" spans="1:11">
      <c r="A2762" s="1054">
        <v>55958101</v>
      </c>
      <c r="B2762" s="1055" t="s">
        <v>893</v>
      </c>
      <c r="C2762" s="1055" t="s">
        <v>374</v>
      </c>
      <c r="D2762" s="1055" t="s">
        <v>1171</v>
      </c>
      <c r="E2762" s="1055" t="s">
        <v>335</v>
      </c>
      <c r="F2762" s="1056">
        <v>1</v>
      </c>
      <c r="G2762" s="1056">
        <v>0</v>
      </c>
      <c r="H2762" s="1056">
        <v>0</v>
      </c>
      <c r="I2762" s="1056">
        <v>1</v>
      </c>
      <c r="K2762" s="995">
        <f t="shared" si="43"/>
        <v>8</v>
      </c>
    </row>
    <row r="2763" spans="1:11">
      <c r="A2763" s="1054">
        <v>55958101</v>
      </c>
      <c r="B2763" s="1055" t="s">
        <v>893</v>
      </c>
      <c r="C2763" s="1055" t="s">
        <v>374</v>
      </c>
      <c r="D2763" s="1055" t="s">
        <v>1191</v>
      </c>
      <c r="E2763" s="1055" t="s">
        <v>1021</v>
      </c>
      <c r="F2763" s="1056">
        <v>0</v>
      </c>
      <c r="G2763" s="1056">
        <v>0</v>
      </c>
      <c r="H2763" s="1056">
        <v>0</v>
      </c>
      <c r="I2763" s="1056">
        <v>0</v>
      </c>
      <c r="K2763" s="995">
        <f t="shared" si="43"/>
        <v>8</v>
      </c>
    </row>
    <row r="2764" spans="1:11">
      <c r="A2764" s="1054">
        <v>55958101</v>
      </c>
      <c r="B2764" s="1055" t="s">
        <v>893</v>
      </c>
      <c r="C2764" s="1055" t="s">
        <v>374</v>
      </c>
      <c r="D2764" s="1055" t="s">
        <v>1195</v>
      </c>
      <c r="E2764" s="1055" t="s">
        <v>1022</v>
      </c>
      <c r="F2764" s="1056">
        <v>0</v>
      </c>
      <c r="G2764" s="1056">
        <v>0</v>
      </c>
      <c r="H2764" s="1056">
        <v>0</v>
      </c>
      <c r="I2764" s="1056">
        <v>0</v>
      </c>
      <c r="K2764" s="995">
        <f t="shared" si="43"/>
        <v>8</v>
      </c>
    </row>
    <row r="2765" spans="1:11">
      <c r="A2765" s="1054">
        <v>55958101</v>
      </c>
      <c r="B2765" s="1055" t="s">
        <v>893</v>
      </c>
      <c r="C2765" s="1055" t="s">
        <v>374</v>
      </c>
      <c r="D2765" s="1055" t="s">
        <v>1046</v>
      </c>
      <c r="E2765" s="1055" t="s">
        <v>1026</v>
      </c>
      <c r="F2765" s="1056">
        <v>0</v>
      </c>
      <c r="G2765" s="1056">
        <v>0</v>
      </c>
      <c r="H2765" s="1056">
        <v>0</v>
      </c>
      <c r="I2765" s="1056">
        <v>0</v>
      </c>
      <c r="K2765" s="995">
        <f t="shared" si="43"/>
        <v>8</v>
      </c>
    </row>
    <row r="2766" spans="1:11">
      <c r="A2766" s="1054">
        <v>55958101</v>
      </c>
      <c r="B2766" s="1055" t="s">
        <v>893</v>
      </c>
      <c r="C2766" s="1055" t="s">
        <v>374</v>
      </c>
      <c r="D2766" s="1055" t="s">
        <v>1074</v>
      </c>
      <c r="E2766" s="1055" t="s">
        <v>257</v>
      </c>
      <c r="F2766" s="1056">
        <v>0</v>
      </c>
      <c r="G2766" s="1056">
        <v>0</v>
      </c>
      <c r="H2766" s="1056">
        <v>0</v>
      </c>
      <c r="I2766" s="1056">
        <v>0</v>
      </c>
      <c r="K2766" s="995">
        <f t="shared" si="43"/>
        <v>8</v>
      </c>
    </row>
    <row r="2767" spans="1:11">
      <c r="A2767" s="1054">
        <v>55958101</v>
      </c>
      <c r="B2767" s="1055" t="s">
        <v>893</v>
      </c>
      <c r="C2767" s="1055" t="s">
        <v>374</v>
      </c>
      <c r="D2767" s="1055" t="s">
        <v>1352</v>
      </c>
      <c r="E2767" s="1055" t="s">
        <v>1353</v>
      </c>
      <c r="F2767" s="1056">
        <v>0</v>
      </c>
      <c r="G2767" s="1056">
        <v>0</v>
      </c>
      <c r="H2767" s="1056">
        <v>0</v>
      </c>
      <c r="I2767" s="1056">
        <v>0</v>
      </c>
      <c r="K2767" s="995">
        <f t="shared" si="43"/>
        <v>8</v>
      </c>
    </row>
    <row r="2768" spans="1:11">
      <c r="A2768" s="1054">
        <v>55958101</v>
      </c>
      <c r="B2768" s="1055" t="s">
        <v>893</v>
      </c>
      <c r="C2768" s="1055" t="s">
        <v>374</v>
      </c>
      <c r="D2768" s="1055" t="s">
        <v>1035</v>
      </c>
      <c r="E2768" s="1055" t="s">
        <v>573</v>
      </c>
      <c r="F2768" s="1056">
        <v>0</v>
      </c>
      <c r="G2768" s="1056">
        <v>0</v>
      </c>
      <c r="H2768" s="1056">
        <v>0</v>
      </c>
      <c r="I2768" s="1056">
        <v>0</v>
      </c>
      <c r="K2768" s="995">
        <f t="shared" si="43"/>
        <v>8</v>
      </c>
    </row>
    <row r="2769" spans="1:11">
      <c r="A2769" s="1054">
        <v>55958101</v>
      </c>
      <c r="B2769" s="1055" t="s">
        <v>893</v>
      </c>
      <c r="C2769" s="1055" t="s">
        <v>374</v>
      </c>
      <c r="D2769" s="1055" t="s">
        <v>1170</v>
      </c>
      <c r="E2769" s="1055" t="s">
        <v>696</v>
      </c>
      <c r="F2769" s="1056">
        <v>0</v>
      </c>
      <c r="G2769" s="1056">
        <v>0</v>
      </c>
      <c r="H2769" s="1056">
        <v>0</v>
      </c>
      <c r="I2769" s="1056">
        <v>0</v>
      </c>
      <c r="K2769" s="995">
        <f t="shared" si="43"/>
        <v>8</v>
      </c>
    </row>
    <row r="2770" spans="1:11">
      <c r="A2770" s="1054">
        <v>55958101</v>
      </c>
      <c r="B2770" s="1055" t="s">
        <v>893</v>
      </c>
      <c r="C2770" s="1055" t="s">
        <v>374</v>
      </c>
      <c r="D2770" s="1055" t="s">
        <v>1317</v>
      </c>
      <c r="E2770" s="1055" t="s">
        <v>1318</v>
      </c>
      <c r="F2770" s="1056">
        <v>0</v>
      </c>
      <c r="G2770" s="1056">
        <v>0</v>
      </c>
      <c r="H2770" s="1056">
        <v>0</v>
      </c>
      <c r="I2770" s="1056">
        <v>0</v>
      </c>
      <c r="K2770" s="995">
        <f t="shared" si="43"/>
        <v>8</v>
      </c>
    </row>
    <row r="2771" spans="1:11">
      <c r="A2771" s="1054">
        <v>55958101</v>
      </c>
      <c r="B2771" s="1055" t="s">
        <v>893</v>
      </c>
      <c r="C2771" s="1055" t="s">
        <v>374</v>
      </c>
      <c r="D2771" s="1055" t="s">
        <v>1207</v>
      </c>
      <c r="E2771" s="1055" t="s">
        <v>1028</v>
      </c>
      <c r="F2771" s="1056">
        <v>0</v>
      </c>
      <c r="G2771" s="1056">
        <v>0</v>
      </c>
      <c r="H2771" s="1056">
        <v>0</v>
      </c>
      <c r="I2771" s="1056">
        <v>0</v>
      </c>
      <c r="K2771" s="995">
        <f t="shared" si="43"/>
        <v>8</v>
      </c>
    </row>
    <row r="2772" spans="1:11">
      <c r="A2772" s="1054">
        <v>55958101</v>
      </c>
      <c r="B2772" s="1055" t="s">
        <v>893</v>
      </c>
      <c r="C2772" s="1055" t="s">
        <v>374</v>
      </c>
      <c r="D2772" s="1055" t="s">
        <v>1036</v>
      </c>
      <c r="E2772" s="1055" t="s">
        <v>1037</v>
      </c>
      <c r="F2772" s="1056">
        <v>0</v>
      </c>
      <c r="G2772" s="1056">
        <v>0</v>
      </c>
      <c r="H2772" s="1056">
        <v>0</v>
      </c>
      <c r="I2772" s="1056">
        <v>0</v>
      </c>
      <c r="K2772" s="995">
        <f t="shared" si="43"/>
        <v>8</v>
      </c>
    </row>
    <row r="2773" spans="1:11">
      <c r="A2773" s="1054">
        <v>55958101</v>
      </c>
      <c r="B2773" s="1055" t="s">
        <v>893</v>
      </c>
      <c r="C2773" s="1055" t="s">
        <v>374</v>
      </c>
      <c r="D2773" s="1055" t="s">
        <v>1870</v>
      </c>
      <c r="E2773" s="1055" t="s">
        <v>1871</v>
      </c>
      <c r="F2773" s="1056">
        <v>0</v>
      </c>
      <c r="G2773" s="1056">
        <v>0</v>
      </c>
      <c r="H2773" s="1056">
        <v>0</v>
      </c>
      <c r="I2773" s="1056">
        <v>0</v>
      </c>
      <c r="K2773" s="995">
        <f t="shared" si="43"/>
        <v>8</v>
      </c>
    </row>
    <row r="2774" spans="1:11">
      <c r="A2774" s="1054">
        <v>55958101</v>
      </c>
      <c r="B2774" s="1055" t="s">
        <v>893</v>
      </c>
      <c r="C2774" s="1055" t="s">
        <v>374</v>
      </c>
      <c r="D2774" s="1055" t="s">
        <v>1372</v>
      </c>
      <c r="E2774" s="1055" t="s">
        <v>1373</v>
      </c>
      <c r="F2774" s="1056">
        <v>0</v>
      </c>
      <c r="G2774" s="1056">
        <v>0</v>
      </c>
      <c r="H2774" s="1056">
        <v>0</v>
      </c>
      <c r="I2774" s="1056">
        <v>0</v>
      </c>
      <c r="K2774" s="995">
        <f t="shared" si="43"/>
        <v>8</v>
      </c>
    </row>
    <row r="2775" spans="1:11">
      <c r="A2775" s="1054">
        <v>55958101</v>
      </c>
      <c r="B2775" s="1055" t="s">
        <v>893</v>
      </c>
      <c r="C2775" s="1055" t="s">
        <v>374</v>
      </c>
      <c r="D2775" s="1055" t="s">
        <v>1785</v>
      </c>
      <c r="E2775" s="1055" t="s">
        <v>1786</v>
      </c>
      <c r="F2775" s="1056">
        <v>0</v>
      </c>
      <c r="G2775" s="1056">
        <v>1</v>
      </c>
      <c r="H2775" s="1056">
        <v>0</v>
      </c>
      <c r="I2775" s="1056">
        <v>1</v>
      </c>
      <c r="K2775" s="995">
        <f t="shared" si="43"/>
        <v>8</v>
      </c>
    </row>
    <row r="2776" spans="1:11">
      <c r="A2776" s="1054">
        <v>55958101</v>
      </c>
      <c r="B2776" s="1055" t="s">
        <v>893</v>
      </c>
      <c r="C2776" s="1055" t="s">
        <v>374</v>
      </c>
      <c r="D2776" s="1055" t="s">
        <v>1374</v>
      </c>
      <c r="E2776" s="1055" t="s">
        <v>1375</v>
      </c>
      <c r="F2776" s="1056">
        <v>0</v>
      </c>
      <c r="G2776" s="1056">
        <v>0</v>
      </c>
      <c r="H2776" s="1056">
        <v>0</v>
      </c>
      <c r="I2776" s="1056">
        <v>0</v>
      </c>
      <c r="K2776" s="995">
        <f t="shared" si="43"/>
        <v>8</v>
      </c>
    </row>
    <row r="2777" spans="1:11">
      <c r="A2777" s="1054">
        <v>55958101</v>
      </c>
      <c r="B2777" s="1055" t="s">
        <v>893</v>
      </c>
      <c r="C2777" s="1055" t="s">
        <v>374</v>
      </c>
      <c r="D2777" s="1055" t="s">
        <v>1249</v>
      </c>
      <c r="E2777" s="1055" t="s">
        <v>583</v>
      </c>
      <c r="F2777" s="1056">
        <v>3</v>
      </c>
      <c r="G2777" s="1056">
        <v>4</v>
      </c>
      <c r="H2777" s="1056">
        <v>0</v>
      </c>
      <c r="I2777" s="1056">
        <v>7</v>
      </c>
      <c r="K2777" s="995">
        <f t="shared" si="43"/>
        <v>8</v>
      </c>
    </row>
    <row r="2778" spans="1:11">
      <c r="A2778" s="1054">
        <v>55958101</v>
      </c>
      <c r="B2778" s="1055" t="s">
        <v>893</v>
      </c>
      <c r="C2778" s="1055" t="s">
        <v>374</v>
      </c>
      <c r="D2778" s="1055" t="s">
        <v>1376</v>
      </c>
      <c r="E2778" s="1055" t="s">
        <v>1377</v>
      </c>
      <c r="F2778" s="1056">
        <v>0</v>
      </c>
      <c r="G2778" s="1056">
        <v>0</v>
      </c>
      <c r="H2778" s="1056">
        <v>0</v>
      </c>
      <c r="I2778" s="1056">
        <v>0</v>
      </c>
      <c r="K2778" s="995">
        <f t="shared" si="43"/>
        <v>8</v>
      </c>
    </row>
    <row r="2779" spans="1:11">
      <c r="A2779" s="1054">
        <v>55958101</v>
      </c>
      <c r="B2779" s="1055" t="s">
        <v>893</v>
      </c>
      <c r="C2779" s="1055" t="s">
        <v>374</v>
      </c>
      <c r="D2779" s="1055" t="s">
        <v>1613</v>
      </c>
      <c r="E2779" s="1055" t="s">
        <v>1614</v>
      </c>
      <c r="F2779" s="1056">
        <v>0</v>
      </c>
      <c r="G2779" s="1056">
        <v>0</v>
      </c>
      <c r="H2779" s="1056">
        <v>0</v>
      </c>
      <c r="I2779" s="1056">
        <v>0</v>
      </c>
      <c r="K2779" s="995">
        <f t="shared" si="43"/>
        <v>8</v>
      </c>
    </row>
    <row r="2780" spans="1:11">
      <c r="A2780" s="1054">
        <v>55958101</v>
      </c>
      <c r="B2780" s="1055" t="s">
        <v>893</v>
      </c>
      <c r="C2780" s="1055" t="s">
        <v>374</v>
      </c>
      <c r="D2780" s="1055" t="s">
        <v>1305</v>
      </c>
      <c r="E2780" s="1055" t="s">
        <v>990</v>
      </c>
      <c r="F2780" s="1056">
        <v>10</v>
      </c>
      <c r="G2780" s="1056">
        <v>3</v>
      </c>
      <c r="H2780" s="1056">
        <v>0</v>
      </c>
      <c r="I2780" s="1056">
        <v>13</v>
      </c>
      <c r="K2780" s="995">
        <f t="shared" si="43"/>
        <v>8</v>
      </c>
    </row>
    <row r="2781" spans="1:11">
      <c r="A2781" s="1054">
        <v>55958101</v>
      </c>
      <c r="B2781" s="1055" t="s">
        <v>893</v>
      </c>
      <c r="C2781" s="1055" t="s">
        <v>374</v>
      </c>
      <c r="D2781" s="1055" t="s">
        <v>1306</v>
      </c>
      <c r="E2781" s="1055" t="s">
        <v>997</v>
      </c>
      <c r="F2781" s="1056">
        <v>0</v>
      </c>
      <c r="G2781" s="1056">
        <v>0</v>
      </c>
      <c r="H2781" s="1056">
        <v>0</v>
      </c>
      <c r="I2781" s="1056">
        <v>0</v>
      </c>
      <c r="K2781" s="995">
        <f t="shared" si="43"/>
        <v>8</v>
      </c>
    </row>
    <row r="2782" spans="1:11">
      <c r="A2782" s="1054">
        <v>55958101</v>
      </c>
      <c r="B2782" s="1055" t="s">
        <v>893</v>
      </c>
      <c r="C2782" s="1055" t="s">
        <v>374</v>
      </c>
      <c r="D2782" s="1055" t="s">
        <v>1250</v>
      </c>
      <c r="E2782" s="1055" t="s">
        <v>1251</v>
      </c>
      <c r="F2782" s="1056">
        <v>0</v>
      </c>
      <c r="G2782" s="1056">
        <v>0</v>
      </c>
      <c r="H2782" s="1056">
        <v>0</v>
      </c>
      <c r="I2782" s="1056">
        <v>0</v>
      </c>
      <c r="K2782" s="995">
        <f t="shared" si="43"/>
        <v>8</v>
      </c>
    </row>
    <row r="2783" spans="1:11">
      <c r="A2783" s="1054">
        <v>55958101</v>
      </c>
      <c r="B2783" s="1055" t="s">
        <v>893</v>
      </c>
      <c r="C2783" s="1055" t="s">
        <v>374</v>
      </c>
      <c r="D2783" s="1055" t="s">
        <v>1787</v>
      </c>
      <c r="E2783" s="1055" t="s">
        <v>1788</v>
      </c>
      <c r="F2783" s="1056">
        <v>0</v>
      </c>
      <c r="G2783" s="1056">
        <v>0</v>
      </c>
      <c r="H2783" s="1056">
        <v>0</v>
      </c>
      <c r="I2783" s="1056">
        <v>0</v>
      </c>
      <c r="K2783" s="995">
        <f t="shared" si="43"/>
        <v>8</v>
      </c>
    </row>
    <row r="2784" spans="1:11">
      <c r="A2784" s="1054">
        <v>55958101</v>
      </c>
      <c r="B2784" s="1055" t="s">
        <v>893</v>
      </c>
      <c r="C2784" s="1055" t="s">
        <v>374</v>
      </c>
      <c r="D2784" s="1055" t="s">
        <v>1378</v>
      </c>
      <c r="E2784" s="1055" t="s">
        <v>1379</v>
      </c>
      <c r="F2784" s="1056">
        <v>0</v>
      </c>
      <c r="G2784" s="1056">
        <v>0</v>
      </c>
      <c r="H2784" s="1056">
        <v>0</v>
      </c>
      <c r="I2784" s="1056">
        <v>0</v>
      </c>
      <c r="K2784" s="995">
        <f t="shared" si="43"/>
        <v>8</v>
      </c>
    </row>
    <row r="2785" spans="1:11">
      <c r="A2785" s="1054">
        <v>55958101</v>
      </c>
      <c r="B2785" s="1055" t="s">
        <v>893</v>
      </c>
      <c r="C2785" s="1055" t="s">
        <v>374</v>
      </c>
      <c r="D2785" s="1055" t="s">
        <v>1303</v>
      </c>
      <c r="E2785" s="1055" t="s">
        <v>806</v>
      </c>
      <c r="F2785" s="1056">
        <v>0</v>
      </c>
      <c r="G2785" s="1056">
        <v>0</v>
      </c>
      <c r="H2785" s="1056">
        <v>0</v>
      </c>
      <c r="I2785" s="1056">
        <v>0</v>
      </c>
      <c r="K2785" s="995">
        <f t="shared" si="43"/>
        <v>8</v>
      </c>
    </row>
    <row r="2786" spans="1:11">
      <c r="A2786" s="1054">
        <v>55958101</v>
      </c>
      <c r="B2786" s="1055" t="s">
        <v>893</v>
      </c>
      <c r="C2786" s="1055" t="s">
        <v>374</v>
      </c>
      <c r="D2786" s="1055" t="s">
        <v>1605</v>
      </c>
      <c r="E2786" s="1055" t="s">
        <v>1606</v>
      </c>
      <c r="F2786" s="1056">
        <v>15</v>
      </c>
      <c r="G2786" s="1056">
        <v>3</v>
      </c>
      <c r="H2786" s="1056">
        <v>0</v>
      </c>
      <c r="I2786" s="1056">
        <v>18</v>
      </c>
      <c r="K2786" s="995">
        <f t="shared" si="43"/>
        <v>8</v>
      </c>
    </row>
    <row r="2787" spans="1:11">
      <c r="A2787" s="1054">
        <v>55958101</v>
      </c>
      <c r="B2787" s="1055" t="s">
        <v>893</v>
      </c>
      <c r="C2787" s="1055" t="s">
        <v>374</v>
      </c>
      <c r="D2787" s="1055" t="s">
        <v>1789</v>
      </c>
      <c r="E2787" s="1055" t="s">
        <v>1790</v>
      </c>
      <c r="F2787" s="1056">
        <v>1</v>
      </c>
      <c r="G2787" s="1056">
        <v>0</v>
      </c>
      <c r="H2787" s="1056">
        <v>0</v>
      </c>
      <c r="I2787" s="1056">
        <v>1</v>
      </c>
      <c r="K2787" s="995">
        <f t="shared" si="43"/>
        <v>8</v>
      </c>
    </row>
    <row r="2788" spans="1:11">
      <c r="A2788" s="1054">
        <v>55958101</v>
      </c>
      <c r="B2788" s="1055" t="s">
        <v>893</v>
      </c>
      <c r="C2788" s="1055" t="s">
        <v>374</v>
      </c>
      <c r="D2788" s="1055" t="s">
        <v>1254</v>
      </c>
      <c r="E2788" s="1055" t="s">
        <v>744</v>
      </c>
      <c r="F2788" s="1056">
        <v>28</v>
      </c>
      <c r="G2788" s="1056">
        <v>6</v>
      </c>
      <c r="H2788" s="1056">
        <v>0</v>
      </c>
      <c r="I2788" s="1056">
        <v>34</v>
      </c>
      <c r="K2788" s="995">
        <f t="shared" si="43"/>
        <v>8</v>
      </c>
    </row>
    <row r="2789" spans="1:11">
      <c r="A2789" s="1054">
        <v>55958101</v>
      </c>
      <c r="B2789" s="1055" t="s">
        <v>893</v>
      </c>
      <c r="C2789" s="1055" t="s">
        <v>374</v>
      </c>
      <c r="D2789" s="1055" t="s">
        <v>1275</v>
      </c>
      <c r="E2789" s="1055" t="s">
        <v>991</v>
      </c>
      <c r="F2789" s="1056">
        <v>11</v>
      </c>
      <c r="G2789" s="1056">
        <v>3</v>
      </c>
      <c r="H2789" s="1056">
        <v>0</v>
      </c>
      <c r="I2789" s="1056">
        <v>15</v>
      </c>
      <c r="K2789" s="995">
        <f t="shared" si="43"/>
        <v>8</v>
      </c>
    </row>
    <row r="2790" spans="1:11">
      <c r="A2790" s="1054">
        <v>55958101</v>
      </c>
      <c r="B2790" s="1055" t="s">
        <v>893</v>
      </c>
      <c r="C2790" s="1055" t="s">
        <v>374</v>
      </c>
      <c r="D2790" s="1055" t="s">
        <v>1380</v>
      </c>
      <c r="E2790" s="1055" t="s">
        <v>1381</v>
      </c>
      <c r="F2790" s="1056">
        <v>0</v>
      </c>
      <c r="G2790" s="1056">
        <v>0</v>
      </c>
      <c r="H2790" s="1056">
        <v>0</v>
      </c>
      <c r="I2790" s="1056">
        <v>0</v>
      </c>
      <c r="K2790" s="995">
        <f t="shared" si="43"/>
        <v>8</v>
      </c>
    </row>
    <row r="2791" spans="1:11">
      <c r="A2791" s="1054">
        <v>55958101</v>
      </c>
      <c r="B2791" s="1055" t="s">
        <v>893</v>
      </c>
      <c r="C2791" s="1055" t="s">
        <v>374</v>
      </c>
      <c r="D2791" s="1055" t="s">
        <v>1044</v>
      </c>
      <c r="E2791" s="1055" t="s">
        <v>1045</v>
      </c>
      <c r="F2791" s="1056">
        <v>0</v>
      </c>
      <c r="G2791" s="1056">
        <v>0</v>
      </c>
      <c r="H2791" s="1056">
        <v>0</v>
      </c>
      <c r="I2791" s="1056">
        <v>0</v>
      </c>
      <c r="K2791" s="995">
        <f t="shared" si="43"/>
        <v>8</v>
      </c>
    </row>
    <row r="2792" spans="1:11">
      <c r="A2792" s="1054">
        <v>55958101</v>
      </c>
      <c r="B2792" s="1055" t="s">
        <v>893</v>
      </c>
      <c r="C2792" s="1055" t="s">
        <v>374</v>
      </c>
      <c r="D2792" s="1055" t="s">
        <v>1395</v>
      </c>
      <c r="E2792" s="1055" t="s">
        <v>1396</v>
      </c>
      <c r="F2792" s="1056">
        <v>3</v>
      </c>
      <c r="G2792" s="1056">
        <v>0</v>
      </c>
      <c r="H2792" s="1056">
        <v>0</v>
      </c>
      <c r="I2792" s="1056">
        <v>3</v>
      </c>
      <c r="K2792" s="995">
        <f t="shared" si="43"/>
        <v>8</v>
      </c>
    </row>
    <row r="2793" spans="1:11">
      <c r="A2793" s="1054">
        <v>55958101</v>
      </c>
      <c r="B2793" s="1055" t="s">
        <v>893</v>
      </c>
      <c r="C2793" s="1055" t="s">
        <v>374</v>
      </c>
      <c r="D2793" s="1055" t="s">
        <v>1382</v>
      </c>
      <c r="E2793" s="1055" t="s">
        <v>1763</v>
      </c>
      <c r="F2793" s="1056">
        <v>0</v>
      </c>
      <c r="G2793" s="1056">
        <v>0</v>
      </c>
      <c r="H2793" s="1056">
        <v>0</v>
      </c>
      <c r="I2793" s="1056">
        <v>0</v>
      </c>
      <c r="K2793" s="995">
        <f t="shared" si="43"/>
        <v>8</v>
      </c>
    </row>
    <row r="2794" spans="1:11">
      <c r="A2794" s="1054">
        <v>55958101</v>
      </c>
      <c r="B2794" s="1055" t="s">
        <v>893</v>
      </c>
      <c r="C2794" s="1055" t="s">
        <v>374</v>
      </c>
      <c r="D2794" s="1055" t="s">
        <v>1383</v>
      </c>
      <c r="E2794" s="1055" t="s">
        <v>1384</v>
      </c>
      <c r="F2794" s="1056">
        <v>1</v>
      </c>
      <c r="G2794" s="1056">
        <v>0</v>
      </c>
      <c r="H2794" s="1056">
        <v>0</v>
      </c>
      <c r="I2794" s="1056">
        <v>1</v>
      </c>
      <c r="K2794" s="995">
        <f t="shared" si="43"/>
        <v>8</v>
      </c>
    </row>
    <row r="2795" spans="1:11">
      <c r="A2795" s="1054">
        <v>6</v>
      </c>
      <c r="B2795" s="1055" t="s">
        <v>893</v>
      </c>
      <c r="C2795" s="1055" t="s">
        <v>145</v>
      </c>
      <c r="D2795" s="1055" t="s">
        <v>893</v>
      </c>
      <c r="E2795" s="1055" t="s">
        <v>893</v>
      </c>
      <c r="F2795" s="1056">
        <v>1019248</v>
      </c>
      <c r="G2795" s="1056">
        <v>221817</v>
      </c>
      <c r="H2795" s="1056">
        <v>0</v>
      </c>
      <c r="I2795" s="1056">
        <v>1241065</v>
      </c>
      <c r="K2795" s="995">
        <f t="shared" si="43"/>
        <v>1</v>
      </c>
    </row>
    <row r="2796" spans="1:11">
      <c r="A2796" s="1054">
        <v>61</v>
      </c>
      <c r="B2796" s="1055" t="s">
        <v>893</v>
      </c>
      <c r="C2796" s="1055" t="s">
        <v>402</v>
      </c>
      <c r="D2796" s="1055" t="s">
        <v>893</v>
      </c>
      <c r="E2796" s="1055" t="s">
        <v>893</v>
      </c>
      <c r="F2796" s="1056">
        <v>1019248</v>
      </c>
      <c r="G2796" s="1056">
        <v>221817</v>
      </c>
      <c r="H2796" s="1056">
        <v>0</v>
      </c>
      <c r="I2796" s="1056">
        <v>1241065</v>
      </c>
      <c r="K2796" s="995">
        <f t="shared" si="43"/>
        <v>2</v>
      </c>
    </row>
    <row r="2797" spans="1:11">
      <c r="A2797" s="1054">
        <v>6135</v>
      </c>
      <c r="B2797" s="1055" t="s">
        <v>893</v>
      </c>
      <c r="C2797" s="1055" t="s">
        <v>553</v>
      </c>
      <c r="D2797" s="1055" t="s">
        <v>893</v>
      </c>
      <c r="E2797" s="1055" t="s">
        <v>893</v>
      </c>
      <c r="F2797" s="1056">
        <v>1019248</v>
      </c>
      <c r="G2797" s="1056">
        <v>221817</v>
      </c>
      <c r="H2797" s="1056">
        <v>0</v>
      </c>
      <c r="I2797" s="1056">
        <v>1241065</v>
      </c>
      <c r="K2797" s="995">
        <f t="shared" si="43"/>
        <v>4</v>
      </c>
    </row>
    <row r="2798" spans="1:11">
      <c r="A2798" s="1054">
        <v>613599</v>
      </c>
      <c r="B2798" s="1055" t="s">
        <v>1489</v>
      </c>
      <c r="C2798" s="1055" t="s">
        <v>584</v>
      </c>
      <c r="D2798" s="1055" t="s">
        <v>893</v>
      </c>
      <c r="E2798" s="1055" t="s">
        <v>893</v>
      </c>
      <c r="F2798" s="1056">
        <v>1019248</v>
      </c>
      <c r="G2798" s="1056">
        <v>221817</v>
      </c>
      <c r="H2798" s="1056">
        <v>0</v>
      </c>
      <c r="I2798" s="1056">
        <v>1241065</v>
      </c>
      <c r="K2798" s="995">
        <f t="shared" si="43"/>
        <v>6</v>
      </c>
    </row>
    <row r="2799" spans="1:11">
      <c r="A2799" s="1054">
        <v>613599</v>
      </c>
      <c r="B2799" s="1055" t="s">
        <v>1489</v>
      </c>
      <c r="C2799" s="1055" t="s">
        <v>584</v>
      </c>
      <c r="D2799" s="1055" t="s">
        <v>1083</v>
      </c>
      <c r="E2799" s="1055" t="s">
        <v>256</v>
      </c>
      <c r="F2799" s="1056">
        <v>1019248</v>
      </c>
      <c r="G2799" s="1056">
        <v>221817</v>
      </c>
      <c r="H2799" s="1056">
        <v>0</v>
      </c>
      <c r="I2799" s="1056">
        <v>1241065</v>
      </c>
      <c r="K2799" s="995">
        <f t="shared" si="43"/>
        <v>6</v>
      </c>
    </row>
    <row r="2800" spans="1:11">
      <c r="A2800" s="1055"/>
      <c r="B2800" s="1055"/>
      <c r="C2800" s="1055"/>
      <c r="D2800" s="1055"/>
      <c r="E2800" s="1055"/>
      <c r="F2800" s="1056"/>
      <c r="G2800" s="1056"/>
      <c r="H2800" s="1056"/>
      <c r="I2800" s="1056"/>
    </row>
    <row r="2801" spans="1:9">
      <c r="A2801" s="1055"/>
      <c r="B2801" s="1055"/>
      <c r="C2801" s="1055"/>
      <c r="D2801" s="1055"/>
      <c r="E2801" s="1055"/>
      <c r="F2801" s="1056"/>
      <c r="G2801" s="1056"/>
      <c r="H2801" s="1056"/>
      <c r="I2801" s="1056"/>
    </row>
    <row r="2802" spans="1:9">
      <c r="A2802" s="1055"/>
      <c r="B2802" s="1055"/>
      <c r="C2802" s="1055"/>
      <c r="D2802" s="1055"/>
      <c r="E2802" s="1055"/>
      <c r="F2802" s="1056"/>
      <c r="G2802" s="1056"/>
      <c r="H2802" s="1056"/>
      <c r="I2802" s="1056"/>
    </row>
    <row r="2803" spans="1:9">
      <c r="A2803" s="1055"/>
      <c r="B2803" s="1055"/>
      <c r="C2803" s="1055"/>
      <c r="D2803" s="1055"/>
      <c r="E2803" s="1055"/>
      <c r="F2803" s="1056"/>
      <c r="G2803" s="1056"/>
      <c r="H2803" s="1056"/>
      <c r="I2803" s="1056"/>
    </row>
    <row r="2804" spans="1:9">
      <c r="A2804" s="1055"/>
      <c r="B2804" s="1055"/>
      <c r="C2804" s="1055"/>
      <c r="D2804" s="1055"/>
      <c r="E2804" s="1055"/>
      <c r="F2804" s="1056"/>
      <c r="G2804" s="1056"/>
      <c r="H2804" s="1056"/>
      <c r="I2804" s="1056"/>
    </row>
    <row r="2805" spans="1:9">
      <c r="A2805" s="1055"/>
      <c r="B2805" s="1055"/>
      <c r="C2805" s="1055"/>
      <c r="D2805" s="1055"/>
      <c r="E2805" s="1055"/>
      <c r="F2805" s="1056"/>
      <c r="G2805" s="1056"/>
      <c r="H2805" s="1056"/>
      <c r="I2805" s="1056"/>
    </row>
    <row r="2806" spans="1:9">
      <c r="A2806" s="1055"/>
      <c r="B2806" s="1055"/>
      <c r="C2806" s="1055"/>
      <c r="D2806" s="1055"/>
      <c r="E2806" s="1055"/>
      <c r="F2806" s="1056"/>
      <c r="G2806" s="1056"/>
      <c r="H2806" s="1056"/>
      <c r="I2806" s="1056"/>
    </row>
    <row r="2807" spans="1:9">
      <c r="A2807" s="1055"/>
      <c r="B2807" s="1055"/>
      <c r="C2807" s="1055"/>
      <c r="D2807" s="1055"/>
      <c r="E2807" s="1055"/>
      <c r="F2807" s="1056"/>
      <c r="G2807" s="1056"/>
      <c r="H2807" s="1056"/>
      <c r="I2807" s="1056"/>
    </row>
    <row r="2808" spans="1:9">
      <c r="A2808" s="1055"/>
      <c r="B2808" s="1055"/>
      <c r="C2808" s="1055"/>
      <c r="D2808" s="1055"/>
      <c r="E2808" s="1055"/>
      <c r="F2808" s="1056"/>
      <c r="G2808" s="1056"/>
      <c r="H2808" s="1056"/>
      <c r="I2808" s="1056"/>
    </row>
    <row r="2809" spans="1:9">
      <c r="A2809" s="1055"/>
      <c r="B2809" s="1055"/>
      <c r="C2809" s="1055"/>
      <c r="D2809" s="1055"/>
      <c r="E2809" s="1055"/>
      <c r="F2809" s="1056"/>
      <c r="G2809" s="1056"/>
      <c r="H2809" s="1056"/>
      <c r="I2809" s="1056"/>
    </row>
    <row r="2810" spans="1:9">
      <c r="A2810" s="1055"/>
      <c r="B2810" s="1055"/>
      <c r="C2810" s="1055"/>
      <c r="D2810" s="1055"/>
      <c r="E2810" s="1055"/>
      <c r="F2810" s="1056"/>
      <c r="G2810" s="1056"/>
      <c r="H2810" s="1056"/>
      <c r="I2810" s="1056"/>
    </row>
    <row r="2811" spans="1:9">
      <c r="A2811" s="1055"/>
      <c r="B2811" s="1055"/>
      <c r="C2811" s="1055"/>
      <c r="D2811" s="1055"/>
      <c r="E2811" s="1055"/>
      <c r="F2811" s="1056"/>
      <c r="G2811" s="1056"/>
      <c r="H2811" s="1056"/>
      <c r="I2811" s="1056"/>
    </row>
    <row r="2812" spans="1:9">
      <c r="A2812" s="1055"/>
      <c r="B2812" s="1055"/>
      <c r="C2812" s="1055"/>
      <c r="D2812" s="1055"/>
      <c r="E2812" s="1055"/>
      <c r="F2812" s="1056"/>
      <c r="G2812" s="1056"/>
      <c r="H2812" s="1056"/>
      <c r="I2812" s="1056"/>
    </row>
    <row r="2813" spans="1:9">
      <c r="A2813" s="1055"/>
      <c r="B2813" s="1055"/>
      <c r="C2813" s="1055"/>
      <c r="D2813" s="1055"/>
      <c r="E2813" s="1055"/>
      <c r="F2813" s="1056"/>
      <c r="G2813" s="1056"/>
      <c r="H2813" s="1056"/>
      <c r="I2813" s="1056"/>
    </row>
    <row r="2814" spans="1:9">
      <c r="A2814" s="1055"/>
      <c r="B2814" s="1055"/>
      <c r="C2814" s="1055"/>
      <c r="D2814" s="1055"/>
      <c r="E2814" s="1055"/>
      <c r="F2814" s="1056"/>
      <c r="G2814" s="1056"/>
      <c r="H2814" s="1056"/>
      <c r="I2814" s="1056"/>
    </row>
    <row r="2815" spans="1:9">
      <c r="A2815" s="1055"/>
      <c r="B2815" s="1055"/>
      <c r="C2815" s="1055"/>
      <c r="D2815" s="1055"/>
      <c r="E2815" s="1055"/>
      <c r="F2815" s="1056"/>
      <c r="G2815" s="1056"/>
      <c r="H2815" s="1056"/>
      <c r="I2815" s="1056"/>
    </row>
    <row r="2816" spans="1:9">
      <c r="A2816" s="1055"/>
      <c r="B2816" s="1055"/>
      <c r="C2816" s="1055"/>
      <c r="D2816" s="1055"/>
      <c r="E2816" s="1055"/>
      <c r="F2816" s="1056"/>
      <c r="G2816" s="1056"/>
      <c r="H2816" s="1056"/>
      <c r="I2816" s="1056"/>
    </row>
    <row r="2817" spans="1:9">
      <c r="A2817" s="1055"/>
      <c r="B2817" s="1055"/>
      <c r="C2817" s="1055"/>
      <c r="D2817" s="1055"/>
      <c r="E2817" s="1055"/>
      <c r="F2817" s="1056"/>
      <c r="G2817" s="1056"/>
      <c r="H2817" s="1056"/>
      <c r="I2817" s="1056"/>
    </row>
    <row r="2818" spans="1:9">
      <c r="A2818" s="1055"/>
      <c r="B2818" s="1055"/>
      <c r="C2818" s="1055"/>
      <c r="D2818" s="1055"/>
      <c r="E2818" s="1055"/>
      <c r="F2818" s="1056"/>
      <c r="G2818" s="1056"/>
      <c r="H2818" s="1056"/>
      <c r="I2818" s="1056"/>
    </row>
    <row r="2819" spans="1:9">
      <c r="A2819" s="1055"/>
      <c r="B2819" s="1055"/>
      <c r="C2819" s="1055"/>
      <c r="D2819" s="1055"/>
      <c r="E2819" s="1055"/>
      <c r="F2819" s="1056"/>
      <c r="G2819" s="1056"/>
      <c r="H2819" s="1056"/>
      <c r="I2819" s="1056"/>
    </row>
    <row r="2820" spans="1:9">
      <c r="A2820" s="1055"/>
      <c r="B2820" s="1055"/>
      <c r="C2820" s="1055"/>
      <c r="D2820" s="1055"/>
      <c r="E2820" s="1055"/>
      <c r="F2820" s="1056"/>
      <c r="G2820" s="1056"/>
      <c r="H2820" s="1056"/>
      <c r="I2820" s="1056"/>
    </row>
    <row r="2821" spans="1:9">
      <c r="A2821" s="1055"/>
      <c r="B2821" s="1055"/>
      <c r="C2821" s="1055"/>
      <c r="D2821" s="1055"/>
      <c r="E2821" s="1055"/>
      <c r="F2821" s="1056"/>
      <c r="G2821" s="1056"/>
      <c r="H2821" s="1056"/>
      <c r="I2821" s="1056"/>
    </row>
    <row r="2822" spans="1:9">
      <c r="A2822" s="1055"/>
      <c r="B2822" s="1055"/>
      <c r="C2822" s="1055"/>
      <c r="D2822" s="1055"/>
      <c r="E2822" s="1055"/>
      <c r="F2822" s="1056"/>
      <c r="G2822" s="1056"/>
      <c r="H2822" s="1056"/>
      <c r="I2822" s="1056"/>
    </row>
    <row r="2823" spans="1:9">
      <c r="A2823" s="1055"/>
      <c r="B2823" s="1055"/>
      <c r="C2823" s="1055"/>
      <c r="D2823" s="1055"/>
      <c r="E2823" s="1055"/>
      <c r="F2823" s="1056"/>
      <c r="G2823" s="1056"/>
      <c r="H2823" s="1056"/>
      <c r="I2823" s="1056"/>
    </row>
    <row r="2824" spans="1:9">
      <c r="A2824" s="1055"/>
      <c r="B2824" s="1055"/>
      <c r="C2824" s="1055"/>
      <c r="D2824" s="1055"/>
      <c r="E2824" s="1055"/>
      <c r="F2824" s="1056"/>
      <c r="G2824" s="1056"/>
      <c r="H2824" s="1056"/>
      <c r="I2824" s="1056"/>
    </row>
    <row r="2825" spans="1:9">
      <c r="A2825" s="1055"/>
      <c r="B2825" s="1055"/>
      <c r="C2825" s="1055"/>
      <c r="D2825" s="1055"/>
      <c r="E2825" s="1055"/>
      <c r="F2825" s="1056"/>
      <c r="G2825" s="1056"/>
      <c r="H2825" s="1056"/>
      <c r="I2825" s="1056"/>
    </row>
    <row r="2826" spans="1:9">
      <c r="A2826" s="1055"/>
      <c r="B2826" s="1055"/>
      <c r="C2826" s="1055"/>
      <c r="D2826" s="1055"/>
      <c r="E2826" s="1055"/>
      <c r="F2826" s="1056"/>
      <c r="G2826" s="1056"/>
      <c r="H2826" s="1056"/>
      <c r="I2826" s="1056"/>
    </row>
    <row r="2827" spans="1:9">
      <c r="A2827" s="1055"/>
      <c r="B2827" s="1055"/>
      <c r="C2827" s="1055"/>
      <c r="D2827" s="1055"/>
      <c r="E2827" s="1055"/>
      <c r="F2827" s="1056"/>
      <c r="G2827" s="1056"/>
      <c r="H2827" s="1056"/>
      <c r="I2827" s="1056"/>
    </row>
    <row r="2828" spans="1:9">
      <c r="A2828" s="1055"/>
      <c r="B2828" s="1055"/>
      <c r="C2828" s="1055"/>
      <c r="D2828" s="1055"/>
      <c r="E2828" s="1055"/>
      <c r="F2828" s="1056"/>
      <c r="G2828" s="1056"/>
      <c r="H2828" s="1056"/>
      <c r="I2828" s="1056"/>
    </row>
    <row r="2829" spans="1:9">
      <c r="A2829" s="1055"/>
      <c r="B2829" s="1055"/>
      <c r="C2829" s="1055"/>
      <c r="D2829" s="1055"/>
      <c r="E2829" s="1055"/>
      <c r="F2829" s="1056"/>
      <c r="G2829" s="1056"/>
      <c r="H2829" s="1056"/>
      <c r="I2829" s="1056"/>
    </row>
    <row r="2830" spans="1:9">
      <c r="A2830" s="1055"/>
      <c r="B2830" s="1055"/>
      <c r="C2830" s="1055"/>
      <c r="D2830" s="1055"/>
      <c r="E2830" s="1055"/>
      <c r="F2830" s="1056"/>
      <c r="G2830" s="1056"/>
      <c r="H2830" s="1056"/>
      <c r="I2830" s="1056"/>
    </row>
    <row r="2831" spans="1:9">
      <c r="A2831" s="1055"/>
      <c r="B2831" s="1055"/>
      <c r="C2831" s="1055"/>
      <c r="D2831" s="1055"/>
      <c r="E2831" s="1055"/>
      <c r="F2831" s="1056"/>
      <c r="G2831" s="1056"/>
      <c r="H2831" s="1056"/>
      <c r="I2831" s="1056"/>
    </row>
    <row r="2832" spans="1:9">
      <c r="A2832" s="1055"/>
      <c r="B2832" s="1055"/>
      <c r="C2832" s="1055"/>
      <c r="D2832" s="1055"/>
      <c r="E2832" s="1055"/>
      <c r="F2832" s="1056"/>
      <c r="G2832" s="1056"/>
      <c r="H2832" s="1056"/>
      <c r="I2832" s="1056"/>
    </row>
    <row r="2833" spans="1:9">
      <c r="A2833" s="1055"/>
      <c r="B2833" s="1055"/>
      <c r="C2833" s="1055"/>
      <c r="D2833" s="1055"/>
      <c r="E2833" s="1055"/>
      <c r="F2833" s="1056"/>
      <c r="G2833" s="1056"/>
      <c r="H2833" s="1056"/>
      <c r="I2833" s="1056"/>
    </row>
    <row r="2834" spans="1:9">
      <c r="A2834" s="1055"/>
      <c r="B2834" s="1055"/>
      <c r="C2834" s="1055"/>
      <c r="D2834" s="1055"/>
      <c r="E2834" s="1055"/>
      <c r="F2834" s="1056"/>
      <c r="G2834" s="1056"/>
      <c r="H2834" s="1056"/>
      <c r="I2834" s="1056"/>
    </row>
    <row r="2835" spans="1:9">
      <c r="A2835" s="1055"/>
      <c r="B2835" s="1055"/>
      <c r="C2835" s="1055"/>
      <c r="D2835" s="1055"/>
      <c r="E2835" s="1055"/>
      <c r="F2835" s="1056"/>
      <c r="G2835" s="1056"/>
      <c r="H2835" s="1056"/>
      <c r="I2835" s="1056"/>
    </row>
    <row r="2836" spans="1:9">
      <c r="A2836" s="1055"/>
      <c r="B2836" s="1055"/>
      <c r="C2836" s="1055"/>
      <c r="D2836" s="1055"/>
      <c r="E2836" s="1055"/>
      <c r="F2836" s="1056"/>
      <c r="G2836" s="1056"/>
      <c r="H2836" s="1056"/>
      <c r="I2836" s="1056"/>
    </row>
    <row r="2837" spans="1:9">
      <c r="A2837" s="1055"/>
      <c r="B2837" s="1055"/>
      <c r="C2837" s="1055"/>
      <c r="D2837" s="1055"/>
      <c r="E2837" s="1055"/>
      <c r="F2837" s="1056"/>
      <c r="G2837" s="1056"/>
      <c r="H2837" s="1056"/>
      <c r="I2837" s="1056"/>
    </row>
    <row r="2838" spans="1:9">
      <c r="A2838" s="1055"/>
      <c r="B2838" s="1055"/>
      <c r="C2838" s="1055"/>
      <c r="D2838" s="1055"/>
      <c r="E2838" s="1055"/>
      <c r="F2838" s="1056"/>
      <c r="G2838" s="1056"/>
      <c r="H2838" s="1056"/>
      <c r="I2838" s="1056"/>
    </row>
    <row r="2839" spans="1:9">
      <c r="A2839" s="1055"/>
      <c r="B2839" s="1055"/>
      <c r="C2839" s="1055"/>
      <c r="D2839" s="1055"/>
      <c r="E2839" s="1055"/>
      <c r="F2839" s="1056"/>
      <c r="G2839" s="1056"/>
      <c r="H2839" s="1056"/>
      <c r="I2839" s="1056"/>
    </row>
    <row r="2840" spans="1:9">
      <c r="A2840" s="1055"/>
      <c r="B2840" s="1055"/>
      <c r="C2840" s="1055"/>
      <c r="D2840" s="1055"/>
      <c r="E2840" s="1055"/>
      <c r="F2840" s="1056"/>
      <c r="G2840" s="1056"/>
      <c r="H2840" s="1056"/>
      <c r="I2840" s="1056"/>
    </row>
    <row r="2841" spans="1:9">
      <c r="A2841" s="1055"/>
      <c r="B2841" s="1055"/>
      <c r="C2841" s="1055"/>
      <c r="D2841" s="1055"/>
      <c r="E2841" s="1055"/>
      <c r="F2841" s="1056"/>
      <c r="G2841" s="1056"/>
      <c r="H2841" s="1056"/>
      <c r="I2841" s="1056"/>
    </row>
    <row r="2842" spans="1:9">
      <c r="A2842" s="1055"/>
      <c r="B2842" s="1055"/>
      <c r="C2842" s="1055"/>
      <c r="D2842" s="1055"/>
      <c r="E2842" s="1055"/>
      <c r="F2842" s="1056"/>
      <c r="G2842" s="1056"/>
      <c r="H2842" s="1056"/>
      <c r="I2842" s="1056"/>
    </row>
    <row r="2843" spans="1:9">
      <c r="A2843" s="1055"/>
      <c r="B2843" s="1055"/>
      <c r="C2843" s="1055"/>
      <c r="D2843" s="1055"/>
      <c r="E2843" s="1055"/>
      <c r="F2843" s="1056"/>
      <c r="G2843" s="1056"/>
      <c r="H2843" s="1056"/>
      <c r="I2843" s="1056"/>
    </row>
    <row r="2844" spans="1:9">
      <c r="A2844" s="1055"/>
      <c r="B2844" s="1055"/>
      <c r="C2844" s="1055"/>
      <c r="D2844" s="1055"/>
      <c r="E2844" s="1055"/>
      <c r="F2844" s="1056"/>
      <c r="G2844" s="1056"/>
      <c r="H2844" s="1056"/>
      <c r="I2844" s="1056"/>
    </row>
    <row r="2845" spans="1:9">
      <c r="A2845" s="1055"/>
      <c r="B2845" s="1055"/>
      <c r="C2845" s="1055"/>
      <c r="D2845" s="1055"/>
      <c r="E2845" s="1055"/>
      <c r="F2845" s="1056"/>
      <c r="G2845" s="1056"/>
      <c r="H2845" s="1056"/>
      <c r="I2845" s="1056"/>
    </row>
    <row r="2846" spans="1:9">
      <c r="A2846" s="1055"/>
      <c r="B2846" s="1055"/>
      <c r="C2846" s="1055"/>
      <c r="D2846" s="1055"/>
      <c r="E2846" s="1055"/>
      <c r="F2846" s="1056"/>
      <c r="G2846" s="1056"/>
      <c r="H2846" s="1056"/>
      <c r="I2846" s="1056"/>
    </row>
    <row r="2847" spans="1:9">
      <c r="A2847" s="1055"/>
      <c r="B2847" s="1055"/>
      <c r="C2847" s="1055"/>
      <c r="D2847" s="1055"/>
      <c r="E2847" s="1055"/>
      <c r="F2847" s="1056"/>
      <c r="G2847" s="1056"/>
      <c r="H2847" s="1056"/>
      <c r="I2847" s="1056"/>
    </row>
    <row r="2848" spans="1:9">
      <c r="A2848" s="1055"/>
      <c r="B2848" s="1055"/>
      <c r="C2848" s="1055"/>
      <c r="D2848" s="1055"/>
      <c r="E2848" s="1055"/>
      <c r="F2848" s="1056"/>
      <c r="G2848" s="1056"/>
      <c r="H2848" s="1056"/>
      <c r="I2848" s="1056"/>
    </row>
    <row r="2849" spans="1:9">
      <c r="A2849" s="1055"/>
      <c r="B2849" s="1055"/>
      <c r="C2849" s="1055"/>
      <c r="D2849" s="1055"/>
      <c r="E2849" s="1055"/>
      <c r="F2849" s="1056"/>
      <c r="G2849" s="1056"/>
      <c r="H2849" s="1056"/>
      <c r="I2849" s="1056"/>
    </row>
    <row r="2850" spans="1:9">
      <c r="A2850" s="1055"/>
      <c r="B2850" s="1055"/>
      <c r="C2850" s="1055"/>
      <c r="D2850" s="1055"/>
      <c r="E2850" s="1055"/>
      <c r="F2850" s="1056"/>
      <c r="G2850" s="1056"/>
      <c r="H2850" s="1056"/>
      <c r="I2850" s="1056"/>
    </row>
    <row r="2851" spans="1:9">
      <c r="A2851" s="1055"/>
      <c r="B2851" s="1055"/>
      <c r="C2851" s="1055"/>
      <c r="D2851" s="1055"/>
      <c r="E2851" s="1055"/>
      <c r="F2851" s="1056"/>
      <c r="G2851" s="1056"/>
      <c r="H2851" s="1056"/>
      <c r="I2851" s="1056"/>
    </row>
    <row r="2852" spans="1:9">
      <c r="A2852" s="1055"/>
      <c r="B2852" s="1055"/>
      <c r="C2852" s="1055"/>
      <c r="D2852" s="1055"/>
      <c r="E2852" s="1055"/>
      <c r="F2852" s="1056"/>
      <c r="G2852" s="1056"/>
      <c r="H2852" s="1056"/>
      <c r="I2852" s="1056"/>
    </row>
    <row r="2853" spans="1:9">
      <c r="A2853" s="1055"/>
      <c r="B2853" s="1055"/>
      <c r="C2853" s="1055"/>
      <c r="D2853" s="1055"/>
      <c r="E2853" s="1055"/>
      <c r="F2853" s="1056"/>
      <c r="G2853" s="1056"/>
      <c r="H2853" s="1056"/>
      <c r="I2853" s="1056"/>
    </row>
    <row r="2854" spans="1:9">
      <c r="A2854" s="1055"/>
      <c r="B2854" s="1055"/>
      <c r="C2854" s="1055"/>
      <c r="D2854" s="1055"/>
      <c r="E2854" s="1055"/>
      <c r="F2854" s="1056"/>
      <c r="G2854" s="1056"/>
      <c r="H2854" s="1056"/>
      <c r="I2854" s="1056"/>
    </row>
    <row r="2855" spans="1:9">
      <c r="A2855" s="1055"/>
      <c r="B2855" s="1055"/>
      <c r="C2855" s="1055"/>
      <c r="D2855" s="1055"/>
      <c r="E2855" s="1055"/>
      <c r="F2855" s="1056"/>
      <c r="G2855" s="1056"/>
      <c r="H2855" s="1056"/>
      <c r="I2855" s="1056"/>
    </row>
    <row r="2856" spans="1:9">
      <c r="A2856" s="1055"/>
      <c r="B2856" s="1055"/>
      <c r="C2856" s="1055"/>
      <c r="D2856" s="1055"/>
      <c r="E2856" s="1055"/>
      <c r="F2856" s="1056"/>
      <c r="G2856" s="1056"/>
      <c r="H2856" s="1056"/>
      <c r="I2856" s="1056"/>
    </row>
    <row r="2857" spans="1:9">
      <c r="A2857" s="1055"/>
      <c r="B2857" s="1055"/>
      <c r="C2857" s="1055"/>
      <c r="D2857" s="1055"/>
      <c r="E2857" s="1055"/>
      <c r="F2857" s="1056"/>
      <c r="G2857" s="1056"/>
      <c r="H2857" s="1056"/>
      <c r="I2857" s="1056"/>
    </row>
    <row r="2858" spans="1:9">
      <c r="A2858" s="1055"/>
      <c r="B2858" s="1055"/>
      <c r="C2858" s="1055"/>
      <c r="D2858" s="1055"/>
      <c r="E2858" s="1055"/>
      <c r="F2858" s="1056"/>
      <c r="G2858" s="1056"/>
      <c r="H2858" s="1056"/>
      <c r="I2858" s="1056"/>
    </row>
    <row r="2859" spans="1:9">
      <c r="A2859" s="1055"/>
      <c r="B2859" s="1055"/>
      <c r="C2859" s="1055"/>
      <c r="D2859" s="1055"/>
      <c r="E2859" s="1055"/>
      <c r="F2859" s="1056"/>
      <c r="G2859" s="1056"/>
      <c r="H2859" s="1056"/>
      <c r="I2859" s="1056"/>
    </row>
    <row r="2860" spans="1:9">
      <c r="A2860" s="1055"/>
      <c r="B2860" s="1055"/>
      <c r="C2860" s="1055"/>
      <c r="D2860" s="1055"/>
      <c r="E2860" s="1055"/>
      <c r="F2860" s="1056"/>
      <c r="G2860" s="1056"/>
      <c r="H2860" s="1056"/>
      <c r="I2860" s="1056"/>
    </row>
    <row r="2861" spans="1:9">
      <c r="A2861" s="1055"/>
      <c r="B2861" s="1055"/>
      <c r="C2861" s="1055"/>
      <c r="D2861" s="1055"/>
      <c r="E2861" s="1055"/>
      <c r="F2861" s="1056"/>
      <c r="G2861" s="1056"/>
      <c r="H2861" s="1056"/>
      <c r="I2861" s="1056"/>
    </row>
    <row r="2862" spans="1:9">
      <c r="A2862" s="1055"/>
      <c r="B2862" s="1055"/>
      <c r="C2862" s="1055"/>
      <c r="D2862" s="1055"/>
      <c r="E2862" s="1055"/>
      <c r="F2862" s="1056"/>
      <c r="G2862" s="1056"/>
      <c r="H2862" s="1056"/>
      <c r="I2862" s="1056"/>
    </row>
    <row r="2863" spans="1:9">
      <c r="A2863" s="1055"/>
      <c r="B2863" s="1055"/>
      <c r="C2863" s="1055"/>
      <c r="D2863" s="1055"/>
      <c r="E2863" s="1055"/>
      <c r="F2863" s="1056"/>
      <c r="G2863" s="1056"/>
      <c r="H2863" s="1056"/>
      <c r="I2863" s="1056"/>
    </row>
    <row r="2864" spans="1:9">
      <c r="A2864" s="1055"/>
      <c r="B2864" s="1055"/>
      <c r="C2864" s="1055"/>
      <c r="D2864" s="1055"/>
      <c r="E2864" s="1055"/>
      <c r="F2864" s="1056"/>
      <c r="G2864" s="1056"/>
      <c r="H2864" s="1056"/>
      <c r="I2864" s="1056"/>
    </row>
    <row r="2865" spans="1:9">
      <c r="A2865" s="1055"/>
      <c r="B2865" s="1055"/>
      <c r="C2865" s="1055"/>
      <c r="D2865" s="1055"/>
      <c r="E2865" s="1055"/>
      <c r="F2865" s="1056"/>
      <c r="G2865" s="1056"/>
      <c r="H2865" s="1056"/>
      <c r="I2865" s="1056"/>
    </row>
    <row r="2866" spans="1:9">
      <c r="A2866" s="1055"/>
      <c r="B2866" s="1055"/>
      <c r="C2866" s="1055"/>
      <c r="D2866" s="1055"/>
      <c r="E2866" s="1055"/>
      <c r="F2866" s="1056"/>
      <c r="G2866" s="1056"/>
      <c r="H2866" s="1056"/>
      <c r="I2866" s="1056"/>
    </row>
    <row r="2867" spans="1:9">
      <c r="A2867" s="1055"/>
      <c r="B2867" s="1055"/>
      <c r="C2867" s="1055"/>
      <c r="D2867" s="1055"/>
      <c r="E2867" s="1055"/>
      <c r="F2867" s="1056"/>
      <c r="G2867" s="1056"/>
      <c r="H2867" s="1056"/>
      <c r="I2867" s="1056"/>
    </row>
    <row r="2868" spans="1:9">
      <c r="A2868" s="1055"/>
      <c r="B2868" s="1055"/>
      <c r="C2868" s="1055"/>
      <c r="D2868" s="1055"/>
      <c r="E2868" s="1055"/>
      <c r="F2868" s="1056"/>
      <c r="G2868" s="1056"/>
      <c r="H2868" s="1056"/>
      <c r="I2868" s="1056"/>
    </row>
    <row r="2869" spans="1:9">
      <c r="A2869" s="1055"/>
      <c r="B2869" s="1055"/>
      <c r="C2869" s="1055"/>
      <c r="D2869" s="1055"/>
      <c r="E2869" s="1055"/>
      <c r="F2869" s="1056"/>
      <c r="G2869" s="1056"/>
      <c r="H2869" s="1056"/>
      <c r="I2869" s="1056"/>
    </row>
    <row r="2870" spans="1:9">
      <c r="A2870" s="1055"/>
      <c r="B2870" s="1055"/>
      <c r="C2870" s="1055"/>
      <c r="D2870" s="1055"/>
      <c r="E2870" s="1055"/>
      <c r="F2870" s="1056"/>
      <c r="G2870" s="1056"/>
      <c r="H2870" s="1056"/>
      <c r="I2870" s="1056"/>
    </row>
    <row r="2871" spans="1:9">
      <c r="A2871" s="1055"/>
      <c r="B2871" s="1055"/>
      <c r="C2871" s="1055"/>
      <c r="D2871" s="1055"/>
      <c r="E2871" s="1055"/>
      <c r="F2871" s="1056"/>
      <c r="G2871" s="1056"/>
      <c r="H2871" s="1056"/>
      <c r="I2871" s="1056"/>
    </row>
    <row r="2872" spans="1:9">
      <c r="A2872" s="1055"/>
      <c r="B2872" s="1055"/>
      <c r="C2872" s="1055"/>
      <c r="D2872" s="1055"/>
      <c r="E2872" s="1055"/>
      <c r="F2872" s="1056"/>
      <c r="G2872" s="1056"/>
      <c r="H2872" s="1056"/>
      <c r="I2872" s="1056"/>
    </row>
    <row r="2873" spans="1:9">
      <c r="A2873" s="1055"/>
      <c r="B2873" s="1055"/>
      <c r="C2873" s="1055"/>
      <c r="D2873" s="1055"/>
      <c r="E2873" s="1055"/>
      <c r="F2873" s="1056"/>
      <c r="G2873" s="1056"/>
      <c r="H2873" s="1056"/>
      <c r="I2873" s="1056"/>
    </row>
    <row r="2874" spans="1:9">
      <c r="A2874" s="1055"/>
      <c r="B2874" s="1055"/>
      <c r="C2874" s="1055"/>
      <c r="D2874" s="1055"/>
      <c r="E2874" s="1055"/>
      <c r="F2874" s="1056"/>
      <c r="G2874" s="1056"/>
      <c r="H2874" s="1056"/>
      <c r="I2874" s="1056"/>
    </row>
    <row r="2875" spans="1:9">
      <c r="A2875" s="1055"/>
      <c r="B2875" s="1055"/>
      <c r="C2875" s="1055"/>
      <c r="D2875" s="1055"/>
      <c r="E2875" s="1055"/>
      <c r="F2875" s="1056"/>
      <c r="G2875" s="1056"/>
      <c r="H2875" s="1056"/>
      <c r="I2875" s="1056"/>
    </row>
    <row r="2876" spans="1:9">
      <c r="A2876" s="1055"/>
      <c r="B2876" s="1055"/>
      <c r="C2876" s="1055"/>
      <c r="D2876" s="1055"/>
      <c r="E2876" s="1055"/>
      <c r="F2876" s="1056"/>
      <c r="G2876" s="1056"/>
      <c r="H2876" s="1056"/>
      <c r="I2876" s="1056"/>
    </row>
    <row r="2877" spans="1:9">
      <c r="A2877" s="1055"/>
      <c r="B2877" s="1055"/>
      <c r="C2877" s="1055"/>
      <c r="D2877" s="1055"/>
      <c r="E2877" s="1055"/>
      <c r="F2877" s="1056"/>
      <c r="G2877" s="1056"/>
      <c r="H2877" s="1056"/>
      <c r="I2877" s="1056"/>
    </row>
    <row r="2878" spans="1:9">
      <c r="A2878" s="1055"/>
      <c r="B2878" s="1055"/>
      <c r="C2878" s="1055"/>
      <c r="D2878" s="1055"/>
      <c r="E2878" s="1055"/>
      <c r="F2878" s="1056"/>
      <c r="G2878" s="1056"/>
      <c r="H2878" s="1056"/>
      <c r="I2878" s="1056"/>
    </row>
    <row r="2879" spans="1:9">
      <c r="A2879" s="1055"/>
      <c r="B2879" s="1055"/>
      <c r="C2879" s="1055"/>
      <c r="D2879" s="1055"/>
      <c r="E2879" s="1055"/>
      <c r="F2879" s="1056"/>
      <c r="G2879" s="1056"/>
      <c r="H2879" s="1056"/>
      <c r="I2879" s="1056"/>
    </row>
    <row r="2880" spans="1:9">
      <c r="A2880" s="1055"/>
      <c r="B2880" s="1055"/>
      <c r="C2880" s="1055"/>
      <c r="D2880" s="1055"/>
      <c r="E2880" s="1055"/>
      <c r="F2880" s="1056"/>
      <c r="G2880" s="1056"/>
      <c r="H2880" s="1056"/>
      <c r="I2880" s="1056"/>
    </row>
    <row r="2881" spans="1:9">
      <c r="A2881" s="1055"/>
      <c r="B2881" s="1055"/>
      <c r="C2881" s="1055"/>
      <c r="D2881" s="1055"/>
      <c r="E2881" s="1055"/>
      <c r="F2881" s="1056"/>
      <c r="G2881" s="1056"/>
      <c r="H2881" s="1056"/>
      <c r="I2881" s="1056"/>
    </row>
    <row r="2882" spans="1:9">
      <c r="A2882" s="1055"/>
      <c r="B2882" s="1055"/>
      <c r="C2882" s="1055"/>
      <c r="D2882" s="1055"/>
      <c r="E2882" s="1055"/>
      <c r="F2882" s="1056"/>
      <c r="G2882" s="1056"/>
      <c r="H2882" s="1056"/>
      <c r="I2882" s="1056"/>
    </row>
    <row r="2883" spans="1:9">
      <c r="A2883" s="1055"/>
      <c r="B2883" s="1055"/>
      <c r="C2883" s="1055"/>
      <c r="D2883" s="1055"/>
      <c r="E2883" s="1055"/>
      <c r="F2883" s="1056"/>
      <c r="G2883" s="1056"/>
      <c r="H2883" s="1056"/>
      <c r="I2883" s="1056"/>
    </row>
    <row r="2884" spans="1:9">
      <c r="A2884" s="1055"/>
      <c r="B2884" s="1055"/>
      <c r="C2884" s="1055"/>
      <c r="D2884" s="1055"/>
      <c r="E2884" s="1055"/>
      <c r="F2884" s="1056"/>
      <c r="G2884" s="1056"/>
      <c r="H2884" s="1056"/>
      <c r="I2884" s="1056"/>
    </row>
    <row r="2885" spans="1:9">
      <c r="A2885" s="1055"/>
      <c r="B2885" s="1055"/>
      <c r="C2885" s="1055"/>
      <c r="D2885" s="1055"/>
      <c r="E2885" s="1055"/>
      <c r="F2885" s="1056"/>
      <c r="G2885" s="1056"/>
      <c r="H2885" s="1056"/>
      <c r="I2885" s="1056"/>
    </row>
    <row r="2886" spans="1:9">
      <c r="A2886" s="1055"/>
      <c r="B2886" s="1055"/>
      <c r="C2886" s="1055"/>
      <c r="D2886" s="1055"/>
      <c r="E2886" s="1055"/>
      <c r="F2886" s="1056"/>
      <c r="G2886" s="1056"/>
      <c r="H2886" s="1056"/>
      <c r="I2886" s="1056"/>
    </row>
    <row r="2887" spans="1:9">
      <c r="A2887" s="1055"/>
      <c r="B2887" s="1055"/>
      <c r="C2887" s="1055"/>
      <c r="D2887" s="1055"/>
      <c r="E2887" s="1055"/>
      <c r="F2887" s="1056"/>
      <c r="G2887" s="1056"/>
      <c r="H2887" s="1056"/>
      <c r="I2887" s="1056"/>
    </row>
    <row r="2888" spans="1:9">
      <c r="A2888" s="1055"/>
      <c r="B2888" s="1055"/>
      <c r="C2888" s="1055"/>
      <c r="D2888" s="1055"/>
      <c r="E2888" s="1055"/>
      <c r="F2888" s="1056"/>
      <c r="G2888" s="1056"/>
      <c r="H2888" s="1056"/>
      <c r="I2888" s="1056"/>
    </row>
    <row r="2889" spans="1:9">
      <c r="A2889" s="1055"/>
      <c r="B2889" s="1055"/>
      <c r="C2889" s="1055"/>
      <c r="D2889" s="1055"/>
      <c r="E2889" s="1055"/>
      <c r="F2889" s="1056"/>
      <c r="G2889" s="1056"/>
      <c r="H2889" s="1056"/>
      <c r="I2889" s="1056"/>
    </row>
    <row r="2890" spans="1:9">
      <c r="A2890" s="1055" t="e">
        <v>#N/A</v>
      </c>
      <c r="B2890" s="1055" t="e">
        <v>#N/A</v>
      </c>
      <c r="C2890" s="1055" t="e">
        <v>#N/A</v>
      </c>
      <c r="D2890" s="1055" t="e">
        <v>#N/A</v>
      </c>
      <c r="E2890" s="1055" t="e">
        <v>#N/A</v>
      </c>
      <c r="F2890" s="1056" t="e">
        <v>#N/A</v>
      </c>
      <c r="G2890" s="1056" t="e">
        <v>#N/A</v>
      </c>
      <c r="H2890" s="1056" t="e">
        <v>#N/A</v>
      </c>
      <c r="I2890" s="1056" t="e">
        <v>#N/A</v>
      </c>
    </row>
  </sheetData>
  <autoFilter ref="A3:J1225" xr:uid="{00000000-0009-0000-0000-000009000000}"/>
  <mergeCells count="2">
    <mergeCell ref="A1:I1"/>
    <mergeCell ref="A2:I2"/>
  </mergeCells>
  <pageMargins left="0.7" right="0.7" top="0.75" bottom="0.75" header="0.3" footer="0.3"/>
  <pageSetup scale="5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6" tint="0.59999389629810485"/>
  </sheetPr>
  <dimension ref="A1:N13"/>
  <sheetViews>
    <sheetView showGridLines="0" workbookViewId="0">
      <selection activeCell="M14" sqref="M14"/>
    </sheetView>
  </sheetViews>
  <sheetFormatPr baseColWidth="10" defaultRowHeight="15"/>
  <sheetData>
    <row r="1" spans="1:14">
      <c r="A1" s="76" t="s">
        <v>1457</v>
      </c>
    </row>
    <row r="3" spans="1:14" ht="15.75">
      <c r="A3" s="1046" t="s">
        <v>1449</v>
      </c>
    </row>
    <row r="4" spans="1:14" ht="15.75">
      <c r="A4" s="1046"/>
    </row>
    <row r="5" spans="1:14" ht="15.75">
      <c r="A5" s="1046" t="s">
        <v>1450</v>
      </c>
    </row>
    <row r="6" spans="1:14" ht="15.75">
      <c r="A6" s="1046"/>
    </row>
    <row r="7" spans="1:14" ht="15.75">
      <c r="A7" s="1047" t="s">
        <v>1451</v>
      </c>
      <c r="B7" s="605"/>
      <c r="C7" s="605"/>
      <c r="D7" s="605"/>
      <c r="E7" s="605"/>
      <c r="F7" s="605"/>
      <c r="G7" s="605"/>
      <c r="H7" s="605"/>
      <c r="I7" s="605"/>
      <c r="J7" s="1048" t="s">
        <v>1462</v>
      </c>
      <c r="K7" s="605"/>
      <c r="L7" s="605"/>
      <c r="M7" s="605"/>
      <c r="N7" s="605"/>
    </row>
    <row r="8" spans="1:14" ht="15.75">
      <c r="A8" s="1046" t="s">
        <v>1452</v>
      </c>
    </row>
    <row r="10" spans="1:14" ht="15.75">
      <c r="A10" s="1046" t="s">
        <v>1453</v>
      </c>
    </row>
    <row r="11" spans="1:14" ht="15.75">
      <c r="A11" s="1047" t="s">
        <v>1454</v>
      </c>
      <c r="B11" s="605"/>
      <c r="C11" s="605"/>
      <c r="D11" s="605"/>
      <c r="E11" s="605"/>
      <c r="F11" s="605"/>
      <c r="G11" s="605"/>
      <c r="H11" s="605"/>
      <c r="I11" s="605"/>
      <c r="J11" s="605"/>
      <c r="K11" s="605"/>
    </row>
    <row r="12" spans="1:14" ht="15.75">
      <c r="A12" s="1047" t="s">
        <v>1455</v>
      </c>
      <c r="B12" s="605"/>
      <c r="C12" s="605"/>
      <c r="D12" s="605"/>
      <c r="E12" s="605"/>
      <c r="F12" s="605"/>
      <c r="G12" s="605"/>
      <c r="H12" s="1048" t="s">
        <v>1458</v>
      </c>
      <c r="I12" s="1048"/>
      <c r="J12" s="1048"/>
      <c r="K12" s="1048"/>
    </row>
    <row r="13" spans="1:14" ht="15.75">
      <c r="A13" s="1047" t="s">
        <v>1456</v>
      </c>
      <c r="B13" s="605"/>
      <c r="C13" s="605"/>
      <c r="D13" s="605"/>
      <c r="E13" s="605"/>
      <c r="F13" s="605"/>
      <c r="G13" s="605"/>
      <c r="H13" s="605"/>
      <c r="I13" s="1048" t="s">
        <v>1459</v>
      </c>
      <c r="J13" s="605"/>
      <c r="K13" s="60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6</vt:i4>
      </vt:variant>
    </vt:vector>
  </HeadingPairs>
  <TitlesOfParts>
    <vt:vector size="17" baseType="lpstr">
      <vt:lpstr>DATOS</vt:lpstr>
      <vt:lpstr>RESULTADOS GRUPO</vt:lpstr>
      <vt:lpstr>2.E.R.I.MES</vt:lpstr>
      <vt:lpstr>1. OBSERVACIONES</vt:lpstr>
      <vt:lpstr>2.E.R.I. MES-ACUMULADO</vt:lpstr>
      <vt:lpstr>3.2 IMPORENTA</vt:lpstr>
      <vt:lpstr>4.ESF=BALANCE</vt:lpstr>
      <vt:lpstr>5.INDICADORES</vt:lpstr>
      <vt:lpstr>6.BP2026</vt:lpstr>
      <vt:lpstr>7.BP2025</vt:lpstr>
      <vt:lpstr>prediales</vt:lpstr>
      <vt:lpstr>'1. OBSERVACIONES'!Área_de_impresión</vt:lpstr>
      <vt:lpstr>'2.E.R.I. MES-ACUMULADO'!Área_de_impresión</vt:lpstr>
      <vt:lpstr>'2.E.R.I.MES'!Área_de_impresión</vt:lpstr>
      <vt:lpstr>'4.ESF=BALANCE'!Área_de_impresión</vt:lpstr>
      <vt:lpstr>'5.INDICADORES'!Área_de_impresión</vt:lpstr>
      <vt:lpstr>'RESULTADOS GRUPO'!Área_de_impresión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fabian hernandez</cp:lastModifiedBy>
  <cp:lastPrinted>2023-05-23T14:01:17Z</cp:lastPrinted>
  <dcterms:created xsi:type="dcterms:W3CDTF">2017-12-01T18:04:47Z</dcterms:created>
  <dcterms:modified xsi:type="dcterms:W3CDTF">2026-09-24T17:07:52Z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5cb897b1-04db-4e6e-a714-afdf1843257e</vt:lpwstr>
  </property>
</Properties>
</file>